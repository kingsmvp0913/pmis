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-Lee\Desktop\永慶高中-結案資料\"/>
    </mc:Choice>
  </mc:AlternateContent>
  <xr:revisionPtr revIDLastSave="0" documentId="13_ncr:1_{595D13CF-6D1C-4FE2-B902-479D4A19BD74}" xr6:coauthVersionLast="47" xr6:coauthVersionMax="47" xr10:uidLastSave="{00000000-0000-0000-0000-000000000000}"/>
  <bookViews>
    <workbookView xWindow="-108" yWindow="-108" windowWidth="23256" windowHeight="12576" firstSheet="2" activeTab="13" xr2:uid="{2C12E3DA-8C2F-45C2-9AC6-0921DDC5354E}"/>
  </bookViews>
  <sheets>
    <sheet name="基本資料" sheetId="1" r:id="rId1"/>
    <sheet name="填寫" sheetId="4" r:id="rId2"/>
    <sheet name="0811" sheetId="2" r:id="rId3"/>
    <sheet name="0812" sheetId="20" r:id="rId4"/>
    <sheet name="0813" sheetId="21" r:id="rId5"/>
    <sheet name="0814" sheetId="22" r:id="rId6"/>
    <sheet name="0815" sheetId="23" r:id="rId7"/>
    <sheet name="0816" sheetId="24" r:id="rId8"/>
    <sheet name="0817" sheetId="25" r:id="rId9"/>
    <sheet name="0818" sheetId="26" r:id="rId10"/>
    <sheet name="0819" sheetId="27" r:id="rId11"/>
    <sheet name="0820" sheetId="28" r:id="rId12"/>
    <sheet name="0821" sheetId="29" r:id="rId13"/>
    <sheet name="0822" sheetId="30" r:id="rId14"/>
    <sheet name="可改" sheetId="32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F5" i="30"/>
  <c r="F5" i="29"/>
  <c r="F5" i="28"/>
  <c r="F5" i="27"/>
  <c r="F5" i="26"/>
  <c r="F5" i="25"/>
  <c r="F5" i="24"/>
  <c r="F5" i="23"/>
  <c r="F5" i="22"/>
  <c r="E10" i="22"/>
  <c r="F5" i="21"/>
  <c r="F5" i="20"/>
  <c r="F5" i="2"/>
  <c r="AD17" i="4"/>
  <c r="A41" i="32"/>
  <c r="A36" i="32"/>
  <c r="A30" i="32"/>
  <c r="K27" i="32"/>
  <c r="I27" i="32"/>
  <c r="G27" i="32"/>
  <c r="K26" i="32"/>
  <c r="I26" i="32"/>
  <c r="G26" i="32"/>
  <c r="E26" i="32"/>
  <c r="C26" i="32"/>
  <c r="A26" i="32"/>
  <c r="I18" i="32"/>
  <c r="G18" i="32"/>
  <c r="E18" i="32"/>
  <c r="D18" i="32"/>
  <c r="A18" i="32"/>
  <c r="G17" i="32"/>
  <c r="E17" i="32"/>
  <c r="D17" i="32"/>
  <c r="A17" i="32"/>
  <c r="G16" i="32"/>
  <c r="E16" i="32"/>
  <c r="D16" i="32"/>
  <c r="A16" i="32"/>
  <c r="G15" i="32"/>
  <c r="E15" i="32"/>
  <c r="D15" i="32"/>
  <c r="A15" i="32"/>
  <c r="G14" i="32"/>
  <c r="E14" i="32"/>
  <c r="D14" i="32"/>
  <c r="A14" i="32"/>
  <c r="I13" i="32"/>
  <c r="G13" i="32"/>
  <c r="E13" i="32"/>
  <c r="D13" i="32"/>
  <c r="A13" i="32"/>
  <c r="I12" i="32"/>
  <c r="G12" i="32"/>
  <c r="E12" i="32"/>
  <c r="D12" i="32"/>
  <c r="A12" i="32"/>
  <c r="I11" i="32"/>
  <c r="G11" i="32"/>
  <c r="E11" i="32"/>
  <c r="D11" i="32"/>
  <c r="A11" i="32"/>
  <c r="I10" i="32"/>
  <c r="G10" i="32"/>
  <c r="E10" i="32"/>
  <c r="D10" i="32"/>
  <c r="A10" i="32"/>
  <c r="D7" i="32"/>
  <c r="D6" i="32"/>
  <c r="J6" i="32" s="1"/>
  <c r="C5" i="32"/>
  <c r="I5" i="32" s="1"/>
  <c r="I4" i="32"/>
  <c r="C4" i="32"/>
  <c r="E3" i="32"/>
  <c r="C3" i="32"/>
  <c r="L2" i="32"/>
  <c r="D2" i="32"/>
  <c r="B2" i="32"/>
  <c r="G27" i="30"/>
  <c r="G26" i="30"/>
  <c r="A26" i="30"/>
  <c r="E18" i="30"/>
  <c r="D18" i="30"/>
  <c r="A18" i="30"/>
  <c r="E17" i="30"/>
  <c r="D17" i="30"/>
  <c r="A17" i="30"/>
  <c r="E16" i="30"/>
  <c r="D16" i="30"/>
  <c r="A16" i="30"/>
  <c r="E15" i="30"/>
  <c r="D15" i="30"/>
  <c r="A15" i="30"/>
  <c r="E14" i="30"/>
  <c r="D14" i="30"/>
  <c r="A14" i="30"/>
  <c r="E13" i="30"/>
  <c r="D13" i="30"/>
  <c r="A13" i="30"/>
  <c r="E12" i="30"/>
  <c r="D12" i="30"/>
  <c r="A12" i="30"/>
  <c r="E11" i="30"/>
  <c r="D11" i="30"/>
  <c r="A11" i="30"/>
  <c r="E10" i="30"/>
  <c r="D10" i="30"/>
  <c r="A10" i="30"/>
  <c r="J6" i="30"/>
  <c r="D6" i="30"/>
  <c r="C5" i="30"/>
  <c r="I4" i="30"/>
  <c r="C4" i="30"/>
  <c r="A41" i="30"/>
  <c r="B2" i="30"/>
  <c r="G27" i="29"/>
  <c r="K26" i="29"/>
  <c r="G26" i="29"/>
  <c r="A26" i="29"/>
  <c r="E18" i="29"/>
  <c r="D18" i="29"/>
  <c r="A18" i="29"/>
  <c r="G17" i="29"/>
  <c r="E17" i="29"/>
  <c r="D17" i="29"/>
  <c r="A17" i="29"/>
  <c r="G16" i="29"/>
  <c r="E16" i="29"/>
  <c r="D16" i="29"/>
  <c r="A16" i="29"/>
  <c r="E15" i="29"/>
  <c r="D15" i="29"/>
  <c r="A15" i="29"/>
  <c r="E14" i="29"/>
  <c r="D14" i="29"/>
  <c r="A14" i="29"/>
  <c r="E13" i="29"/>
  <c r="D13" i="29"/>
  <c r="A13" i="29"/>
  <c r="I12" i="29"/>
  <c r="E12" i="29"/>
  <c r="D12" i="29"/>
  <c r="A12" i="29"/>
  <c r="I11" i="29"/>
  <c r="E11" i="29"/>
  <c r="D11" i="29"/>
  <c r="A11" i="29"/>
  <c r="E10" i="29"/>
  <c r="D10" i="29"/>
  <c r="A10" i="29"/>
  <c r="J6" i="29"/>
  <c r="D6" i="29"/>
  <c r="I5" i="29"/>
  <c r="C5" i="29"/>
  <c r="I4" i="29"/>
  <c r="C4" i="29"/>
  <c r="C3" i="29"/>
  <c r="A41" i="29"/>
  <c r="B2" i="29"/>
  <c r="G27" i="28"/>
  <c r="G26" i="28"/>
  <c r="A26" i="28"/>
  <c r="E18" i="28"/>
  <c r="D18" i="28"/>
  <c r="A18" i="28"/>
  <c r="E17" i="28"/>
  <c r="D17" i="28"/>
  <c r="A17" i="28"/>
  <c r="G16" i="28"/>
  <c r="E16" i="28"/>
  <c r="D16" i="28"/>
  <c r="A16" i="28"/>
  <c r="E15" i="28"/>
  <c r="D15" i="28"/>
  <c r="A15" i="28"/>
  <c r="E14" i="28"/>
  <c r="D14" i="28"/>
  <c r="A14" i="28"/>
  <c r="E13" i="28"/>
  <c r="D13" i="28"/>
  <c r="A13" i="28"/>
  <c r="E12" i="28"/>
  <c r="D12" i="28"/>
  <c r="A12" i="28"/>
  <c r="I11" i="28"/>
  <c r="E11" i="28"/>
  <c r="D11" i="28"/>
  <c r="A11" i="28"/>
  <c r="E10" i="28"/>
  <c r="D10" i="28"/>
  <c r="A10" i="28"/>
  <c r="D7" i="28"/>
  <c r="J6" i="28"/>
  <c r="D6" i="28"/>
  <c r="C5" i="28"/>
  <c r="I5" i="28" s="1"/>
  <c r="I4" i="28"/>
  <c r="C4" i="28"/>
  <c r="A41" i="28"/>
  <c r="B2" i="28"/>
  <c r="G27" i="27"/>
  <c r="G26" i="27"/>
  <c r="C26" i="27"/>
  <c r="A26" i="27"/>
  <c r="E18" i="27"/>
  <c r="D18" i="27"/>
  <c r="A18" i="27"/>
  <c r="E17" i="27"/>
  <c r="D17" i="27"/>
  <c r="A17" i="27"/>
  <c r="G16" i="27"/>
  <c r="E16" i="27"/>
  <c r="D16" i="27"/>
  <c r="A16" i="27"/>
  <c r="E15" i="27"/>
  <c r="D15" i="27"/>
  <c r="A15" i="27"/>
  <c r="E14" i="27"/>
  <c r="D14" i="27"/>
  <c r="A14" i="27"/>
  <c r="E13" i="27"/>
  <c r="D13" i="27"/>
  <c r="A13" i="27"/>
  <c r="E12" i="27"/>
  <c r="D12" i="27"/>
  <c r="A12" i="27"/>
  <c r="I11" i="27"/>
  <c r="E11" i="27"/>
  <c r="D11" i="27"/>
  <c r="A11" i="27"/>
  <c r="E10" i="27"/>
  <c r="D10" i="27"/>
  <c r="A10" i="27"/>
  <c r="D7" i="27"/>
  <c r="J6" i="27"/>
  <c r="D6" i="27"/>
  <c r="C5" i="27"/>
  <c r="I4" i="27"/>
  <c r="C4" i="27"/>
  <c r="A41" i="27"/>
  <c r="B2" i="27"/>
  <c r="G27" i="26"/>
  <c r="G26" i="26"/>
  <c r="C26" i="26"/>
  <c r="A26" i="26"/>
  <c r="E18" i="26"/>
  <c r="D18" i="26"/>
  <c r="A18" i="26"/>
  <c r="E17" i="26"/>
  <c r="D17" i="26"/>
  <c r="A17" i="26"/>
  <c r="G16" i="26"/>
  <c r="E16" i="26"/>
  <c r="D16" i="26"/>
  <c r="A16" i="26"/>
  <c r="E15" i="26"/>
  <c r="D15" i="26"/>
  <c r="A15" i="26"/>
  <c r="E14" i="26"/>
  <c r="D14" i="26"/>
  <c r="A14" i="26"/>
  <c r="E13" i="26"/>
  <c r="D13" i="26"/>
  <c r="A13" i="26"/>
  <c r="E12" i="26"/>
  <c r="D12" i="26"/>
  <c r="A12" i="26"/>
  <c r="I11" i="26"/>
  <c r="E11" i="26"/>
  <c r="D11" i="26"/>
  <c r="A11" i="26"/>
  <c r="G10" i="26"/>
  <c r="E10" i="26"/>
  <c r="D10" i="26"/>
  <c r="A10" i="26"/>
  <c r="D7" i="26"/>
  <c r="J6" i="26"/>
  <c r="D6" i="26"/>
  <c r="I5" i="26"/>
  <c r="C5" i="26"/>
  <c r="I4" i="26"/>
  <c r="C4" i="26"/>
  <c r="E3" i="26"/>
  <c r="A41" i="26"/>
  <c r="B2" i="26"/>
  <c r="G27" i="25"/>
  <c r="G26" i="25"/>
  <c r="E26" i="25"/>
  <c r="C26" i="25"/>
  <c r="A26" i="25"/>
  <c r="E18" i="25"/>
  <c r="D18" i="25"/>
  <c r="A18" i="25"/>
  <c r="E17" i="25"/>
  <c r="D17" i="25"/>
  <c r="A17" i="25"/>
  <c r="I16" i="25"/>
  <c r="E16" i="25"/>
  <c r="D16" i="25"/>
  <c r="A16" i="25"/>
  <c r="E15" i="25"/>
  <c r="D15" i="25"/>
  <c r="A15" i="25"/>
  <c r="G14" i="25"/>
  <c r="E14" i="25"/>
  <c r="D14" i="25"/>
  <c r="A14" i="25"/>
  <c r="E13" i="25"/>
  <c r="D13" i="25"/>
  <c r="A13" i="25"/>
  <c r="E12" i="25"/>
  <c r="D12" i="25"/>
  <c r="A12" i="25"/>
  <c r="E11" i="25"/>
  <c r="D11" i="25"/>
  <c r="A11" i="25"/>
  <c r="E10" i="25"/>
  <c r="D10" i="25"/>
  <c r="A10" i="25"/>
  <c r="D7" i="25"/>
  <c r="J6" i="25"/>
  <c r="D6" i="25"/>
  <c r="C5" i="25"/>
  <c r="I5" i="25" s="1"/>
  <c r="I4" i="25"/>
  <c r="C4" i="25"/>
  <c r="A41" i="25"/>
  <c r="D2" i="25"/>
  <c r="B2" i="25"/>
  <c r="G27" i="24"/>
  <c r="G26" i="24"/>
  <c r="A26" i="24"/>
  <c r="E18" i="24"/>
  <c r="D18" i="24"/>
  <c r="A18" i="24"/>
  <c r="E17" i="24"/>
  <c r="D17" i="24"/>
  <c r="A17" i="24"/>
  <c r="G16" i="24"/>
  <c r="E16" i="24"/>
  <c r="D16" i="24"/>
  <c r="A16" i="24"/>
  <c r="E15" i="24"/>
  <c r="D15" i="24"/>
  <c r="A15" i="24"/>
  <c r="E14" i="24"/>
  <c r="D14" i="24"/>
  <c r="A14" i="24"/>
  <c r="E13" i="24"/>
  <c r="D13" i="24"/>
  <c r="A13" i="24"/>
  <c r="E12" i="24"/>
  <c r="D12" i="24"/>
  <c r="A12" i="24"/>
  <c r="I11" i="24"/>
  <c r="E11" i="24"/>
  <c r="D11" i="24"/>
  <c r="A11" i="24"/>
  <c r="E10" i="24"/>
  <c r="D10" i="24"/>
  <c r="A10" i="24"/>
  <c r="J6" i="24"/>
  <c r="D6" i="24"/>
  <c r="C5" i="24"/>
  <c r="I5" i="24" s="1"/>
  <c r="I4" i="24"/>
  <c r="C4" i="24"/>
  <c r="A41" i="24"/>
  <c r="B2" i="24"/>
  <c r="G27" i="23"/>
  <c r="G26" i="23"/>
  <c r="A26" i="23"/>
  <c r="E18" i="23"/>
  <c r="D18" i="23"/>
  <c r="A18" i="23"/>
  <c r="E17" i="23"/>
  <c r="D17" i="23"/>
  <c r="A17" i="23"/>
  <c r="G16" i="23"/>
  <c r="E16" i="23"/>
  <c r="D16" i="23"/>
  <c r="A16" i="23"/>
  <c r="E15" i="23"/>
  <c r="D15" i="23"/>
  <c r="A15" i="23"/>
  <c r="E14" i="23"/>
  <c r="D14" i="23"/>
  <c r="A14" i="23"/>
  <c r="E13" i="23"/>
  <c r="D13" i="23"/>
  <c r="A13" i="23"/>
  <c r="E12" i="23"/>
  <c r="D12" i="23"/>
  <c r="A12" i="23"/>
  <c r="I11" i="23"/>
  <c r="E11" i="23"/>
  <c r="D11" i="23"/>
  <c r="A11" i="23"/>
  <c r="E10" i="23"/>
  <c r="D10" i="23"/>
  <c r="A10" i="23"/>
  <c r="J6" i="23"/>
  <c r="D6" i="23"/>
  <c r="I5" i="23"/>
  <c r="C5" i="23"/>
  <c r="I4" i="23"/>
  <c r="C4" i="23"/>
  <c r="L2" i="23"/>
  <c r="A41" i="23"/>
  <c r="B2" i="23"/>
  <c r="G27" i="22"/>
  <c r="G26" i="22"/>
  <c r="A26" i="22"/>
  <c r="E18" i="22"/>
  <c r="D18" i="22"/>
  <c r="A18" i="22"/>
  <c r="E17" i="22"/>
  <c r="D17" i="22"/>
  <c r="A17" i="22"/>
  <c r="G16" i="22"/>
  <c r="E16" i="22"/>
  <c r="D16" i="22"/>
  <c r="A16" i="22"/>
  <c r="E15" i="22"/>
  <c r="D15" i="22"/>
  <c r="A15" i="22"/>
  <c r="E14" i="22"/>
  <c r="D14" i="22"/>
  <c r="A14" i="22"/>
  <c r="E13" i="22"/>
  <c r="D13" i="22"/>
  <c r="A13" i="22"/>
  <c r="E12" i="22"/>
  <c r="D12" i="22"/>
  <c r="A12" i="22"/>
  <c r="I11" i="22"/>
  <c r="E11" i="22"/>
  <c r="D11" i="22"/>
  <c r="A11" i="22"/>
  <c r="D10" i="22"/>
  <c r="A10" i="22"/>
  <c r="J6" i="22"/>
  <c r="D6" i="22"/>
  <c r="C5" i="22"/>
  <c r="I5" i="22" s="1"/>
  <c r="I4" i="22"/>
  <c r="C4" i="22"/>
  <c r="L2" i="22"/>
  <c r="A41" i="22"/>
  <c r="D2" i="22"/>
  <c r="B2" i="22"/>
  <c r="G27" i="21"/>
  <c r="G26" i="21"/>
  <c r="A26" i="21"/>
  <c r="E18" i="21"/>
  <c r="D18" i="21"/>
  <c r="A18" i="21"/>
  <c r="E17" i="21"/>
  <c r="D17" i="21"/>
  <c r="A17" i="21"/>
  <c r="G16" i="21"/>
  <c r="E16" i="21"/>
  <c r="D16" i="21"/>
  <c r="A16" i="21"/>
  <c r="E15" i="21"/>
  <c r="D15" i="21"/>
  <c r="A15" i="21"/>
  <c r="E14" i="21"/>
  <c r="D14" i="21"/>
  <c r="A14" i="21"/>
  <c r="E13" i="21"/>
  <c r="D13" i="21"/>
  <c r="A13" i="21"/>
  <c r="E12" i="21"/>
  <c r="D12" i="21"/>
  <c r="A12" i="21"/>
  <c r="I11" i="21"/>
  <c r="E11" i="21"/>
  <c r="D11" i="21"/>
  <c r="A11" i="21"/>
  <c r="E10" i="21"/>
  <c r="D10" i="21"/>
  <c r="A10" i="21"/>
  <c r="J6" i="21"/>
  <c r="D6" i="21"/>
  <c r="C5" i="21"/>
  <c r="I5" i="21" s="1"/>
  <c r="I4" i="21"/>
  <c r="C4" i="21"/>
  <c r="A41" i="21"/>
  <c r="B2" i="21"/>
  <c r="G27" i="20"/>
  <c r="G26" i="20"/>
  <c r="A26" i="20"/>
  <c r="E18" i="20"/>
  <c r="D18" i="20"/>
  <c r="A18" i="20"/>
  <c r="E17" i="20"/>
  <c r="D17" i="20"/>
  <c r="A17" i="20"/>
  <c r="E16" i="20"/>
  <c r="D16" i="20"/>
  <c r="A16" i="20"/>
  <c r="E15" i="20"/>
  <c r="D15" i="20"/>
  <c r="A15" i="20"/>
  <c r="G14" i="20"/>
  <c r="E14" i="20"/>
  <c r="D14" i="20"/>
  <c r="A14" i="20"/>
  <c r="E13" i="20"/>
  <c r="D13" i="20"/>
  <c r="A13" i="20"/>
  <c r="E12" i="20"/>
  <c r="D12" i="20"/>
  <c r="A12" i="20"/>
  <c r="E11" i="20"/>
  <c r="D11" i="20"/>
  <c r="A11" i="20"/>
  <c r="E10" i="20"/>
  <c r="D10" i="20"/>
  <c r="A10" i="20"/>
  <c r="J6" i="20"/>
  <c r="D6" i="20"/>
  <c r="C5" i="20"/>
  <c r="I5" i="20" s="1"/>
  <c r="I4" i="20"/>
  <c r="C4" i="20"/>
  <c r="A41" i="20"/>
  <c r="D2" i="20"/>
  <c r="B2" i="20"/>
  <c r="AC6" i="4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Y6" i="4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U6" i="4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Q6" i="4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M6" i="4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Z5" i="4"/>
  <c r="X5" i="4"/>
  <c r="V5" i="4"/>
  <c r="T5" i="4"/>
  <c r="P5" i="4"/>
  <c r="R5" i="4"/>
  <c r="N5" i="4"/>
  <c r="L5" i="4"/>
  <c r="AB5" i="4"/>
  <c r="P4" i="4"/>
  <c r="L4" i="4"/>
  <c r="AG7" i="4"/>
  <c r="AG8" i="4" s="1"/>
  <c r="AG9" i="4" s="1"/>
  <c r="AG10" i="4" s="1"/>
  <c r="AG11" i="4" s="1"/>
  <c r="AG12" i="4" s="1"/>
  <c r="AG13" i="4" s="1"/>
  <c r="AG14" i="4" s="1"/>
  <c r="AG15" i="4" s="1"/>
  <c r="AG16" i="4" s="1"/>
  <c r="AG17" i="4" s="1"/>
  <c r="AG18" i="4" s="1"/>
  <c r="G26" i="2"/>
  <c r="B2" i="2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27" i="2"/>
  <c r="A26" i="2"/>
  <c r="I5" i="30" l="1"/>
  <c r="I5" i="27"/>
  <c r="I16" i="32"/>
  <c r="I14" i="32"/>
  <c r="I16" i="26"/>
  <c r="I16" i="27"/>
  <c r="I11" i="30"/>
  <c r="G16" i="30"/>
  <c r="D7" i="30"/>
  <c r="I16" i="30"/>
  <c r="C26" i="30"/>
  <c r="D2" i="30"/>
  <c r="G14" i="30"/>
  <c r="E26" i="30"/>
  <c r="L2" i="30"/>
  <c r="G12" i="30"/>
  <c r="I26" i="30"/>
  <c r="C3" i="30"/>
  <c r="I12" i="30"/>
  <c r="G17" i="30"/>
  <c r="K26" i="30"/>
  <c r="E3" i="30"/>
  <c r="G10" i="30"/>
  <c r="I14" i="30"/>
  <c r="I10" i="30"/>
  <c r="G15" i="30"/>
  <c r="I27" i="30"/>
  <c r="K27" i="30"/>
  <c r="G13" i="30"/>
  <c r="A30" i="30"/>
  <c r="I13" i="30"/>
  <c r="G18" i="30"/>
  <c r="A36" i="30"/>
  <c r="G11" i="30"/>
  <c r="I18" i="30"/>
  <c r="D7" i="29"/>
  <c r="I16" i="29"/>
  <c r="C26" i="29"/>
  <c r="D2" i="29"/>
  <c r="G14" i="29"/>
  <c r="E26" i="29"/>
  <c r="I14" i="29"/>
  <c r="L2" i="29"/>
  <c r="G12" i="29"/>
  <c r="I26" i="29"/>
  <c r="E3" i="29"/>
  <c r="G10" i="29"/>
  <c r="I10" i="29"/>
  <c r="G15" i="29"/>
  <c r="I27" i="29"/>
  <c r="K27" i="29"/>
  <c r="G13" i="29"/>
  <c r="A30" i="29"/>
  <c r="I13" i="29"/>
  <c r="G18" i="29"/>
  <c r="A36" i="29"/>
  <c r="G11" i="29"/>
  <c r="I18" i="29"/>
  <c r="I16" i="28"/>
  <c r="C26" i="28"/>
  <c r="D2" i="28"/>
  <c r="G14" i="28"/>
  <c r="E26" i="28"/>
  <c r="L2" i="28"/>
  <c r="G12" i="28"/>
  <c r="I26" i="28"/>
  <c r="C3" i="28"/>
  <c r="I12" i="28"/>
  <c r="G17" i="28"/>
  <c r="K26" i="28"/>
  <c r="I14" i="28"/>
  <c r="E3" i="28"/>
  <c r="G10" i="28"/>
  <c r="I10" i="28"/>
  <c r="G15" i="28"/>
  <c r="I27" i="28"/>
  <c r="K27" i="28"/>
  <c r="G13" i="28"/>
  <c r="A30" i="28"/>
  <c r="I13" i="28"/>
  <c r="G18" i="28"/>
  <c r="A36" i="28"/>
  <c r="G11" i="28"/>
  <c r="I18" i="28"/>
  <c r="D2" i="27"/>
  <c r="G14" i="27"/>
  <c r="E26" i="27"/>
  <c r="I14" i="27"/>
  <c r="L2" i="27"/>
  <c r="G12" i="27"/>
  <c r="I26" i="27"/>
  <c r="C3" i="27"/>
  <c r="I12" i="27"/>
  <c r="G17" i="27"/>
  <c r="K26" i="27"/>
  <c r="E3" i="27"/>
  <c r="G10" i="27"/>
  <c r="I10" i="27"/>
  <c r="G15" i="27"/>
  <c r="I27" i="27"/>
  <c r="K27" i="27"/>
  <c r="G13" i="27"/>
  <c r="A30" i="27"/>
  <c r="I13" i="27"/>
  <c r="G18" i="27"/>
  <c r="A36" i="27"/>
  <c r="G11" i="27"/>
  <c r="I18" i="27"/>
  <c r="D2" i="26"/>
  <c r="G14" i="26"/>
  <c r="E26" i="26"/>
  <c r="I14" i="26"/>
  <c r="L2" i="26"/>
  <c r="G12" i="26"/>
  <c r="I26" i="26"/>
  <c r="C3" i="26"/>
  <c r="I12" i="26"/>
  <c r="G17" i="26"/>
  <c r="K26" i="26"/>
  <c r="I10" i="26"/>
  <c r="G15" i="26"/>
  <c r="I27" i="26"/>
  <c r="K27" i="26"/>
  <c r="G13" i="26"/>
  <c r="A30" i="26"/>
  <c r="I13" i="26"/>
  <c r="G18" i="26"/>
  <c r="A36" i="26"/>
  <c r="G11" i="26"/>
  <c r="I18" i="26"/>
  <c r="I11" i="25"/>
  <c r="G16" i="25"/>
  <c r="I14" i="25"/>
  <c r="L2" i="25"/>
  <c r="G12" i="25"/>
  <c r="I26" i="25"/>
  <c r="C3" i="25"/>
  <c r="I12" i="25"/>
  <c r="G17" i="25"/>
  <c r="K26" i="25"/>
  <c r="E3" i="25"/>
  <c r="G10" i="25"/>
  <c r="I10" i="25"/>
  <c r="G15" i="25"/>
  <c r="I27" i="25"/>
  <c r="K27" i="25"/>
  <c r="G13" i="25"/>
  <c r="A30" i="25"/>
  <c r="I13" i="25"/>
  <c r="G18" i="25"/>
  <c r="A36" i="25"/>
  <c r="G11" i="25"/>
  <c r="I18" i="25"/>
  <c r="D7" i="24"/>
  <c r="I16" i="24"/>
  <c r="C26" i="24"/>
  <c r="D2" i="24"/>
  <c r="G14" i="24"/>
  <c r="E26" i="24"/>
  <c r="L2" i="24"/>
  <c r="G12" i="24"/>
  <c r="I26" i="24"/>
  <c r="C3" i="24"/>
  <c r="I12" i="24"/>
  <c r="G17" i="24"/>
  <c r="K26" i="24"/>
  <c r="E3" i="24"/>
  <c r="G10" i="24"/>
  <c r="I10" i="24"/>
  <c r="G15" i="24"/>
  <c r="I27" i="24"/>
  <c r="I14" i="24"/>
  <c r="K27" i="24"/>
  <c r="G13" i="24"/>
  <c r="A30" i="24"/>
  <c r="I13" i="24"/>
  <c r="G18" i="24"/>
  <c r="A36" i="24"/>
  <c r="G11" i="24"/>
  <c r="I18" i="24"/>
  <c r="D7" i="23"/>
  <c r="I16" i="23"/>
  <c r="C26" i="23"/>
  <c r="D2" i="23"/>
  <c r="G14" i="23"/>
  <c r="E26" i="23"/>
  <c r="I14" i="23"/>
  <c r="G12" i="23"/>
  <c r="I26" i="23"/>
  <c r="C3" i="23"/>
  <c r="I12" i="23"/>
  <c r="G17" i="23"/>
  <c r="K26" i="23"/>
  <c r="E3" i="23"/>
  <c r="G10" i="23"/>
  <c r="I10" i="23"/>
  <c r="G15" i="23"/>
  <c r="I27" i="23"/>
  <c r="K27" i="23"/>
  <c r="G13" i="23"/>
  <c r="A30" i="23"/>
  <c r="I13" i="23"/>
  <c r="G18" i="23"/>
  <c r="A36" i="23"/>
  <c r="G11" i="23"/>
  <c r="I18" i="23"/>
  <c r="D7" i="22"/>
  <c r="I16" i="22"/>
  <c r="C26" i="22"/>
  <c r="G14" i="22"/>
  <c r="E26" i="22"/>
  <c r="I14" i="22"/>
  <c r="G12" i="22"/>
  <c r="I26" i="22"/>
  <c r="C3" i="22"/>
  <c r="I12" i="22"/>
  <c r="G17" i="22"/>
  <c r="K26" i="22"/>
  <c r="E3" i="22"/>
  <c r="G10" i="22"/>
  <c r="I17" i="22"/>
  <c r="I10" i="22"/>
  <c r="G15" i="22"/>
  <c r="I27" i="22"/>
  <c r="K27" i="22"/>
  <c r="G13" i="22"/>
  <c r="A30" i="22"/>
  <c r="I13" i="22"/>
  <c r="G18" i="22"/>
  <c r="A36" i="22"/>
  <c r="G11" i="22"/>
  <c r="I18" i="22"/>
  <c r="D7" i="21"/>
  <c r="I16" i="21"/>
  <c r="C26" i="21"/>
  <c r="D2" i="21"/>
  <c r="G14" i="21"/>
  <c r="E26" i="21"/>
  <c r="L2" i="21"/>
  <c r="G12" i="21"/>
  <c r="I26" i="21"/>
  <c r="C3" i="21"/>
  <c r="I12" i="21"/>
  <c r="G17" i="21"/>
  <c r="K26" i="21"/>
  <c r="E3" i="21"/>
  <c r="G10" i="21"/>
  <c r="I17" i="21"/>
  <c r="I10" i="21"/>
  <c r="G15" i="21"/>
  <c r="I27" i="21"/>
  <c r="K27" i="21"/>
  <c r="G13" i="21"/>
  <c r="A30" i="21"/>
  <c r="I13" i="21"/>
  <c r="G18" i="21"/>
  <c r="A36" i="21"/>
  <c r="I14" i="21"/>
  <c r="G11" i="21"/>
  <c r="I18" i="21"/>
  <c r="G12" i="20"/>
  <c r="I11" i="20"/>
  <c r="G16" i="20"/>
  <c r="L2" i="20"/>
  <c r="D7" i="20"/>
  <c r="I16" i="20"/>
  <c r="C26" i="20"/>
  <c r="E26" i="20"/>
  <c r="I12" i="20"/>
  <c r="G17" i="20"/>
  <c r="K26" i="20"/>
  <c r="I26" i="20"/>
  <c r="C3" i="20"/>
  <c r="E3" i="20"/>
  <c r="G10" i="20"/>
  <c r="I17" i="20"/>
  <c r="I10" i="20"/>
  <c r="G15" i="20"/>
  <c r="I27" i="20"/>
  <c r="K27" i="20"/>
  <c r="I14" i="20"/>
  <c r="G13" i="20"/>
  <c r="A30" i="20"/>
  <c r="I13" i="20"/>
  <c r="G18" i="20"/>
  <c r="A36" i="20"/>
  <c r="G11" i="20"/>
  <c r="I18" i="20"/>
  <c r="Z4" i="4"/>
  <c r="X4" i="4"/>
  <c r="V4" i="4"/>
  <c r="T4" i="4"/>
  <c r="R4" i="4"/>
  <c r="AB4" i="4"/>
  <c r="AB3" i="4"/>
  <c r="Z3" i="4"/>
  <c r="X3" i="4"/>
  <c r="V3" i="4"/>
  <c r="T3" i="4"/>
  <c r="R3" i="4"/>
  <c r="P3" i="4"/>
  <c r="AB2" i="4"/>
  <c r="Z2" i="4"/>
  <c r="X2" i="4"/>
  <c r="V2" i="4"/>
  <c r="T2" i="4"/>
  <c r="R2" i="4"/>
  <c r="P2" i="4"/>
  <c r="N4" i="4"/>
  <c r="N3" i="4"/>
  <c r="N2" i="4"/>
  <c r="L3" i="4"/>
  <c r="L2" i="4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AU6" i="4"/>
  <c r="AR6" i="4"/>
  <c r="AK6" i="4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I6" i="4"/>
  <c r="AI7" i="4" s="1"/>
  <c r="AI8" i="4" s="1"/>
  <c r="AI9" i="4" s="1"/>
  <c r="AI10" i="4" s="1"/>
  <c r="AI11" i="4" s="1"/>
  <c r="AI12" i="4" s="1"/>
  <c r="AI13" i="4" s="1"/>
  <c r="AI14" i="4" s="1"/>
  <c r="AI15" i="4" s="1"/>
  <c r="AI16" i="4" s="1"/>
  <c r="AI17" i="4" s="1"/>
  <c r="AI18" i="4" s="1"/>
  <c r="AA6" i="4"/>
  <c r="AA7" i="4" s="1"/>
  <c r="AA8" i="4" s="1"/>
  <c r="AA9" i="4" s="1"/>
  <c r="W6" i="4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S6" i="4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O6" i="4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A6" i="4"/>
  <c r="A16" i="2"/>
  <c r="E11" i="2"/>
  <c r="E12" i="2"/>
  <c r="E13" i="2"/>
  <c r="E14" i="2"/>
  <c r="E15" i="2"/>
  <c r="E16" i="2"/>
  <c r="E17" i="2"/>
  <c r="E18" i="2"/>
  <c r="D11" i="2"/>
  <c r="D12" i="2"/>
  <c r="D13" i="2"/>
  <c r="D14" i="2"/>
  <c r="D15" i="2"/>
  <c r="D16" i="2"/>
  <c r="D17" i="2"/>
  <c r="D18" i="2"/>
  <c r="E10" i="2"/>
  <c r="D10" i="2"/>
  <c r="A11" i="2"/>
  <c r="A12" i="2"/>
  <c r="A13" i="2"/>
  <c r="A14" i="2"/>
  <c r="A15" i="2"/>
  <c r="A17" i="2"/>
  <c r="A18" i="2"/>
  <c r="A10" i="2"/>
  <c r="D6" i="2"/>
  <c r="C5" i="2"/>
  <c r="I5" i="2" s="1"/>
  <c r="I4" i="2"/>
  <c r="C4" i="2"/>
  <c r="J2" i="2"/>
  <c r="P15" i="1"/>
  <c r="O13" i="1"/>
  <c r="O12" i="1"/>
  <c r="O10" i="1"/>
  <c r="O9" i="1"/>
  <c r="O8" i="1"/>
  <c r="O7" i="1"/>
  <c r="O6" i="1"/>
  <c r="O5" i="1"/>
  <c r="I15" i="23" l="1"/>
  <c r="I15" i="24"/>
  <c r="I15" i="21"/>
  <c r="I15" i="27"/>
  <c r="W18" i="4"/>
  <c r="I15" i="32"/>
  <c r="I15" i="25"/>
  <c r="I15" i="26"/>
  <c r="I15" i="28"/>
  <c r="I15" i="30"/>
  <c r="I15" i="22"/>
  <c r="I15" i="20"/>
  <c r="I15" i="29"/>
  <c r="AD8" i="4"/>
  <c r="AD6" i="4"/>
  <c r="AA10" i="4"/>
  <c r="AD9" i="4"/>
  <c r="AD7" i="4"/>
  <c r="C26" i="2"/>
  <c r="I18" i="2"/>
  <c r="I17" i="2"/>
  <c r="I26" i="2"/>
  <c r="I16" i="2"/>
  <c r="G16" i="2"/>
  <c r="I15" i="2"/>
  <c r="E26" i="2"/>
  <c r="I14" i="2"/>
  <c r="I10" i="2"/>
  <c r="K27" i="2"/>
  <c r="I13" i="2"/>
  <c r="I27" i="2"/>
  <c r="I12" i="2"/>
  <c r="K26" i="2"/>
  <c r="I11" i="2"/>
  <c r="J7" i="20"/>
  <c r="J7" i="21"/>
  <c r="J7" i="22"/>
  <c r="AD5" i="4"/>
  <c r="D2" i="2"/>
  <c r="B6" i="4"/>
  <c r="AQ6" i="4" s="1"/>
  <c r="J7" i="2"/>
  <c r="D7" i="2"/>
  <c r="G10" i="2"/>
  <c r="G11" i="2"/>
  <c r="G12" i="2"/>
  <c r="G14" i="2"/>
  <c r="G13" i="2"/>
  <c r="G15" i="2"/>
  <c r="G17" i="2"/>
  <c r="G18" i="2"/>
  <c r="A7" i="4"/>
  <c r="A30" i="2"/>
  <c r="C3" i="2"/>
  <c r="E3" i="2"/>
  <c r="AT6" i="4"/>
  <c r="A36" i="2"/>
  <c r="J6" i="2"/>
  <c r="A41" i="2"/>
  <c r="L2" i="2"/>
  <c r="O11" i="1"/>
  <c r="AA11" i="4" l="1"/>
  <c r="AD10" i="4"/>
  <c r="J7" i="23" s="1"/>
  <c r="I17" i="23"/>
  <c r="A8" i="4"/>
  <c r="B7" i="4"/>
  <c r="AN6" i="4"/>
  <c r="D6" i="1"/>
  <c r="AA12" i="4" l="1"/>
  <c r="AD11" i="4"/>
  <c r="J7" i="24" s="1"/>
  <c r="I17" i="24"/>
  <c r="B8" i="4"/>
  <c r="A9" i="4"/>
  <c r="AS6" i="4"/>
  <c r="AA13" i="4" l="1"/>
  <c r="AD12" i="4"/>
  <c r="J7" i="25" s="1"/>
  <c r="I17" i="25"/>
  <c r="A10" i="4"/>
  <c r="B9" i="4"/>
  <c r="AA14" i="4" l="1"/>
  <c r="AD13" i="4"/>
  <c r="J7" i="26" s="1"/>
  <c r="I17" i="26"/>
  <c r="A11" i="4"/>
  <c r="B10" i="4"/>
  <c r="AA15" i="4" l="1"/>
  <c r="AD14" i="4"/>
  <c r="J7" i="27" s="1"/>
  <c r="I17" i="27"/>
  <c r="B11" i="4"/>
  <c r="A12" i="4"/>
  <c r="AA16" i="4" l="1"/>
  <c r="AD15" i="4"/>
  <c r="J7" i="28" s="1"/>
  <c r="I17" i="28"/>
  <c r="A13" i="4"/>
  <c r="B12" i="4"/>
  <c r="AA17" i="4" l="1"/>
  <c r="I17" i="29"/>
  <c r="AD16" i="4"/>
  <c r="J7" i="29" s="1"/>
  <c r="B13" i="4"/>
  <c r="A14" i="4"/>
  <c r="AA18" i="4" l="1"/>
  <c r="AD18" i="4" s="1"/>
  <c r="I17" i="32"/>
  <c r="I17" i="30"/>
  <c r="A15" i="4"/>
  <c r="B14" i="4"/>
  <c r="J7" i="32" l="1"/>
  <c r="J7" i="30"/>
  <c r="B15" i="4"/>
  <c r="A16" i="4"/>
  <c r="A17" i="4" l="1"/>
  <c r="B16" i="4"/>
  <c r="B17" i="4" l="1"/>
  <c r="A18" i="4"/>
  <c r="A19" i="4" l="1"/>
  <c r="B18" i="4"/>
  <c r="A20" i="4" l="1"/>
  <c r="B19" i="4"/>
  <c r="B20" i="4" l="1"/>
  <c r="A21" i="4"/>
  <c r="A22" i="4" l="1"/>
  <c r="B21" i="4"/>
  <c r="B22" i="4" l="1"/>
  <c r="A23" i="4"/>
  <c r="A24" i="4" l="1"/>
  <c r="B23" i="4"/>
  <c r="A25" i="4" l="1"/>
  <c r="B24" i="4"/>
  <c r="B25" i="4" l="1"/>
  <c r="A26" i="4"/>
  <c r="B26" i="4" l="1"/>
  <c r="A27" i="4"/>
  <c r="B27" i="4" l="1"/>
  <c r="A28" i="4"/>
  <c r="A29" i="4" l="1"/>
  <c r="B28" i="4"/>
  <c r="A30" i="4" l="1"/>
  <c r="B29" i="4"/>
  <c r="A31" i="4" l="1"/>
  <c r="B30" i="4"/>
  <c r="B31" i="4" l="1"/>
  <c r="A32" i="4"/>
  <c r="A33" i="4" l="1"/>
  <c r="B32" i="4"/>
  <c r="A34" i="4" l="1"/>
  <c r="B33" i="4"/>
  <c r="A35" i="4" l="1"/>
  <c r="B34" i="4"/>
  <c r="B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EL-Lee</author>
  </authors>
  <commentList>
    <comment ref="A7" authorId="0" shapeId="0" xr:uid="{8F3C95B2-E9FF-4C8E-BFDE-7F6640A4118D}">
      <text>
        <r>
          <rPr>
            <b/>
            <sz val="10"/>
            <color indexed="81"/>
            <rFont val="細明體"/>
            <family val="3"/>
            <charset val="136"/>
          </rPr>
          <t>向下填充</t>
        </r>
      </text>
    </comment>
    <comment ref="B7" authorId="0" shapeId="0" xr:uid="{61203EF5-37AA-45E4-9715-4A3210BD7F98}">
      <text>
        <r>
          <rPr>
            <b/>
            <sz val="10"/>
            <color indexed="81"/>
            <rFont val="細明體"/>
            <family val="3"/>
            <charset val="136"/>
          </rPr>
          <t>向下填充</t>
        </r>
      </text>
    </comment>
    <comment ref="E7" authorId="0" shapeId="0" xr:uid="{A4BABD32-948C-4F74-AB11-12FFAEBC18F2}">
      <text>
        <r>
          <rPr>
            <b/>
            <sz val="10"/>
            <color indexed="81"/>
            <rFont val="細明體"/>
            <family val="3"/>
            <charset val="136"/>
          </rPr>
          <t>向下填充</t>
        </r>
      </text>
    </comment>
  </commentList>
</comments>
</file>

<file path=xl/sharedStrings.xml><?xml version="1.0" encoding="utf-8"?>
<sst xmlns="http://schemas.openxmlformats.org/spreadsheetml/2006/main" count="786" uniqueCount="136">
  <si>
    <t>工程名稱</t>
  </si>
  <si>
    <t>必填</t>
  </si>
  <si>
    <t>契約工期</t>
  </si>
  <si>
    <t>日曆天</t>
  </si>
  <si>
    <t>開工日期</t>
  </si>
  <si>
    <t>預定完工日</t>
  </si>
  <si>
    <t>契約編號</t>
  </si>
  <si>
    <t>契約金額</t>
  </si>
  <si>
    <t>原契約</t>
  </si>
  <si>
    <t>變更後契約</t>
  </si>
  <si>
    <t>(基本上不需填)</t>
  </si>
  <si>
    <t>契約變更次數</t>
  </si>
  <si>
    <t>(沒有就不要填)</t>
  </si>
  <si>
    <t>工期展延天數</t>
  </si>
  <si>
    <t>主辦機關</t>
  </si>
  <si>
    <t>封面資料</t>
  </si>
  <si>
    <t>監造單位</t>
  </si>
  <si>
    <t>大墩規劃設計顧問有限公司</t>
  </si>
  <si>
    <t>承攬廠商</t>
  </si>
  <si>
    <t>封面日期</t>
  </si>
  <si>
    <t>自行填寫</t>
    <phoneticPr fontId="40" type="noConversion"/>
  </si>
  <si>
    <t>有公式勿動</t>
    <phoneticPr fontId="40" type="noConversion"/>
  </si>
  <si>
    <t>嘉義縣立永慶高級中學</t>
    <phoneticPr fontId="40" type="noConversion"/>
  </si>
  <si>
    <t>以勒綠能光電有限公司</t>
    <phoneticPr fontId="40" type="noConversion"/>
  </si>
  <si>
    <t>公共工程品質管制作業費(壹*1%)</t>
    <phoneticPr fontId="41" type="noConversion"/>
  </si>
  <si>
    <t>數量</t>
    <phoneticPr fontId="41" type="noConversion"/>
  </si>
  <si>
    <t>單價</t>
    <phoneticPr fontId="41" type="noConversion"/>
  </si>
  <si>
    <t>複價</t>
    <phoneticPr fontId="41" type="noConversion"/>
  </si>
  <si>
    <t>標價清單</t>
    <phoneticPr fontId="40" type="noConversion"/>
  </si>
  <si>
    <t>項 次</t>
  </si>
  <si>
    <t>項  目  及  說  明</t>
  </si>
  <si>
    <t>單位</t>
  </si>
  <si>
    <t>壹</t>
  </si>
  <si>
    <t>直接工程費</t>
  </si>
  <si>
    <t>工程告示牌與職安衛告示牌(租用)</t>
  </si>
  <si>
    <t>式</t>
  </si>
  <si>
    <t>工區管制措施，施工環境保護與清潔</t>
  </si>
  <si>
    <t>查修天花板所有天井燈具(30盞)與迴路</t>
  </si>
  <si>
    <t>拆除清運既有天井燈具，安裝LED天井燈具 (200W以上，含防眩鏡片與安全防墜配件)(含施工機具，連工帶料</t>
    <phoneticPr fontId="41" type="noConversion"/>
  </si>
  <si>
    <t>盞</t>
  </si>
  <si>
    <t>貳</t>
  </si>
  <si>
    <t>職業安全衛生管理費(壹*1%)</t>
  </si>
  <si>
    <t>參</t>
  </si>
  <si>
    <t>肆</t>
  </si>
  <si>
    <t>包商利潤及管理費(約壹*7%)</t>
  </si>
  <si>
    <t>伍</t>
  </si>
  <si>
    <t>營造綜合保險費</t>
  </si>
  <si>
    <t>陸</t>
  </si>
  <si>
    <t>營業稅((壹~伍)*5%)</t>
  </si>
  <si>
    <t xml:space="preserve"> 公共工程施工日誌</t>
    <phoneticPr fontId="47" type="noConversion"/>
  </si>
  <si>
    <t>P001</t>
    <phoneticPr fontId="47" type="noConversion"/>
  </si>
  <si>
    <t>填報日期：</t>
    <phoneticPr fontId="47" type="noConversion"/>
  </si>
  <si>
    <t>本日天氣:</t>
    <phoneticPr fontId="47" type="noConversion"/>
  </si>
  <si>
    <t>上午：</t>
    <phoneticPr fontId="47" type="noConversion"/>
  </si>
  <si>
    <t>下午：</t>
    <phoneticPr fontId="47" type="noConversion"/>
  </si>
  <si>
    <t>工程名稱</t>
    <phoneticPr fontId="47" type="noConversion"/>
  </si>
  <si>
    <t>承攬廠商名稱</t>
    <phoneticPr fontId="47" type="noConversion"/>
  </si>
  <si>
    <t>核定工期</t>
    <phoneticPr fontId="47" type="noConversion"/>
  </si>
  <si>
    <t>累計工期</t>
    <phoneticPr fontId="47" type="noConversion"/>
  </si>
  <si>
    <t>剩餘工期</t>
    <phoneticPr fontId="47" type="noConversion"/>
  </si>
  <si>
    <t>工期展延天數</t>
    <phoneticPr fontId="47" type="noConversion"/>
  </si>
  <si>
    <t>開工日期</t>
    <phoneticPr fontId="47" type="noConversion"/>
  </si>
  <si>
    <t>完工日期</t>
    <phoneticPr fontId="47" type="noConversion"/>
  </si>
  <si>
    <t>預定進度(%)</t>
    <phoneticPr fontId="47" type="noConversion"/>
  </si>
  <si>
    <t>實際進度(%)</t>
    <phoneticPr fontId="47" type="noConversion"/>
  </si>
  <si>
    <t>一、依施工計畫書執行按圖施工概況（含約定之重要施工項目及完成數量等）：</t>
    <phoneticPr fontId="47" type="noConversion"/>
  </si>
  <si>
    <t>施工項目</t>
    <phoneticPr fontId="47" type="noConversion"/>
  </si>
  <si>
    <t>單位</t>
    <phoneticPr fontId="47" type="noConversion"/>
  </si>
  <si>
    <t>契約數量</t>
    <phoneticPr fontId="47" type="noConversion"/>
  </si>
  <si>
    <t>本日完成數量</t>
    <phoneticPr fontId="47" type="noConversion"/>
  </si>
  <si>
    <t>累計完成數量</t>
    <phoneticPr fontId="47" type="noConversion"/>
  </si>
  <si>
    <t>備註</t>
    <phoneticPr fontId="47" type="noConversion"/>
  </si>
  <si>
    <t>二、工地材料管理概況（含約定之重要材料使用狀況及數量等）：</t>
    <phoneticPr fontId="47" type="noConversion"/>
  </si>
  <si>
    <t>材料名稱</t>
    <phoneticPr fontId="47" type="noConversion"/>
  </si>
  <si>
    <t>設計數量</t>
    <phoneticPr fontId="47" type="noConversion"/>
  </si>
  <si>
    <t>本日使用數量</t>
    <phoneticPr fontId="47" type="noConversion"/>
  </si>
  <si>
    <t>累計使用數量</t>
    <phoneticPr fontId="47" type="noConversion"/>
  </si>
  <si>
    <t>三、工地人員及機具管理（含約定之出工人數及機具使用情形及數量）：</t>
    <phoneticPr fontId="47" type="noConversion"/>
  </si>
  <si>
    <t>工別</t>
    <phoneticPr fontId="47" type="noConversion"/>
  </si>
  <si>
    <t>本日人數</t>
    <phoneticPr fontId="47" type="noConversion"/>
  </si>
  <si>
    <t>累計人數</t>
    <phoneticPr fontId="47" type="noConversion"/>
  </si>
  <si>
    <t>機具名稱</t>
    <phoneticPr fontId="47" type="noConversion"/>
  </si>
  <si>
    <t>本日使用量</t>
    <phoneticPr fontId="47" type="noConversion"/>
  </si>
  <si>
    <t>累計使用量</t>
    <phoneticPr fontId="47" type="noConversion"/>
  </si>
  <si>
    <t>四、本日施工項目是否有須依「營造業專業工程特定施工項目應置之技術士總類、比率或人數標準表」規定應設置技術士之專業工程：□有■無 (此項如勾選"有"，則應填寫後附｢公共工程施工日誌之技術士簽章表｣</t>
    <phoneticPr fontId="47" type="noConversion"/>
  </si>
  <si>
    <t>五、工地勞工安全衛生事項之督導、公共環境與安全之維護及其他工地行政事務：</t>
    <phoneticPr fontId="47" type="noConversion"/>
  </si>
  <si>
    <t>六、施工取樣試驗紀錄：</t>
    <phoneticPr fontId="47" type="noConversion"/>
  </si>
  <si>
    <t>七、通知分包廠商辦理事項：</t>
    <phoneticPr fontId="47" type="noConversion"/>
  </si>
  <si>
    <t>八、重要事項紀錄:</t>
    <phoneticPr fontId="47" type="noConversion"/>
  </si>
  <si>
    <t>註：1.依據營造業法第32條第1項第2款規定，工地主任應按日填報施工日誌。</t>
    <phoneticPr fontId="47" type="noConversion"/>
  </si>
  <si>
    <t>2.本施工日誌格式僅供參考，惟原則應包含上開欄位，各機關亦得依工程性質及契約約定事項自行增訂之。</t>
    <phoneticPr fontId="47" type="noConversion"/>
  </si>
  <si>
    <t>3.本工程依營造業法第30條規定須置工地主任者，由工地主任簽章；依上開規定免置工地主任者，則由營造業法第32條第2項所定之人員簽章。廠商非屬營造業者，由工地負責人簽章。</t>
    <phoneticPr fontId="47" type="noConversion"/>
  </si>
  <si>
    <t xml:space="preserve">4.契約工期如有修正，應填修正後之契約工期，含展延工期及不計工期天數；如有依契約變更設計，預定進度及實際進度應填變更設計後計算之進度。   </t>
    <phoneticPr fontId="47" type="noConversion"/>
  </si>
  <si>
    <t>5.上開重要事項紀錄包含(1)主辦機關及監造單位指示(2)工地遇緊急異常狀況之通報處理情形(3)本日是否由專任工程人員督察按圖施工、解決施工技術問題等。</t>
    <phoneticPr fontId="47" type="noConversion"/>
  </si>
  <si>
    <t>6.公共工程屬建築物者，請依內政部99年2月5日台內營字第0990800804號令頒之「建築物施工日誌」填寫。</t>
    <phoneticPr fontId="47" type="noConversion"/>
  </si>
  <si>
    <t>簽章：【工地負責人】(註3)</t>
    <phoneticPr fontId="47" type="noConversion"/>
  </si>
  <si>
    <t>表報編號:</t>
    <phoneticPr fontId="47" type="noConversion"/>
  </si>
  <si>
    <t>施工取樣試驗記錄：</t>
    <phoneticPr fontId="47" type="noConversion"/>
  </si>
  <si>
    <t>出工數及機具:</t>
    <phoneticPr fontId="47" type="noConversion"/>
  </si>
  <si>
    <t>114年度修整建運動場地</t>
    <phoneticPr fontId="40" type="noConversion"/>
  </si>
  <si>
    <t>上午</t>
    <phoneticPr fontId="40" type="noConversion"/>
  </si>
  <si>
    <t>下午</t>
    <phoneticPr fontId="40" type="noConversion"/>
  </si>
  <si>
    <t>日期</t>
    <phoneticPr fontId="40" type="noConversion"/>
  </si>
  <si>
    <t>星期</t>
    <phoneticPr fontId="40" type="noConversion"/>
  </si>
  <si>
    <t>天數</t>
    <phoneticPr fontId="40" type="noConversion"/>
  </si>
  <si>
    <t>施作概述</t>
    <phoneticPr fontId="40" type="noConversion"/>
  </si>
  <si>
    <t>備註</t>
    <phoneticPr fontId="40" type="noConversion"/>
  </si>
  <si>
    <t>雨</t>
    <phoneticPr fontId="40" type="noConversion"/>
  </si>
  <si>
    <t>晴</t>
    <phoneticPr fontId="40" type="noConversion"/>
  </si>
  <si>
    <t>必填</t>
    <phoneticPr fontId="40" type="noConversion"/>
  </si>
  <si>
    <t>項目</t>
    <phoneticPr fontId="40" type="noConversion"/>
  </si>
  <si>
    <t>單位</t>
    <phoneticPr fontId="40" type="noConversion"/>
  </si>
  <si>
    <t>數量</t>
    <phoneticPr fontId="40" type="noConversion"/>
  </si>
  <si>
    <t>累計數量</t>
    <phoneticPr fontId="40" type="noConversion"/>
  </si>
  <si>
    <t>水電工</t>
    <phoneticPr fontId="40" type="noConversion"/>
  </si>
  <si>
    <t>高空作業車</t>
    <phoneticPr fontId="40" type="noConversion"/>
  </si>
  <si>
    <t>貨車</t>
    <phoneticPr fontId="40" type="noConversion"/>
  </si>
  <si>
    <t>預定每日進度%</t>
    <phoneticPr fontId="40" type="noConversion"/>
  </si>
  <si>
    <t>預計累計進度%</t>
    <phoneticPr fontId="40" type="noConversion"/>
  </si>
  <si>
    <t>安裝燈具10pc</t>
    <phoneticPr fontId="40" type="noConversion"/>
  </si>
  <si>
    <t>查修燈具</t>
    <phoneticPr fontId="40" type="noConversion"/>
  </si>
  <si>
    <t>實際累計進度%</t>
    <phoneticPr fontId="40" type="noConversion"/>
  </si>
  <si>
    <t>甲方通知辦理事項:</t>
  </si>
  <si>
    <t>重要事項紀錄:</t>
  </si>
  <si>
    <t>工地勞工安全衛生事項之督導</t>
  </si>
  <si>
    <t>檢驗停留點及施工抽查等情形</t>
    <phoneticPr fontId="40" type="noConversion"/>
  </si>
  <si>
    <t>查核材料規格及品質</t>
  </si>
  <si>
    <t>其他約定監造事項</t>
  </si>
  <si>
    <t>通知分包廠商辦理事項</t>
  </si>
  <si>
    <t>監造-勞安部分</t>
  </si>
  <si>
    <t>單價</t>
    <phoneticPr fontId="40" type="noConversion"/>
  </si>
  <si>
    <t>契約金額</t>
    <phoneticPr fontId="40" type="noConversion"/>
  </si>
  <si>
    <t>金額</t>
    <phoneticPr fontId="40" type="noConversion"/>
  </si>
  <si>
    <r>
      <t xml:space="preserve">  (ㄧ)施工前檢查事項：
   1.實施勤前教育(含工地預防災變及危害告知)：</t>
    </r>
    <r>
      <rPr>
        <sz val="10"/>
        <rFont val="微軟正黑體"/>
        <family val="2"/>
        <charset val="136"/>
      </rPr>
      <t>█有 □無
   2.確認新進勞工是否提報勞工保險(或其他商業保險)資料及安全衛生教育訓練紀錄：□有 □無 █無新進勞工
   204.檢查勞工個人防護具：█有 □無</t>
    </r>
    <phoneticPr fontId="40" type="noConversion"/>
  </si>
  <si>
    <r>
      <t xml:space="preserve">  (ㄧ)施工前檢查事項：
   1.實施勤前教育(含工地預防災變及危害告知)：</t>
    </r>
    <r>
      <rPr>
        <sz val="10"/>
        <rFont val="微軟正黑體"/>
        <family val="2"/>
        <charset val="136"/>
      </rPr>
      <t>█有 □無
   2.確認新進勞工是否提報勞工保險(或其他商業保險)資料及安全衛生教育訓練紀錄：□有 □無 █無新進勞工
   3.檢查勞工個人防護具：█有 □無</t>
    </r>
    <phoneticPr fontId="47" type="noConversion"/>
  </si>
  <si>
    <t>（一）施工廠商施工前檢查事項辦理情形：█完成 □未完成 （二）其他工地安全衛生督導事項：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</si>
</sst>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76" formatCode="[$-404]e&quot;年&quot;m&quot;月&quot;d&quot;日&quot;;@"/>
    <numFmt numFmtId="177" formatCode="&quot;NT$&quot;#,##0.00"/>
    <numFmt numFmtId="178" formatCode="#,##0_ "/>
    <numFmt numFmtId="179" formatCode="0.000_ "/>
    <numFmt numFmtId="180" formatCode="General_)"/>
    <numFmt numFmtId="181" formatCode="0.00_)"/>
    <numFmt numFmtId="182" formatCode="\300.00"/>
    <numFmt numFmtId="183" formatCode="\300"/>
    <numFmt numFmtId="184" formatCode="0.00000_ "/>
    <numFmt numFmtId="185" formatCode="0\+000.###"/>
    <numFmt numFmtId="186" formatCode="0_)"/>
    <numFmt numFmtId="187" formatCode="0&quot;% &quot;"/>
    <numFmt numFmtId="188" formatCode="[Red][&lt;0]\-###.00;[Black][&lt;=0]###.00;[Red]###.00"/>
    <numFmt numFmtId="189" formatCode="\-m\-d;@"/>
    <numFmt numFmtId="190" formatCode="[$-404]aaaa;@"/>
    <numFmt numFmtId="191" formatCode="###&quot;天 &quot;"/>
    <numFmt numFmtId="192" formatCode="0.0_ "/>
    <numFmt numFmtId="193" formatCode="###&quot; &quot;"/>
    <numFmt numFmtId="194" formatCode="\-\-\-\-\-"/>
    <numFmt numFmtId="195" formatCode="0_);[Red]\(0\)"/>
    <numFmt numFmtId="196" formatCode="0.00_);[Red]\(0.00\)"/>
    <numFmt numFmtId="197" formatCode="m/d;@"/>
    <numFmt numFmtId="198" formatCode="0_ "/>
    <numFmt numFmtId="199" formatCode="aaaa"/>
    <numFmt numFmtId="200" formatCode="m&quot;月&quot;d&quot;日&quot;;@"/>
    <numFmt numFmtId="201" formatCode="0.0000%"/>
    <numFmt numFmtId="202" formatCode="#########&quot; &quot;"/>
    <numFmt numFmtId="203" formatCode="0.000"/>
    <numFmt numFmtId="204" formatCode="_-* #,##0.000_-;\-* #,##0.000_-;_-* &quot;-&quot;??_-;_-@_-"/>
    <numFmt numFmtId="205" formatCode="_-* #,##0.0_-;\-* #,##0.0_-;_-* &quot;-&quot;??_-;_-@_-"/>
  </numFmts>
  <fonts count="68">
    <font>
      <sz val="12"/>
      <color theme="1"/>
      <name val="細明體"/>
      <family val="2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</font>
    <font>
      <sz val="10"/>
      <name val="Helv"/>
      <family val="2"/>
    </font>
    <font>
      <sz val="12"/>
      <color indexed="8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12"/>
      <color indexed="9"/>
      <name val="新細明體"/>
      <family val="1"/>
      <charset val="136"/>
    </font>
    <font>
      <b/>
      <sz val="12"/>
      <name val="Arial"/>
      <family val="2"/>
    </font>
    <font>
      <sz val="12"/>
      <name val="Courier"/>
      <family val="3"/>
    </font>
    <font>
      <b/>
      <i/>
      <sz val="16"/>
      <name val="Helv"/>
      <family val="2"/>
    </font>
    <font>
      <sz val="10"/>
      <name val="Arial"/>
      <family val="2"/>
    </font>
    <font>
      <b/>
      <i/>
      <u val="doubleAccounting"/>
      <sz val="20"/>
      <color indexed="10"/>
      <name val="Times New Roman"/>
      <family val="1"/>
    </font>
    <font>
      <sz val="9"/>
      <name val="CG Times (W1)"/>
      <family val="1"/>
    </font>
    <font>
      <sz val="12"/>
      <name val="華康中楷體"/>
      <family val="3"/>
      <charset val="136"/>
    </font>
    <font>
      <sz val="12"/>
      <color indexed="60"/>
      <name val="新細明體"/>
      <family val="1"/>
      <charset val="136"/>
    </font>
    <font>
      <sz val="14"/>
      <color indexed="8"/>
      <name val="華康中楷體"/>
      <family val="3"/>
      <charset val="136"/>
    </font>
    <font>
      <sz val="10"/>
      <name val="華康中楷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0"/>
      <color indexed="17"/>
      <name val="華康中楷體"/>
      <family val="3"/>
      <charset val="136"/>
    </font>
    <font>
      <sz val="10"/>
      <color indexed="12"/>
      <name val="華康中楷體"/>
      <family val="3"/>
      <charset val="136"/>
    </font>
    <font>
      <i/>
      <sz val="12"/>
      <color indexed="23"/>
      <name val="新細明體"/>
      <family val="1"/>
      <charset val="136"/>
    </font>
    <font>
      <sz val="10"/>
      <color indexed="10"/>
      <name val="華康中楷體"/>
      <family val="3"/>
      <charset val="136"/>
    </font>
    <font>
      <sz val="12"/>
      <name val="細明體"/>
      <family val="3"/>
      <charset val="136"/>
    </font>
    <font>
      <sz val="11"/>
      <name val="細明體"/>
      <family val="3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u/>
      <sz val="9"/>
      <color indexed="3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標楷體"/>
      <family val="4"/>
      <charset val="136"/>
    </font>
    <font>
      <sz val="9"/>
      <name val="細明體"/>
      <family val="2"/>
      <charset val="136"/>
    </font>
    <font>
      <sz val="9"/>
      <name val="細明體"/>
      <family val="3"/>
      <charset val="136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標楷體"/>
      <family val="4"/>
      <charset val="136"/>
    </font>
    <font>
      <sz val="10"/>
      <color rgb="FF000000"/>
      <name val="標楷體"/>
      <family val="4"/>
      <charset val="136"/>
    </font>
    <font>
      <u/>
      <sz val="17"/>
      <name val="微軟正黑體"/>
      <family val="2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u/>
      <sz val="6"/>
      <name val="微軟正黑體"/>
      <family val="2"/>
      <charset val="136"/>
    </font>
    <font>
      <u/>
      <sz val="12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細明體"/>
      <family val="2"/>
      <charset val="136"/>
    </font>
    <font>
      <u/>
      <sz val="10"/>
      <name val="微軟正黑體"/>
      <family val="2"/>
      <charset val="136"/>
    </font>
    <font>
      <sz val="8"/>
      <name val="標楷體"/>
      <family val="4"/>
      <charset val="136"/>
    </font>
    <font>
      <sz val="12"/>
      <color theme="1"/>
      <name val="細明體"/>
      <family val="2"/>
      <charset val="136"/>
    </font>
    <font>
      <b/>
      <sz val="10"/>
      <color indexed="81"/>
      <name val="細明體"/>
      <family val="3"/>
      <charset val="136"/>
    </font>
    <font>
      <sz val="1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indexed="12"/>
      <name val="微軟正黑體"/>
      <family val="2"/>
      <charset val="136"/>
    </font>
    <font>
      <b/>
      <sz val="10"/>
      <color indexed="6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gray125">
        <fgColor indexed="1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1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53"/>
      </bottom>
      <diagonal/>
    </border>
    <border>
      <left style="double">
        <color indexed="53"/>
      </left>
      <right/>
      <top style="thin">
        <color indexed="64"/>
      </top>
      <bottom style="thin">
        <color indexed="5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935">
    <xf numFmtId="0" fontId="0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38" fontId="6" fillId="0" borderId="0" applyBorder="0" applyAlignment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180" fontId="10" fillId="16" borderId="6" applyNumberFormat="0" applyFont="0" applyFill="0" applyBorder="0">
      <alignment horizontal="center" vertical="center"/>
    </xf>
    <xf numFmtId="181" fontId="11" fillId="0" borderId="0"/>
    <xf numFmtId="0" fontId="12" fillId="0" borderId="0"/>
    <xf numFmtId="0" fontId="2" fillId="0" borderId="0"/>
    <xf numFmtId="0" fontId="13" fillId="17" borderId="7">
      <alignment horizontal="centerContinuous"/>
    </xf>
    <xf numFmtId="0" fontId="14" fillId="0" borderId="8" applyNumberFormat="0" applyFill="0" applyProtection="0">
      <alignment horizontal="left" vertical="center"/>
    </xf>
    <xf numFmtId="0" fontId="2" fillId="0" borderId="0"/>
    <xf numFmtId="0" fontId="2" fillId="0" borderId="0"/>
    <xf numFmtId="0" fontId="3" fillId="0" borderId="0"/>
    <xf numFmtId="182" fontId="15" fillId="0" borderId="0"/>
    <xf numFmtId="43" fontId="2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39" fontId="17" fillId="19" borderId="9">
      <alignment vertical="center"/>
    </xf>
    <xf numFmtId="0" fontId="19" fillId="0" borderId="10" applyNumberFormat="0" applyFill="0" applyAlignment="0" applyProtection="0">
      <alignment vertical="center"/>
    </xf>
    <xf numFmtId="0" fontId="18" fillId="0" borderId="0">
      <alignment vertical="center"/>
      <protection locked="0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85" fontId="2" fillId="0" borderId="0" applyFill="0" applyBorder="0">
      <alignment horizontal="left" vertical="center"/>
      <protection locked="0"/>
    </xf>
    <xf numFmtId="0" fontId="5" fillId="0" borderId="0"/>
    <xf numFmtId="183" fontId="18" fillId="0" borderId="11">
      <alignment vertical="center"/>
    </xf>
    <xf numFmtId="0" fontId="21" fillId="20" borderId="12" applyNumberFormat="0" applyAlignment="0" applyProtection="0">
      <alignment vertical="center"/>
    </xf>
    <xf numFmtId="6" fontId="10" fillId="0" borderId="0" applyFont="0" applyFill="0" applyBorder="0" applyAlignment="0" applyProtection="0"/>
    <xf numFmtId="0" fontId="22" fillId="0" borderId="13" applyNumberFormat="0" applyFill="0" applyAlignment="0" applyProtection="0">
      <alignment vertical="center"/>
    </xf>
    <xf numFmtId="0" fontId="2" fillId="21" borderId="14" applyNumberFormat="0" applyFont="0" applyAlignment="0" applyProtection="0">
      <alignment vertical="center"/>
    </xf>
    <xf numFmtId="4" fontId="23" fillId="0" borderId="0">
      <alignment vertical="center"/>
      <protection locked="0"/>
    </xf>
    <xf numFmtId="4" fontId="24" fillId="0" borderId="0">
      <alignment vertical="center"/>
      <protection locked="0"/>
    </xf>
    <xf numFmtId="188" fontId="10" fillId="22" borderId="15">
      <alignment horizontal="right" vertical="center"/>
    </xf>
    <xf numFmtId="0" fontId="18" fillId="0" borderId="0">
      <alignment horizontal="center" vertical="center"/>
      <protection locked="0"/>
    </xf>
    <xf numFmtId="186" fontId="5" fillId="0" borderId="6" applyNumberFormat="0" applyFont="0" applyBorder="0" applyAlignment="0">
      <alignment horizontal="left"/>
    </xf>
    <xf numFmtId="0" fontId="25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0" borderId="0" applyFill="0" applyBorder="0">
      <alignment horizontal="center" vertical="center"/>
      <protection locked="0"/>
    </xf>
    <xf numFmtId="179" fontId="2" fillId="0" borderId="0" applyFill="0" applyBorder="0">
      <alignment horizontal="right" vertical="center"/>
      <protection locked="0"/>
    </xf>
    <xf numFmtId="184" fontId="2" fillId="0" borderId="0" applyFill="0" applyBorder="0">
      <alignment horizontal="right" vertical="center"/>
      <protection locked="0"/>
    </xf>
    <xf numFmtId="0" fontId="2" fillId="0" borderId="0" applyFill="0" applyBorder="0">
      <alignment horizontal="center" vertical="center"/>
      <protection hidden="1"/>
    </xf>
    <xf numFmtId="184" fontId="2" fillId="0" borderId="0" applyFill="0" applyBorder="0">
      <alignment horizontal="right" vertical="center"/>
      <protection hidden="1"/>
    </xf>
    <xf numFmtId="4" fontId="26" fillId="0" borderId="0">
      <alignment vertical="center"/>
      <protection locked="0"/>
    </xf>
    <xf numFmtId="187" fontId="28" fillId="27" borderId="16">
      <alignment horizontal="left"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>
      <alignment horizontal="center" vertical="center"/>
    </xf>
    <xf numFmtId="4" fontId="18" fillId="0" borderId="0">
      <alignment vertical="center"/>
      <protection locked="0"/>
    </xf>
    <xf numFmtId="39" fontId="24" fillId="0" borderId="20">
      <alignment horizontal="right"/>
    </xf>
    <xf numFmtId="0" fontId="33" fillId="7" borderId="12" applyNumberFormat="0" applyAlignment="0" applyProtection="0">
      <alignment vertical="center"/>
    </xf>
    <xf numFmtId="0" fontId="34" fillId="20" borderId="2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6" fillId="28" borderId="22" applyNumberForma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9" fontId="58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1" fillId="0" borderId="31" xfId="445" applyFont="1" applyBorder="1" applyAlignment="1">
      <alignment horizontal="center" vertical="center"/>
    </xf>
    <xf numFmtId="0" fontId="1" fillId="29" borderId="25" xfId="445" applyFont="1" applyFill="1" applyBorder="1" applyAlignment="1">
      <alignment horizontal="left" vertical="center" shrinkToFit="1"/>
    </xf>
    <xf numFmtId="0" fontId="1" fillId="0" borderId="26" xfId="445" applyFont="1" applyBorder="1" applyAlignment="1">
      <alignment horizontal="left" vertical="center" shrinkToFit="1"/>
    </xf>
    <xf numFmtId="0" fontId="1" fillId="0" borderId="4" xfId="445" applyFont="1" applyBorder="1" applyAlignment="1">
      <alignment horizontal="left" vertical="center" shrinkToFit="1"/>
    </xf>
    <xf numFmtId="0" fontId="1" fillId="0" borderId="23" xfId="445" applyFont="1" applyBorder="1" applyAlignment="1">
      <alignment horizontal="center" vertical="center"/>
    </xf>
    <xf numFmtId="0" fontId="1" fillId="0" borderId="27" xfId="445" applyFont="1" applyBorder="1" applyAlignment="1">
      <alignment horizontal="center" vertical="center"/>
    </xf>
    <xf numFmtId="0" fontId="1" fillId="0" borderId="24" xfId="445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1" fontId="39" fillId="0" borderId="6" xfId="0" applyNumberFormat="1" applyFont="1" applyBorder="1" applyAlignment="1">
      <alignment horizontal="center" vertical="center"/>
    </xf>
    <xf numFmtId="0" fontId="42" fillId="29" borderId="0" xfId="0" applyFont="1" applyFill="1">
      <alignment vertical="center"/>
    </xf>
    <xf numFmtId="0" fontId="42" fillId="30" borderId="0" xfId="0" applyFont="1" applyFill="1">
      <alignment vertical="center"/>
    </xf>
    <xf numFmtId="0" fontId="42" fillId="0" borderId="0" xfId="0" applyFont="1">
      <alignment vertical="center"/>
    </xf>
    <xf numFmtId="41" fontId="39" fillId="0" borderId="6" xfId="0" applyNumberFormat="1" applyFont="1" applyBorder="1" applyAlignment="1">
      <alignment horizontal="center" vertical="center"/>
    </xf>
    <xf numFmtId="0" fontId="39" fillId="0" borderId="6" xfId="0" applyFont="1" applyBorder="1" applyAlignment="1">
      <alignment vertical="center" wrapText="1"/>
    </xf>
    <xf numFmtId="0" fontId="42" fillId="0" borderId="6" xfId="0" applyFont="1" applyBorder="1" applyAlignment="1">
      <alignment horizontal="center" vertical="center"/>
    </xf>
    <xf numFmtId="1" fontId="42" fillId="0" borderId="6" xfId="0" applyNumberFormat="1" applyFont="1" applyBorder="1" applyAlignment="1">
      <alignment horizontal="center" vertical="center"/>
    </xf>
    <xf numFmtId="41" fontId="42" fillId="0" borderId="6" xfId="0" applyNumberFormat="1" applyFont="1" applyBorder="1" applyAlignment="1">
      <alignment horizontal="right" vertical="center"/>
    </xf>
    <xf numFmtId="0" fontId="39" fillId="29" borderId="6" xfId="0" applyFont="1" applyFill="1" applyBorder="1" applyAlignment="1">
      <alignment vertical="center" wrapText="1"/>
    </xf>
    <xf numFmtId="0" fontId="39" fillId="29" borderId="6" xfId="0" applyFont="1" applyFill="1" applyBorder="1" applyAlignment="1">
      <alignment horizontal="center" vertical="center"/>
    </xf>
    <xf numFmtId="1" fontId="43" fillId="29" borderId="6" xfId="0" applyNumberFormat="1" applyFont="1" applyFill="1" applyBorder="1" applyAlignment="1">
      <alignment horizontal="center" vertical="center" shrinkToFit="1"/>
    </xf>
    <xf numFmtId="41" fontId="42" fillId="29" borderId="6" xfId="0" applyNumberFormat="1" applyFont="1" applyFill="1" applyBorder="1" applyAlignment="1">
      <alignment horizontal="right" vertical="center"/>
    </xf>
    <xf numFmtId="0" fontId="44" fillId="29" borderId="6" xfId="0" applyFont="1" applyFill="1" applyBorder="1" applyAlignment="1">
      <alignment vertical="top" wrapText="1"/>
    </xf>
    <xf numFmtId="41" fontId="45" fillId="29" borderId="6" xfId="0" applyNumberFormat="1" applyFont="1" applyFill="1" applyBorder="1" applyAlignment="1">
      <alignment horizontal="right" vertical="center"/>
    </xf>
    <xf numFmtId="41" fontId="42" fillId="30" borderId="6" xfId="0" applyNumberFormat="1" applyFont="1" applyFill="1" applyBorder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8" fillId="0" borderId="0" xfId="932" applyFont="1" applyAlignment="1">
      <alignment vertical="center"/>
    </xf>
    <xf numFmtId="190" fontId="50" fillId="0" borderId="0" xfId="0" applyNumberFormat="1" applyFont="1" applyAlignment="1">
      <alignment horizontal="center" vertical="center"/>
    </xf>
    <xf numFmtId="0" fontId="50" fillId="0" borderId="0" xfId="932" applyFont="1" applyAlignment="1">
      <alignment horizontal="center" vertical="top"/>
    </xf>
    <xf numFmtId="0" fontId="48" fillId="0" borderId="0" xfId="932" applyFont="1" applyAlignment="1">
      <alignment horizontal="right" vertical="center"/>
    </xf>
    <xf numFmtId="176" fontId="50" fillId="0" borderId="0" xfId="0" applyNumberFormat="1" applyFont="1" applyAlignment="1">
      <alignment horizontal="left" vertical="center" shrinkToFit="1"/>
    </xf>
    <xf numFmtId="0" fontId="48" fillId="0" borderId="6" xfId="932" applyFont="1" applyBorder="1" applyAlignment="1">
      <alignment horizontal="center" vertical="center"/>
    </xf>
    <xf numFmtId="191" fontId="48" fillId="0" borderId="43" xfId="932" applyNumberFormat="1" applyFont="1" applyBorder="1" applyAlignment="1">
      <alignment horizontal="right" vertical="center"/>
    </xf>
    <xf numFmtId="0" fontId="48" fillId="0" borderId="6" xfId="932" applyFont="1" applyBorder="1" applyAlignment="1">
      <alignment vertical="center"/>
    </xf>
    <xf numFmtId="43" fontId="48" fillId="0" borderId="6" xfId="448" applyFont="1" applyBorder="1" applyAlignment="1">
      <alignment horizontal="center" vertical="center"/>
    </xf>
    <xf numFmtId="43" fontId="48" fillId="0" borderId="43" xfId="448" applyFont="1" applyBorder="1" applyAlignment="1">
      <alignment horizontal="center" vertical="center"/>
    </xf>
    <xf numFmtId="0" fontId="55" fillId="0" borderId="0" xfId="0" applyFont="1">
      <alignment vertical="center"/>
    </xf>
    <xf numFmtId="0" fontId="50" fillId="0" borderId="0" xfId="932" applyFont="1" applyAlignment="1">
      <alignment horizontal="center" vertical="center"/>
    </xf>
    <xf numFmtId="189" fontId="50" fillId="0" borderId="0" xfId="932" applyNumberFormat="1" applyFont="1" applyAlignment="1">
      <alignment horizontal="center" vertical="center"/>
    </xf>
    <xf numFmtId="189" fontId="49" fillId="0" borderId="0" xfId="932" applyNumberFormat="1" applyFont="1" applyAlignment="1">
      <alignment vertical="center"/>
    </xf>
    <xf numFmtId="0" fontId="48" fillId="0" borderId="0" xfId="932" applyFont="1" applyAlignment="1">
      <alignment horizontal="left" vertical="top"/>
    </xf>
    <xf numFmtId="189" fontId="50" fillId="0" borderId="0" xfId="932" applyNumberFormat="1" applyFont="1" applyAlignment="1">
      <alignment vertical="center"/>
    </xf>
    <xf numFmtId="189" fontId="56" fillId="30" borderId="0" xfId="932" applyNumberFormat="1" applyFont="1" applyFill="1" applyAlignment="1">
      <alignment horizontal="left" vertical="center"/>
    </xf>
    <xf numFmtId="0" fontId="56" fillId="30" borderId="0" xfId="932" applyFont="1" applyFill="1" applyAlignment="1">
      <alignment horizontal="center" vertical="center"/>
    </xf>
    <xf numFmtId="190" fontId="50" fillId="30" borderId="0" xfId="0" applyNumberFormat="1" applyFont="1" applyFill="1" applyAlignment="1">
      <alignment horizontal="center" vertical="center"/>
    </xf>
    <xf numFmtId="191" fontId="48" fillId="30" borderId="6" xfId="932" applyNumberFormat="1" applyFont="1" applyFill="1" applyBorder="1" applyAlignment="1">
      <alignment horizontal="right" vertical="center"/>
    </xf>
    <xf numFmtId="43" fontId="48" fillId="30" borderId="6" xfId="448" applyFont="1" applyFill="1" applyBorder="1" applyAlignment="1">
      <alignment horizontal="center" vertical="center" shrinkToFit="1"/>
    </xf>
    <xf numFmtId="41" fontId="42" fillId="30" borderId="6" xfId="0" applyNumberFormat="1" applyFont="1" applyFill="1" applyBorder="1">
      <alignment vertical="center"/>
    </xf>
    <xf numFmtId="0" fontId="0" fillId="30" borderId="0" xfId="0" applyFill="1" applyAlignment="1">
      <alignment horizontal="center" vertical="center"/>
    </xf>
    <xf numFmtId="198" fontId="56" fillId="30" borderId="0" xfId="932" applyNumberFormat="1" applyFont="1" applyFill="1" applyAlignment="1">
      <alignment horizontal="right" vertical="center"/>
    </xf>
    <xf numFmtId="197" fontId="48" fillId="0" borderId="6" xfId="933" applyNumberFormat="1" applyFont="1" applyBorder="1" applyAlignment="1">
      <alignment horizontal="center" vertical="center"/>
    </xf>
    <xf numFmtId="199" fontId="51" fillId="0" borderId="6" xfId="933" applyNumberFormat="1" applyFont="1" applyBorder="1" applyAlignment="1">
      <alignment horizontal="center" vertical="center" shrinkToFit="1"/>
    </xf>
    <xf numFmtId="0" fontId="60" fillId="0" borderId="6" xfId="933" applyFont="1" applyBorder="1" applyAlignment="1">
      <alignment horizontal="center" vertical="center" wrapText="1"/>
    </xf>
    <xf numFmtId="0" fontId="60" fillId="0" borderId="6" xfId="0" applyFont="1" applyBorder="1" applyAlignment="1" applyProtection="1">
      <alignment horizontal="center" vertical="center" wrapText="1"/>
      <protection locked="0"/>
    </xf>
    <xf numFmtId="0" fontId="61" fillId="0" borderId="6" xfId="933" applyFont="1" applyBorder="1" applyAlignment="1">
      <alignment horizontal="center" vertical="center" shrinkToFit="1"/>
    </xf>
    <xf numFmtId="0" fontId="48" fillId="30" borderId="6" xfId="0" applyFont="1" applyFill="1" applyBorder="1" applyAlignment="1">
      <alignment horizontal="center" vertical="center" wrapText="1"/>
    </xf>
    <xf numFmtId="0" fontId="51" fillId="30" borderId="6" xfId="0" applyFont="1" applyFill="1" applyBorder="1" applyAlignment="1">
      <alignment horizontal="center" vertical="center" wrapText="1"/>
    </xf>
    <xf numFmtId="195" fontId="62" fillId="0" borderId="60" xfId="933" applyNumberFormat="1" applyFont="1" applyBorder="1" applyAlignment="1">
      <alignment vertical="top"/>
    </xf>
    <xf numFmtId="198" fontId="63" fillId="0" borderId="61" xfId="933" applyNumberFormat="1" applyFont="1" applyBorder="1" applyAlignment="1">
      <alignment vertical="center"/>
    </xf>
    <xf numFmtId="0" fontId="60" fillId="0" borderId="59" xfId="933" applyFont="1" applyBorder="1" applyAlignment="1">
      <alignment horizontal="center" vertical="center" wrapText="1"/>
    </xf>
    <xf numFmtId="0" fontId="60" fillId="0" borderId="59" xfId="933" applyFont="1" applyBorder="1" applyAlignment="1">
      <alignment horizontal="center" vertical="center"/>
    </xf>
    <xf numFmtId="0" fontId="64" fillId="0" borderId="6" xfId="933" applyFont="1" applyBorder="1" applyAlignment="1">
      <alignment horizontal="center" vertical="center"/>
    </xf>
    <xf numFmtId="196" fontId="48" fillId="0" borderId="46" xfId="933" applyNumberFormat="1" applyFont="1" applyBorder="1" applyAlignment="1">
      <alignment horizontal="center" vertical="center"/>
    </xf>
    <xf numFmtId="0" fontId="48" fillId="0" borderId="6" xfId="933" applyFont="1" applyBorder="1" applyAlignment="1">
      <alignment horizontal="center" vertical="center"/>
    </xf>
    <xf numFmtId="195" fontId="60" fillId="0" borderId="0" xfId="933" applyNumberFormat="1" applyFont="1" applyAlignment="1">
      <alignment horizontal="center" vertical="center" shrinkToFit="1"/>
    </xf>
    <xf numFmtId="0" fontId="60" fillId="0" borderId="63" xfId="933" applyFont="1" applyBorder="1" applyAlignment="1">
      <alignment horizontal="center" vertical="center"/>
    </xf>
    <xf numFmtId="0" fontId="48" fillId="0" borderId="6" xfId="933" applyFont="1" applyBorder="1" applyAlignment="1">
      <alignment horizontal="fill" vertical="top" wrapText="1"/>
    </xf>
    <xf numFmtId="49" fontId="65" fillId="0" borderId="65" xfId="933" applyNumberFormat="1" applyFont="1" applyBorder="1" applyAlignment="1">
      <alignment horizontal="center" vertical="center" textRotation="255" wrapText="1"/>
    </xf>
    <xf numFmtId="0" fontId="54" fillId="0" borderId="46" xfId="933" applyFont="1" applyBorder="1" applyAlignment="1">
      <alignment horizontal="center" vertical="center"/>
    </xf>
    <xf numFmtId="10" fontId="60" fillId="0" borderId="62" xfId="933" applyNumberFormat="1" applyFont="1" applyBorder="1" applyAlignment="1">
      <alignment horizontal="center" vertical="center" textRotation="255"/>
    </xf>
    <xf numFmtId="0" fontId="60" fillId="0" borderId="6" xfId="933" applyFont="1" applyBorder="1" applyAlignment="1">
      <alignment horizontal="center" vertical="center"/>
    </xf>
    <xf numFmtId="0" fontId="60" fillId="0" borderId="62" xfId="933" applyFont="1" applyBorder="1" applyAlignment="1">
      <alignment horizontal="center" vertical="center" textRotation="255" wrapText="1"/>
    </xf>
    <xf numFmtId="0" fontId="48" fillId="0" borderId="62" xfId="933" applyFont="1" applyBorder="1" applyAlignment="1">
      <alignment horizontal="center" vertical="center" textRotation="180"/>
    </xf>
    <xf numFmtId="0" fontId="48" fillId="30" borderId="62" xfId="0" applyFont="1" applyFill="1" applyBorder="1" applyAlignment="1">
      <alignment horizontal="center" vertical="center" wrapText="1"/>
    </xf>
    <xf numFmtId="0" fontId="48" fillId="30" borderId="0" xfId="0" applyFont="1" applyFill="1" applyAlignment="1">
      <alignment horizontal="center" vertical="center" wrapText="1"/>
    </xf>
    <xf numFmtId="49" fontId="65" fillId="0" borderId="64" xfId="933" applyNumberFormat="1" applyFont="1" applyBorder="1" applyAlignment="1">
      <alignment horizontal="center" vertical="center" textRotation="255" wrapText="1"/>
    </xf>
    <xf numFmtId="49" fontId="66" fillId="0" borderId="65" xfId="933" applyNumberFormat="1" applyFont="1" applyBorder="1" applyAlignment="1">
      <alignment horizontal="center" vertical="center" textRotation="255" wrapText="1"/>
    </xf>
    <xf numFmtId="1" fontId="48" fillId="30" borderId="62" xfId="0" applyNumberFormat="1" applyFont="1" applyFill="1" applyBorder="1" applyAlignment="1">
      <alignment horizontal="center" vertical="center" wrapText="1"/>
    </xf>
    <xf numFmtId="1" fontId="48" fillId="30" borderId="0" xfId="0" applyNumberFormat="1" applyFont="1" applyFill="1" applyAlignment="1">
      <alignment horizontal="center" vertical="center" wrapText="1"/>
    </xf>
    <xf numFmtId="1" fontId="64" fillId="30" borderId="57" xfId="0" applyNumberFormat="1" applyFont="1" applyFill="1" applyBorder="1" applyAlignment="1">
      <alignment horizontal="center" vertical="center" wrapText="1"/>
    </xf>
    <xf numFmtId="195" fontId="60" fillId="0" borderId="57" xfId="933" applyNumberFormat="1" applyFont="1" applyBorder="1" applyAlignment="1">
      <alignment horizontal="center" vertical="center" shrinkToFit="1"/>
    </xf>
    <xf numFmtId="0" fontId="60" fillId="0" borderId="68" xfId="933" applyFont="1" applyBorder="1" applyAlignment="1">
      <alignment horizontal="center" vertical="center"/>
    </xf>
    <xf numFmtId="0" fontId="60" fillId="0" borderId="67" xfId="933" applyFont="1" applyBorder="1" applyAlignment="1">
      <alignment horizontal="center" vertical="center" wrapText="1"/>
    </xf>
    <xf numFmtId="0" fontId="60" fillId="0" borderId="67" xfId="933" applyFont="1" applyBorder="1" applyAlignment="1">
      <alignment horizontal="center" vertical="center"/>
    </xf>
    <xf numFmtId="49" fontId="65" fillId="0" borderId="69" xfId="933" applyNumberFormat="1" applyFont="1" applyBorder="1" applyAlignment="1">
      <alignment horizontal="center" vertical="center" textRotation="255" wrapText="1"/>
    </xf>
    <xf numFmtId="49" fontId="66" fillId="0" borderId="66" xfId="933" applyNumberFormat="1" applyFont="1" applyBorder="1" applyAlignment="1">
      <alignment horizontal="center" vertical="center" textRotation="255" wrapText="1"/>
    </xf>
    <xf numFmtId="196" fontId="48" fillId="0" borderId="68" xfId="933" applyNumberFormat="1" applyFont="1" applyBorder="1" applyAlignment="1">
      <alignment horizontal="center" vertical="center"/>
    </xf>
    <xf numFmtId="49" fontId="65" fillId="0" borderId="66" xfId="933" applyNumberFormat="1" applyFont="1" applyBorder="1" applyAlignment="1">
      <alignment horizontal="center" vertical="center" textRotation="255" wrapText="1"/>
    </xf>
    <xf numFmtId="0" fontId="54" fillId="0" borderId="68" xfId="933" applyFont="1" applyBorder="1" applyAlignment="1">
      <alignment horizontal="center" vertical="center"/>
    </xf>
    <xf numFmtId="10" fontId="60" fillId="0" borderId="66" xfId="933" applyNumberFormat="1" applyFont="1" applyBorder="1" applyAlignment="1">
      <alignment horizontal="center" vertical="center" textRotation="255"/>
    </xf>
    <xf numFmtId="0" fontId="60" fillId="0" borderId="66" xfId="933" applyFont="1" applyBorder="1" applyAlignment="1">
      <alignment horizontal="center" vertical="center" textRotation="255" wrapText="1"/>
    </xf>
    <xf numFmtId="0" fontId="48" fillId="0" borderId="66" xfId="933" applyFont="1" applyBorder="1" applyAlignment="1">
      <alignment horizontal="center" vertical="center" textRotation="180"/>
    </xf>
    <xf numFmtId="0" fontId="48" fillId="0" borderId="67" xfId="933" applyFont="1" applyBorder="1" applyAlignment="1">
      <alignment horizontal="center" vertical="center"/>
    </xf>
    <xf numFmtId="200" fontId="48" fillId="29" borderId="65" xfId="933" applyNumberFormat="1" applyFont="1" applyFill="1" applyBorder="1" applyAlignment="1">
      <alignment vertical="center" shrinkToFit="1"/>
    </xf>
    <xf numFmtId="199" fontId="67" fillId="29" borderId="65" xfId="933" applyNumberFormat="1" applyFont="1" applyFill="1" applyBorder="1" applyAlignment="1">
      <alignment horizontal="center" vertical="center" shrinkToFit="1"/>
    </xf>
    <xf numFmtId="0" fontId="60" fillId="30" borderId="65" xfId="0" applyFont="1" applyFill="1" applyBorder="1" applyAlignment="1" applyProtection="1">
      <alignment horizontal="center" vertical="center" shrinkToFit="1"/>
      <protection locked="0"/>
    </xf>
    <xf numFmtId="0" fontId="60" fillId="0" borderId="65" xfId="933" applyFont="1" applyBorder="1" applyAlignment="1">
      <alignment horizontal="center" vertical="center"/>
    </xf>
    <xf numFmtId="201" fontId="60" fillId="0" borderId="65" xfId="448" applyNumberFormat="1" applyFont="1" applyFill="1" applyBorder="1" applyAlignment="1">
      <alignment horizontal="center" vertical="center" shrinkToFit="1"/>
    </xf>
    <xf numFmtId="0" fontId="48" fillId="0" borderId="65" xfId="933" applyFont="1" applyBorder="1"/>
    <xf numFmtId="0" fontId="60" fillId="0" borderId="65" xfId="933" applyFont="1" applyBorder="1" applyAlignment="1">
      <alignment horizontal="left" vertical="center" wrapText="1"/>
    </xf>
    <xf numFmtId="192" fontId="60" fillId="0" borderId="65" xfId="933" applyNumberFormat="1" applyFont="1" applyBorder="1" applyAlignment="1">
      <alignment horizontal="center" vertical="center" shrinkToFit="1"/>
    </xf>
    <xf numFmtId="0" fontId="60" fillId="0" borderId="65" xfId="933" applyFont="1" applyBorder="1" applyAlignment="1">
      <alignment horizontal="center" shrinkToFit="1"/>
    </xf>
    <xf numFmtId="49" fontId="60" fillId="0" borderId="62" xfId="933" applyNumberFormat="1" applyFont="1" applyBorder="1" applyAlignment="1">
      <alignment horizontal="left" vertical="top" wrapText="1"/>
    </xf>
    <xf numFmtId="202" fontId="60" fillId="0" borderId="62" xfId="933" applyNumberFormat="1" applyFont="1" applyBorder="1" applyAlignment="1">
      <alignment horizontal="left" vertical="top" wrapText="1"/>
    </xf>
    <xf numFmtId="196" fontId="60" fillId="0" borderId="62" xfId="933" applyNumberFormat="1" applyFont="1" applyBorder="1"/>
    <xf numFmtId="0" fontId="48" fillId="0" borderId="62" xfId="933" applyFont="1" applyBorder="1" applyAlignment="1">
      <alignment horizontal="fill" wrapText="1"/>
    </xf>
    <xf numFmtId="49" fontId="60" fillId="0" borderId="62" xfId="933" applyNumberFormat="1" applyFont="1" applyBorder="1"/>
    <xf numFmtId="199" fontId="54" fillId="0" borderId="62" xfId="933" applyNumberFormat="1" applyFont="1" applyBorder="1" applyAlignment="1">
      <alignment horizontal="center" vertical="center"/>
    </xf>
    <xf numFmtId="10" fontId="60" fillId="0" borderId="62" xfId="933" applyNumberFormat="1" applyFont="1" applyBorder="1"/>
    <xf numFmtId="200" fontId="60" fillId="0" borderId="62" xfId="933" applyNumberFormat="1" applyFont="1" applyBorder="1"/>
    <xf numFmtId="43" fontId="48" fillId="0" borderId="62" xfId="448" applyFont="1" applyFill="1" applyBorder="1" applyAlignment="1"/>
    <xf numFmtId="0" fontId="48" fillId="0" borderId="62" xfId="933" applyFont="1" applyBorder="1"/>
    <xf numFmtId="0" fontId="48" fillId="0" borderId="62" xfId="933" applyFont="1" applyBorder="1" applyAlignment="1">
      <alignment horizontal="fill"/>
    </xf>
    <xf numFmtId="200" fontId="48" fillId="30" borderId="6" xfId="933" applyNumberFormat="1" applyFont="1" applyFill="1" applyBorder="1" applyAlignment="1">
      <alignment vertical="center" shrinkToFit="1"/>
    </xf>
    <xf numFmtId="199" fontId="67" fillId="30" borderId="6" xfId="933" applyNumberFormat="1" applyFont="1" applyFill="1" applyBorder="1" applyAlignment="1">
      <alignment horizontal="center" vertical="center" shrinkToFit="1"/>
    </xf>
    <xf numFmtId="0" fontId="60" fillId="30" borderId="6" xfId="0" applyFont="1" applyFill="1" applyBorder="1" applyAlignment="1" applyProtection="1">
      <alignment horizontal="center" vertical="center" shrinkToFit="1"/>
      <protection locked="0"/>
    </xf>
    <xf numFmtId="0" fontId="60" fillId="30" borderId="6" xfId="933" applyFont="1" applyFill="1" applyBorder="1" applyAlignment="1">
      <alignment horizontal="center" vertical="center"/>
    </xf>
    <xf numFmtId="0" fontId="61" fillId="0" borderId="6" xfId="0" applyFont="1" applyBorder="1">
      <alignment vertical="center"/>
    </xf>
    <xf numFmtId="201" fontId="60" fillId="0" borderId="6" xfId="448" applyNumberFormat="1" applyFont="1" applyFill="1" applyBorder="1" applyAlignment="1">
      <alignment horizontal="center" vertical="center" shrinkToFit="1"/>
    </xf>
    <xf numFmtId="10" fontId="60" fillId="0" borderId="6" xfId="933" applyNumberFormat="1" applyFont="1" applyBorder="1" applyAlignment="1">
      <alignment horizontal="center" vertical="center" shrinkToFit="1"/>
    </xf>
    <xf numFmtId="0" fontId="61" fillId="30" borderId="6" xfId="0" applyFont="1" applyFill="1" applyBorder="1">
      <alignment vertical="center"/>
    </xf>
    <xf numFmtId="0" fontId="61" fillId="0" borderId="0" xfId="0" applyFont="1">
      <alignment vertical="center"/>
    </xf>
    <xf numFmtId="200" fontId="48" fillId="0" borderId="6" xfId="933" applyNumberFormat="1" applyFont="1" applyBorder="1" applyAlignment="1">
      <alignment vertical="center" shrinkToFit="1"/>
    </xf>
    <xf numFmtId="199" fontId="67" fillId="0" borderId="6" xfId="933" applyNumberFormat="1" applyFont="1" applyBorder="1" applyAlignment="1">
      <alignment horizontal="center" vertical="center" shrinkToFit="1"/>
    </xf>
    <xf numFmtId="197" fontId="48" fillId="0" borderId="67" xfId="933" applyNumberFormat="1" applyFont="1" applyBorder="1" applyAlignment="1">
      <alignment horizontal="center" vertical="center"/>
    </xf>
    <xf numFmtId="199" fontId="51" fillId="0" borderId="67" xfId="933" applyNumberFormat="1" applyFont="1" applyBorder="1" applyAlignment="1">
      <alignment horizontal="center" vertical="center" shrinkToFit="1"/>
    </xf>
    <xf numFmtId="0" fontId="60" fillId="0" borderId="67" xfId="0" applyFont="1" applyBorder="1" applyAlignment="1" applyProtection="1">
      <alignment horizontal="center" vertical="center" wrapText="1"/>
      <protection locked="0"/>
    </xf>
    <xf numFmtId="0" fontId="61" fillId="0" borderId="67" xfId="933" applyFont="1" applyBorder="1" applyAlignment="1">
      <alignment horizontal="center" vertical="center" shrinkToFit="1"/>
    </xf>
    <xf numFmtId="0" fontId="48" fillId="30" borderId="46" xfId="0" applyFont="1" applyFill="1" applyBorder="1" applyAlignment="1">
      <alignment horizontal="center" vertical="center" wrapText="1"/>
    </xf>
    <xf numFmtId="1" fontId="48" fillId="30" borderId="6" xfId="0" applyNumberFormat="1" applyFont="1" applyFill="1" applyBorder="1" applyAlignment="1">
      <alignment horizontal="center" vertical="center" wrapText="1"/>
    </xf>
    <xf numFmtId="10" fontId="60" fillId="30" borderId="6" xfId="933" applyNumberFormat="1" applyFont="1" applyFill="1" applyBorder="1" applyAlignment="1">
      <alignment horizontal="center" vertical="center" shrinkToFit="1"/>
    </xf>
    <xf numFmtId="10" fontId="60" fillId="30" borderId="65" xfId="933" applyNumberFormat="1" applyFont="1" applyFill="1" applyBorder="1" applyAlignment="1">
      <alignment horizontal="center" vertical="center" shrinkToFit="1"/>
    </xf>
    <xf numFmtId="198" fontId="56" fillId="0" borderId="0" xfId="932" applyNumberFormat="1" applyFont="1" applyAlignment="1">
      <alignment horizontal="right" vertical="center"/>
    </xf>
    <xf numFmtId="0" fontId="56" fillId="0" borderId="0" xfId="932" applyFont="1" applyAlignment="1">
      <alignment horizontal="center" vertical="center"/>
    </xf>
    <xf numFmtId="189" fontId="56" fillId="0" borderId="0" xfId="932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191" fontId="48" fillId="0" borderId="6" xfId="932" applyNumberFormat="1" applyFont="1" applyBorder="1" applyAlignment="1">
      <alignment horizontal="right" vertical="center"/>
    </xf>
    <xf numFmtId="43" fontId="48" fillId="0" borderId="6" xfId="448" applyFont="1" applyFill="1" applyBorder="1" applyAlignment="1">
      <alignment horizontal="center" vertical="center" shrinkToFit="1"/>
    </xf>
    <xf numFmtId="43" fontId="48" fillId="0" borderId="6" xfId="448" applyFont="1" applyFill="1" applyBorder="1" applyAlignment="1">
      <alignment horizontal="center" vertical="center"/>
    </xf>
    <xf numFmtId="43" fontId="48" fillId="0" borderId="43" xfId="448" applyFont="1" applyFill="1" applyBorder="1" applyAlignment="1">
      <alignment horizontal="center" vertical="center"/>
    </xf>
    <xf numFmtId="203" fontId="48" fillId="30" borderId="66" xfId="0" applyNumberFormat="1" applyFont="1" applyFill="1" applyBorder="1" applyAlignment="1">
      <alignment horizontal="center" vertical="center" wrapText="1"/>
    </xf>
    <xf numFmtId="203" fontId="48" fillId="30" borderId="6" xfId="0" applyNumberFormat="1" applyFont="1" applyFill="1" applyBorder="1" applyAlignment="1">
      <alignment horizontal="center" vertical="center" wrapText="1"/>
    </xf>
    <xf numFmtId="203" fontId="60" fillId="0" borderId="65" xfId="933" applyNumberFormat="1" applyFont="1" applyBorder="1" applyAlignment="1">
      <alignment horizontal="center" vertical="center" shrinkToFit="1"/>
    </xf>
    <xf numFmtId="203" fontId="61" fillId="30" borderId="0" xfId="0" applyNumberFormat="1" applyFont="1" applyFill="1">
      <alignment vertical="center"/>
    </xf>
    <xf numFmtId="203" fontId="54" fillId="0" borderId="65" xfId="933" applyNumberFormat="1" applyFont="1" applyBorder="1" applyAlignment="1">
      <alignment horizontal="center" vertical="center" shrinkToFit="1"/>
    </xf>
    <xf numFmtId="203" fontId="54" fillId="30" borderId="65" xfId="933" applyNumberFormat="1" applyFont="1" applyFill="1" applyBorder="1" applyAlignment="1">
      <alignment horizontal="center" vertical="center" shrinkToFit="1"/>
    </xf>
    <xf numFmtId="203" fontId="60" fillId="30" borderId="65" xfId="933" applyNumberFormat="1" applyFont="1" applyFill="1" applyBorder="1" applyAlignment="1">
      <alignment horizontal="center" vertical="center" shrinkToFit="1"/>
    </xf>
    <xf numFmtId="203" fontId="61" fillId="0" borderId="6" xfId="0" applyNumberFormat="1" applyFont="1" applyBorder="1">
      <alignment vertical="center"/>
    </xf>
    <xf numFmtId="203" fontId="61" fillId="30" borderId="6" xfId="0" applyNumberFormat="1" applyFont="1" applyFill="1" applyBorder="1">
      <alignment vertical="center"/>
    </xf>
    <xf numFmtId="1" fontId="60" fillId="0" borderId="65" xfId="933" applyNumberFormat="1" applyFont="1" applyBorder="1" applyAlignment="1">
      <alignment horizontal="center" vertical="center" shrinkToFit="1"/>
    </xf>
    <xf numFmtId="1" fontId="60" fillId="0" borderId="6" xfId="933" applyNumberFormat="1" applyFont="1" applyBorder="1" applyAlignment="1">
      <alignment horizontal="center" vertical="center" shrinkToFit="1"/>
    </xf>
    <xf numFmtId="10" fontId="60" fillId="29" borderId="6" xfId="933" applyNumberFormat="1" applyFont="1" applyFill="1" applyBorder="1" applyAlignment="1">
      <alignment horizontal="center" vertical="center" shrinkToFit="1"/>
    </xf>
    <xf numFmtId="0" fontId="1" fillId="0" borderId="28" xfId="445" applyFont="1" applyBorder="1" applyAlignment="1">
      <alignment horizontal="center" vertical="center" shrinkToFit="1"/>
    </xf>
    <xf numFmtId="0" fontId="1" fillId="0" borderId="29" xfId="445" applyFont="1" applyBorder="1" applyAlignment="1">
      <alignment horizontal="center" vertical="center" shrinkToFit="1"/>
    </xf>
    <xf numFmtId="0" fontId="1" fillId="0" borderId="30" xfId="445" applyFont="1" applyBorder="1" applyAlignment="1">
      <alignment horizontal="center" vertical="center" shrinkToFit="1"/>
    </xf>
    <xf numFmtId="0" fontId="57" fillId="29" borderId="34" xfId="445" applyFont="1" applyFill="1" applyBorder="1" applyAlignment="1">
      <alignment horizontal="left" vertical="center" wrapText="1" shrinkToFit="1"/>
    </xf>
    <xf numFmtId="0" fontId="57" fillId="29" borderId="35" xfId="445" applyFont="1" applyFill="1" applyBorder="1" applyAlignment="1">
      <alignment horizontal="left" vertical="center" shrinkToFit="1"/>
    </xf>
    <xf numFmtId="0" fontId="57" fillId="29" borderId="36" xfId="445" applyFont="1" applyFill="1" applyBorder="1" applyAlignment="1">
      <alignment horizontal="left" vertical="center" shrinkToFit="1"/>
    </xf>
    <xf numFmtId="0" fontId="39" fillId="29" borderId="25" xfId="446" applyFont="1" applyFill="1" applyBorder="1" applyAlignment="1">
      <alignment horizontal="left" vertical="center" shrinkToFit="1"/>
    </xf>
    <xf numFmtId="0" fontId="39" fillId="29" borderId="4" xfId="446" applyFont="1" applyFill="1" applyBorder="1" applyAlignment="1">
      <alignment horizontal="left" vertical="center" shrinkToFit="1"/>
    </xf>
    <xf numFmtId="0" fontId="39" fillId="29" borderId="26" xfId="446" applyFont="1" applyFill="1" applyBorder="1" applyAlignment="1">
      <alignment horizontal="left" vertical="center" shrinkToFit="1"/>
    </xf>
    <xf numFmtId="176" fontId="1" fillId="29" borderId="25" xfId="445" applyNumberFormat="1" applyFont="1" applyFill="1" applyBorder="1" applyAlignment="1">
      <alignment horizontal="left" vertical="center" shrinkToFit="1"/>
    </xf>
    <xf numFmtId="176" fontId="1" fillId="29" borderId="4" xfId="445" applyNumberFormat="1" applyFont="1" applyFill="1" applyBorder="1" applyAlignment="1">
      <alignment horizontal="left" vertical="center" shrinkToFit="1"/>
    </xf>
    <xf numFmtId="176" fontId="1" fillId="29" borderId="26" xfId="445" applyNumberFormat="1" applyFont="1" applyFill="1" applyBorder="1" applyAlignment="1">
      <alignment horizontal="left" vertical="center" shrinkToFit="1"/>
    </xf>
    <xf numFmtId="176" fontId="1" fillId="30" borderId="25" xfId="445" applyNumberFormat="1" applyFont="1" applyFill="1" applyBorder="1" applyAlignment="1">
      <alignment horizontal="left" vertical="center" shrinkToFit="1"/>
    </xf>
    <xf numFmtId="176" fontId="1" fillId="30" borderId="4" xfId="445" applyNumberFormat="1" applyFont="1" applyFill="1" applyBorder="1" applyAlignment="1">
      <alignment horizontal="left" vertical="center" shrinkToFit="1"/>
    </xf>
    <xf numFmtId="176" fontId="1" fillId="30" borderId="26" xfId="445" applyNumberFormat="1" applyFont="1" applyFill="1" applyBorder="1" applyAlignment="1">
      <alignment horizontal="left" vertical="center" shrinkToFit="1"/>
    </xf>
    <xf numFmtId="0" fontId="1" fillId="0" borderId="25" xfId="445" applyFont="1" applyBorder="1" applyAlignment="1">
      <alignment horizontal="left" vertical="center" shrinkToFit="1"/>
    </xf>
    <xf numFmtId="0" fontId="1" fillId="0" borderId="4" xfId="445" applyFont="1" applyBorder="1" applyAlignment="1">
      <alignment horizontal="left" vertical="center" shrinkToFit="1"/>
    </xf>
    <xf numFmtId="0" fontId="1" fillId="0" borderId="26" xfId="445" applyFont="1" applyBorder="1" applyAlignment="1">
      <alignment horizontal="left" vertical="center" shrinkToFit="1"/>
    </xf>
    <xf numFmtId="0" fontId="1" fillId="29" borderId="25" xfId="445" applyFont="1" applyFill="1" applyBorder="1" applyAlignment="1">
      <alignment horizontal="left" vertical="center" shrinkToFit="1"/>
    </xf>
    <xf numFmtId="0" fontId="1" fillId="29" borderId="4" xfId="445" applyFont="1" applyFill="1" applyBorder="1" applyAlignment="1">
      <alignment horizontal="left" vertical="center" shrinkToFit="1"/>
    </xf>
    <xf numFmtId="0" fontId="1" fillId="29" borderId="26" xfId="445" applyFont="1" applyFill="1" applyBorder="1" applyAlignment="1">
      <alignment horizontal="left" vertical="center" shrinkToFit="1"/>
    </xf>
    <xf numFmtId="0" fontId="1" fillId="0" borderId="2" xfId="445" applyFont="1" applyBorder="1" applyAlignment="1">
      <alignment horizontal="center" vertical="center"/>
    </xf>
    <xf numFmtId="0" fontId="1" fillId="0" borderId="24" xfId="445" applyFont="1" applyBorder="1" applyAlignment="1">
      <alignment horizontal="center" vertical="center"/>
    </xf>
    <xf numFmtId="0" fontId="1" fillId="0" borderId="1" xfId="445" applyFont="1" applyBorder="1" applyAlignment="1">
      <alignment horizontal="center" vertical="center"/>
    </xf>
    <xf numFmtId="0" fontId="1" fillId="0" borderId="33" xfId="445" applyFont="1" applyBorder="1" applyAlignment="1">
      <alignment horizontal="center" vertical="center"/>
    </xf>
    <xf numFmtId="178" fontId="1" fillId="0" borderId="25" xfId="445" applyNumberFormat="1" applyFont="1" applyBorder="1" applyAlignment="1">
      <alignment horizontal="left" vertical="center" shrinkToFit="1"/>
    </xf>
    <xf numFmtId="178" fontId="1" fillId="0" borderId="4" xfId="445" applyNumberFormat="1" applyFont="1" applyBorder="1" applyAlignment="1">
      <alignment horizontal="left" vertical="center" shrinkToFit="1"/>
    </xf>
    <xf numFmtId="178" fontId="1" fillId="0" borderId="26" xfId="445" applyNumberFormat="1" applyFont="1" applyBorder="1" applyAlignment="1">
      <alignment horizontal="left" vertical="center" shrinkToFit="1"/>
    </xf>
    <xf numFmtId="177" fontId="1" fillId="29" borderId="25" xfId="445" applyNumberFormat="1" applyFont="1" applyFill="1" applyBorder="1" applyAlignment="1">
      <alignment horizontal="left" vertical="center" shrinkToFit="1"/>
    </xf>
    <xf numFmtId="177" fontId="1" fillId="29" borderId="4" xfId="445" applyNumberFormat="1" applyFont="1" applyFill="1" applyBorder="1" applyAlignment="1">
      <alignment horizontal="left" vertical="center" shrinkToFit="1"/>
    </xf>
    <xf numFmtId="177" fontId="1" fillId="29" borderId="26" xfId="445" applyNumberFormat="1" applyFont="1" applyFill="1" applyBorder="1" applyAlignment="1">
      <alignment horizontal="left" vertical="center" shrinkToFit="1"/>
    </xf>
    <xf numFmtId="0" fontId="1" fillId="0" borderId="3" xfId="445" applyFont="1" applyBorder="1" applyAlignment="1">
      <alignment horizontal="center" vertical="center"/>
    </xf>
    <xf numFmtId="0" fontId="1" fillId="0" borderId="32" xfId="445" applyFont="1" applyBorder="1" applyAlignment="1">
      <alignment horizontal="center" vertical="center"/>
    </xf>
    <xf numFmtId="0" fontId="48" fillId="0" borderId="37" xfId="932" applyFont="1" applyBorder="1" applyAlignment="1">
      <alignment horizontal="center" vertical="center"/>
    </xf>
    <xf numFmtId="0" fontId="48" fillId="0" borderId="38" xfId="932" applyFont="1" applyBorder="1" applyAlignment="1">
      <alignment horizontal="center" vertical="center"/>
    </xf>
    <xf numFmtId="58" fontId="54" fillId="0" borderId="39" xfId="932" applyNumberFormat="1" applyFont="1" applyBorder="1" applyAlignment="1">
      <alignment horizontal="center" vertical="center"/>
    </xf>
    <xf numFmtId="58" fontId="54" fillId="0" borderId="40" xfId="932" applyNumberFormat="1" applyFont="1" applyBorder="1" applyAlignment="1">
      <alignment horizontal="center" vertical="center"/>
    </xf>
    <xf numFmtId="58" fontId="54" fillId="0" borderId="38" xfId="932" applyNumberFormat="1" applyFont="1" applyBorder="1" applyAlignment="1">
      <alignment horizontal="center" vertical="center"/>
    </xf>
    <xf numFmtId="58" fontId="48" fillId="0" borderId="40" xfId="932" applyNumberFormat="1" applyFont="1" applyBorder="1" applyAlignment="1">
      <alignment horizontal="center" vertical="center" wrapText="1"/>
    </xf>
    <xf numFmtId="58" fontId="48" fillId="0" borderId="38" xfId="932" applyNumberFormat="1" applyFont="1" applyBorder="1" applyAlignment="1">
      <alignment horizontal="center" vertical="center" wrapText="1"/>
    </xf>
    <xf numFmtId="58" fontId="48" fillId="0" borderId="39" xfId="932" applyNumberFormat="1" applyFont="1" applyBorder="1" applyAlignment="1">
      <alignment horizontal="center" vertical="center" wrapText="1" shrinkToFit="1"/>
    </xf>
    <xf numFmtId="58" fontId="48" fillId="0" borderId="40" xfId="932" applyNumberFormat="1" applyFont="1" applyBorder="1" applyAlignment="1">
      <alignment horizontal="center" vertical="center" wrapText="1" shrinkToFit="1"/>
    </xf>
    <xf numFmtId="58" fontId="48" fillId="0" borderId="41" xfId="932" applyNumberFormat="1" applyFont="1" applyBorder="1" applyAlignment="1">
      <alignment horizontal="center" vertical="center" wrapText="1" shrinkToFit="1"/>
    </xf>
    <xf numFmtId="0" fontId="48" fillId="0" borderId="44" xfId="932" applyFont="1" applyBorder="1" applyAlignment="1">
      <alignment horizontal="center" vertical="center"/>
    </xf>
    <xf numFmtId="0" fontId="48" fillId="0" borderId="46" xfId="932" applyFont="1" applyBorder="1" applyAlignment="1">
      <alignment horizontal="center" vertical="center"/>
    </xf>
    <xf numFmtId="0" fontId="48" fillId="0" borderId="6" xfId="932" applyFont="1" applyBorder="1" applyAlignment="1">
      <alignment horizontal="center" vertical="center"/>
    </xf>
    <xf numFmtId="0" fontId="46" fillId="0" borderId="0" xfId="932" applyFont="1" applyAlignment="1">
      <alignment horizontal="center" vertical="top"/>
    </xf>
    <xf numFmtId="176" fontId="50" fillId="0" borderId="0" xfId="0" applyNumberFormat="1" applyFont="1" applyAlignment="1">
      <alignment horizontal="center" vertical="center" shrinkToFit="1"/>
    </xf>
    <xf numFmtId="0" fontId="48" fillId="0" borderId="44" xfId="932" applyFont="1" applyBorder="1" applyAlignment="1">
      <alignment horizontal="left" vertical="center"/>
    </xf>
    <xf numFmtId="0" fontId="48" fillId="0" borderId="5" xfId="932" applyFont="1" applyBorder="1" applyAlignment="1">
      <alignment horizontal="left" vertical="center"/>
    </xf>
    <xf numFmtId="0" fontId="48" fillId="0" borderId="45" xfId="932" applyFont="1" applyBorder="1" applyAlignment="1">
      <alignment horizontal="left" vertical="center"/>
    </xf>
    <xf numFmtId="0" fontId="48" fillId="0" borderId="42" xfId="932" applyFont="1" applyBorder="1" applyAlignment="1">
      <alignment horizontal="center" vertical="center"/>
    </xf>
    <xf numFmtId="192" fontId="48" fillId="0" borderId="6" xfId="0" applyNumberFormat="1" applyFont="1" applyBorder="1" applyAlignment="1">
      <alignment horizontal="center" vertical="center"/>
    </xf>
    <xf numFmtId="0" fontId="48" fillId="0" borderId="43" xfId="932" applyFont="1" applyBorder="1" applyAlignment="1">
      <alignment horizontal="center" vertical="center"/>
    </xf>
    <xf numFmtId="176" fontId="48" fillId="0" borderId="6" xfId="932" applyNumberFormat="1" applyFont="1" applyBorder="1" applyAlignment="1">
      <alignment horizontal="center" vertical="center"/>
    </xf>
    <xf numFmtId="176" fontId="48" fillId="0" borderId="43" xfId="932" applyNumberFormat="1" applyFont="1" applyBorder="1" applyAlignment="1">
      <alignment horizontal="center" vertical="center"/>
    </xf>
    <xf numFmtId="10" fontId="48" fillId="0" borderId="6" xfId="456" applyNumberFormat="1" applyFont="1" applyFill="1" applyBorder="1" applyAlignment="1">
      <alignment horizontal="center" vertical="center"/>
    </xf>
    <xf numFmtId="10" fontId="48" fillId="0" borderId="43" xfId="456" applyNumberFormat="1" applyFont="1" applyFill="1" applyBorder="1" applyAlignment="1">
      <alignment horizontal="center" vertical="center"/>
    </xf>
    <xf numFmtId="43" fontId="52" fillId="0" borderId="44" xfId="448" applyFont="1" applyFill="1" applyBorder="1" applyAlignment="1">
      <alignment vertical="center" wrapText="1"/>
    </xf>
    <xf numFmtId="43" fontId="52" fillId="0" borderId="5" xfId="448" applyFont="1" applyFill="1" applyBorder="1" applyAlignment="1">
      <alignment vertical="center" wrapText="1"/>
    </xf>
    <xf numFmtId="43" fontId="52" fillId="0" borderId="46" xfId="448" applyFont="1" applyFill="1" applyBorder="1" applyAlignment="1">
      <alignment vertical="center" wrapText="1"/>
    </xf>
    <xf numFmtId="204" fontId="48" fillId="0" borderId="47" xfId="448" applyNumberFormat="1" applyFont="1" applyFill="1" applyBorder="1" applyAlignment="1">
      <alignment horizontal="right" vertical="center" shrinkToFit="1"/>
    </xf>
    <xf numFmtId="204" fontId="48" fillId="0" borderId="46" xfId="448" applyNumberFormat="1" applyFont="1" applyFill="1" applyBorder="1" applyAlignment="1">
      <alignment horizontal="right" vertical="center" shrinkToFit="1"/>
    </xf>
    <xf numFmtId="204" fontId="48" fillId="0" borderId="47" xfId="448" applyNumberFormat="1" applyFont="1" applyFill="1" applyBorder="1" applyAlignment="1">
      <alignment horizontal="center" vertical="center" shrinkToFit="1"/>
    </xf>
    <xf numFmtId="204" fontId="48" fillId="0" borderId="46" xfId="448" applyNumberFormat="1" applyFont="1" applyFill="1" applyBorder="1" applyAlignment="1">
      <alignment horizontal="center" vertical="center" shrinkToFit="1"/>
    </xf>
    <xf numFmtId="0" fontId="48" fillId="0" borderId="47" xfId="932" applyFont="1" applyBorder="1" applyAlignment="1">
      <alignment horizontal="center" vertical="center"/>
    </xf>
    <xf numFmtId="0" fontId="48" fillId="0" borderId="45" xfId="932" applyFont="1" applyBorder="1" applyAlignment="1">
      <alignment horizontal="center" vertical="center"/>
    </xf>
    <xf numFmtId="0" fontId="48" fillId="0" borderId="48" xfId="932" applyFont="1" applyBorder="1" applyAlignment="1">
      <alignment horizontal="left" vertical="center"/>
    </xf>
    <xf numFmtId="0" fontId="48" fillId="0" borderId="49" xfId="932" applyFont="1" applyBorder="1" applyAlignment="1">
      <alignment horizontal="left" vertical="center"/>
    </xf>
    <xf numFmtId="43" fontId="48" fillId="0" borderId="44" xfId="448" applyFont="1" applyFill="1" applyBorder="1" applyAlignment="1">
      <alignment horizontal="left" vertical="center" shrinkToFit="1"/>
    </xf>
    <xf numFmtId="43" fontId="48" fillId="0" borderId="5" xfId="448" applyFont="1" applyFill="1" applyBorder="1" applyAlignment="1">
      <alignment horizontal="left" vertical="center" shrinkToFit="1"/>
    </xf>
    <xf numFmtId="43" fontId="48" fillId="0" borderId="46" xfId="448" applyFont="1" applyFill="1" applyBorder="1" applyAlignment="1">
      <alignment horizontal="left" vertical="center" shrinkToFit="1"/>
    </xf>
    <xf numFmtId="43" fontId="48" fillId="0" borderId="47" xfId="448" applyFont="1" applyFill="1" applyBorder="1" applyAlignment="1">
      <alignment horizontal="right" vertical="center" shrinkToFit="1"/>
    </xf>
    <xf numFmtId="43" fontId="48" fillId="0" borderId="46" xfId="448" applyFont="1" applyFill="1" applyBorder="1" applyAlignment="1">
      <alignment horizontal="right" vertical="center" shrinkToFit="1"/>
    </xf>
    <xf numFmtId="43" fontId="48" fillId="0" borderId="47" xfId="448" applyFont="1" applyFill="1" applyBorder="1" applyAlignment="1">
      <alignment horizontal="center" vertical="center" shrinkToFit="1"/>
    </xf>
    <xf numFmtId="43" fontId="48" fillId="0" borderId="46" xfId="448" applyFont="1" applyFill="1" applyBorder="1" applyAlignment="1">
      <alignment horizontal="center" vertical="center" shrinkToFit="1"/>
    </xf>
    <xf numFmtId="0" fontId="48" fillId="0" borderId="5" xfId="932" applyFont="1" applyBorder="1" applyAlignment="1">
      <alignment horizontal="center" vertical="center"/>
    </xf>
    <xf numFmtId="0" fontId="48" fillId="0" borderId="47" xfId="932" applyFont="1" applyBorder="1" applyAlignment="1">
      <alignment vertical="center"/>
    </xf>
    <xf numFmtId="0" fontId="48" fillId="0" borderId="45" xfId="932" applyFont="1" applyBorder="1" applyAlignment="1">
      <alignment vertical="center"/>
    </xf>
    <xf numFmtId="41" fontId="48" fillId="0" borderId="44" xfId="932" applyNumberFormat="1" applyFont="1" applyBorder="1" applyAlignment="1">
      <alignment horizontal="center" vertical="center"/>
    </xf>
    <xf numFmtId="41" fontId="48" fillId="0" borderId="46" xfId="932" applyNumberFormat="1" applyFont="1" applyBorder="1" applyAlignment="1">
      <alignment horizontal="center" vertical="center"/>
    </xf>
    <xf numFmtId="43" fontId="48" fillId="0" borderId="6" xfId="448" applyFont="1" applyFill="1" applyBorder="1" applyAlignment="1">
      <alignment horizontal="center" vertical="center"/>
    </xf>
    <xf numFmtId="43" fontId="48" fillId="0" borderId="43" xfId="448" applyFont="1" applyFill="1" applyBorder="1" applyAlignment="1">
      <alignment horizontal="center" vertical="center"/>
    </xf>
    <xf numFmtId="0" fontId="51" fillId="0" borderId="44" xfId="932" applyFont="1" applyBorder="1" applyAlignment="1">
      <alignment horizontal="left" vertical="top" wrapText="1"/>
    </xf>
    <xf numFmtId="0" fontId="51" fillId="0" borderId="5" xfId="932" applyFont="1" applyBorder="1" applyAlignment="1">
      <alignment horizontal="left" vertical="top" wrapText="1"/>
    </xf>
    <xf numFmtId="0" fontId="51" fillId="0" borderId="45" xfId="932" applyFont="1" applyBorder="1" applyAlignment="1">
      <alignment horizontal="left" vertical="top" wrapText="1"/>
    </xf>
    <xf numFmtId="0" fontId="48" fillId="0" borderId="50" xfId="932" applyFont="1" applyBorder="1" applyAlignment="1">
      <alignment horizontal="left" vertical="center"/>
    </xf>
    <xf numFmtId="0" fontId="48" fillId="0" borderId="51" xfId="932" applyFont="1" applyBorder="1" applyAlignment="1">
      <alignment horizontal="left" vertical="center"/>
    </xf>
    <xf numFmtId="0" fontId="48" fillId="0" borderId="52" xfId="932" applyFont="1" applyBorder="1" applyAlignment="1">
      <alignment horizontal="left" vertical="center"/>
    </xf>
    <xf numFmtId="193" fontId="52" fillId="0" borderId="53" xfId="932" applyNumberFormat="1" applyFont="1" applyBorder="1" applyAlignment="1">
      <alignment horizontal="left" vertical="center" wrapText="1"/>
    </xf>
    <xf numFmtId="193" fontId="52" fillId="0" borderId="48" xfId="932" applyNumberFormat="1" applyFont="1" applyBorder="1" applyAlignment="1">
      <alignment horizontal="left" vertical="center" wrapText="1"/>
    </xf>
    <xf numFmtId="193" fontId="52" fillId="0" borderId="49" xfId="932" applyNumberFormat="1" applyFont="1" applyBorder="1" applyAlignment="1">
      <alignment horizontal="left" vertical="center" wrapText="1"/>
    </xf>
    <xf numFmtId="43" fontId="48" fillId="0" borderId="42" xfId="448" applyFont="1" applyFill="1" applyBorder="1" applyAlignment="1">
      <alignment horizontal="left" vertical="center"/>
    </xf>
    <xf numFmtId="43" fontId="48" fillId="0" borderId="6" xfId="448" applyFont="1" applyFill="1" applyBorder="1" applyAlignment="1">
      <alignment horizontal="left" vertical="center"/>
    </xf>
    <xf numFmtId="43" fontId="48" fillId="0" borderId="6" xfId="448" applyFont="1" applyFill="1" applyBorder="1" applyAlignment="1">
      <alignment vertical="center"/>
    </xf>
    <xf numFmtId="193" fontId="48" fillId="0" borderId="53" xfId="932" applyNumberFormat="1" applyFont="1" applyBorder="1" applyAlignment="1">
      <alignment horizontal="left" vertical="center" wrapText="1"/>
    </xf>
    <xf numFmtId="193" fontId="48" fillId="0" borderId="48" xfId="932" applyNumberFormat="1" applyFont="1" applyBorder="1" applyAlignment="1">
      <alignment horizontal="left" vertical="center" wrapText="1"/>
    </xf>
    <xf numFmtId="193" fontId="48" fillId="0" borderId="49" xfId="932" applyNumberFormat="1" applyFont="1" applyBorder="1" applyAlignment="1">
      <alignment horizontal="left" vertical="center" wrapText="1"/>
    </xf>
    <xf numFmtId="0" fontId="48" fillId="0" borderId="50" xfId="932" applyFont="1" applyBorder="1" applyAlignment="1">
      <alignment horizontal="left" vertical="top" wrapText="1"/>
    </xf>
    <xf numFmtId="0" fontId="48" fillId="0" borderId="51" xfId="932" applyFont="1" applyBorder="1" applyAlignment="1">
      <alignment horizontal="left" vertical="top" wrapText="1"/>
    </xf>
    <xf numFmtId="0" fontId="48" fillId="0" borderId="52" xfId="932" applyFont="1" applyBorder="1" applyAlignment="1">
      <alignment horizontal="left" vertical="top" wrapText="1"/>
    </xf>
    <xf numFmtId="43" fontId="48" fillId="0" borderId="54" xfId="448" applyFont="1" applyFill="1" applyBorder="1" applyAlignment="1">
      <alignment horizontal="left" vertical="top" wrapText="1"/>
    </xf>
    <xf numFmtId="43" fontId="48" fillId="0" borderId="0" xfId="448" applyFont="1" applyFill="1" applyBorder="1" applyAlignment="1">
      <alignment horizontal="left" vertical="top" wrapText="1"/>
    </xf>
    <xf numFmtId="43" fontId="48" fillId="0" borderId="55" xfId="448" applyFont="1" applyFill="1" applyBorder="1" applyAlignment="1">
      <alignment horizontal="left" vertical="top" wrapText="1"/>
    </xf>
    <xf numFmtId="194" fontId="54" fillId="0" borderId="0" xfId="932" applyNumberFormat="1" applyFont="1" applyAlignment="1">
      <alignment horizontal="left" vertical="top" wrapText="1"/>
    </xf>
    <xf numFmtId="193" fontId="53" fillId="0" borderId="53" xfId="932" applyNumberFormat="1" applyFont="1" applyBorder="1" applyAlignment="1">
      <alignment horizontal="left" vertical="center" wrapText="1"/>
    </xf>
    <xf numFmtId="193" fontId="53" fillId="0" borderId="48" xfId="932" applyNumberFormat="1" applyFont="1" applyBorder="1" applyAlignment="1">
      <alignment horizontal="left" vertical="center" wrapText="1"/>
    </xf>
    <xf numFmtId="193" fontId="53" fillId="0" borderId="49" xfId="932" applyNumberFormat="1" applyFont="1" applyBorder="1" applyAlignment="1">
      <alignment horizontal="left" vertical="center" wrapText="1"/>
    </xf>
    <xf numFmtId="194" fontId="48" fillId="0" borderId="50" xfId="932" applyNumberFormat="1" applyFont="1" applyBorder="1" applyAlignment="1">
      <alignment horizontal="left" vertical="top" wrapText="1"/>
    </xf>
    <xf numFmtId="194" fontId="48" fillId="0" borderId="51" xfId="932" applyNumberFormat="1" applyFont="1" applyBorder="1" applyAlignment="1">
      <alignment horizontal="left" vertical="top" wrapText="1"/>
    </xf>
    <xf numFmtId="194" fontId="48" fillId="0" borderId="52" xfId="932" applyNumberFormat="1" applyFont="1" applyBorder="1" applyAlignment="1">
      <alignment horizontal="left" vertical="top" wrapText="1"/>
    </xf>
    <xf numFmtId="194" fontId="48" fillId="0" borderId="56" xfId="932" applyNumberFormat="1" applyFont="1" applyBorder="1" applyAlignment="1">
      <alignment horizontal="left" vertical="top" wrapText="1"/>
    </xf>
    <xf numFmtId="194" fontId="48" fillId="0" borderId="57" xfId="932" applyNumberFormat="1" applyFont="1" applyBorder="1" applyAlignment="1">
      <alignment horizontal="left" vertical="top" wrapText="1"/>
    </xf>
    <xf numFmtId="194" fontId="48" fillId="0" borderId="58" xfId="932" applyNumberFormat="1" applyFont="1" applyBorder="1" applyAlignment="1">
      <alignment horizontal="left" vertical="top" wrapText="1"/>
    </xf>
    <xf numFmtId="205" fontId="48" fillId="0" borderId="47" xfId="448" applyNumberFormat="1" applyFont="1" applyFill="1" applyBorder="1" applyAlignment="1">
      <alignment horizontal="center" vertical="center" shrinkToFit="1"/>
    </xf>
    <xf numFmtId="205" fontId="48" fillId="0" borderId="46" xfId="448" applyNumberFormat="1" applyFont="1" applyFill="1" applyBorder="1" applyAlignment="1">
      <alignment horizontal="center" vertical="center" shrinkToFit="1"/>
    </xf>
    <xf numFmtId="43" fontId="48" fillId="0" borderId="54" xfId="448" applyFont="1" applyBorder="1" applyAlignment="1">
      <alignment horizontal="left" vertical="top" wrapText="1"/>
    </xf>
    <xf numFmtId="43" fontId="48" fillId="0" borderId="0" xfId="448" applyFont="1" applyBorder="1" applyAlignment="1">
      <alignment horizontal="left" vertical="top" wrapText="1"/>
    </xf>
    <xf numFmtId="43" fontId="48" fillId="0" borderId="55" xfId="448" applyFont="1" applyBorder="1" applyAlignment="1">
      <alignment horizontal="left" vertical="top" wrapText="1"/>
    </xf>
    <xf numFmtId="43" fontId="48" fillId="0" borderId="42" xfId="448" applyFont="1" applyBorder="1" applyAlignment="1">
      <alignment horizontal="left" vertical="center"/>
    </xf>
    <xf numFmtId="43" fontId="48" fillId="0" borderId="6" xfId="448" applyFont="1" applyBorder="1" applyAlignment="1">
      <alignment horizontal="left" vertical="center"/>
    </xf>
    <xf numFmtId="43" fontId="48" fillId="0" borderId="6" xfId="448" applyFont="1" applyBorder="1" applyAlignment="1">
      <alignment vertical="center"/>
    </xf>
    <xf numFmtId="43" fontId="48" fillId="0" borderId="6" xfId="448" applyFont="1" applyBorder="1" applyAlignment="1">
      <alignment horizontal="center" vertical="center"/>
    </xf>
    <xf numFmtId="43" fontId="48" fillId="0" borderId="43" xfId="448" applyFont="1" applyBorder="1" applyAlignment="1">
      <alignment horizontal="center" vertical="center"/>
    </xf>
    <xf numFmtId="43" fontId="48" fillId="30" borderId="44" xfId="448" applyFont="1" applyFill="1" applyBorder="1" applyAlignment="1">
      <alignment horizontal="left" vertical="center" shrinkToFit="1"/>
    </xf>
    <xf numFmtId="43" fontId="48" fillId="30" borderId="5" xfId="448" applyFont="1" applyFill="1" applyBorder="1" applyAlignment="1">
      <alignment horizontal="left" vertical="center" shrinkToFit="1"/>
    </xf>
    <xf numFmtId="43" fontId="48" fillId="30" borderId="46" xfId="448" applyFont="1" applyFill="1" applyBorder="1" applyAlignment="1">
      <alignment horizontal="left" vertical="center" shrinkToFit="1"/>
    </xf>
    <xf numFmtId="43" fontId="48" fillId="30" borderId="47" xfId="448" applyFont="1" applyFill="1" applyBorder="1" applyAlignment="1">
      <alignment horizontal="right" vertical="center" shrinkToFit="1"/>
    </xf>
    <xf numFmtId="43" fontId="48" fillId="30" borderId="46" xfId="448" applyFont="1" applyFill="1" applyBorder="1" applyAlignment="1">
      <alignment horizontal="right" vertical="center" shrinkToFit="1"/>
    </xf>
    <xf numFmtId="43" fontId="48" fillId="0" borderId="47" xfId="448" applyFont="1" applyBorder="1" applyAlignment="1">
      <alignment horizontal="center" vertical="center" shrinkToFit="1"/>
    </xf>
    <xf numFmtId="43" fontId="48" fillId="0" borderId="46" xfId="448" applyFont="1" applyBorder="1" applyAlignment="1">
      <alignment horizontal="center" vertical="center" shrinkToFit="1"/>
    </xf>
    <xf numFmtId="43" fontId="52" fillId="30" borderId="44" xfId="448" applyFont="1" applyFill="1" applyBorder="1" applyAlignment="1">
      <alignment vertical="center" wrapText="1"/>
    </xf>
    <xf numFmtId="43" fontId="52" fillId="30" borderId="5" xfId="448" applyFont="1" applyFill="1" applyBorder="1" applyAlignment="1">
      <alignment vertical="center" wrapText="1"/>
    </xf>
    <xf numFmtId="43" fontId="52" fillId="30" borderId="46" xfId="448" applyFont="1" applyFill="1" applyBorder="1" applyAlignment="1">
      <alignment vertical="center" wrapText="1"/>
    </xf>
    <xf numFmtId="43" fontId="48" fillId="30" borderId="47" xfId="448" applyFont="1" applyFill="1" applyBorder="1" applyAlignment="1">
      <alignment horizontal="center" vertical="center" shrinkToFit="1"/>
    </xf>
    <xf numFmtId="43" fontId="48" fillId="30" borderId="46" xfId="448" applyFont="1" applyFill="1" applyBorder="1" applyAlignment="1">
      <alignment horizontal="center" vertical="center" shrinkToFit="1"/>
    </xf>
    <xf numFmtId="0" fontId="48" fillId="31" borderId="42" xfId="932" applyFont="1" applyFill="1" applyBorder="1" applyAlignment="1">
      <alignment horizontal="center" vertical="center"/>
    </xf>
    <xf numFmtId="0" fontId="48" fillId="31" borderId="6" xfId="932" applyFont="1" applyFill="1" applyBorder="1" applyAlignment="1">
      <alignment horizontal="center" vertical="center"/>
    </xf>
    <xf numFmtId="201" fontId="48" fillId="30" borderId="6" xfId="934" applyNumberFormat="1" applyFont="1" applyFill="1" applyBorder="1" applyAlignment="1">
      <alignment horizontal="center" vertical="center"/>
    </xf>
    <xf numFmtId="10" fontId="48" fillId="30" borderId="6" xfId="456" applyNumberFormat="1" applyFont="1" applyFill="1" applyBorder="1" applyAlignment="1">
      <alignment horizontal="center" vertical="center"/>
    </xf>
    <xf numFmtId="10" fontId="48" fillId="30" borderId="43" xfId="456" applyNumberFormat="1" applyFont="1" applyFill="1" applyBorder="1" applyAlignment="1">
      <alignment horizontal="center" vertical="center"/>
    </xf>
    <xf numFmtId="176" fontId="48" fillId="30" borderId="6" xfId="932" applyNumberFormat="1" applyFont="1" applyFill="1" applyBorder="1" applyAlignment="1">
      <alignment horizontal="center" vertical="center"/>
    </xf>
    <xf numFmtId="176" fontId="48" fillId="30" borderId="43" xfId="932" applyNumberFormat="1" applyFont="1" applyFill="1" applyBorder="1" applyAlignment="1">
      <alignment horizontal="center" vertical="center"/>
    </xf>
    <xf numFmtId="176" fontId="50" fillId="29" borderId="0" xfId="0" applyNumberFormat="1" applyFont="1" applyFill="1" applyAlignment="1">
      <alignment horizontal="center" vertical="center" shrinkToFit="1"/>
    </xf>
    <xf numFmtId="58" fontId="54" fillId="30" borderId="39" xfId="932" applyNumberFormat="1" applyFont="1" applyFill="1" applyBorder="1" applyAlignment="1">
      <alignment horizontal="center" vertical="center"/>
    </xf>
    <xf numFmtId="58" fontId="54" fillId="30" borderId="40" xfId="932" applyNumberFormat="1" applyFont="1" applyFill="1" applyBorder="1" applyAlignment="1">
      <alignment horizontal="center" vertical="center"/>
    </xf>
    <xf numFmtId="58" fontId="54" fillId="30" borderId="38" xfId="932" applyNumberFormat="1" applyFont="1" applyFill="1" applyBorder="1" applyAlignment="1">
      <alignment horizontal="center" vertical="center"/>
    </xf>
    <xf numFmtId="58" fontId="48" fillId="30" borderId="39" xfId="932" applyNumberFormat="1" applyFont="1" applyFill="1" applyBorder="1" applyAlignment="1">
      <alignment horizontal="center" vertical="center" wrapText="1" shrinkToFit="1"/>
    </xf>
    <xf numFmtId="58" fontId="48" fillId="30" borderId="40" xfId="932" applyNumberFormat="1" applyFont="1" applyFill="1" applyBorder="1" applyAlignment="1">
      <alignment horizontal="center" vertical="center" wrapText="1" shrinkToFit="1"/>
    </xf>
    <xf numFmtId="58" fontId="48" fillId="30" borderId="41" xfId="932" applyNumberFormat="1" applyFont="1" applyFill="1" applyBorder="1" applyAlignment="1">
      <alignment horizontal="center" vertical="center" wrapText="1" shrinkToFit="1"/>
    </xf>
    <xf numFmtId="10" fontId="60" fillId="29" borderId="62" xfId="933" applyNumberFormat="1" applyFont="1" applyFill="1" applyBorder="1" applyAlignment="1">
      <alignment horizontal="center" vertical="center" shrinkToFit="1"/>
    </xf>
    <xf numFmtId="10" fontId="48" fillId="0" borderId="6" xfId="934" applyNumberFormat="1" applyFont="1" applyFill="1" applyBorder="1" applyAlignment="1">
      <alignment horizontal="center" vertical="center"/>
    </xf>
  </cellXfs>
  <cellStyles count="935">
    <cellStyle name="?礌_x000c_檎'_x000d_觤U_x0001_??_x0007__x0001__x0001_" xfId="2" xr:uid="{3E2E5A69-1366-4ED9-8E1B-740D6C777C74}"/>
    <cellStyle name="_斗南鎮大東~埤麻路面修復工程(340萬)" xfId="3" xr:uid="{D22F2D1D-DDF9-4B78-9D30-C6298D82F118}"/>
    <cellStyle name="_斗南鎮大東~埤麻路面修復工程(340萬)_000" xfId="4" xr:uid="{AEBBB682-6330-4F71-8F3D-D8EA0A0CA46C}"/>
    <cellStyle name="_斗南鎮大東~埤麻路面修復工程(340萬)_99年7月豪雨梅山鄉太興村流星巖災修工程(815萬)" xfId="5" xr:uid="{614967FF-E6B8-4F48-BC4F-07241FA8BE4C}"/>
    <cellStyle name="_斗南鎮大東~埤麻路面修復工程(340萬)_99年7月豪雨梅山鄉太興村流星巖災修工程(815萬-正確)" xfId="6" xr:uid="{DC6CF2D5-9B1E-4DA0-9FC8-6255CFA540D4}"/>
    <cellStyle name="_斗南鎮大東~埤麻路面修復工程(340萬)_99年7月豪雨梅山鄉太興村流星巖災修工程(815萬-修正)" xfId="7" xr:uid="{78387834-AEAE-43F5-91A9-0B265DA082FC}"/>
    <cellStyle name="_斗南鎮大東~埤麻路面修復工程(340萬)_99年7月豪雨梅山鄉太興村流星巖災修工程(815萬-修正1)" xfId="8" xr:uid="{2472D8A2-E21D-49D5-8D0F-4BB07E0D2891}"/>
    <cellStyle name="_斗南鎮大東~埤麻路面修復工程(340萬)_99年7月豪雨梅山鄉太興村流星巖災修工程(815萬-變更議定書)" xfId="9" xr:uid="{5737A8A3-CC36-438A-9B92-D26A22EACEA4}"/>
    <cellStyle name="_斗南鎮大東~埤麻路面修復工程(340萬)_台3線阿婆灣景觀改造工程" xfId="10" xr:uid="{CCEEB955-6A1E-40BF-8B72-DCA4AF3CE942}"/>
    <cellStyle name="_斗南鎮大東~埤麻路面修復工程(340萬)_台3線阿婆灣景觀改造工程(局長修正600萬)" xfId="11" xr:uid="{154FC2EE-D6D1-4F35-9C49-C0D29CEE024F}"/>
    <cellStyle name="_斗南鎮大東~埤麻路面修復工程(340萬)_台3線阿婆灣景觀改造工程(局長修正600萬)_台3線阿婆灣景觀改造工程(變更設計正確)" xfId="12" xr:uid="{FAEE6CB0-A1AD-4226-A187-03F087F45083}"/>
    <cellStyle name="_斗南鎮大東~埤麻路面修復工程(340萬)_第一次變更設計議定書_嘉義" xfId="13" xr:uid="{A60FADA9-AFDF-4326-8BD6-6A120CB5E7F7}"/>
    <cellStyle name="_斗南鎮西歧里長興街等道路挖掘修復工程(180萬98.9.11)" xfId="14" xr:uid="{27A2C780-6481-4C3E-BB06-932BC0A7F03E}"/>
    <cellStyle name="_斗南鎮西歧里長興街等道路挖掘修復工程(180萬98.9.11)_1" xfId="15" xr:uid="{4A308284-EE9A-471F-B6A3-F0B3B712F4F9}"/>
    <cellStyle name="_斗南鎮西歧里長興街等道路挖掘修復工程(180萬98.9.11)_1_99年7月豪雨梅山鄉太興村流星巖災修工程(815萬)" xfId="16" xr:uid="{8A585A4F-B054-44F9-A814-AFFCEA90C8C6}"/>
    <cellStyle name="_斗南鎮西歧里長興街等道路挖掘修復工程(180萬98.9.11)_1_99年7月豪雨梅山鄉太興村流星巖災修工程(815萬)_000" xfId="17" xr:uid="{A962552D-BCA9-4720-8113-443A360C7AB3}"/>
    <cellStyle name="_斗南鎮西歧里長興街等道路挖掘修復工程(180萬98.9.11)_1_99年7月豪雨梅山鄉太興村流星巖災修工程(815萬)_99年7月豪雨梅山鄉太興村流星巖災修工程(815萬)" xfId="18" xr:uid="{DCD3E989-540F-439F-AE36-780089813086}"/>
    <cellStyle name="_斗南鎮西歧里長興街等道路挖掘修復工程(180萬98.9.11)_1_99年7月豪雨梅山鄉太興村流星巖災修工程(815萬)_99年7月豪雨梅山鄉太興村流星巖災修工程(815萬-正確)" xfId="19" xr:uid="{2F309C3A-7420-40DB-97BE-12BD7AC4B01A}"/>
    <cellStyle name="_斗南鎮西歧里長興街等道路挖掘修復工程(180萬98.9.11)_1_99年7月豪雨梅山鄉太興村流星巖災修工程(815萬)_99年7月豪雨梅山鄉太興村流星巖災修工程(815萬-修正)" xfId="20" xr:uid="{3272B13C-D617-404F-99F7-0F7E63BC651C}"/>
    <cellStyle name="_斗南鎮西歧里長興街等道路挖掘修復工程(180萬98.9.11)_1_99年7月豪雨梅山鄉太興村流星巖災修工程(815萬)_99年7月豪雨梅山鄉太興村流星巖災修工程(815萬-修正1)" xfId="21" xr:uid="{7FCD2605-3D64-485D-9AAF-AD6EF63375FC}"/>
    <cellStyle name="_斗南鎮西歧里長興街等道路挖掘修復工程(180萬98.9.11)_1_99年7月豪雨梅山鄉太興村流星巖災修工程(815萬)_99年7月豪雨梅山鄉太興村流星巖災修工程(815萬-變更議定書)" xfId="22" xr:uid="{D2E922FA-B02F-4699-8342-D32ECABB038A}"/>
    <cellStyle name="_斗南鎮西歧里長興街等道路挖掘修復工程(180萬98.9.11)_1_99年7月豪雨梅山鄉太興村流星巖災修工程(估價單冠英)" xfId="23" xr:uid="{89716D3D-9BF1-4183-AEFD-101A296B82CD}"/>
    <cellStyle name="_斗南鎮西歧里長興街等道路挖掘修復工程(180萬98.9.11)_1_99年7月豪雨梅山鄉太興村流星巖災修工程(估價單冠英)_000" xfId="24" xr:uid="{AC9DB8F1-2249-445C-B5F3-08474B92303D}"/>
    <cellStyle name="_斗南鎮西歧里長興街等道路挖掘修復工程(180萬98.9.11)_1_99年7月豪雨梅山鄉太興村流星巖災修工程(估價單冠英)_99年7月豪雨梅山鄉太興村流星巖災修工程(815萬)" xfId="25" xr:uid="{8CFB7205-BD0F-4A15-9789-1CF2C1530885}"/>
    <cellStyle name="_斗南鎮西歧里長興街等道路挖掘修復工程(180萬98.9.11)_1_99年7月豪雨梅山鄉太興村流星巖災修工程(估價單冠英)_99年7月豪雨梅山鄉太興村流星巖災修工程(815萬-正確)" xfId="26" xr:uid="{C81B33B0-7EAD-48C2-93F8-B00BB50997E1}"/>
    <cellStyle name="_斗南鎮西歧里長興街等道路挖掘修復工程(180萬98.9.11)_1_99年7月豪雨梅山鄉太興村流星巖災修工程(估價單冠英)_99年7月豪雨梅山鄉太興村流星巖災修工程(815萬-修正)" xfId="27" xr:uid="{B67ABA63-683B-48E1-9650-1E6E1195A6AC}"/>
    <cellStyle name="_斗南鎮西歧里長興街等道路挖掘修復工程(180萬98.9.11)_1_99年7月豪雨梅山鄉太興村流星巖災修工程(估價單冠英)_99年7月豪雨梅山鄉太興村流星巖災修工程(815萬-修正1)" xfId="28" xr:uid="{8BC82670-3BAA-4AF6-BA8D-8A1B79F8D3C2}"/>
    <cellStyle name="_斗南鎮西歧里長興街等道路挖掘修復工程(180萬98.9.11)_1_99年7月豪雨梅山鄉太興村流星巖災修工程(估價單冠英)_99年7月豪雨梅山鄉太興村流星巖災修工程(815萬-變更議定書)" xfId="29" xr:uid="{FC86EF2D-16D8-487B-A1BE-ADC252A199D6}"/>
    <cellStyle name="_斗南鎮西歧里長興街等道路挖掘修復工程(180萬98.9.11)_1_台3線阿婆灣景觀改造工程(600萬)" xfId="30" xr:uid="{F8B10EC1-C927-459E-A252-733EDF300A22}"/>
    <cellStyle name="_斗南鎮西歧里長興街等道路挖掘修復工程(180萬98.9.11)_1_台3線阿婆灣景觀改造工程(600萬)_000" xfId="31" xr:uid="{11E2F6A8-16D4-41F3-AFA9-36FF78716C3D}"/>
    <cellStyle name="_斗南鎮西歧里長興街等道路挖掘修復工程(180萬98.9.11)_1_台3線阿婆灣景觀改造工程(600萬)_99年7月豪雨梅山鄉太興村流星巖災修工程(815萬)" xfId="32" xr:uid="{07ADAE2A-C8FC-4E29-94A8-B94A0FDF8149}"/>
    <cellStyle name="_斗南鎮西歧里長興街等道路挖掘修復工程(180萬98.9.11)_1_台3線阿婆灣景觀改造工程(600萬)_99年7月豪雨梅山鄉太興村流星巖災修工程(815萬-正確)" xfId="33" xr:uid="{3F1D0267-D5F2-4A0D-8AD8-DE988BFB4DC4}"/>
    <cellStyle name="_斗南鎮西歧里長興街等道路挖掘修復工程(180萬98.9.11)_1_台3線阿婆灣景觀改造工程(600萬)_99年7月豪雨梅山鄉太興村流星巖災修工程(815萬-修正)" xfId="34" xr:uid="{A0D45DAA-64FE-4298-8332-94DBB706A077}"/>
    <cellStyle name="_斗南鎮西歧里長興街等道路挖掘修復工程(180萬98.9.11)_1_台3線阿婆灣景觀改造工程(600萬)_99年7月豪雨梅山鄉太興村流星巖災修工程(815萬-修正1)" xfId="35" xr:uid="{28C241D4-DB4B-4FED-82EA-8627AD2C6873}"/>
    <cellStyle name="_斗南鎮西歧里長興街等道路挖掘修復工程(180萬98.9.11)_1_台3線阿婆灣景觀改造工程(600萬)_99年7月豪雨梅山鄉太興村流星巖災修工程(815萬-變更議定書)" xfId="36" xr:uid="{2C7969B2-9128-4582-BEFE-F309EDA20309}"/>
    <cellStyle name="_斗南鎮西歧里長興街等道路挖掘修復工程(180萬98.9.11)_1_台3線阿婆灣景觀改造工程(600萬)_台3線阿婆灣景觀改造工程" xfId="37" xr:uid="{6EA9C946-B2D2-4346-9792-D3107512B51A}"/>
    <cellStyle name="_斗南鎮西歧里長興街等道路挖掘修復工程(180萬98.9.11)_1_台3線阿婆灣景觀改造工程(600萬)_台3線阿婆灣景觀改造工程(局長修正600萬)" xfId="38" xr:uid="{5FFDC1D5-9AD1-4E7F-B062-7E10DCE1B36F}"/>
    <cellStyle name="_斗南鎮西歧里長興街等道路挖掘修復工程(180萬98.9.11)_1_台3線阿婆灣景觀改造工程(600萬)_台3線阿婆灣景觀改造工程(局長修正600萬)_台3線阿婆灣景觀改造工程(局長修正600萬)" xfId="39" xr:uid="{E999402A-96A0-4A0B-9F04-DA63D0B173A5}"/>
    <cellStyle name="_斗南鎮西歧里長興街等道路挖掘修復工程(180萬98.9.11)_1_台3線阿婆灣景觀改造工程(600萬)_台3線阿婆灣景觀改造工程(局長修正600萬)_台3線阿婆灣景觀改造工程(局長修正600萬)_台3線阿婆灣景觀改造工程(變更設計正確)" xfId="40" xr:uid="{F7655FCE-EAE9-4FB2-8440-85B28C0D8E8B}"/>
    <cellStyle name="_斗南鎮西歧里長興街等道路挖掘修復工程(180萬98.9.11)_1_台3線阿婆灣景觀改造工程(600萬)_台3線阿婆灣景觀改造工程(變更設計正確)" xfId="41" xr:uid="{FB863F4E-B6AA-494F-82BC-BECB163A6222}"/>
    <cellStyle name="_斗南鎮西歧里長興街等道路挖掘修復工程(180萬98.9.11)_1_台3線阿婆灣景觀改造工程(局長修正600萬)" xfId="42" xr:uid="{37F171BE-AD4B-4A94-AA0F-A9384DB9DE3F}"/>
    <cellStyle name="_斗南鎮西歧里長興街等道路挖掘修復工程(180萬98.9.11)_1_台3線阿婆灣景觀改造工程(局長修正600萬)_台3線阿婆灣景觀改造工程(變更設計正確)" xfId="43" xr:uid="{7467E477-D2B9-43F0-955E-106F2C8324FD}"/>
    <cellStyle name="_斗南鎮西歧里長興街等道路挖掘修復工程(180萬98.9.11)_1_莫拉克風災-梅山鄉龍眼村.碧湖村.瑞峰村休閒步道及邊坡等3件災修工程(竣工正確)" xfId="44" xr:uid="{F1079D30-753F-4329-B5D8-DB64CE81371C}"/>
    <cellStyle name="_斗南鎮西歧里長興街等道路挖掘修復工程(180萬98.9.11)_1_莫拉克風災-梅山鄉龍眼村.碧湖村.瑞峰村休閒步道及邊坡等3件災修工程(竣工正確)_000" xfId="45" xr:uid="{EAAC9792-FBD3-48F0-9263-FCE5917B7235}"/>
    <cellStyle name="_斗南鎮西歧里長興街等道路挖掘修復工程(180萬98.9.11)_1_莫拉克風災-梅山鄉龍眼村.碧湖村.瑞峰村休閒步道及邊坡等3件災修工程(竣工正確)_99年7月豪雨梅山鄉太興村流星巖災修工程(815萬)" xfId="46" xr:uid="{4EEC425A-EC7F-42CD-AE53-2F2E36A86A40}"/>
    <cellStyle name="_斗南鎮西歧里長興街等道路挖掘修復工程(180萬98.9.11)_1_莫拉克風災-梅山鄉龍眼村.碧湖村.瑞峰村休閒步道及邊坡等3件災修工程(竣工正確)_99年7月豪雨梅山鄉太興村流星巖災修工程(815萬-正確)" xfId="47" xr:uid="{445250D5-7393-4A1E-BE2B-FA16ADB73571}"/>
    <cellStyle name="_斗南鎮西歧里長興街等道路挖掘修復工程(180萬98.9.11)_1_莫拉克風災-梅山鄉龍眼村.碧湖村.瑞峰村休閒步道及邊坡等3件災修工程(竣工正確)_99年7月豪雨梅山鄉太興村流星巖災修工程(815萬-修正)" xfId="48" xr:uid="{544D67D7-3440-4736-AED9-007866542156}"/>
    <cellStyle name="_斗南鎮西歧里長興街等道路挖掘修復工程(180萬98.9.11)_1_莫拉克風災-梅山鄉龍眼村.碧湖村.瑞峰村休閒步道及邊坡等3件災修工程(竣工正確)_99年7月豪雨梅山鄉太興村流星巖災修工程(815萬-修正1)" xfId="49" xr:uid="{CE164D6A-100E-4B12-BDC9-C3C7C15B740A}"/>
    <cellStyle name="_斗南鎮西歧里長興街等道路挖掘修復工程(180萬98.9.11)_1_莫拉克風災-梅山鄉龍眼村.碧湖村.瑞峰村休閒步道及邊坡等3件災修工程(竣工正確)_99年7月豪雨梅山鄉太興村流星巖災修工程(815萬-變更議定書)" xfId="50" xr:uid="{9716BC55-4132-4A5F-88E6-9F9147EC817C}"/>
    <cellStyle name="_斗南鎮西歧里長興街等道路挖掘修復工程(180萬98.9.11)_99年7月豪雨梅山鄉太興村流星巖災修工程(815萬)" xfId="51" xr:uid="{382E9271-3FEF-49E2-A240-2AFBB4FC87E6}"/>
    <cellStyle name="_斗南鎮西歧里長興街等道路挖掘修復工程(180萬98.9.11)_99年7月豪雨梅山鄉太興村流星巖災修工程(815萬)_000" xfId="52" xr:uid="{1B7AB063-C0D4-4E68-8ECF-63937E195ABE}"/>
    <cellStyle name="_斗南鎮西歧里長興街等道路挖掘修復工程(180萬98.9.11)_99年7月豪雨梅山鄉太興村流星巖災修工程(815萬)_99年7月豪雨梅山鄉太興村流星巖災修工程(815萬)" xfId="53" xr:uid="{64287317-4532-4C96-BFA8-C8C2174F3013}"/>
    <cellStyle name="_斗南鎮西歧里長興街等道路挖掘修復工程(180萬98.9.11)_99年7月豪雨梅山鄉太興村流星巖災修工程(815萬)_99年7月豪雨梅山鄉太興村流星巖災修工程(815萬-正確)" xfId="54" xr:uid="{52D3D89C-2047-4198-8178-19C7C198D6A7}"/>
    <cellStyle name="_斗南鎮西歧里長興街等道路挖掘修復工程(180萬98.9.11)_99年7月豪雨梅山鄉太興村流星巖災修工程(815萬)_99年7月豪雨梅山鄉太興村流星巖災修工程(815萬-修正)" xfId="55" xr:uid="{0DFF3801-3AAE-4724-9399-7AF631BB7715}"/>
    <cellStyle name="_斗南鎮西歧里長興街等道路挖掘修復工程(180萬98.9.11)_99年7月豪雨梅山鄉太興村流星巖災修工程(815萬)_99年7月豪雨梅山鄉太興村流星巖災修工程(815萬-修正1)" xfId="56" xr:uid="{22836A59-8A49-4792-A4A1-C5DCC0C97C17}"/>
    <cellStyle name="_斗南鎮西歧里長興街等道路挖掘修復工程(180萬98.9.11)_99年7月豪雨梅山鄉太興村流星巖災修工程(815萬)_99年7月豪雨梅山鄉太興村流星巖災修工程(815萬-變更議定書)" xfId="57" xr:uid="{72CB7CB9-5D27-4E93-BD0D-F40D8539B4EF}"/>
    <cellStyle name="_斗南鎮西歧里長興街等道路挖掘修復工程(180萬98.9.11)_99年7月豪雨梅山鄉太興村流星巖災修工程(估價單冠英)" xfId="58" xr:uid="{965283D7-E5A2-457F-8046-5A0D4AB00688}"/>
    <cellStyle name="_斗南鎮西歧里長興街等道路挖掘修復工程(180萬98.9.11)_99年7月豪雨梅山鄉太興村流星巖災修工程(估價單冠英)_000" xfId="59" xr:uid="{7ECABF9B-A528-4AE6-B198-A8F925378731}"/>
    <cellStyle name="_斗南鎮西歧里長興街等道路挖掘修復工程(180萬98.9.11)_99年7月豪雨梅山鄉太興村流星巖災修工程(估價單冠英)_99年7月豪雨梅山鄉太興村流星巖災修工程(815萬)" xfId="60" xr:uid="{636D3BD3-E583-49E9-B79C-24463ABEDB74}"/>
    <cellStyle name="_斗南鎮西歧里長興街等道路挖掘修復工程(180萬98.9.11)_99年7月豪雨梅山鄉太興村流星巖災修工程(估價單冠英)_99年7月豪雨梅山鄉太興村流星巖災修工程(815萬-正確)" xfId="61" xr:uid="{B1BD4ACE-B0EC-4D88-BCFC-C82935DD9B27}"/>
    <cellStyle name="_斗南鎮西歧里長興街等道路挖掘修復工程(180萬98.9.11)_99年7月豪雨梅山鄉太興村流星巖災修工程(估價單冠英)_99年7月豪雨梅山鄉太興村流星巖災修工程(815萬-修正)" xfId="62" xr:uid="{B51B3912-8D72-4428-B520-3D1024AB5BEE}"/>
    <cellStyle name="_斗南鎮西歧里長興街等道路挖掘修復工程(180萬98.9.11)_99年7月豪雨梅山鄉太興村流星巖災修工程(估價單冠英)_99年7月豪雨梅山鄉太興村流星巖災修工程(815萬-修正1)" xfId="63" xr:uid="{FEDD70F1-368D-4AA4-9786-CA6FB65F0EE0}"/>
    <cellStyle name="_斗南鎮西歧里長興街等道路挖掘修復工程(180萬98.9.11)_99年7月豪雨梅山鄉太興村流星巖災修工程(估價單冠英)_99年7月豪雨梅山鄉太興村流星巖災修工程(815萬-變更議定書)" xfId="64" xr:uid="{A096E609-486C-42C9-B511-3435315CDFC5}"/>
    <cellStyle name="_斗南鎮西歧里長興街等道路挖掘修復工程(180萬98.9.11)_古坑鄉中山路等路面修復工程" xfId="65" xr:uid="{63FB4244-62D6-4639-8D73-D6DEA506E5CA}"/>
    <cellStyle name="_斗南鎮西歧里長興街等道路挖掘修復工程(180萬98.9.11)_古坑鄉中山路等路面修復工程_99年7月豪雨梅山鄉太興村流星巖災修工程(815萬)" xfId="66" xr:uid="{A95CFDE1-F0FA-4DD0-8265-1EA17984812F}"/>
    <cellStyle name="_斗南鎮西歧里長興街等道路挖掘修復工程(180萬98.9.11)_古坑鄉中山路等路面修復工程_99年7月豪雨梅山鄉太興村流星巖災修工程(815萬)_000" xfId="67" xr:uid="{B0F22AC5-FB2B-4057-B66E-07B8276EC7F1}"/>
    <cellStyle name="_斗南鎮西歧里長興街等道路挖掘修復工程(180萬98.9.11)_古坑鄉中山路等路面修復工程_99年7月豪雨梅山鄉太興村流星巖災修工程(815萬)_99年7月豪雨梅山鄉太興村流星巖災修工程(815萬)" xfId="68" xr:uid="{66D48A1C-6945-46AA-BBB8-F38D392FDEFF}"/>
    <cellStyle name="_斗南鎮西歧里長興街等道路挖掘修復工程(180萬98.9.11)_古坑鄉中山路等路面修復工程_99年7月豪雨梅山鄉太興村流星巖災修工程(815萬)_99年7月豪雨梅山鄉太興村流星巖災修工程(815萬-正確)" xfId="69" xr:uid="{BB8D9277-3E1C-47E3-AA55-4A9748736745}"/>
    <cellStyle name="_斗南鎮西歧里長興街等道路挖掘修復工程(180萬98.9.11)_古坑鄉中山路等路面修復工程_99年7月豪雨梅山鄉太興村流星巖災修工程(815萬)_99年7月豪雨梅山鄉太興村流星巖災修工程(815萬-修正)" xfId="70" xr:uid="{DBF23B86-9ACA-42E6-95FA-338585337BC4}"/>
    <cellStyle name="_斗南鎮西歧里長興街等道路挖掘修復工程(180萬98.9.11)_古坑鄉中山路等路面修復工程_99年7月豪雨梅山鄉太興村流星巖災修工程(815萬)_99年7月豪雨梅山鄉太興村流星巖災修工程(815萬-修正1)" xfId="71" xr:uid="{B355AD01-9CA6-4B25-9E01-804E892E6D21}"/>
    <cellStyle name="_斗南鎮西歧里長興街等道路挖掘修復工程(180萬98.9.11)_古坑鄉中山路等路面修復工程_99年7月豪雨梅山鄉太興村流星巖災修工程(815萬)_99年7月豪雨梅山鄉太興村流星巖災修工程(815萬-變更議定書)" xfId="72" xr:uid="{AB00862B-F321-4FC8-868F-64CB7B2D5AD6}"/>
    <cellStyle name="_斗南鎮西歧里長興街等道路挖掘修復工程(180萬98.9.11)_古坑鄉中山路等路面修復工程_99年7月豪雨梅山鄉太興村流星巖災修工程(估價單冠英)" xfId="73" xr:uid="{B966AD2F-004A-4D40-AF25-4FC1CEB849F9}"/>
    <cellStyle name="_斗南鎮西歧里長興街等道路挖掘修復工程(180萬98.9.11)_古坑鄉中山路等路面修復工程_99年7月豪雨梅山鄉太興村流星巖災修工程(估價單冠英)_000" xfId="74" xr:uid="{1EC5C6A5-2816-473B-AD91-CF862BE40866}"/>
    <cellStyle name="_斗南鎮西歧里長興街等道路挖掘修復工程(180萬98.9.11)_古坑鄉中山路等路面修復工程_99年7月豪雨梅山鄉太興村流星巖災修工程(估價單冠英)_99年7月豪雨梅山鄉太興村流星巖災修工程(815萬)" xfId="75" xr:uid="{E4CBA2A6-1702-4F19-A894-9B049F845A9F}"/>
    <cellStyle name="_斗南鎮西歧里長興街等道路挖掘修復工程(180萬98.9.11)_古坑鄉中山路等路面修復工程_99年7月豪雨梅山鄉太興村流星巖災修工程(估價單冠英)_99年7月豪雨梅山鄉太興村流星巖災修工程(815萬-正確)" xfId="76" xr:uid="{BA33833A-5F3E-4349-9589-988DC4A2282D}"/>
    <cellStyle name="_斗南鎮西歧里長興街等道路挖掘修復工程(180萬98.9.11)_古坑鄉中山路等路面修復工程_99年7月豪雨梅山鄉太興村流星巖災修工程(估價單冠英)_99年7月豪雨梅山鄉太興村流星巖災修工程(815萬-修正)" xfId="77" xr:uid="{69CE3BD2-346D-4858-ADDA-ABC9E82670E9}"/>
    <cellStyle name="_斗南鎮西歧里長興街等道路挖掘修復工程(180萬98.9.11)_古坑鄉中山路等路面修復工程_99年7月豪雨梅山鄉太興村流星巖災修工程(估價單冠英)_99年7月豪雨梅山鄉太興村流星巖災修工程(815萬-修正1)" xfId="78" xr:uid="{1CA7EFBF-B6A6-4A15-94CD-E347271A61D4}"/>
    <cellStyle name="_斗南鎮西歧里長興街等道路挖掘修復工程(180萬98.9.11)_古坑鄉中山路等路面修復工程_99年7月豪雨梅山鄉太興村流星巖災修工程(估價單冠英)_99年7月豪雨梅山鄉太興村流星巖災修工程(815萬-變更議定書)" xfId="79" xr:uid="{B718C816-3CC6-408E-BF00-216ABF8224FC}"/>
    <cellStyle name="_斗南鎮西歧里長興街等道路挖掘修復工程(180萬98.9.11)_古坑鄉中山路等路面修復工程_台3線阿婆灣景觀改造工程(600萬)" xfId="80" xr:uid="{4A540EF4-967D-441B-9150-B211CA8028F7}"/>
    <cellStyle name="_斗南鎮西歧里長興街等道路挖掘修復工程(180萬98.9.11)_古坑鄉中山路等路面修復工程_台3線阿婆灣景觀改造工程(600萬)_000" xfId="81" xr:uid="{1827C5AA-DF57-4AA4-B0A1-FDD0163CF4F2}"/>
    <cellStyle name="_斗南鎮西歧里長興街等道路挖掘修復工程(180萬98.9.11)_古坑鄉中山路等路面修復工程_台3線阿婆灣景觀改造工程(600萬)_99年7月豪雨梅山鄉太興村流星巖災修工程(815萬)" xfId="82" xr:uid="{0AE79D96-FA21-4EDE-9447-D3A029A83C72}"/>
    <cellStyle name="_斗南鎮西歧里長興街等道路挖掘修復工程(180萬98.9.11)_古坑鄉中山路等路面修復工程_台3線阿婆灣景觀改造工程(600萬)_99年7月豪雨梅山鄉太興村流星巖災修工程(815萬-正確)" xfId="83" xr:uid="{53EC4CD8-987F-4D42-B9AE-AC793ED5403E}"/>
    <cellStyle name="_斗南鎮西歧里長興街等道路挖掘修復工程(180萬98.9.11)_古坑鄉中山路等路面修復工程_台3線阿婆灣景觀改造工程(600萬)_99年7月豪雨梅山鄉太興村流星巖災修工程(815萬-修正)" xfId="84" xr:uid="{E457E3EF-B221-4782-BE27-E023A9126C3C}"/>
    <cellStyle name="_斗南鎮西歧里長興街等道路挖掘修復工程(180萬98.9.11)_古坑鄉中山路等路面修復工程_台3線阿婆灣景觀改造工程(600萬)_99年7月豪雨梅山鄉太興村流星巖災修工程(815萬-修正1)" xfId="85" xr:uid="{9EB5E5D6-A754-4693-9FE0-1D07743A280F}"/>
    <cellStyle name="_斗南鎮西歧里長興街等道路挖掘修復工程(180萬98.9.11)_古坑鄉中山路等路面修復工程_台3線阿婆灣景觀改造工程(600萬)_99年7月豪雨梅山鄉太興村流星巖災修工程(815萬-變更議定書)" xfId="86" xr:uid="{9F1DEF28-7850-4FC4-9A9C-71B90336BB98}"/>
    <cellStyle name="_斗南鎮西歧里長興街等道路挖掘修復工程(180萬98.9.11)_古坑鄉中山路等路面修復工程_台3線阿婆灣景觀改造工程(600萬)_台3線阿婆灣景觀改造工程" xfId="87" xr:uid="{B4A9DE99-6594-4BA4-9B86-E3FF7490ACEF}"/>
    <cellStyle name="_斗南鎮西歧里長興街等道路挖掘修復工程(180萬98.9.11)_古坑鄉中山路等路面修復工程_台3線阿婆灣景觀改造工程(600萬)_台3線阿婆灣景觀改造工程(局長修正600萬)" xfId="88" xr:uid="{1F8A92D2-9F78-4BE1-B705-01D038D850D6}"/>
    <cellStyle name="_斗南鎮西歧里長興街等道路挖掘修復工程(180萬98.9.11)_古坑鄉中山路等路面修復工程_台3線阿婆灣景觀改造工程(600萬)_台3線阿婆灣景觀改造工程(局長修正600萬)_台3線阿婆灣景觀改造工程(局長修正600萬)" xfId="89" xr:uid="{B8A89C23-7F7A-4E5E-9224-38425ACF9E3C}"/>
    <cellStyle name="_斗南鎮西歧里長興街等道路挖掘修復工程(180萬98.9.11)_古坑鄉中山路等路面修復工程_台3線阿婆灣景觀改造工程(600萬)_台3線阿婆灣景觀改造工程(局長修正600萬)_台3線阿婆灣景觀改造工程(局長修正600萬)_台3線阿婆灣景觀改造工程(變更設計正確)" xfId="90" xr:uid="{2720F90C-2229-4AEB-B4EA-BDED605D9B37}"/>
    <cellStyle name="_斗南鎮西歧里長興街等道路挖掘修復工程(180萬98.9.11)_古坑鄉中山路等路面修復工程_台3線阿婆灣景觀改造工程(600萬)_台3線阿婆灣景觀改造工程(變更設計正確)" xfId="91" xr:uid="{28F19725-D822-4455-9252-DBDC1425F3FE}"/>
    <cellStyle name="_斗南鎮西歧里長興街等道路挖掘修復工程(180萬98.9.11)_古坑鄉中山路等路面修復工程_台3線阿婆灣景觀改造工程(局長修正600萬)" xfId="92" xr:uid="{03DA45BE-A73B-4732-9C1F-534E5794E500}"/>
    <cellStyle name="_斗南鎮西歧里長興街等道路挖掘修復工程(180萬98.9.11)_古坑鄉中山路等路面修復工程_台3線阿婆灣景觀改造工程(局長修正600萬)_台3線阿婆灣景觀改造工程(變更設計正確)" xfId="93" xr:uid="{3405E52B-B713-411E-9E55-2F1D53133A70}"/>
    <cellStyle name="_斗南鎮西歧里長興街等道路挖掘修復工程(180萬98.9.11)_古坑鄉中山路等路面修復工程_莫拉克風災-梅山鄉龍眼村.碧湖村.瑞峰村休閒步道及邊坡等3件災修工程(竣工正確)" xfId="94" xr:uid="{48920C1D-DE9D-4CC3-BD79-B6B80B038FF5}"/>
    <cellStyle name="_斗南鎮西歧里長興街等道路挖掘修復工程(180萬98.9.11)_古坑鄉中山路等路面修復工程_莫拉克風災-梅山鄉龍眼村.碧湖村.瑞峰村休閒步道及邊坡等3件災修工程(竣工正確)_000" xfId="95" xr:uid="{E7AB092A-B4E1-491B-8106-29AD392891FA}"/>
    <cellStyle name="_斗南鎮西歧里長興街等道路挖掘修復工程(180萬98.9.11)_古坑鄉中山路等路面修復工程_莫拉克風災-梅山鄉龍眼村.碧湖村.瑞峰村休閒步道及邊坡等3件災修工程(竣工正確)_99年7月豪雨梅山鄉太興村流星巖災修工程(815萬)" xfId="96" xr:uid="{EAC1102C-2AF3-4F6A-A2C0-746C9BA4168E}"/>
    <cellStyle name="_斗南鎮西歧里長興街等道路挖掘修復工程(180萬98.9.11)_古坑鄉中山路等路面修復工程_莫拉克風災-梅山鄉龍眼村.碧湖村.瑞峰村休閒步道及邊坡等3件災修工程(竣工正確)_99年7月豪雨梅山鄉太興村流星巖災修工程(815萬-正確)" xfId="97" xr:uid="{2E8B5659-C8F4-4FE0-88C0-4A3266F28246}"/>
    <cellStyle name="_斗南鎮西歧里長興街等道路挖掘修復工程(180萬98.9.11)_古坑鄉中山路等路面修復工程_莫拉克風災-梅山鄉龍眼村.碧湖村.瑞峰村休閒步道及邊坡等3件災修工程(竣工正確)_99年7月豪雨梅山鄉太興村流星巖災修工程(815萬-修正)" xfId="98" xr:uid="{7DF165C2-C783-4F6A-BBFD-6293EFB2A546}"/>
    <cellStyle name="_斗南鎮西歧里長興街等道路挖掘修復工程(180萬98.9.11)_古坑鄉中山路等路面修復工程_莫拉克風災-梅山鄉龍眼村.碧湖村.瑞峰村休閒步道及邊坡等3件災修工程(竣工正確)_99年7月豪雨梅山鄉太興村流星巖災修工程(815萬-修正1)" xfId="99" xr:uid="{8CF9360D-B354-4DB6-8D9A-F48E21536F52}"/>
    <cellStyle name="_斗南鎮西歧里長興街等道路挖掘修復工程(180萬98.9.11)_古坑鄉中山路等路面修復工程_莫拉克風災-梅山鄉龍眼村.碧湖村.瑞峰村休閒步道及邊坡等3件災修工程(竣工正確)_99年7月豪雨梅山鄉太興村流星巖災修工程(815萬-變更議定書)" xfId="100" xr:uid="{5ECA1FFC-F2E0-42DA-9C5E-8EA4D403FFD5}"/>
    <cellStyle name="_斗南鎮西歧里長興街等道路挖掘修復工程(180萬98.9.11)_台3線阿婆灣景觀改造工程(600萬)" xfId="101" xr:uid="{4CFF0F2D-4C86-41C4-86ED-860052777D13}"/>
    <cellStyle name="_斗南鎮西歧里長興街等道路挖掘修復工程(180萬98.9.11)_台3線阿婆灣景觀改造工程(600萬)_000" xfId="102" xr:uid="{603481B8-4923-4DB9-B065-5130EA936E44}"/>
    <cellStyle name="_斗南鎮西歧里長興街等道路挖掘修復工程(180萬98.9.11)_台3線阿婆灣景觀改造工程(600萬)_99年7月豪雨梅山鄉太興村流星巖災修工程(815萬)" xfId="103" xr:uid="{13835D95-150A-44DA-A5BC-192CD836CEEA}"/>
    <cellStyle name="_斗南鎮西歧里長興街等道路挖掘修復工程(180萬98.9.11)_台3線阿婆灣景觀改造工程(600萬)_99年7月豪雨梅山鄉太興村流星巖災修工程(815萬-正確)" xfId="104" xr:uid="{98086995-49FB-42C6-81E4-04184E42DBFC}"/>
    <cellStyle name="_斗南鎮西歧里長興街等道路挖掘修復工程(180萬98.9.11)_台3線阿婆灣景觀改造工程(600萬)_99年7月豪雨梅山鄉太興村流星巖災修工程(815萬-修正)" xfId="105" xr:uid="{30C05953-15DF-453A-BCCA-0C59046D0026}"/>
    <cellStyle name="_斗南鎮西歧里長興街等道路挖掘修復工程(180萬98.9.11)_台3線阿婆灣景觀改造工程(600萬)_99年7月豪雨梅山鄉太興村流星巖災修工程(815萬-修正1)" xfId="106" xr:uid="{89290BBB-F1D4-4779-877B-42AADC1F8222}"/>
    <cellStyle name="_斗南鎮西歧里長興街等道路挖掘修復工程(180萬98.9.11)_台3線阿婆灣景觀改造工程(600萬)_99年7月豪雨梅山鄉太興村流星巖災修工程(815萬-變更議定書)" xfId="107" xr:uid="{02679A89-2C5C-4625-922E-849DD961C361}"/>
    <cellStyle name="_斗南鎮西歧里長興街等道路挖掘修復工程(180萬98.9.11)_台3線阿婆灣景觀改造工程(600萬)_台3線阿婆灣景觀改造工程" xfId="108" xr:uid="{4C920D8A-6AA6-4EE4-B28E-351D0827F3B8}"/>
    <cellStyle name="_斗南鎮西歧里長興街等道路挖掘修復工程(180萬98.9.11)_台3線阿婆灣景觀改造工程(600萬)_台3線阿婆灣景觀改造工程(局長修正600萬)" xfId="109" xr:uid="{F3ABC628-4CA3-48F9-9864-BD07FEA0CD4E}"/>
    <cellStyle name="_斗南鎮西歧里長興街等道路挖掘修復工程(180萬98.9.11)_台3線阿婆灣景觀改造工程(600萬)_台3線阿婆灣景觀改造工程(局長修正600萬)_台3線阿婆灣景觀改造工程(局長修正600萬)" xfId="110" xr:uid="{506F4D30-3003-426C-8AF1-5121874D6E9D}"/>
    <cellStyle name="_斗南鎮西歧里長興街等道路挖掘修復工程(180萬98.9.11)_台3線阿婆灣景觀改造工程(600萬)_台3線阿婆灣景觀改造工程(局長修正600萬)_台3線阿婆灣景觀改造工程(局長修正600萬)_台3線阿婆灣景觀改造工程(變更設計正確)" xfId="111" xr:uid="{36D94C6B-3D69-42ED-A2B1-00C796DE27AF}"/>
    <cellStyle name="_斗南鎮西歧里長興街等道路挖掘修復工程(180萬98.9.11)_台3線阿婆灣景觀改造工程(600萬)_台3線阿婆灣景觀改造工程(變更設計正確)" xfId="112" xr:uid="{F913A76D-2782-47C1-A9F8-C0E85878402F}"/>
    <cellStyle name="_斗南鎮西歧里長興街等道路挖掘修復工程(180萬98.9.11)_台3線阿婆灣景觀改造工程(局長修正600萬)" xfId="113" xr:uid="{F01C3925-759B-40DB-85A9-1D1FA8FAB02E}"/>
    <cellStyle name="_斗南鎮西歧里長興街等道路挖掘修復工程(180萬98.9.11)_台3線阿婆灣景觀改造工程(局長修正600萬)_台3線阿婆灣景觀改造工程(變更設計正確)" xfId="114" xr:uid="{214E2BE5-66EC-4822-9AF1-0047C4D22A2B}"/>
    <cellStyle name="_斗南鎮西歧里長興街等道路挖掘修復工程(180萬98.9.11)_莫拉克風災-梅山鄉龍眼村.碧湖村.瑞峰村休閒步道及邊坡等3件災修工程(竣工正確)" xfId="115" xr:uid="{2E15D945-7345-40EB-AFD4-23167520DC1A}"/>
    <cellStyle name="_斗南鎮西歧里長興街等道路挖掘修復工程(180萬98.9.11)_莫拉克風災-梅山鄉龍眼村.碧湖村.瑞峰村休閒步道及邊坡等3件災修工程(竣工正確)_000" xfId="116" xr:uid="{1E9FBB71-623E-4DC8-B70B-23B92A792B8A}"/>
    <cellStyle name="_斗南鎮西歧里長興街等道路挖掘修復工程(180萬98.9.11)_莫拉克風災-梅山鄉龍眼村.碧湖村.瑞峰村休閒步道及邊坡等3件災修工程(竣工正確)_99年7月豪雨梅山鄉太興村流星巖災修工程(815萬)" xfId="117" xr:uid="{8DCC8556-CA43-4F43-98ED-3268FDB28D05}"/>
    <cellStyle name="_斗南鎮西歧里長興街等道路挖掘修復工程(180萬98.9.11)_莫拉克風災-梅山鄉龍眼村.碧湖村.瑞峰村休閒步道及邊坡等3件災修工程(竣工正確)_99年7月豪雨梅山鄉太興村流星巖災修工程(815萬-正確)" xfId="118" xr:uid="{DA65AB57-FDE0-4F26-91A9-D08730837E0F}"/>
    <cellStyle name="_斗南鎮西歧里長興街等道路挖掘修復工程(180萬98.9.11)_莫拉克風災-梅山鄉龍眼村.碧湖村.瑞峰村休閒步道及邊坡等3件災修工程(竣工正確)_99年7月豪雨梅山鄉太興村流星巖災修工程(815萬-修正)" xfId="119" xr:uid="{8B2C1691-20D8-4996-840D-144662248DDE}"/>
    <cellStyle name="_斗南鎮西歧里長興街等道路挖掘修復工程(180萬98.9.11)_莫拉克風災-梅山鄉龍眼村.碧湖村.瑞峰村休閒步道及邊坡等3件災修工程(竣工正確)_99年7月豪雨梅山鄉太興村流星巖災修工程(815萬-修正1)" xfId="120" xr:uid="{BD3B1D22-6E48-4301-918B-23DB628D395B}"/>
    <cellStyle name="_斗南鎮西歧里長興街等道路挖掘修復工程(180萬98.9.11)_莫拉克風災-梅山鄉龍眼村.碧湖村.瑞峰村休閒步道及邊坡等3件災修工程(竣工正確)_99年7月豪雨梅山鄉太興村流星巖災修工程(815萬-變更議定書)" xfId="121" xr:uid="{A6AF8FA2-5C04-4252-B523-F4340840226C}"/>
    <cellStyle name="_斗南鎮西歧里長興街等道路挖掘修復工程(180萬98.9.11)_竣工-古坑鄉中山路等路面修復工程" xfId="122" xr:uid="{D8D2595C-1C6D-4C3A-A1BB-0FA73F178B2C}"/>
    <cellStyle name="_斗南鎮西歧里長興街等道路挖掘修復工程(180萬98.9.11)_竣工-古坑鄉中山路等路面修復工程_99年7月豪雨梅山鄉太興村流星巖災修工程(815萬)" xfId="123" xr:uid="{A58B7C2B-5E7F-4AFC-9DF5-CEE43CAF622A}"/>
    <cellStyle name="_斗南鎮西歧里長興街等道路挖掘修復工程(180萬98.9.11)_竣工-古坑鄉中山路等路面修復工程_99年7月豪雨梅山鄉太興村流星巖災修工程(815萬)_000" xfId="124" xr:uid="{95729AF6-2284-455B-A284-8B1879EFD92B}"/>
    <cellStyle name="_斗南鎮西歧里長興街等道路挖掘修復工程(180萬98.9.11)_竣工-古坑鄉中山路等路面修復工程_99年7月豪雨梅山鄉太興村流星巖災修工程(815萬)_99年7月豪雨梅山鄉太興村流星巖災修工程(815萬)" xfId="125" xr:uid="{03E27B4B-9F6B-41E5-9DEF-791831E9DA51}"/>
    <cellStyle name="_斗南鎮西歧里長興街等道路挖掘修復工程(180萬98.9.11)_竣工-古坑鄉中山路等路面修復工程_99年7月豪雨梅山鄉太興村流星巖災修工程(815萬)_99年7月豪雨梅山鄉太興村流星巖災修工程(815萬-正確)" xfId="126" xr:uid="{F86D05BE-F1F1-4E74-9904-2F19B13A9BEA}"/>
    <cellStyle name="_斗南鎮西歧里長興街等道路挖掘修復工程(180萬98.9.11)_竣工-古坑鄉中山路等路面修復工程_99年7月豪雨梅山鄉太興村流星巖災修工程(815萬)_99年7月豪雨梅山鄉太興村流星巖災修工程(815萬-修正)" xfId="127" xr:uid="{B88C2607-6847-4BC6-8E01-C41DA2FDCA08}"/>
    <cellStyle name="_斗南鎮西歧里長興街等道路挖掘修復工程(180萬98.9.11)_竣工-古坑鄉中山路等路面修復工程_99年7月豪雨梅山鄉太興村流星巖災修工程(815萬)_99年7月豪雨梅山鄉太興村流星巖災修工程(815萬-修正1)" xfId="128" xr:uid="{047B4FED-D605-4513-B108-C39675075536}"/>
    <cellStyle name="_斗南鎮西歧里長興街等道路挖掘修復工程(180萬98.9.11)_竣工-古坑鄉中山路等路面修復工程_99年7月豪雨梅山鄉太興村流星巖災修工程(815萬)_99年7月豪雨梅山鄉太興村流星巖災修工程(815萬-變更議定書)" xfId="129" xr:uid="{5E7F3744-D7B3-4A84-80DC-992BBCE5CFF8}"/>
    <cellStyle name="_斗南鎮西歧里長興街等道路挖掘修復工程(180萬98.9.11)_竣工-古坑鄉中山路等路面修復工程_99年7月豪雨梅山鄉太興村流星巖災修工程(估價單冠英)" xfId="130" xr:uid="{271E3DEF-4F4A-4FD1-8837-A58B46C1F0C4}"/>
    <cellStyle name="_斗南鎮西歧里長興街等道路挖掘修復工程(180萬98.9.11)_竣工-古坑鄉中山路等路面修復工程_99年7月豪雨梅山鄉太興村流星巖災修工程(估價單冠英)_000" xfId="131" xr:uid="{AC737B14-B67E-4509-9991-67097A204D9B}"/>
    <cellStyle name="_斗南鎮西歧里長興街等道路挖掘修復工程(180萬98.9.11)_竣工-古坑鄉中山路等路面修復工程_99年7月豪雨梅山鄉太興村流星巖災修工程(估價單冠英)_99年7月豪雨梅山鄉太興村流星巖災修工程(815萬)" xfId="132" xr:uid="{0983088B-1E98-480C-ABF1-6546B46396D6}"/>
    <cellStyle name="_斗南鎮西歧里長興街等道路挖掘修復工程(180萬98.9.11)_竣工-古坑鄉中山路等路面修復工程_99年7月豪雨梅山鄉太興村流星巖災修工程(估價單冠英)_99年7月豪雨梅山鄉太興村流星巖災修工程(815萬-正確)" xfId="133" xr:uid="{181F0C07-D535-458C-A26B-DE86037D749C}"/>
    <cellStyle name="_斗南鎮西歧里長興街等道路挖掘修復工程(180萬98.9.11)_竣工-古坑鄉中山路等路面修復工程_99年7月豪雨梅山鄉太興村流星巖災修工程(估價單冠英)_99年7月豪雨梅山鄉太興村流星巖災修工程(815萬-修正)" xfId="134" xr:uid="{BD9DA2C2-FFBD-42E4-8C99-E5B4B618B502}"/>
    <cellStyle name="_斗南鎮西歧里長興街等道路挖掘修復工程(180萬98.9.11)_竣工-古坑鄉中山路等路面修復工程_99年7月豪雨梅山鄉太興村流星巖災修工程(估價單冠英)_99年7月豪雨梅山鄉太興村流星巖災修工程(815萬-修正1)" xfId="135" xr:uid="{89E73B29-A0F7-47AE-85CF-F670A2B8B970}"/>
    <cellStyle name="_斗南鎮西歧里長興街等道路挖掘修復工程(180萬98.9.11)_竣工-古坑鄉中山路等路面修復工程_99年7月豪雨梅山鄉太興村流星巖災修工程(估價單冠英)_99年7月豪雨梅山鄉太興村流星巖災修工程(815萬-變更議定書)" xfId="136" xr:uid="{54BAF4E6-E29D-4F10-8A78-D67065E34B49}"/>
    <cellStyle name="_斗南鎮西歧里長興街等道路挖掘修復工程(180萬98.9.11)_竣工-古坑鄉中山路等路面修復工程_台3線阿婆灣景觀改造工程(600萬)" xfId="137" xr:uid="{16289B94-98C3-4CC4-9C8C-4537D4EE8FD2}"/>
    <cellStyle name="_斗南鎮西歧里長興街等道路挖掘修復工程(180萬98.9.11)_竣工-古坑鄉中山路等路面修復工程_台3線阿婆灣景觀改造工程(600萬)_000" xfId="138" xr:uid="{D8E0740F-3E0B-48A2-908C-A3382A68C0F0}"/>
    <cellStyle name="_斗南鎮西歧里長興街等道路挖掘修復工程(180萬98.9.11)_竣工-古坑鄉中山路等路面修復工程_台3線阿婆灣景觀改造工程(600萬)_99年7月豪雨梅山鄉太興村流星巖災修工程(815萬)" xfId="139" xr:uid="{EF50D1C9-68DE-4BCB-9FCA-E12052FAB51D}"/>
    <cellStyle name="_斗南鎮西歧里長興街等道路挖掘修復工程(180萬98.9.11)_竣工-古坑鄉中山路等路面修復工程_台3線阿婆灣景觀改造工程(600萬)_99年7月豪雨梅山鄉太興村流星巖災修工程(815萬-正確)" xfId="140" xr:uid="{BA9FB853-B705-414B-AC1F-857B3589B1B0}"/>
    <cellStyle name="_斗南鎮西歧里長興街等道路挖掘修復工程(180萬98.9.11)_竣工-古坑鄉中山路等路面修復工程_台3線阿婆灣景觀改造工程(600萬)_99年7月豪雨梅山鄉太興村流星巖災修工程(815萬-修正)" xfId="141" xr:uid="{BC79F4C1-E3C7-4346-B95C-35F0C9A59E22}"/>
    <cellStyle name="_斗南鎮西歧里長興街等道路挖掘修復工程(180萬98.9.11)_竣工-古坑鄉中山路等路面修復工程_台3線阿婆灣景觀改造工程(600萬)_99年7月豪雨梅山鄉太興村流星巖災修工程(815萬-修正1)" xfId="142" xr:uid="{ABBECE88-BB71-437C-9652-3383D40838ED}"/>
    <cellStyle name="_斗南鎮西歧里長興街等道路挖掘修復工程(180萬98.9.11)_竣工-古坑鄉中山路等路面修復工程_台3線阿婆灣景觀改造工程(600萬)_99年7月豪雨梅山鄉太興村流星巖災修工程(815萬-變更議定書)" xfId="143" xr:uid="{2BA5BE45-6B8F-4F05-9A91-024E1D08BFED}"/>
    <cellStyle name="_斗南鎮西歧里長興街等道路挖掘修復工程(180萬98.9.11)_竣工-古坑鄉中山路等路面修復工程_台3線阿婆灣景觀改造工程(600萬)_台3線阿婆灣景觀改造工程" xfId="144" xr:uid="{D9209923-2A84-460C-B304-908F1B789024}"/>
    <cellStyle name="_斗南鎮西歧里長興街等道路挖掘修復工程(180萬98.9.11)_竣工-古坑鄉中山路等路面修復工程_台3線阿婆灣景觀改造工程(600萬)_台3線阿婆灣景觀改造工程(局長修正600萬)" xfId="145" xr:uid="{4881CB92-E83D-4CAA-A886-3047A11F0AD7}"/>
    <cellStyle name="_斗南鎮西歧里長興街等道路挖掘修復工程(180萬98.9.11)_竣工-古坑鄉中山路等路面修復工程_台3線阿婆灣景觀改造工程(600萬)_台3線阿婆灣景觀改造工程(局長修正600萬)_台3線阿婆灣景觀改造工程(局長修正600萬)" xfId="146" xr:uid="{A34605D0-A5FB-46F9-8DAE-FDE915BF033C}"/>
    <cellStyle name="_斗南鎮西歧里長興街等道路挖掘修復工程(180萬98.9.11)_竣工-古坑鄉中山路等路面修復工程_台3線阿婆灣景觀改造工程(600萬)_台3線阿婆灣景觀改造工程(局長修正600萬)_台3線阿婆灣景觀改造工程(局長修正600萬)_台3線阿婆灣景觀改造工程(變更設計正確)" xfId="147" xr:uid="{43AE0114-FDF8-4B85-BD18-9E3638B799F7}"/>
    <cellStyle name="_斗南鎮西歧里長興街等道路挖掘修復工程(180萬98.9.11)_竣工-古坑鄉中山路等路面修復工程_台3線阿婆灣景觀改造工程(600萬)_台3線阿婆灣景觀改造工程(變更設計正確)" xfId="148" xr:uid="{0CB84D80-9DCB-4C1E-BAC2-35980AC2CEF9}"/>
    <cellStyle name="_斗南鎮西歧里長興街等道路挖掘修復工程(180萬98.9.11)_竣工-古坑鄉中山路等路面修復工程_台3線阿婆灣景觀改造工程(局長修正600萬)" xfId="149" xr:uid="{C79BFFF3-0512-4900-88D3-D3DECE37F1EA}"/>
    <cellStyle name="_斗南鎮西歧里長興街等道路挖掘修復工程(180萬98.9.11)_竣工-古坑鄉中山路等路面修復工程_台3線阿婆灣景觀改造工程(局長修正600萬)_台3線阿婆灣景觀改造工程(變更設計正確)" xfId="150" xr:uid="{3B2EFFE5-5130-464C-8FF8-68C32CA53588}"/>
    <cellStyle name="_斗南鎮西歧里長興街等道路挖掘修復工程(180萬98.9.11)_竣工-古坑鄉中山路等路面修復工程_莫拉克風災-梅山鄉龍眼村.碧湖村.瑞峰村休閒步道及邊坡等3件災修工程(竣工正確)" xfId="151" xr:uid="{0D2E8B7D-00E7-4D8B-AA1D-6337F6ED7333}"/>
    <cellStyle name="_斗南鎮西歧里長興街等道路挖掘修復工程(180萬98.9.11)_竣工-古坑鄉中山路等路面修復工程_莫拉克風災-梅山鄉龍眼村.碧湖村.瑞峰村休閒步道及邊坡等3件災修工程(竣工正確)_000" xfId="152" xr:uid="{CCC7EB80-03F6-4E0E-9AA8-CACB03799DAC}"/>
    <cellStyle name="_斗南鎮西歧里長興街等道路挖掘修復工程(180萬98.9.11)_竣工-古坑鄉中山路等路面修復工程_莫拉克風災-梅山鄉龍眼村.碧湖村.瑞峰村休閒步道及邊坡等3件災修工程(竣工正確)_99年7月豪雨梅山鄉太興村流星巖災修工程(815萬)" xfId="153" xr:uid="{410CEF46-EB63-4C13-80F0-BF12DD94EC78}"/>
    <cellStyle name="_斗南鎮西歧里長興街等道路挖掘修復工程(180萬98.9.11)_竣工-古坑鄉中山路等路面修復工程_莫拉克風災-梅山鄉龍眼村.碧湖村.瑞峰村休閒步道及邊坡等3件災修工程(竣工正確)_99年7月豪雨梅山鄉太興村流星巖災修工程(815萬-正確)" xfId="154" xr:uid="{6AABD76B-8902-46B8-990F-56DF5B9A50AE}"/>
    <cellStyle name="_斗南鎮西歧里長興街等道路挖掘修復工程(180萬98.9.11)_竣工-古坑鄉中山路等路面修復工程_莫拉克風災-梅山鄉龍眼村.碧湖村.瑞峰村休閒步道及邊坡等3件災修工程(竣工正確)_99年7月豪雨梅山鄉太興村流星巖災修工程(815萬-修正)" xfId="155" xr:uid="{41CDE2CD-AE35-4FEF-B681-41A9C66DCB8B}"/>
    <cellStyle name="_斗南鎮西歧里長興街等道路挖掘修復工程(180萬98.9.11)_竣工-古坑鄉中山路等路面修復工程_莫拉克風災-梅山鄉龍眼村.碧湖村.瑞峰村休閒步道及邊坡等3件災修工程(竣工正確)_99年7月豪雨梅山鄉太興村流星巖災修工程(815萬-修正1)" xfId="156" xr:uid="{C9046F3B-3D76-49A8-817A-E5CEE85D2A5F}"/>
    <cellStyle name="_斗南鎮西歧里長興街等道路挖掘修復工程(180萬98.9.11)_竣工-古坑鄉中山路等路面修復工程_莫拉克風災-梅山鄉龍眼村.碧湖村.瑞峰村休閒步道及邊坡等3件災修工程(竣工正確)_99年7月豪雨梅山鄉太興村流星巖災修工程(815萬-變更議定書)" xfId="157" xr:uid="{1FD5B0B4-97E0-446A-A9D7-D9C29085AB2B}"/>
    <cellStyle name="_斗南鎮林子.石龜里新闢公園週邊RC路面及四維路46巷排水溝改善工程" xfId="158" xr:uid="{05E8B6A0-9B0A-42A1-9EFA-BECE3DD890C0}"/>
    <cellStyle name="_斗南鎮阿丹里部落排水溝改善工程(正確130萬)" xfId="159" xr:uid="{43302EC1-1A93-40D1-897E-E7DC52C0B18F}"/>
    <cellStyle name="_斗南鎮阿丹里部落排水溝改善工程(正確130萬)_99年7月豪雨梅山鄉太興村流星巖災修工程(815萬)" xfId="160" xr:uid="{C900D4C9-5871-4DE0-BED0-B2BDA7D3D725}"/>
    <cellStyle name="_斗南鎮阿丹里部落排水溝改善工程(正確130萬)_99年7月豪雨梅山鄉太興村流星巖災修工程(815萬)_000" xfId="161" xr:uid="{FCFD802E-CE48-4C54-88F5-B4F99B95D3CF}"/>
    <cellStyle name="_斗南鎮阿丹里部落排水溝改善工程(正確130萬)_99年7月豪雨梅山鄉太興村流星巖災修工程(815萬)_99年7月豪雨梅山鄉太興村流星巖災修工程(815萬)" xfId="162" xr:uid="{537C53FE-216C-44EB-815B-80C73048A94E}"/>
    <cellStyle name="_斗南鎮阿丹里部落排水溝改善工程(正確130萬)_99年7月豪雨梅山鄉太興村流星巖災修工程(815萬)_99年7月豪雨梅山鄉太興村流星巖災修工程(815萬-正確)" xfId="163" xr:uid="{0ACB67BA-DA63-4CC2-A924-265C2A3E4F66}"/>
    <cellStyle name="_斗南鎮阿丹里部落排水溝改善工程(正確130萬)_99年7月豪雨梅山鄉太興村流星巖災修工程(815萬)_99年7月豪雨梅山鄉太興村流星巖災修工程(815萬-修正)" xfId="164" xr:uid="{9CA40B0B-883F-4841-8812-C6FD92FD1ECF}"/>
    <cellStyle name="_斗南鎮阿丹里部落排水溝改善工程(正確130萬)_99年7月豪雨梅山鄉太興村流星巖災修工程(815萬)_99年7月豪雨梅山鄉太興村流星巖災修工程(815萬-修正1)" xfId="165" xr:uid="{1A69B9BF-A44F-41DD-98F2-3E4D068C5A83}"/>
    <cellStyle name="_斗南鎮阿丹里部落排水溝改善工程(正確130萬)_99年7月豪雨梅山鄉太興村流星巖災修工程(815萬)_99年7月豪雨梅山鄉太興村流星巖災修工程(815萬-變更議定書)" xfId="166" xr:uid="{2F4E98A2-74D2-49A3-9A5F-5266F0D4B6BC}"/>
    <cellStyle name="_斗南鎮阿丹里部落排水溝改善工程(正確130萬)_99年7月豪雨梅山鄉太興村流星巖災修工程(估價單冠英)" xfId="167" xr:uid="{9DA74A46-1B01-43CD-9D48-5B15C72F2BA0}"/>
    <cellStyle name="_斗南鎮阿丹里部落排水溝改善工程(正確130萬)_99年7月豪雨梅山鄉太興村流星巖災修工程(估價單冠英)_000" xfId="168" xr:uid="{1EB35D9C-25CB-49A2-B458-8CAC14AD3871}"/>
    <cellStyle name="_斗南鎮阿丹里部落排水溝改善工程(正確130萬)_99年7月豪雨梅山鄉太興村流星巖災修工程(估價單冠英)_99年7月豪雨梅山鄉太興村流星巖災修工程(815萬)" xfId="169" xr:uid="{C41D1718-D109-43F6-9816-32BB9A40515A}"/>
    <cellStyle name="_斗南鎮阿丹里部落排水溝改善工程(正確130萬)_99年7月豪雨梅山鄉太興村流星巖災修工程(估價單冠英)_99年7月豪雨梅山鄉太興村流星巖災修工程(815萬-正確)" xfId="170" xr:uid="{B3822590-0E08-4BE7-BA93-5E427AE45140}"/>
    <cellStyle name="_斗南鎮阿丹里部落排水溝改善工程(正確130萬)_99年7月豪雨梅山鄉太興村流星巖災修工程(估價單冠英)_99年7月豪雨梅山鄉太興村流星巖災修工程(815萬-修正)" xfId="171" xr:uid="{90585E77-A778-400F-839A-80A48319C957}"/>
    <cellStyle name="_斗南鎮阿丹里部落排水溝改善工程(正確130萬)_99年7月豪雨梅山鄉太興村流星巖災修工程(估價單冠英)_99年7月豪雨梅山鄉太興村流星巖災修工程(815萬-修正1)" xfId="172" xr:uid="{8F0649E9-5925-40E6-9EB8-0ACBC78229B6}"/>
    <cellStyle name="_斗南鎮阿丹里部落排水溝改善工程(正確130萬)_99年7月豪雨梅山鄉太興村流星巖災修工程(估價單冠英)_99年7月豪雨梅山鄉太興村流星巖災修工程(815萬-變更議定書)" xfId="173" xr:uid="{BAE8D963-AFCF-4EC2-888D-291E13995FEB}"/>
    <cellStyle name="_斗南鎮阿丹里部落排水溝改善工程(正確130萬)_台3線阿婆灣景觀改造工程(600萬)" xfId="174" xr:uid="{9203B2BF-AE0A-40C1-B725-C50F356B61DB}"/>
    <cellStyle name="_斗南鎮阿丹里部落排水溝改善工程(正確130萬)_台3線阿婆灣景觀改造工程(600萬)_000" xfId="175" xr:uid="{1A140AA0-B4AA-4FE2-9498-7D5289A4E753}"/>
    <cellStyle name="_斗南鎮阿丹里部落排水溝改善工程(正確130萬)_台3線阿婆灣景觀改造工程(600萬)_99年7月豪雨梅山鄉太興村流星巖災修工程(815萬)" xfId="176" xr:uid="{BE11DBA6-722C-4FE7-8D3A-CC5E5DA29414}"/>
    <cellStyle name="_斗南鎮阿丹里部落排水溝改善工程(正確130萬)_台3線阿婆灣景觀改造工程(600萬)_99年7月豪雨梅山鄉太興村流星巖災修工程(815萬-正確)" xfId="177" xr:uid="{F43B6F87-2244-459D-A031-716E0AF0E7EB}"/>
    <cellStyle name="_斗南鎮阿丹里部落排水溝改善工程(正確130萬)_台3線阿婆灣景觀改造工程(600萬)_99年7月豪雨梅山鄉太興村流星巖災修工程(815萬-修正)" xfId="178" xr:uid="{3EF9C6FF-0CAA-490F-B440-C793F2749B6A}"/>
    <cellStyle name="_斗南鎮阿丹里部落排水溝改善工程(正確130萬)_台3線阿婆灣景觀改造工程(600萬)_99年7月豪雨梅山鄉太興村流星巖災修工程(815萬-修正1)" xfId="179" xr:uid="{6A17B6F7-F521-490E-8E08-E2A639FC2703}"/>
    <cellStyle name="_斗南鎮阿丹里部落排水溝改善工程(正確130萬)_台3線阿婆灣景觀改造工程(600萬)_99年7月豪雨梅山鄉太興村流星巖災修工程(815萬-變更議定書)" xfId="180" xr:uid="{310FDB98-53A4-4534-BCAB-F86E93E0E3E8}"/>
    <cellStyle name="_斗南鎮阿丹里部落排水溝改善工程(正確130萬)_台3線阿婆灣景觀改造工程(600萬)_台3線阿婆灣景觀改造工程" xfId="181" xr:uid="{AF4B931F-BF7C-45E8-84C0-366BFE7B754C}"/>
    <cellStyle name="_斗南鎮阿丹里部落排水溝改善工程(正確130萬)_台3線阿婆灣景觀改造工程(600萬)_台3線阿婆灣景觀改造工程(局長修正600萬)" xfId="182" xr:uid="{E6A70F65-3BA7-42DA-8CB4-2D911E3B5AAC}"/>
    <cellStyle name="_斗南鎮阿丹里部落排水溝改善工程(正確130萬)_台3線阿婆灣景觀改造工程(600萬)_台3線阿婆灣景觀改造工程(局長修正600萬)_台3線阿婆灣景觀改造工程(局長修正600萬)" xfId="183" xr:uid="{7F0CB9DF-8C4B-454F-B29F-FF1914DE2CC5}"/>
    <cellStyle name="_斗南鎮阿丹里部落排水溝改善工程(正確130萬)_台3線阿婆灣景觀改造工程(600萬)_台3線阿婆灣景觀改造工程(局長修正600萬)_台3線阿婆灣景觀改造工程(局長修正600萬)_台3線阿婆灣景觀改造工程(變更設計正確)" xfId="184" xr:uid="{33526C99-AE0B-49AF-B4DB-188A4DDE280F}"/>
    <cellStyle name="_斗南鎮阿丹里部落排水溝改善工程(正確130萬)_台3線阿婆灣景觀改造工程(600萬)_台3線阿婆灣景觀改造工程(變更設計正確)" xfId="185" xr:uid="{804944F3-F72D-4A77-8AC5-6BC9A31D2D05}"/>
    <cellStyle name="_斗南鎮阿丹里部落排水溝改善工程(正確130萬)_台3線阿婆灣景觀改造工程(局長修正600萬)" xfId="186" xr:uid="{91A3DE98-BF4D-4BAA-B2CB-5E05C6F4BBB0}"/>
    <cellStyle name="_斗南鎮阿丹里部落排水溝改善工程(正確130萬)_台3線阿婆灣景觀改造工程(局長修正600萬)_台3線阿婆灣景觀改造工程(變更設計正確)" xfId="187" xr:uid="{74A34130-6F9A-4CDD-95D2-029B46149AB9}"/>
    <cellStyle name="_斗南鎮阿丹里部落排水溝改善工程(正確130萬)_莫拉克風災-梅山鄉龍眼村.碧湖村.瑞峰村休閒步道及邊坡等3件災修工程(竣工正確)" xfId="188" xr:uid="{F2FD0CD5-8272-46AA-9FFB-3D755E806B69}"/>
    <cellStyle name="_斗南鎮阿丹里部落排水溝改善工程(正確130萬)_莫拉克風災-梅山鄉龍眼村.碧湖村.瑞峰村休閒步道及邊坡等3件災修工程(竣工正確)_000" xfId="189" xr:uid="{212E68E6-89A8-4666-955E-AEB9BCDCC843}"/>
    <cellStyle name="_斗南鎮阿丹里部落排水溝改善工程(正確130萬)_莫拉克風災-梅山鄉龍眼村.碧湖村.瑞峰村休閒步道及邊坡等3件災修工程(竣工正確)_99年7月豪雨梅山鄉太興村流星巖災修工程(815萬)" xfId="190" xr:uid="{320CBDCB-6BB6-4A20-9565-32F1A8540B5E}"/>
    <cellStyle name="_斗南鎮阿丹里部落排水溝改善工程(正確130萬)_莫拉克風災-梅山鄉龍眼村.碧湖村.瑞峰村休閒步道及邊坡等3件災修工程(竣工正確)_99年7月豪雨梅山鄉太興村流星巖災修工程(815萬-正確)" xfId="191" xr:uid="{5303CB11-2C66-4884-857F-BBB98031E5A6}"/>
    <cellStyle name="_斗南鎮阿丹里部落排水溝改善工程(正確130萬)_莫拉克風災-梅山鄉龍眼村.碧湖村.瑞峰村休閒步道及邊坡等3件災修工程(竣工正確)_99年7月豪雨梅山鄉太興村流星巖災修工程(815萬-修正)" xfId="192" xr:uid="{D311E84C-3D81-493B-AF19-CD1DB9D3BF1D}"/>
    <cellStyle name="_斗南鎮阿丹里部落排水溝改善工程(正確130萬)_莫拉克風災-梅山鄉龍眼村.碧湖村.瑞峰村休閒步道及邊坡等3件災修工程(竣工正確)_99年7月豪雨梅山鄉太興村流星巖災修工程(815萬-修正1)" xfId="193" xr:uid="{B2B97032-09A9-4559-AE03-0A95DA2B42E2}"/>
    <cellStyle name="_斗南鎮阿丹里部落排水溝改善工程(正確130萬)_莫拉克風災-梅山鄉龍眼村.碧湖村.瑞峰村休閒步道及邊坡等3件災修工程(竣工正確)_99年7月豪雨梅山鄉太興村流星巖災修工程(815萬-變更議定書)" xfId="194" xr:uid="{01D2CD91-D378-4BBC-B4FB-885DC98CB5D3}"/>
    <cellStyle name="_斗南鎮阿丹里部落排水溝改善工程(竣工)" xfId="195" xr:uid="{BF9A20D1-BC28-481C-92F0-425804AB8955}"/>
    <cellStyle name="_斗南鎮阿丹里部落排水溝改善工程(竣工)_99年7月豪雨梅山鄉太興村流星巖災修工程(815萬)" xfId="196" xr:uid="{E46323AF-E278-4730-9DBB-905E8191C168}"/>
    <cellStyle name="_斗南鎮阿丹里部落排水溝改善工程(竣工)_99年7月豪雨梅山鄉太興村流星巖災修工程(815萬)_000" xfId="197" xr:uid="{9564AD02-255F-4339-AABC-35472659EEFE}"/>
    <cellStyle name="_斗南鎮阿丹里部落排水溝改善工程(竣工)_99年7月豪雨梅山鄉太興村流星巖災修工程(815萬)_99年7月豪雨梅山鄉太興村流星巖災修工程(815萬)" xfId="198" xr:uid="{1E9B8D15-E4CD-4177-98EE-F6184B7E0A4A}"/>
    <cellStyle name="_斗南鎮阿丹里部落排水溝改善工程(竣工)_99年7月豪雨梅山鄉太興村流星巖災修工程(815萬)_99年7月豪雨梅山鄉太興村流星巖災修工程(815萬-正確)" xfId="199" xr:uid="{DF742B04-7058-4887-ACCE-72E1828655D0}"/>
    <cellStyle name="_斗南鎮阿丹里部落排水溝改善工程(竣工)_99年7月豪雨梅山鄉太興村流星巖災修工程(815萬)_99年7月豪雨梅山鄉太興村流星巖災修工程(815萬-修正)" xfId="200" xr:uid="{372B4E74-B59E-4B7D-81B8-45AA122D6ACA}"/>
    <cellStyle name="_斗南鎮阿丹里部落排水溝改善工程(竣工)_99年7月豪雨梅山鄉太興村流星巖災修工程(815萬)_99年7月豪雨梅山鄉太興村流星巖災修工程(815萬-修正1)" xfId="201" xr:uid="{681598CC-609A-40CC-A589-8636F81BF11B}"/>
    <cellStyle name="_斗南鎮阿丹里部落排水溝改善工程(竣工)_99年7月豪雨梅山鄉太興村流星巖災修工程(815萬)_99年7月豪雨梅山鄉太興村流星巖災修工程(815萬-變更議定書)" xfId="202" xr:uid="{E2B9EF11-CB50-451C-B74E-9CEB36D7534A}"/>
    <cellStyle name="_斗南鎮阿丹里部落排水溝改善工程(竣工)_99年7月豪雨梅山鄉太興村流星巖災修工程(估價單冠英)" xfId="203" xr:uid="{A223BA7F-0011-42D9-B55A-71BA19328B75}"/>
    <cellStyle name="_斗南鎮阿丹里部落排水溝改善工程(竣工)_99年7月豪雨梅山鄉太興村流星巖災修工程(估價單冠英)_000" xfId="204" xr:uid="{0A682FB9-9166-4A63-96BF-89BCD26AAD30}"/>
    <cellStyle name="_斗南鎮阿丹里部落排水溝改善工程(竣工)_99年7月豪雨梅山鄉太興村流星巖災修工程(估價單冠英)_99年7月豪雨梅山鄉太興村流星巖災修工程(815萬)" xfId="205" xr:uid="{319F9422-0B3D-48B8-966E-57165244B4FF}"/>
    <cellStyle name="_斗南鎮阿丹里部落排水溝改善工程(竣工)_99年7月豪雨梅山鄉太興村流星巖災修工程(估價單冠英)_99年7月豪雨梅山鄉太興村流星巖災修工程(815萬-正確)" xfId="206" xr:uid="{16017652-126A-4397-B27D-D6FFEAB9B650}"/>
    <cellStyle name="_斗南鎮阿丹里部落排水溝改善工程(竣工)_99年7月豪雨梅山鄉太興村流星巖災修工程(估價單冠英)_99年7月豪雨梅山鄉太興村流星巖災修工程(815萬-修正)" xfId="207" xr:uid="{1186FF76-62C9-4C3F-BC15-8CC247169352}"/>
    <cellStyle name="_斗南鎮阿丹里部落排水溝改善工程(竣工)_99年7月豪雨梅山鄉太興村流星巖災修工程(估價單冠英)_99年7月豪雨梅山鄉太興村流星巖災修工程(815萬-修正1)" xfId="208" xr:uid="{0E5F574E-A5A7-44DB-BD42-2EF1CC4DBB41}"/>
    <cellStyle name="_斗南鎮阿丹里部落排水溝改善工程(竣工)_99年7月豪雨梅山鄉太興村流星巖災修工程(估價單冠英)_99年7月豪雨梅山鄉太興村流星巖災修工程(815萬-變更議定書)" xfId="209" xr:uid="{B2C0370A-D8C2-4AED-91AE-D3CDFF803763}"/>
    <cellStyle name="_斗南鎮阿丹里部落排水溝改善工程(竣工)_台3線阿婆灣景觀改造工程(600萬)" xfId="210" xr:uid="{DE28A075-C832-41BC-AA20-ED5562B9EA88}"/>
    <cellStyle name="_斗南鎮阿丹里部落排水溝改善工程(竣工)_台3線阿婆灣景觀改造工程(600萬)_000" xfId="211" xr:uid="{BC823AA5-6D47-4672-90AE-8F40E60AABD0}"/>
    <cellStyle name="_斗南鎮阿丹里部落排水溝改善工程(竣工)_台3線阿婆灣景觀改造工程(600萬)_99年7月豪雨梅山鄉太興村流星巖災修工程(815萬)" xfId="212" xr:uid="{A2B1DE71-374A-4D12-969B-22D7A22E258B}"/>
    <cellStyle name="_斗南鎮阿丹里部落排水溝改善工程(竣工)_台3線阿婆灣景觀改造工程(600萬)_99年7月豪雨梅山鄉太興村流星巖災修工程(815萬-正確)" xfId="213" xr:uid="{0B196D33-2C13-4717-B8E9-955905125BB8}"/>
    <cellStyle name="_斗南鎮阿丹里部落排水溝改善工程(竣工)_台3線阿婆灣景觀改造工程(600萬)_99年7月豪雨梅山鄉太興村流星巖災修工程(815萬-修正)" xfId="214" xr:uid="{2EB90DA5-93CD-417C-84C8-5F0F29C96E60}"/>
    <cellStyle name="_斗南鎮阿丹里部落排水溝改善工程(竣工)_台3線阿婆灣景觀改造工程(600萬)_99年7月豪雨梅山鄉太興村流星巖災修工程(815萬-修正1)" xfId="215" xr:uid="{667852DD-BAE9-41E5-BAAC-63085F69FE44}"/>
    <cellStyle name="_斗南鎮阿丹里部落排水溝改善工程(竣工)_台3線阿婆灣景觀改造工程(600萬)_99年7月豪雨梅山鄉太興村流星巖災修工程(815萬-變更議定書)" xfId="216" xr:uid="{569BD8E0-DDDD-4D77-AE6A-4005C20CED85}"/>
    <cellStyle name="_斗南鎮阿丹里部落排水溝改善工程(竣工)_台3線阿婆灣景觀改造工程(600萬)_台3線阿婆灣景觀改造工程" xfId="217" xr:uid="{E4C6E12F-25ED-4606-8DC6-363C49CFDDB9}"/>
    <cellStyle name="_斗南鎮阿丹里部落排水溝改善工程(竣工)_台3線阿婆灣景觀改造工程(600萬)_台3線阿婆灣景觀改造工程(局長修正600萬)" xfId="218" xr:uid="{2E2F860F-2C3F-4C27-8EFC-A7E3E34091D0}"/>
    <cellStyle name="_斗南鎮阿丹里部落排水溝改善工程(竣工)_台3線阿婆灣景觀改造工程(600萬)_台3線阿婆灣景觀改造工程(局長修正600萬)_台3線阿婆灣景觀改造工程(局長修正600萬)" xfId="219" xr:uid="{8978BC8D-48F6-4AAD-9CEB-39947EB7319E}"/>
    <cellStyle name="_斗南鎮阿丹里部落排水溝改善工程(竣工)_台3線阿婆灣景觀改造工程(600萬)_台3線阿婆灣景觀改造工程(局長修正600萬)_台3線阿婆灣景觀改造工程(局長修正600萬)_台3線阿婆灣景觀改造工程(變更設計正確)" xfId="220" xr:uid="{C7394B58-4809-426B-8147-15B941BA9DE1}"/>
    <cellStyle name="_斗南鎮阿丹里部落排水溝改善工程(竣工)_台3線阿婆灣景觀改造工程(600萬)_台3線阿婆灣景觀改造工程(變更設計正確)" xfId="221" xr:uid="{3AB621E6-BCE7-4AB9-ADC8-39D2D0F6338B}"/>
    <cellStyle name="_斗南鎮阿丹里部落排水溝改善工程(竣工)_台3線阿婆灣景觀改造工程(局長修正600萬)" xfId="222" xr:uid="{9198D707-21BF-44B7-9670-E2286DD36AA3}"/>
    <cellStyle name="_斗南鎮阿丹里部落排水溝改善工程(竣工)_台3線阿婆灣景觀改造工程(局長修正600萬)_台3線阿婆灣景觀改造工程(變更設計正確)" xfId="223" xr:uid="{020B92C3-25ED-409B-B1FA-C331568D987A}"/>
    <cellStyle name="_斗南鎮阿丹里部落排水溝改善工程(竣工)_莫拉克風災-梅山鄉龍眼村.碧湖村.瑞峰村休閒步道及邊坡等3件災修工程(竣工正確)" xfId="224" xr:uid="{D3B989E5-00E6-4EB8-8A6F-E6F9E9798A44}"/>
    <cellStyle name="_斗南鎮阿丹里部落排水溝改善工程(竣工)_莫拉克風災-梅山鄉龍眼村.碧湖村.瑞峰村休閒步道及邊坡等3件災修工程(竣工正確)_000" xfId="225" xr:uid="{53CCC177-EAFD-459E-9150-EC3198A677A3}"/>
    <cellStyle name="_斗南鎮阿丹里部落排水溝改善工程(竣工)_莫拉克風災-梅山鄉龍眼村.碧湖村.瑞峰村休閒步道及邊坡等3件災修工程(竣工正確)_99年7月豪雨梅山鄉太興村流星巖災修工程(815萬)" xfId="226" xr:uid="{8EE73D27-FFE8-457E-956F-23A43A5F145A}"/>
    <cellStyle name="_斗南鎮阿丹里部落排水溝改善工程(竣工)_莫拉克風災-梅山鄉龍眼村.碧湖村.瑞峰村休閒步道及邊坡等3件災修工程(竣工正確)_99年7月豪雨梅山鄉太興村流星巖災修工程(815萬-正確)" xfId="227" xr:uid="{6C919001-A61E-4BE5-ACB4-4709BD13629D}"/>
    <cellStyle name="_斗南鎮阿丹里部落排水溝改善工程(竣工)_莫拉克風災-梅山鄉龍眼村.碧湖村.瑞峰村休閒步道及邊坡等3件災修工程(竣工正確)_99年7月豪雨梅山鄉太興村流星巖災修工程(815萬-修正)" xfId="228" xr:uid="{7E3CF305-0160-48D1-87DD-0DBA1E902A3E}"/>
    <cellStyle name="_斗南鎮阿丹里部落排水溝改善工程(竣工)_莫拉克風災-梅山鄉龍眼村.碧湖村.瑞峰村休閒步道及邊坡等3件災修工程(竣工正確)_99年7月豪雨梅山鄉太興村流星巖災修工程(815萬-修正1)" xfId="229" xr:uid="{B3937303-7652-430A-AB0F-2BBC3220720C}"/>
    <cellStyle name="_斗南鎮阿丹里部落排水溝改善工程(竣工)_莫拉克風災-梅山鄉龍眼村.碧湖村.瑞峰村休閒步道及邊坡等3件災修工程(竣工正確)_99年7月豪雨梅山鄉太興村流星巖災修工程(815萬-變更議定書)" xfId="230" xr:uid="{DB42EF39-B488-4E0C-A85A-FF856FA4DACC}"/>
    <cellStyle name="_斗南鎮將軍里.新光里.大東里道路排水AC改善工程(結算修正)" xfId="231" xr:uid="{37FA3EC4-8D0A-462A-B8DA-126286A2E5AF}"/>
    <cellStyle name="_斗南鎮新光里-田頭里農路改善工程" xfId="232" xr:uid="{8C1FBAAE-51B8-4DC3-97F1-1A4DB7AC9B40}"/>
    <cellStyle name="_斗南鎮新光里-田頭里農路改善工程_99年7月豪雨梅山鄉太興村流星巖災修工程(815萬)" xfId="233" xr:uid="{6EF5890B-8982-4593-9B56-D4BA835CEB48}"/>
    <cellStyle name="_斗南鎮新光里-田頭里農路改善工程_99年7月豪雨梅山鄉太興村流星巖災修工程(815萬)_000" xfId="234" xr:uid="{346F82FF-8EB3-4160-9C42-AFE47CAF303D}"/>
    <cellStyle name="_斗南鎮新光里-田頭里農路改善工程_99年7月豪雨梅山鄉太興村流星巖災修工程(815萬)_99年7月豪雨梅山鄉太興村流星巖災修工程(815萬)" xfId="235" xr:uid="{9CB257B2-F79B-4450-BEFF-79008342593B}"/>
    <cellStyle name="_斗南鎮新光里-田頭里農路改善工程_99年7月豪雨梅山鄉太興村流星巖災修工程(815萬)_99年7月豪雨梅山鄉太興村流星巖災修工程(815萬-正確)" xfId="236" xr:uid="{EEC82BBB-3F31-4A4C-9D94-C4D63701E320}"/>
    <cellStyle name="_斗南鎮新光里-田頭里農路改善工程_99年7月豪雨梅山鄉太興村流星巖災修工程(815萬)_99年7月豪雨梅山鄉太興村流星巖災修工程(815萬-修正)" xfId="237" xr:uid="{C45F2CA3-0982-4215-945A-69FA56D259AA}"/>
    <cellStyle name="_斗南鎮新光里-田頭里農路改善工程_99年7月豪雨梅山鄉太興村流星巖災修工程(815萬)_99年7月豪雨梅山鄉太興村流星巖災修工程(815萬-修正1)" xfId="238" xr:uid="{37FCAED0-9B4B-4B4E-BD4D-18812E916DE6}"/>
    <cellStyle name="_斗南鎮新光里-田頭里農路改善工程_99年7月豪雨梅山鄉太興村流星巖災修工程(815萬)_99年7月豪雨梅山鄉太興村流星巖災修工程(815萬-變更議定書)" xfId="239" xr:uid="{68F6C4C4-7499-469F-96F3-C3DC3BE5F5A4}"/>
    <cellStyle name="_斗南鎮新光里-田頭里農路改善工程_99年7月豪雨梅山鄉太興村流星巖災修工程(估價單冠英)" xfId="240" xr:uid="{D1DE31ED-3157-4A29-A330-8E85BEFDCE5F}"/>
    <cellStyle name="_斗南鎮新光里-田頭里農路改善工程_99年7月豪雨梅山鄉太興村流星巖災修工程(估價單冠英)_000" xfId="241" xr:uid="{856B198A-8EBE-4ECF-9CFB-42F14DB7BF8D}"/>
    <cellStyle name="_斗南鎮新光里-田頭里農路改善工程_99年7月豪雨梅山鄉太興村流星巖災修工程(估價單冠英)_99年7月豪雨梅山鄉太興村流星巖災修工程(815萬)" xfId="242" xr:uid="{623BC76A-A74B-4C70-9060-4132F599639A}"/>
    <cellStyle name="_斗南鎮新光里-田頭里農路改善工程_99年7月豪雨梅山鄉太興村流星巖災修工程(估價單冠英)_99年7月豪雨梅山鄉太興村流星巖災修工程(815萬-正確)" xfId="243" xr:uid="{8AE32877-4A53-44A6-8554-BFEE630FB6B6}"/>
    <cellStyle name="_斗南鎮新光里-田頭里農路改善工程_99年7月豪雨梅山鄉太興村流星巖災修工程(估價單冠英)_99年7月豪雨梅山鄉太興村流星巖災修工程(815萬-修正)" xfId="244" xr:uid="{ECAB092E-7F31-4AD0-8D73-4FC720C0EEDD}"/>
    <cellStyle name="_斗南鎮新光里-田頭里農路改善工程_99年7月豪雨梅山鄉太興村流星巖災修工程(估價單冠英)_99年7月豪雨梅山鄉太興村流星巖災修工程(815萬-修正1)" xfId="245" xr:uid="{4E4327F8-14E0-4770-8DF0-B362E13D34B1}"/>
    <cellStyle name="_斗南鎮新光里-田頭里農路改善工程_99年7月豪雨梅山鄉太興村流星巖災修工程(估價單冠英)_99年7月豪雨梅山鄉太興村流星巖災修工程(815萬-變更議定書)" xfId="246" xr:uid="{907D82D3-56D2-4C8A-A4E6-227CA695E097}"/>
    <cellStyle name="_斗南鎮新光里-田頭里農路改善工程_台3線阿婆灣景觀改造工程(600萬)" xfId="247" xr:uid="{087BF814-7D59-473D-81CA-A4D8FF948C1E}"/>
    <cellStyle name="_斗南鎮新光里-田頭里農路改善工程_台3線阿婆灣景觀改造工程(600萬)_000" xfId="248" xr:uid="{314674BE-7644-4F9A-90AB-4D457199D710}"/>
    <cellStyle name="_斗南鎮新光里-田頭里農路改善工程_台3線阿婆灣景觀改造工程(600萬)_99年7月豪雨梅山鄉太興村流星巖災修工程(815萬)" xfId="249" xr:uid="{94761777-7648-4F63-8B13-B60A99A104E4}"/>
    <cellStyle name="_斗南鎮新光里-田頭里農路改善工程_台3線阿婆灣景觀改造工程(600萬)_99年7月豪雨梅山鄉太興村流星巖災修工程(815萬-正確)" xfId="250" xr:uid="{98499BEC-3B14-4DC5-BE11-320BCD32C614}"/>
    <cellStyle name="_斗南鎮新光里-田頭里農路改善工程_台3線阿婆灣景觀改造工程(600萬)_99年7月豪雨梅山鄉太興村流星巖災修工程(815萬-修正)" xfId="251" xr:uid="{1BBDAD6D-1123-4AF1-B16C-4990912314E5}"/>
    <cellStyle name="_斗南鎮新光里-田頭里農路改善工程_台3線阿婆灣景觀改造工程(600萬)_99年7月豪雨梅山鄉太興村流星巖災修工程(815萬-修正1)" xfId="252" xr:uid="{CA7E54F0-3C7E-471D-AB4C-0B722710276E}"/>
    <cellStyle name="_斗南鎮新光里-田頭里農路改善工程_台3線阿婆灣景觀改造工程(600萬)_99年7月豪雨梅山鄉太興村流星巖災修工程(815萬-變更議定書)" xfId="253" xr:uid="{1D852A20-5DD3-4150-86FA-DEB21C14B45F}"/>
    <cellStyle name="_斗南鎮新光里-田頭里農路改善工程_台3線阿婆灣景觀改造工程(600萬)_台3線阿婆灣景觀改造工程" xfId="254" xr:uid="{C44A2864-A0E5-4983-9C7B-70FB0FD93F65}"/>
    <cellStyle name="_斗南鎮新光里-田頭里農路改善工程_台3線阿婆灣景觀改造工程(600萬)_台3線阿婆灣景觀改造工程(局長修正600萬)" xfId="255" xr:uid="{2CCA26DD-A241-4D42-B4D9-EF7ED29659AD}"/>
    <cellStyle name="_斗南鎮新光里-田頭里農路改善工程_台3線阿婆灣景觀改造工程(600萬)_台3線阿婆灣景觀改造工程(局長修正600萬)_台3線阿婆灣景觀改造工程(局長修正600萬)" xfId="256" xr:uid="{CE16D457-D3B2-4FDB-B14E-15ABB1360D99}"/>
    <cellStyle name="_斗南鎮新光里-田頭里農路改善工程_台3線阿婆灣景觀改造工程(600萬)_台3線阿婆灣景觀改造工程(局長修正600萬)_台3線阿婆灣景觀改造工程(局長修正600萬)_台3線阿婆灣景觀改造工程(變更設計正確)" xfId="257" xr:uid="{CF0CB67A-FD43-43E7-8BCE-4E99D54D8190}"/>
    <cellStyle name="_斗南鎮新光里-田頭里農路改善工程_台3線阿婆灣景觀改造工程(600萬)_台3線阿婆灣景觀改造工程(變更設計正確)" xfId="258" xr:uid="{6974DA80-2E9E-4EA8-9637-1D01D29E7545}"/>
    <cellStyle name="_斗南鎮新光里-田頭里農路改善工程_台3線阿婆灣景觀改造工程(局長修正600萬)" xfId="259" xr:uid="{19F422D7-C54C-4FDF-9B37-D7F0F0B532E3}"/>
    <cellStyle name="_斗南鎮新光里-田頭里農路改善工程_台3線阿婆灣景觀改造工程(局長修正600萬)_台3線阿婆灣景觀改造工程(變更設計正確)" xfId="260" xr:uid="{366572AA-2A29-4AC8-89C2-259BC5DED372}"/>
    <cellStyle name="_斗南鎮新光里-田頭里農路改善工程_自行車步道(路寬表)" xfId="261" xr:uid="{4911E41C-951F-4420-8830-72255A6C5CEA}"/>
    <cellStyle name="_斗南鎮新光里-田頭里農路改善工程_自行車步道(路寬表)_99年7月豪雨梅山鄉太興村流星巖災修工程(815萬)" xfId="262" xr:uid="{3912969B-FE8A-41DF-BD98-6FBD2473EBB3}"/>
    <cellStyle name="_斗南鎮新光里-田頭里農路改善工程_自行車步道(路寬表)_99年7月豪雨梅山鄉太興村流星巖災修工程(815萬)_000" xfId="263" xr:uid="{49C506B9-B1AE-47F4-AA16-3BD5C7A2D5F5}"/>
    <cellStyle name="_斗南鎮新光里-田頭里農路改善工程_自行車步道(路寬表)_99年7月豪雨梅山鄉太興村流星巖災修工程(815萬)_99年7月豪雨梅山鄉太興村流星巖災修工程(815萬)" xfId="264" xr:uid="{08E3E15D-908F-46E8-8391-5F28F0D2C1F8}"/>
    <cellStyle name="_斗南鎮新光里-田頭里農路改善工程_自行車步道(路寬表)_99年7月豪雨梅山鄉太興村流星巖災修工程(815萬)_99年7月豪雨梅山鄉太興村流星巖災修工程(815萬-正確)" xfId="265" xr:uid="{35B55318-62C5-4AE8-9220-8CDF86C1FB9E}"/>
    <cellStyle name="_斗南鎮新光里-田頭里農路改善工程_自行車步道(路寬表)_99年7月豪雨梅山鄉太興村流星巖災修工程(815萬)_99年7月豪雨梅山鄉太興村流星巖災修工程(815萬-修正)" xfId="266" xr:uid="{139AE4FE-B288-489A-8F85-3B9A579E9DFE}"/>
    <cellStyle name="_斗南鎮新光里-田頭里農路改善工程_自行車步道(路寬表)_99年7月豪雨梅山鄉太興村流星巖災修工程(815萬)_99年7月豪雨梅山鄉太興村流星巖災修工程(815萬-修正1)" xfId="267" xr:uid="{3122014E-76DC-4A38-BBE1-1FB749429C1F}"/>
    <cellStyle name="_斗南鎮新光里-田頭里農路改善工程_自行車步道(路寬表)_99年7月豪雨梅山鄉太興村流星巖災修工程(815萬)_99年7月豪雨梅山鄉太興村流星巖災修工程(815萬-變更議定書)" xfId="268" xr:uid="{0C5F96DD-51EB-4E80-8B8C-37D24EE9BEAE}"/>
    <cellStyle name="_斗南鎮新光里-田頭里農路改善工程_自行車步道(路寬表)_99年7月豪雨梅山鄉太興村流星巖災修工程(估價單冠英)" xfId="269" xr:uid="{CBE9F631-33FF-45CC-89F4-7CC280D410E6}"/>
    <cellStyle name="_斗南鎮新光里-田頭里農路改善工程_自行車步道(路寬表)_99年7月豪雨梅山鄉太興村流星巖災修工程(估價單冠英)_000" xfId="270" xr:uid="{6410114B-CAF1-4464-9CC4-9BB638D87CFD}"/>
    <cellStyle name="_斗南鎮新光里-田頭里農路改善工程_自行車步道(路寬表)_99年7月豪雨梅山鄉太興村流星巖災修工程(估價單冠英)_99年7月豪雨梅山鄉太興村流星巖災修工程(815萬)" xfId="271" xr:uid="{AECC77B7-CCF1-42ED-B26C-78626C6EDD39}"/>
    <cellStyle name="_斗南鎮新光里-田頭里農路改善工程_自行車步道(路寬表)_99年7月豪雨梅山鄉太興村流星巖災修工程(估價單冠英)_99年7月豪雨梅山鄉太興村流星巖災修工程(815萬-正確)" xfId="272" xr:uid="{7B1D7C5A-5D23-4430-A378-4F3D2D31B40D}"/>
    <cellStyle name="_斗南鎮新光里-田頭里農路改善工程_自行車步道(路寬表)_99年7月豪雨梅山鄉太興村流星巖災修工程(估價單冠英)_99年7月豪雨梅山鄉太興村流星巖災修工程(815萬-修正)" xfId="273" xr:uid="{F1440EBD-2F56-46BB-ABFA-E4B488974270}"/>
    <cellStyle name="_斗南鎮新光里-田頭里農路改善工程_自行車步道(路寬表)_99年7月豪雨梅山鄉太興村流星巖災修工程(估價單冠英)_99年7月豪雨梅山鄉太興村流星巖災修工程(815萬-修正1)" xfId="274" xr:uid="{B506D8A7-5B0A-4AA2-90FC-CFB5891C57FB}"/>
    <cellStyle name="_斗南鎮新光里-田頭里農路改善工程_自行車步道(路寬表)_99年7月豪雨梅山鄉太興村流星巖災修工程(估價單冠英)_99年7月豪雨梅山鄉太興村流星巖災修工程(815萬-變更議定書)" xfId="275" xr:uid="{759ABDB1-8C21-4BC8-A325-2B71084EF978}"/>
    <cellStyle name="_斗南鎮新光里-田頭里農路改善工程_自行車步道(路寬表)_台3線阿婆灣景觀改造工程(600萬)" xfId="276" xr:uid="{80242D19-1D20-4B9B-9746-0F6D182DD8CC}"/>
    <cellStyle name="_斗南鎮新光里-田頭里農路改善工程_自行車步道(路寬表)_台3線阿婆灣景觀改造工程(600萬)_000" xfId="277" xr:uid="{30353706-B16A-4C7F-80CB-A41C00A09915}"/>
    <cellStyle name="_斗南鎮新光里-田頭里農路改善工程_自行車步道(路寬表)_台3線阿婆灣景觀改造工程(600萬)_99年7月豪雨梅山鄉太興村流星巖災修工程(815萬)" xfId="278" xr:uid="{566E4ACE-3C84-4276-87E2-1C58BCBC9F2E}"/>
    <cellStyle name="_斗南鎮新光里-田頭里農路改善工程_自行車步道(路寬表)_台3線阿婆灣景觀改造工程(600萬)_99年7月豪雨梅山鄉太興村流星巖災修工程(815萬-正確)" xfId="279" xr:uid="{15DE8836-CB16-42BD-87AC-F045A03FF514}"/>
    <cellStyle name="_斗南鎮新光里-田頭里農路改善工程_自行車步道(路寬表)_台3線阿婆灣景觀改造工程(600萬)_99年7月豪雨梅山鄉太興村流星巖災修工程(815萬-修正)" xfId="280" xr:uid="{9B11EF11-4673-4EF7-A141-2E580718C7BB}"/>
    <cellStyle name="_斗南鎮新光里-田頭里農路改善工程_自行車步道(路寬表)_台3線阿婆灣景觀改造工程(600萬)_99年7月豪雨梅山鄉太興村流星巖災修工程(815萬-修正1)" xfId="281" xr:uid="{3D64C227-55E4-40D7-8857-0E044E1BEA49}"/>
    <cellStyle name="_斗南鎮新光里-田頭里農路改善工程_自行車步道(路寬表)_台3線阿婆灣景觀改造工程(600萬)_99年7月豪雨梅山鄉太興村流星巖災修工程(815萬-變更議定書)" xfId="282" xr:uid="{4261D933-E8B9-41ED-85CB-3102C1B63487}"/>
    <cellStyle name="_斗南鎮新光里-田頭里農路改善工程_自行車步道(路寬表)_台3線阿婆灣景觀改造工程(600萬)_台3線阿婆灣景觀改造工程" xfId="283" xr:uid="{767090FA-9483-4D68-A4D3-F49E03C8C005}"/>
    <cellStyle name="_斗南鎮新光里-田頭里農路改善工程_自行車步道(路寬表)_台3線阿婆灣景觀改造工程(600萬)_台3線阿婆灣景觀改造工程(局長修正600萬)" xfId="284" xr:uid="{8980EC39-18B4-4FFC-97E2-9267961316EE}"/>
    <cellStyle name="_斗南鎮新光里-田頭里農路改善工程_自行車步道(路寬表)_台3線阿婆灣景觀改造工程(600萬)_台3線阿婆灣景觀改造工程(局長修正600萬)_台3線阿婆灣景觀改造工程(局長修正600萬)" xfId="285" xr:uid="{8DC1582A-57B1-4744-8D4E-983E4C8341D0}"/>
    <cellStyle name="_斗南鎮新光里-田頭里農路改善工程_自行車步道(路寬表)_台3線阿婆灣景觀改造工程(600萬)_台3線阿婆灣景觀改造工程(局長修正600萬)_台3線阿婆灣景觀改造工程(局長修正600萬)_台3線阿婆灣景觀改造工程(變更設計正確)" xfId="286" xr:uid="{FAE3C8D6-92A2-465E-80B7-09D0BC42F3FE}"/>
    <cellStyle name="_斗南鎮新光里-田頭里農路改善工程_自行車步道(路寬表)_台3線阿婆灣景觀改造工程(600萬)_台3線阿婆灣景觀改造工程(變更設計正確)" xfId="287" xr:uid="{58CD149F-3290-4424-969F-CBF42B6A6139}"/>
    <cellStyle name="_斗南鎮新光里-田頭里農路改善工程_自行車步道(路寬表)_台3線阿婆灣景觀改造工程(局長修正600萬)" xfId="288" xr:uid="{46582612-3E88-475C-B0F1-A43F75A2BDE7}"/>
    <cellStyle name="_斗南鎮新光里-田頭里農路改善工程_自行車步道(路寬表)_台3線阿婆灣景觀改造工程(局長修正600萬)_台3線阿婆灣景觀改造工程(變更設計正確)" xfId="289" xr:uid="{3AFE4D9F-358C-479A-BB0F-3EE4CB49304F}"/>
    <cellStyle name="_斗南鎮新光里-田頭里農路改善工程_自行車步道(路寬表)_莫拉克風災-梅山鄉龍眼村.碧湖村.瑞峰村休閒步道及邊坡等3件災修工程(竣工正確)" xfId="290" xr:uid="{AA46FBAD-918B-4443-9649-A002474F6A6C}"/>
    <cellStyle name="_斗南鎮新光里-田頭里農路改善工程_自行車步道(路寬表)_莫拉克風災-梅山鄉龍眼村.碧湖村.瑞峰村休閒步道及邊坡等3件災修工程(竣工正確)_000" xfId="291" xr:uid="{747ADD87-4EFE-4AFF-A8E3-88EA5142BBFD}"/>
    <cellStyle name="_斗南鎮新光里-田頭里農路改善工程_自行車步道(路寬表)_莫拉克風災-梅山鄉龍眼村.碧湖村.瑞峰村休閒步道及邊坡等3件災修工程(竣工正確)_99年7月豪雨梅山鄉太興村流星巖災修工程(815萬)" xfId="292" xr:uid="{46D4B394-7172-4673-96C1-7D416C6FAF4A}"/>
    <cellStyle name="_斗南鎮新光里-田頭里農路改善工程_自行車步道(路寬表)_莫拉克風災-梅山鄉龍眼村.碧湖村.瑞峰村休閒步道及邊坡等3件災修工程(竣工正確)_99年7月豪雨梅山鄉太興村流星巖災修工程(815萬-正確)" xfId="293" xr:uid="{EDFF11C8-0A8D-48B8-94AB-6FFAB948902A}"/>
    <cellStyle name="_斗南鎮新光里-田頭里農路改善工程_自行車步道(路寬表)_莫拉克風災-梅山鄉龍眼村.碧湖村.瑞峰村休閒步道及邊坡等3件災修工程(竣工正確)_99年7月豪雨梅山鄉太興村流星巖災修工程(815萬-修正)" xfId="294" xr:uid="{4C29256C-F251-42F9-A2CA-44D5F8F71C56}"/>
    <cellStyle name="_斗南鎮新光里-田頭里農路改善工程_自行車步道(路寬表)_莫拉克風災-梅山鄉龍眼村.碧湖村.瑞峰村休閒步道及邊坡等3件災修工程(竣工正確)_99年7月豪雨梅山鄉太興村流星巖災修工程(815萬-修正1)" xfId="295" xr:uid="{89CB71A8-EB18-4B9D-94B7-B2622D02B74F}"/>
    <cellStyle name="_斗南鎮新光里-田頭里農路改善工程_自行車步道(路寬表)_莫拉克風災-梅山鄉龍眼村.碧湖村.瑞峰村休閒步道及邊坡等3件災修工程(竣工正確)_99年7月豪雨梅山鄉太興村流星巖災修工程(815萬-變更議定書)" xfId="296" xr:uid="{522EC8C4-5C25-4BDF-857F-021EA85B44A7}"/>
    <cellStyle name="_斗南鎮新光里-田頭里農路改善工程_東馬鳴山重劃區西主柒路等路面改善工程(144萬)-10.29" xfId="297" xr:uid="{7C6C6F14-EDA9-41DA-8C92-9E97EA8B473D}"/>
    <cellStyle name="_斗南鎮新光里-田頭里農路改善工程_東馬鳴山重劃區西主柒路等路面改善工程(144萬)-10.29_99年7月豪雨梅山鄉太興村流星巖災修工程(815萬)" xfId="298" xr:uid="{B3D2F0ED-CC3D-4215-86EA-9B2EC29EB1F6}"/>
    <cellStyle name="_斗南鎮新光里-田頭里農路改善工程_東馬鳴山重劃區西主柒路等路面改善工程(144萬)-10.29_99年7月豪雨梅山鄉太興村流星巖災修工程(815萬)_000" xfId="299" xr:uid="{1637A2A9-D00F-4BB4-9619-27D35C33C339}"/>
    <cellStyle name="_斗南鎮新光里-田頭里農路改善工程_東馬鳴山重劃區西主柒路等路面改善工程(144萬)-10.29_99年7月豪雨梅山鄉太興村流星巖災修工程(815萬)_99年7月豪雨梅山鄉太興村流星巖災修工程(815萬)" xfId="300" xr:uid="{098BDDF9-E00F-4CBD-A371-AF4430B7DDE1}"/>
    <cellStyle name="_斗南鎮新光里-田頭里農路改善工程_東馬鳴山重劃區西主柒路等路面改善工程(144萬)-10.29_99年7月豪雨梅山鄉太興村流星巖災修工程(815萬)_99年7月豪雨梅山鄉太興村流星巖災修工程(815萬-正確)" xfId="301" xr:uid="{9ACF6EC0-B451-4A79-9B4F-E60E8AE83D48}"/>
    <cellStyle name="_斗南鎮新光里-田頭里農路改善工程_東馬鳴山重劃區西主柒路等路面改善工程(144萬)-10.29_99年7月豪雨梅山鄉太興村流星巖災修工程(815萬)_99年7月豪雨梅山鄉太興村流星巖災修工程(815萬-修正)" xfId="302" xr:uid="{70C950D5-AA25-455A-B05B-F084B83EBB6D}"/>
    <cellStyle name="_斗南鎮新光里-田頭里農路改善工程_東馬鳴山重劃區西主柒路等路面改善工程(144萬)-10.29_99年7月豪雨梅山鄉太興村流星巖災修工程(815萬)_99年7月豪雨梅山鄉太興村流星巖災修工程(815萬-修正1)" xfId="303" xr:uid="{67E2A941-2FAE-4D3D-B36C-9E70B1C84266}"/>
    <cellStyle name="_斗南鎮新光里-田頭里農路改善工程_東馬鳴山重劃區西主柒路等路面改善工程(144萬)-10.29_99年7月豪雨梅山鄉太興村流星巖災修工程(815萬)_99年7月豪雨梅山鄉太興村流星巖災修工程(815萬-變更議定書)" xfId="304" xr:uid="{228B9E27-2B8B-407E-97BE-DABD7299E597}"/>
    <cellStyle name="_斗南鎮新光里-田頭里農路改善工程_東馬鳴山重劃區西主柒路等路面改善工程(144萬)-10.29_99年7月豪雨梅山鄉太興村流星巖災修工程(估價單冠英)" xfId="305" xr:uid="{BC686ED4-E1E2-4655-8A24-2E1E6F7E4804}"/>
    <cellStyle name="_斗南鎮新光里-田頭里農路改善工程_東馬鳴山重劃區西主柒路等路面改善工程(144萬)-10.29_99年7月豪雨梅山鄉太興村流星巖災修工程(估價單冠英)_000" xfId="306" xr:uid="{64F5B9F0-D2FE-4E90-802B-D26B2CA09566}"/>
    <cellStyle name="_斗南鎮新光里-田頭里農路改善工程_東馬鳴山重劃區西主柒路等路面改善工程(144萬)-10.29_99年7月豪雨梅山鄉太興村流星巖災修工程(估價單冠英)_99年7月豪雨梅山鄉太興村流星巖災修工程(815萬)" xfId="307" xr:uid="{9E9414B5-CC63-4F14-A210-134263639AC5}"/>
    <cellStyle name="_斗南鎮新光里-田頭里農路改善工程_東馬鳴山重劃區西主柒路等路面改善工程(144萬)-10.29_99年7月豪雨梅山鄉太興村流星巖災修工程(估價單冠英)_99年7月豪雨梅山鄉太興村流星巖災修工程(815萬-正確)" xfId="308" xr:uid="{6924FADC-0805-4FF6-B629-55C2AFF292F1}"/>
    <cellStyle name="_斗南鎮新光里-田頭里農路改善工程_東馬鳴山重劃區西主柒路等路面改善工程(144萬)-10.29_99年7月豪雨梅山鄉太興村流星巖災修工程(估價單冠英)_99年7月豪雨梅山鄉太興村流星巖災修工程(815萬-修正)" xfId="309" xr:uid="{E326C329-2F30-4949-8FF2-2EF7A4E2D469}"/>
    <cellStyle name="_斗南鎮新光里-田頭里農路改善工程_東馬鳴山重劃區西主柒路等路面改善工程(144萬)-10.29_99年7月豪雨梅山鄉太興村流星巖災修工程(估價單冠英)_99年7月豪雨梅山鄉太興村流星巖災修工程(815萬-修正1)" xfId="310" xr:uid="{0C33FC85-75B8-48D4-A1DB-99EA53940989}"/>
    <cellStyle name="_斗南鎮新光里-田頭里農路改善工程_東馬鳴山重劃區西主柒路等路面改善工程(144萬)-10.29_99年7月豪雨梅山鄉太興村流星巖災修工程(估價單冠英)_99年7月豪雨梅山鄉太興村流星巖災修工程(815萬-變更議定書)" xfId="311" xr:uid="{C53CC378-0ABB-4CEF-87E2-67E3671DA4B5}"/>
    <cellStyle name="_斗南鎮新光里-田頭里農路改善工程_東馬鳴山重劃區西主柒路等路面改善工程(144萬)-10.29_台3線阿婆灣景觀改造工程(600萬)" xfId="312" xr:uid="{EAF978A8-E105-4430-8963-A237DEEF6018}"/>
    <cellStyle name="_斗南鎮新光里-田頭里農路改善工程_東馬鳴山重劃區西主柒路等路面改善工程(144萬)-10.29_台3線阿婆灣景觀改造工程(600萬)_000" xfId="313" xr:uid="{6E9E6545-D855-47E4-93EA-3111AA5F26D9}"/>
    <cellStyle name="_斗南鎮新光里-田頭里農路改善工程_東馬鳴山重劃區西主柒路等路面改善工程(144萬)-10.29_台3線阿婆灣景觀改造工程(600萬)_99年7月豪雨梅山鄉太興村流星巖災修工程(815萬)" xfId="314" xr:uid="{10AFC880-D0EC-4696-8705-7A9F501A6F53}"/>
    <cellStyle name="_斗南鎮新光里-田頭里農路改善工程_東馬鳴山重劃區西主柒路等路面改善工程(144萬)-10.29_台3線阿婆灣景觀改造工程(600萬)_99年7月豪雨梅山鄉太興村流星巖災修工程(815萬-正確)" xfId="315" xr:uid="{D4940A65-9E60-4377-92B9-1F60DEDAFB77}"/>
    <cellStyle name="_斗南鎮新光里-田頭里農路改善工程_東馬鳴山重劃區西主柒路等路面改善工程(144萬)-10.29_台3線阿婆灣景觀改造工程(600萬)_99年7月豪雨梅山鄉太興村流星巖災修工程(815萬-修正)" xfId="316" xr:uid="{B3998872-B0B0-43F6-A01E-B813EE1AB1FB}"/>
    <cellStyle name="_斗南鎮新光里-田頭里農路改善工程_東馬鳴山重劃區西主柒路等路面改善工程(144萬)-10.29_台3線阿婆灣景觀改造工程(600萬)_99年7月豪雨梅山鄉太興村流星巖災修工程(815萬-修正1)" xfId="317" xr:uid="{1FDDABF2-6DFA-4461-BFCA-72BF2E9489B5}"/>
    <cellStyle name="_斗南鎮新光里-田頭里農路改善工程_東馬鳴山重劃區西主柒路等路面改善工程(144萬)-10.29_台3線阿婆灣景觀改造工程(600萬)_99年7月豪雨梅山鄉太興村流星巖災修工程(815萬-變更議定書)" xfId="318" xr:uid="{56EEA4D8-33B6-490C-A19B-7277791628FD}"/>
    <cellStyle name="_斗南鎮新光里-田頭里農路改善工程_東馬鳴山重劃區西主柒路等路面改善工程(144萬)-10.29_台3線阿婆灣景觀改造工程(600萬)_台3線阿婆灣景觀改造工程" xfId="319" xr:uid="{4B3C4008-F64E-460A-A850-80889A86DB2E}"/>
    <cellStyle name="_斗南鎮新光里-田頭里農路改善工程_東馬鳴山重劃區西主柒路等路面改善工程(144萬)-10.29_台3線阿婆灣景觀改造工程(600萬)_台3線阿婆灣景觀改造工程(局長修正600萬)" xfId="320" xr:uid="{D6EA49B3-9CEC-4770-BB24-B0AB5D0AEFA0}"/>
    <cellStyle name="_斗南鎮新光里-田頭里農路改善工程_東馬鳴山重劃區西主柒路等路面改善工程(144萬)-10.29_台3線阿婆灣景觀改造工程(600萬)_台3線阿婆灣景觀改造工程(局長修正600萬)_台3線阿婆灣景觀改造工程(局長修正600萬)" xfId="321" xr:uid="{45A1AFA5-60FD-4A79-9A01-B1F47F6964E3}"/>
    <cellStyle name="_斗南鎮新光里-田頭里農路改善工程_東馬鳴山重劃區西主柒路等路面改善工程(144萬)-10.29_台3線阿婆灣景觀改造工程(600萬)_台3線阿婆灣景觀改造工程(局長修正600萬)_台3線阿婆灣景觀改造工程(局長修正600萬)_台3線阿婆灣景觀改造工程(變更設計正確)" xfId="322" xr:uid="{4245A12B-3E83-4F65-894B-B83FAE1E432E}"/>
    <cellStyle name="_斗南鎮新光里-田頭里農路改善工程_東馬鳴山重劃區西主柒路等路面改善工程(144萬)-10.29_台3線阿婆灣景觀改造工程(600萬)_台3線阿婆灣景觀改造工程(變更設計正確)" xfId="323" xr:uid="{282B3C8E-14AC-4CA0-9886-EDD0E38131D0}"/>
    <cellStyle name="_斗南鎮新光里-田頭里農路改善工程_東馬鳴山重劃區西主柒路等路面改善工程(144萬)-10.29_台3線阿婆灣景觀改造工程(局長修正600萬)" xfId="324" xr:uid="{F90250E3-EB4C-4A58-953E-EF1363797FD2}"/>
    <cellStyle name="_斗南鎮新光里-田頭里農路改善工程_東馬鳴山重劃區西主柒路等路面改善工程(144萬)-10.29_台3線阿婆灣景觀改造工程(局長修正600萬)_台3線阿婆灣景觀改造工程(變更設計正確)" xfId="325" xr:uid="{84AE090B-024B-411E-9A51-703BDAD350F7}"/>
    <cellStyle name="_斗南鎮新光里-田頭里農路改善工程_東馬鳴山重劃區西主柒路等路面改善工程(144萬)-10.29_莫拉克風災-梅山鄉龍眼村.碧湖村.瑞峰村休閒步道及邊坡等3件災修工程(竣工正確)" xfId="326" xr:uid="{4D11FE0E-9BF6-444B-A536-F9E45D7374BC}"/>
    <cellStyle name="_斗南鎮新光里-田頭里農路改善工程_東馬鳴山重劃區西主柒路等路面改善工程(144萬)-10.29_莫拉克風災-梅山鄉龍眼村.碧湖村.瑞峰村休閒步道及邊坡等3件災修工程(竣工正確)_000" xfId="327" xr:uid="{C508123B-1609-422C-9899-E5602719FEAA}"/>
    <cellStyle name="_斗南鎮新光里-田頭里農路改善工程_東馬鳴山重劃區西主柒路等路面改善工程(144萬)-10.29_莫拉克風災-梅山鄉龍眼村.碧湖村.瑞峰村休閒步道及邊坡等3件災修工程(竣工正確)_99年7月豪雨梅山鄉太興村流星巖災修工程(815萬)" xfId="328" xr:uid="{5F4DD48D-B5D4-409B-B140-0E2CCFD8CDF2}"/>
    <cellStyle name="_斗南鎮新光里-田頭里農路改善工程_東馬鳴山重劃區西主柒路等路面改善工程(144萬)-10.29_莫拉克風災-梅山鄉龍眼村.碧湖村.瑞峰村休閒步道及邊坡等3件災修工程(竣工正確)_99年7月豪雨梅山鄉太興村流星巖災修工程(815萬-正確)" xfId="329" xr:uid="{F0C03348-B59B-4C72-B456-5EE0938D881C}"/>
    <cellStyle name="_斗南鎮新光里-田頭里農路改善工程_東馬鳴山重劃區西主柒路等路面改善工程(144萬)-10.29_莫拉克風災-梅山鄉龍眼村.碧湖村.瑞峰村休閒步道及邊坡等3件災修工程(竣工正確)_99年7月豪雨梅山鄉太興村流星巖災修工程(815萬-修正)" xfId="330" xr:uid="{65880840-AD4A-433E-ACDE-C3ADA24D3DD9}"/>
    <cellStyle name="_斗南鎮新光里-田頭里農路改善工程_東馬鳴山重劃區西主柒路等路面改善工程(144萬)-10.29_莫拉克風災-梅山鄉龍眼村.碧湖村.瑞峰村休閒步道及邊坡等3件災修工程(竣工正確)_99年7月豪雨梅山鄉太興村流星巖災修工程(815萬-修正1)" xfId="331" xr:uid="{23C76DBF-0FBA-40C1-B6FE-8E3A8ECACBF1}"/>
    <cellStyle name="_斗南鎮新光里-田頭里農路改善工程_東馬鳴山重劃區西主柒路等路面改善工程(144萬)-10.29_莫拉克風災-梅山鄉龍眼村.碧湖村.瑞峰村休閒步道及邊坡等3件災修工程(竣工正確)_99年7月豪雨梅山鄉太興村流星巖災修工程(815萬-變更議定書)" xfId="332" xr:uid="{60B9866F-2A3C-43C2-A685-88707E473FA6}"/>
    <cellStyle name="_斗南鎮新光里-田頭里農路改善工程_莫拉克風災-梅山鄉龍眼村.碧湖村.瑞峰村休閒步道及邊坡等3件災修工程(竣工正確)" xfId="333" xr:uid="{113B488F-9555-4164-B524-93D2383B6495}"/>
    <cellStyle name="_斗南鎮新光里-田頭里農路改善工程_莫拉克風災-梅山鄉龍眼村.碧湖村.瑞峰村休閒步道及邊坡等3件災修工程(竣工正確)_000" xfId="334" xr:uid="{7DE34227-6A45-40B4-8F6C-79CD259E7040}"/>
    <cellStyle name="_斗南鎮新光里-田頭里農路改善工程_莫拉克風災-梅山鄉龍眼村.碧湖村.瑞峰村休閒步道及邊坡等3件災修工程(竣工正確)_99年7月豪雨梅山鄉太興村流星巖災修工程(815萬)" xfId="335" xr:uid="{E7A96B58-7842-4489-A7E4-50C6219FF96A}"/>
    <cellStyle name="_斗南鎮新光里-田頭里農路改善工程_莫拉克風災-梅山鄉龍眼村.碧湖村.瑞峰村休閒步道及邊坡等3件災修工程(竣工正確)_99年7月豪雨梅山鄉太興村流星巖災修工程(815萬-正確)" xfId="336" xr:uid="{433E411B-D5B8-492E-B7E3-4E0DEEF5878D}"/>
    <cellStyle name="_斗南鎮新光里-田頭里農路改善工程_莫拉克風災-梅山鄉龍眼村.碧湖村.瑞峰村休閒步道及邊坡等3件災修工程(竣工正確)_99年7月豪雨梅山鄉太興村流星巖災修工程(815萬-修正)" xfId="337" xr:uid="{43CE3F01-37A4-4A56-AFDC-3AE9A2C01CB0}"/>
    <cellStyle name="_斗南鎮新光里-田頭里農路改善工程_莫拉克風災-梅山鄉龍眼村.碧湖村.瑞峰村休閒步道及邊坡等3件災修工程(竣工正確)_99年7月豪雨梅山鄉太興村流星巖災修工程(815萬-修正1)" xfId="338" xr:uid="{8742F5CB-0DED-4AF4-8DA1-A0647A8D247C}"/>
    <cellStyle name="_斗南鎮新光里-田頭里農路改善工程_莫拉克風災-梅山鄉龍眼村.碧湖村.瑞峰村休閒步道及邊坡等3件災修工程(竣工正確)_99年7月豪雨梅山鄉太興村流星巖災修工程(815萬-變更議定書)" xfId="339" xr:uid="{741F5560-AD1D-4172-B775-095D1CE47D0F}"/>
    <cellStyle name="_斗南鎮新南里.阿丹里路面改善工程(100萬)" xfId="340" xr:uid="{78F4B252-79C3-4333-8063-C1FFAD25EC14}"/>
    <cellStyle name="_斗南鎮新南里.阿丹里路面改善工程(100萬)_99年7月豪雨梅山鄉太興村流星巖災修工程(815萬)" xfId="341" xr:uid="{6A239356-22F9-4653-AD2C-104F029497ED}"/>
    <cellStyle name="_斗南鎮新南里.阿丹里路面改善工程(100萬)_99年7月豪雨梅山鄉太興村流星巖災修工程(815萬)_000" xfId="342" xr:uid="{271F7DD7-F958-4EA3-B4F5-ACE4790629DC}"/>
    <cellStyle name="_斗南鎮新南里.阿丹里路面改善工程(100萬)_99年7月豪雨梅山鄉太興村流星巖災修工程(815萬)_99年7月豪雨梅山鄉太興村流星巖災修工程(815萬)" xfId="343" xr:uid="{C1D10504-30B7-40EB-8FBB-CF662811EAAB}"/>
    <cellStyle name="_斗南鎮新南里.阿丹里路面改善工程(100萬)_99年7月豪雨梅山鄉太興村流星巖災修工程(815萬)_99年7月豪雨梅山鄉太興村流星巖災修工程(815萬-正確)" xfId="344" xr:uid="{DB6E26CC-7FDE-4002-8003-96228C88D644}"/>
    <cellStyle name="_斗南鎮新南里.阿丹里路面改善工程(100萬)_99年7月豪雨梅山鄉太興村流星巖災修工程(815萬)_99年7月豪雨梅山鄉太興村流星巖災修工程(815萬-修正)" xfId="345" xr:uid="{8AECC952-CC7B-4948-8AF7-1EB301B44E7E}"/>
    <cellStyle name="_斗南鎮新南里.阿丹里路面改善工程(100萬)_99年7月豪雨梅山鄉太興村流星巖災修工程(815萬)_99年7月豪雨梅山鄉太興村流星巖災修工程(815萬-修正1)" xfId="346" xr:uid="{06096C44-7375-47B3-BC6D-26B283AAABA4}"/>
    <cellStyle name="_斗南鎮新南里.阿丹里路面改善工程(100萬)_99年7月豪雨梅山鄉太興村流星巖災修工程(815萬)_99年7月豪雨梅山鄉太興村流星巖災修工程(815萬-變更議定書)" xfId="347" xr:uid="{71B8103E-23D7-4F4A-B33F-1A299332B8C2}"/>
    <cellStyle name="_斗南鎮新南里.阿丹里路面改善工程(100萬)_99年7月豪雨梅山鄉太興村流星巖災修工程(估價單冠英)" xfId="348" xr:uid="{3A569DFD-4691-4B28-BBA4-2332D6C8C131}"/>
    <cellStyle name="_斗南鎮新南里.阿丹里路面改善工程(100萬)_99年7月豪雨梅山鄉太興村流星巖災修工程(估價單冠英)_000" xfId="349" xr:uid="{46ECC139-A241-4278-B881-356FF25E8541}"/>
    <cellStyle name="_斗南鎮新南里.阿丹里路面改善工程(100萬)_99年7月豪雨梅山鄉太興村流星巖災修工程(估價單冠英)_99年7月豪雨梅山鄉太興村流星巖災修工程(815萬)" xfId="350" xr:uid="{E4C02D1B-A04A-49F6-BEEE-8CE0738A0D36}"/>
    <cellStyle name="_斗南鎮新南里.阿丹里路面改善工程(100萬)_99年7月豪雨梅山鄉太興村流星巖災修工程(估價單冠英)_99年7月豪雨梅山鄉太興村流星巖災修工程(815萬-正確)" xfId="351" xr:uid="{44503DB9-876B-4823-AD12-74EA8D215182}"/>
    <cellStyle name="_斗南鎮新南里.阿丹里路面改善工程(100萬)_99年7月豪雨梅山鄉太興村流星巖災修工程(估價單冠英)_99年7月豪雨梅山鄉太興村流星巖災修工程(815萬-修正)" xfId="352" xr:uid="{120A8F6C-182B-4FEC-9152-40C05863E2CF}"/>
    <cellStyle name="_斗南鎮新南里.阿丹里路面改善工程(100萬)_99年7月豪雨梅山鄉太興村流星巖災修工程(估價單冠英)_99年7月豪雨梅山鄉太興村流星巖災修工程(815萬-修正1)" xfId="353" xr:uid="{E54B5456-8392-463B-8326-9D66ABAD8D79}"/>
    <cellStyle name="_斗南鎮新南里.阿丹里路面改善工程(100萬)_99年7月豪雨梅山鄉太興村流星巖災修工程(估價單冠英)_99年7月豪雨梅山鄉太興村流星巖災修工程(815萬-變更議定書)" xfId="354" xr:uid="{7371F069-A944-48AB-BD15-AB7348F9A8E9}"/>
    <cellStyle name="_斗南鎮新南里.阿丹里路面改善工程(100萬)_台3線阿婆灣景觀改造工程(600萬)" xfId="355" xr:uid="{59C6FA89-2F33-4CC5-9987-CF97966B7C9A}"/>
    <cellStyle name="_斗南鎮新南里.阿丹里路面改善工程(100萬)_台3線阿婆灣景觀改造工程(600萬)_000" xfId="356" xr:uid="{57755ED4-03A1-4EC6-848B-E7F041EC1654}"/>
    <cellStyle name="_斗南鎮新南里.阿丹里路面改善工程(100萬)_台3線阿婆灣景觀改造工程(600萬)_99年7月豪雨梅山鄉太興村流星巖災修工程(815萬)" xfId="357" xr:uid="{C133DCCB-FE8A-43C7-85B6-915D97A82608}"/>
    <cellStyle name="_斗南鎮新南里.阿丹里路面改善工程(100萬)_台3線阿婆灣景觀改造工程(600萬)_99年7月豪雨梅山鄉太興村流星巖災修工程(815萬-正確)" xfId="358" xr:uid="{00E77E08-A8CA-45E6-B2B3-39F3640C47F2}"/>
    <cellStyle name="_斗南鎮新南里.阿丹里路面改善工程(100萬)_台3線阿婆灣景觀改造工程(600萬)_99年7月豪雨梅山鄉太興村流星巖災修工程(815萬-修正)" xfId="359" xr:uid="{5BB0017E-7EA4-4872-B1EF-E95637F22D53}"/>
    <cellStyle name="_斗南鎮新南里.阿丹里路面改善工程(100萬)_台3線阿婆灣景觀改造工程(600萬)_99年7月豪雨梅山鄉太興村流星巖災修工程(815萬-修正1)" xfId="360" xr:uid="{FABB4D8A-D4DB-4C33-A83D-2EAD7B4FE85C}"/>
    <cellStyle name="_斗南鎮新南里.阿丹里路面改善工程(100萬)_台3線阿婆灣景觀改造工程(600萬)_99年7月豪雨梅山鄉太興村流星巖災修工程(815萬-變更議定書)" xfId="361" xr:uid="{61A48816-756B-461D-BEBC-5BF47D890A26}"/>
    <cellStyle name="_斗南鎮新南里.阿丹里路面改善工程(100萬)_台3線阿婆灣景觀改造工程(600萬)_台3線阿婆灣景觀改造工程" xfId="362" xr:uid="{A496BE07-4B3A-4CD6-8DA7-D2F842A8EA1E}"/>
    <cellStyle name="_斗南鎮新南里.阿丹里路面改善工程(100萬)_台3線阿婆灣景觀改造工程(600萬)_台3線阿婆灣景觀改造工程(局長修正600萬)" xfId="363" xr:uid="{C1FC8D0E-AB53-4DF4-A93F-8D2BD9DA5DB0}"/>
    <cellStyle name="_斗南鎮新南里.阿丹里路面改善工程(100萬)_台3線阿婆灣景觀改造工程(600萬)_台3線阿婆灣景觀改造工程(局長修正600萬)_台3線阿婆灣景觀改造工程(局長修正600萬)" xfId="364" xr:uid="{26416651-4501-44B7-A0D8-FABBC232AC3D}"/>
    <cellStyle name="_斗南鎮新南里.阿丹里路面改善工程(100萬)_台3線阿婆灣景觀改造工程(600萬)_台3線阿婆灣景觀改造工程(局長修正600萬)_台3線阿婆灣景觀改造工程(局長修正600萬)_台3線阿婆灣景觀改造工程(變更設計正確)" xfId="365" xr:uid="{44FEC3A0-E18C-4E64-97F6-58662FA18AFF}"/>
    <cellStyle name="_斗南鎮新南里.阿丹里路面改善工程(100萬)_台3線阿婆灣景觀改造工程(600萬)_台3線阿婆灣景觀改造工程(變更設計正確)" xfId="366" xr:uid="{525A0F6E-3B37-4402-BA45-DFE79743E3E6}"/>
    <cellStyle name="_斗南鎮新南里.阿丹里路面改善工程(100萬)_台3線阿婆灣景觀改造工程(局長修正600萬)" xfId="367" xr:uid="{9CD2B969-0169-4802-AFF0-4B3074414DE3}"/>
    <cellStyle name="_斗南鎮新南里.阿丹里路面改善工程(100萬)_台3線阿婆灣景觀改造工程(局長修正600萬)_台3線阿婆灣景觀改造工程(變更設計正確)" xfId="368" xr:uid="{63761649-A721-4D8D-9ED7-3CC4B7AA6BBB}"/>
    <cellStyle name="_斗南鎮新南里.阿丹里路面改善工程(100萬)_莫拉克風災-梅山鄉龍眼村.碧湖村.瑞峰村休閒步道及邊坡等3件災修工程(竣工正確)" xfId="369" xr:uid="{221BCDEF-4FF3-4ABB-8473-4CDFAC4F1B2C}"/>
    <cellStyle name="_斗南鎮新南里.阿丹里路面改善工程(100萬)_莫拉克風災-梅山鄉龍眼村.碧湖村.瑞峰村休閒步道及邊坡等3件災修工程(竣工正確)_000" xfId="370" xr:uid="{DBEED70B-7AA4-4CE5-AC49-EA911F05A15C}"/>
    <cellStyle name="_斗南鎮新南里.阿丹里路面改善工程(100萬)_莫拉克風災-梅山鄉龍眼村.碧湖村.瑞峰村休閒步道及邊坡等3件災修工程(竣工正確)_99年7月豪雨梅山鄉太興村流星巖災修工程(815萬)" xfId="371" xr:uid="{E322C85F-192C-474A-BC75-FF1DE4B3C12F}"/>
    <cellStyle name="_斗南鎮新南里.阿丹里路面改善工程(100萬)_莫拉克風災-梅山鄉龍眼村.碧湖村.瑞峰村休閒步道及邊坡等3件災修工程(竣工正確)_99年7月豪雨梅山鄉太興村流星巖災修工程(815萬-正確)" xfId="372" xr:uid="{31E143C0-26C5-4AAE-984E-0E077CBD2008}"/>
    <cellStyle name="_斗南鎮新南里.阿丹里路面改善工程(100萬)_莫拉克風災-梅山鄉龍眼村.碧湖村.瑞峰村休閒步道及邊坡等3件災修工程(竣工正確)_99年7月豪雨梅山鄉太興村流星巖災修工程(815萬-修正)" xfId="373" xr:uid="{DC132F6F-69EC-4EAA-905E-21F584DB3C7A}"/>
    <cellStyle name="_斗南鎮新南里.阿丹里路面改善工程(100萬)_莫拉克風災-梅山鄉龍眼村.碧湖村.瑞峰村休閒步道及邊坡等3件災修工程(竣工正確)_99年7月豪雨梅山鄉太興村流星巖災修工程(815萬-修正1)" xfId="374" xr:uid="{4FA5A88A-E147-4592-83C4-C5908FB808A3}"/>
    <cellStyle name="_斗南鎮新南里.阿丹里路面改善工程(100萬)_莫拉克風災-梅山鄉龍眼村.碧湖村.瑞峰村休閒步道及邊坡等3件災修工程(竣工正確)_99年7月豪雨梅山鄉太興村流星巖災修工程(815萬-變更議定書)" xfId="375" xr:uid="{F2806715-BF71-4667-B74A-694F1B8EDC86}"/>
    <cellStyle name="_斗南鎮新南里.阿丹里路面改善工程(100萬)_褒忠鄉埔姜崙公墓墓基改道工程(30萬)-預算" xfId="376" xr:uid="{71D6B52B-E2D0-4045-B676-521D67672811}"/>
    <cellStyle name="_斗南鎮新南里.阿丹里路面改善工程(100萬)_褒忠鄉埔姜崙公墓墓基改道工程(30萬)-預算_99年7月豪雨梅山鄉太興村流星巖災修工程(815萬)" xfId="377" xr:uid="{A2291588-39BC-47DE-9E91-C01B79B8F1F5}"/>
    <cellStyle name="_斗南鎮新南里.阿丹里路面改善工程(100萬)_褒忠鄉埔姜崙公墓墓基改道工程(30萬)-預算_99年7月豪雨梅山鄉太興村流星巖災修工程(815萬)_000" xfId="378" xr:uid="{0C167C6F-C636-484D-8250-1A7803352F3F}"/>
    <cellStyle name="_斗南鎮新南里.阿丹里路面改善工程(100萬)_褒忠鄉埔姜崙公墓墓基改道工程(30萬)-預算_99年7月豪雨梅山鄉太興村流星巖災修工程(815萬)_99年7月豪雨梅山鄉太興村流星巖災修工程(815萬)" xfId="379" xr:uid="{6CD23DEE-19A7-413A-98D1-B1769FF4DA8A}"/>
    <cellStyle name="_斗南鎮新南里.阿丹里路面改善工程(100萬)_褒忠鄉埔姜崙公墓墓基改道工程(30萬)-預算_99年7月豪雨梅山鄉太興村流星巖災修工程(815萬)_99年7月豪雨梅山鄉太興村流星巖災修工程(815萬-正確)" xfId="380" xr:uid="{3EE1D6A0-5AAB-48FC-8B94-27D1AFBBA10A}"/>
    <cellStyle name="_斗南鎮新南里.阿丹里路面改善工程(100萬)_褒忠鄉埔姜崙公墓墓基改道工程(30萬)-預算_99年7月豪雨梅山鄉太興村流星巖災修工程(815萬)_99年7月豪雨梅山鄉太興村流星巖災修工程(815萬-修正)" xfId="381" xr:uid="{46E0B776-0057-4B8E-9271-DB7B53E46E11}"/>
    <cellStyle name="_斗南鎮新南里.阿丹里路面改善工程(100萬)_褒忠鄉埔姜崙公墓墓基改道工程(30萬)-預算_99年7月豪雨梅山鄉太興村流星巖災修工程(815萬)_99年7月豪雨梅山鄉太興村流星巖災修工程(815萬-修正1)" xfId="382" xr:uid="{9AECF660-38EE-43C2-9B02-EA5492F6E8DB}"/>
    <cellStyle name="_斗南鎮新南里.阿丹里路面改善工程(100萬)_褒忠鄉埔姜崙公墓墓基改道工程(30萬)-預算_99年7月豪雨梅山鄉太興村流星巖災修工程(815萬)_99年7月豪雨梅山鄉太興村流星巖災修工程(815萬-變更議定書)" xfId="383" xr:uid="{55E74254-BC99-4335-AA4B-EBF3782F7C41}"/>
    <cellStyle name="_斗南鎮新南里.阿丹里路面改善工程(100萬)_褒忠鄉埔姜崙公墓墓基改道工程(30萬)-預算_99年7月豪雨梅山鄉太興村流星巖災修工程(估價單冠英)" xfId="384" xr:uid="{D76C4EF2-DEA4-42BD-8966-344D2E9D6E93}"/>
    <cellStyle name="_斗南鎮新南里.阿丹里路面改善工程(100萬)_褒忠鄉埔姜崙公墓墓基改道工程(30萬)-預算_99年7月豪雨梅山鄉太興村流星巖災修工程(估價單冠英)_000" xfId="385" xr:uid="{40FAD39B-7309-434B-92F8-28A5E0688858}"/>
    <cellStyle name="_斗南鎮新南里.阿丹里路面改善工程(100萬)_褒忠鄉埔姜崙公墓墓基改道工程(30萬)-預算_99年7月豪雨梅山鄉太興村流星巖災修工程(估價單冠英)_99年7月豪雨梅山鄉太興村流星巖災修工程(815萬)" xfId="386" xr:uid="{CA071302-20D7-4326-9EA1-C27B6DA6E547}"/>
    <cellStyle name="_斗南鎮新南里.阿丹里路面改善工程(100萬)_褒忠鄉埔姜崙公墓墓基改道工程(30萬)-預算_99年7月豪雨梅山鄉太興村流星巖災修工程(估價單冠英)_99年7月豪雨梅山鄉太興村流星巖災修工程(815萬-正確)" xfId="387" xr:uid="{A4D57CA1-E1F4-4852-B9DF-5D1838297502}"/>
    <cellStyle name="_斗南鎮新南里.阿丹里路面改善工程(100萬)_褒忠鄉埔姜崙公墓墓基改道工程(30萬)-預算_99年7月豪雨梅山鄉太興村流星巖災修工程(估價單冠英)_99年7月豪雨梅山鄉太興村流星巖災修工程(815萬-修正)" xfId="388" xr:uid="{155003B2-1A70-49D7-A16A-59039A7AFBEB}"/>
    <cellStyle name="_斗南鎮新南里.阿丹里路面改善工程(100萬)_褒忠鄉埔姜崙公墓墓基改道工程(30萬)-預算_99年7月豪雨梅山鄉太興村流星巖災修工程(估價單冠英)_99年7月豪雨梅山鄉太興村流星巖災修工程(815萬-修正1)" xfId="389" xr:uid="{C8FF3132-120F-4B27-8C19-909C93606183}"/>
    <cellStyle name="_斗南鎮新南里.阿丹里路面改善工程(100萬)_褒忠鄉埔姜崙公墓墓基改道工程(30萬)-預算_99年7月豪雨梅山鄉太興村流星巖災修工程(估價單冠英)_99年7月豪雨梅山鄉太興村流星巖災修工程(815萬-變更議定書)" xfId="390" xr:uid="{6AAC5E68-796B-4D7A-9DC1-753F39FEE85C}"/>
    <cellStyle name="_斗南鎮新南里.阿丹里路面改善工程(100萬)_褒忠鄉埔姜崙公墓墓基改道工程(30萬)-預算_台3線阿婆灣景觀改造工程(600萬)" xfId="391" xr:uid="{4AF91582-A899-4721-8A82-F412C416D65E}"/>
    <cellStyle name="_斗南鎮新南里.阿丹里路面改善工程(100萬)_褒忠鄉埔姜崙公墓墓基改道工程(30萬)-預算_台3線阿婆灣景觀改造工程(600萬)_000" xfId="392" xr:uid="{2826A18E-B6DD-453C-A232-BE6AD1D6E4E7}"/>
    <cellStyle name="_斗南鎮新南里.阿丹里路面改善工程(100萬)_褒忠鄉埔姜崙公墓墓基改道工程(30萬)-預算_台3線阿婆灣景觀改造工程(600萬)_99年7月豪雨梅山鄉太興村流星巖災修工程(815萬)" xfId="393" xr:uid="{426D347C-CB7D-4C38-9840-B2B6997FBADA}"/>
    <cellStyle name="_斗南鎮新南里.阿丹里路面改善工程(100萬)_褒忠鄉埔姜崙公墓墓基改道工程(30萬)-預算_台3線阿婆灣景觀改造工程(600萬)_99年7月豪雨梅山鄉太興村流星巖災修工程(815萬-正確)" xfId="394" xr:uid="{D2CAC294-719E-4EA1-B6DE-3A9BE8542956}"/>
    <cellStyle name="_斗南鎮新南里.阿丹里路面改善工程(100萬)_褒忠鄉埔姜崙公墓墓基改道工程(30萬)-預算_台3線阿婆灣景觀改造工程(600萬)_99年7月豪雨梅山鄉太興村流星巖災修工程(815萬-修正)" xfId="395" xr:uid="{A9017FAA-36EF-4B60-85A8-9822CC0A1250}"/>
    <cellStyle name="_斗南鎮新南里.阿丹里路面改善工程(100萬)_褒忠鄉埔姜崙公墓墓基改道工程(30萬)-預算_台3線阿婆灣景觀改造工程(600萬)_99年7月豪雨梅山鄉太興村流星巖災修工程(815萬-修正1)" xfId="396" xr:uid="{2CF1FDFB-0E30-4DA1-81BF-5B3EAA79DA28}"/>
    <cellStyle name="_斗南鎮新南里.阿丹里路面改善工程(100萬)_褒忠鄉埔姜崙公墓墓基改道工程(30萬)-預算_台3線阿婆灣景觀改造工程(600萬)_99年7月豪雨梅山鄉太興村流星巖災修工程(815萬-變更議定書)" xfId="397" xr:uid="{DBA50B71-76E1-405B-B9B8-A8D9789C6906}"/>
    <cellStyle name="_斗南鎮新南里.阿丹里路面改善工程(100萬)_褒忠鄉埔姜崙公墓墓基改道工程(30萬)-預算_台3線阿婆灣景觀改造工程(600萬)_台3線阿婆灣景觀改造工程" xfId="398" xr:uid="{A0517AEF-3554-4446-BEB7-FCC7919DF6C2}"/>
    <cellStyle name="_斗南鎮新南里.阿丹里路面改善工程(100萬)_褒忠鄉埔姜崙公墓墓基改道工程(30萬)-預算_台3線阿婆灣景觀改造工程(600萬)_台3線阿婆灣景觀改造工程(局長修正600萬)" xfId="399" xr:uid="{42FE106B-AC3D-48D3-B63E-1851C63E4ACE}"/>
    <cellStyle name="_斗南鎮新南里.阿丹里路面改善工程(100萬)_褒忠鄉埔姜崙公墓墓基改道工程(30萬)-預算_台3線阿婆灣景觀改造工程(600萬)_台3線阿婆灣景觀改造工程(局長修正600萬)_台3線阿婆灣景觀改造工程(局長修正600萬)" xfId="400" xr:uid="{E0D4182F-8088-43BC-8375-D98CB69AD873}"/>
    <cellStyle name="_斗南鎮新南里.阿丹里路面改善工程(100萬)_褒忠鄉埔姜崙公墓墓基改道工程(30萬)-預算_台3線阿婆灣景觀改造工程(600萬)_台3線阿婆灣景觀改造工程(局長修正600萬)_台3線阿婆灣景觀改造工程(局長修正600萬)_台3線阿婆灣景觀改造工程(變更設計正確)" xfId="401" xr:uid="{57A47EC6-51A1-43B6-94EA-40375CF259AE}"/>
    <cellStyle name="_斗南鎮新南里.阿丹里路面改善工程(100萬)_褒忠鄉埔姜崙公墓墓基改道工程(30萬)-預算_台3線阿婆灣景觀改造工程(600萬)_台3線阿婆灣景觀改造工程(變更設計正確)" xfId="402" xr:uid="{92775EC4-EDC6-4A7F-9FF8-21220D6FB8AC}"/>
    <cellStyle name="_斗南鎮新南里.阿丹里路面改善工程(100萬)_褒忠鄉埔姜崙公墓墓基改道工程(30萬)-預算_台3線阿婆灣景觀改造工程(局長修正600萬)" xfId="403" xr:uid="{575068FB-FF46-40E3-8307-B6963A1782DC}"/>
    <cellStyle name="_斗南鎮新南里.阿丹里路面改善工程(100萬)_褒忠鄉埔姜崙公墓墓基改道工程(30萬)-預算_台3線阿婆灣景觀改造工程(局長修正600萬)_台3線阿婆灣景觀改造工程(變更設計正確)" xfId="404" xr:uid="{733A67F2-56A3-48AB-AE40-3A5076DE7301}"/>
    <cellStyle name="_斗南鎮新南里.阿丹里路面改善工程(100萬)_褒忠鄉埔姜崙公墓墓基改道工程(30萬)-預算_莫拉克風災-梅山鄉龍眼村.碧湖村.瑞峰村休閒步道及邊坡等3件災修工程(竣工正確)" xfId="405" xr:uid="{DBA9A85C-8592-41AA-8241-C13D38EA1ECF}"/>
    <cellStyle name="_斗南鎮新南里.阿丹里路面改善工程(100萬)_褒忠鄉埔姜崙公墓墓基改道工程(30萬)-預算_莫拉克風災-梅山鄉龍眼村.碧湖村.瑞峰村休閒步道及邊坡等3件災修工程(竣工正確)_000" xfId="406" xr:uid="{3D74A72C-DB33-423E-AE12-66B101F515C4}"/>
    <cellStyle name="_斗南鎮新南里.阿丹里路面改善工程(100萬)_褒忠鄉埔姜崙公墓墓基改道工程(30萬)-預算_莫拉克風災-梅山鄉龍眼村.碧湖村.瑞峰村休閒步道及邊坡等3件災修工程(竣工正確)_99年7月豪雨梅山鄉太興村流星巖災修工程(815萬)" xfId="407" xr:uid="{293BE209-80E7-4907-BACA-0E02E7EB5590}"/>
    <cellStyle name="_斗南鎮新南里.阿丹里路面改善工程(100萬)_褒忠鄉埔姜崙公墓墓基改道工程(30萬)-預算_莫拉克風災-梅山鄉龍眼村.碧湖村.瑞峰村休閒步道及邊坡等3件災修工程(竣工正確)_99年7月豪雨梅山鄉太興村流星巖災修工程(815萬-正確)" xfId="408" xr:uid="{877E7293-3BBB-4FE4-AA0B-8C617391808E}"/>
    <cellStyle name="_斗南鎮新南里.阿丹里路面改善工程(100萬)_褒忠鄉埔姜崙公墓墓基改道工程(30萬)-預算_莫拉克風災-梅山鄉龍眼村.碧湖村.瑞峰村休閒步道及邊坡等3件災修工程(竣工正確)_99年7月豪雨梅山鄉太興村流星巖災修工程(815萬-修正)" xfId="409" xr:uid="{1BB37D11-6B41-42D8-AAA9-F61AF623A25B}"/>
    <cellStyle name="_斗南鎮新南里.阿丹里路面改善工程(100萬)_褒忠鄉埔姜崙公墓墓基改道工程(30萬)-預算_莫拉克風災-梅山鄉龍眼村.碧湖村.瑞峰村休閒步道及邊坡等3件災修工程(竣工正確)_99年7月豪雨梅山鄉太興村流星巖災修工程(815萬-修正1)" xfId="410" xr:uid="{1D526E65-B5E0-4CB8-AD81-1371022C1948}"/>
    <cellStyle name="_斗南鎮新南里.阿丹里路面改善工程(100萬)_褒忠鄉埔姜崙公墓墓基改道工程(30萬)-預算_莫拉克風災-梅山鄉龍眼村.碧湖村.瑞峰村休閒步道及邊坡等3件災修工程(竣工正確)_99年7月豪雨梅山鄉太興村流星巖災修工程(815萬-變更議定書)" xfId="411" xr:uid="{438F9293-4875-4726-A73B-690282A11171}"/>
    <cellStyle name="_番溝變更1220" xfId="412" xr:uid="{15F40DD4-D980-48A4-878A-7069C66CCFA4}"/>
    <cellStyle name="_福德宮枕木數量調整0219" xfId="413" xr:uid="{7920C8AC-99A1-4F68-A20E-03D57E7172B5}"/>
    <cellStyle name="_福德宮變更1224" xfId="414" xr:uid="{1CBD78D2-5F67-4AE1-95FB-081001816F6D}"/>
    <cellStyle name="_福德宮變更1226" xfId="415" xr:uid="{DD4ACE25-8E1F-41B5-802E-604CF11FD181}"/>
    <cellStyle name="0,0_x000d__x000a_NA_x000d__x000a_" xfId="416" xr:uid="{62B4D330-8649-49FE-A1CE-6AF1232678AF}"/>
    <cellStyle name="20% - 輔色1 2" xfId="417" xr:uid="{42ECF82C-BFF2-4C85-80A9-02A0AAFECAD4}"/>
    <cellStyle name="20% - 輔色2 2" xfId="418" xr:uid="{4920F7C1-902B-4A3D-8CBA-7AF77199E204}"/>
    <cellStyle name="20% - 輔色3 2" xfId="419" xr:uid="{0D7D6760-B90B-4360-8895-0E2962D5FE17}"/>
    <cellStyle name="20% - 輔色4 2" xfId="420" xr:uid="{DE084A15-EAA8-4D8C-A03C-A6D645F01656}"/>
    <cellStyle name="20% - 輔色5 2" xfId="421" xr:uid="{709693FA-A62F-4276-B5A6-24B40D2EC178}"/>
    <cellStyle name="20% - 輔色6 2" xfId="422" xr:uid="{C91EC54D-54DA-4E44-9673-92C1925F9A0F}"/>
    <cellStyle name="40% - 輔色1 2" xfId="423" xr:uid="{F9185C45-00DA-4579-81CD-152B64D56202}"/>
    <cellStyle name="40% - 輔色2 2" xfId="424" xr:uid="{7CBD86BA-0D0F-4ABC-A274-BC8AF312F5B4}"/>
    <cellStyle name="40% - 輔色3 2" xfId="425" xr:uid="{80C66E73-CF11-4B20-971A-D7465A716CD8}"/>
    <cellStyle name="40% - 輔色4 2" xfId="426" xr:uid="{06B9D9BF-4789-4A85-9A03-6B4A39FDA0E6}"/>
    <cellStyle name="40% - 輔色5 2" xfId="427" xr:uid="{BF27D490-7BC3-456F-9B7A-9BED16A4888A}"/>
    <cellStyle name="40% - 輔色6 2" xfId="428" xr:uid="{637DC179-577D-45C5-A098-C2F97C6CB9EC}"/>
    <cellStyle name="60% - 輔色1 2" xfId="429" xr:uid="{D34F5D2F-40FC-4C01-AF1E-064B4245F433}"/>
    <cellStyle name="60% - 輔色2 2" xfId="430" xr:uid="{8699CD12-6E56-421B-A5BC-56F8335676D5}"/>
    <cellStyle name="60% - 輔色3 2" xfId="431" xr:uid="{549EA614-60DB-4F1C-B00E-98BF65E2E198}"/>
    <cellStyle name="60% - 輔色4 2" xfId="432" xr:uid="{0036F64B-86B6-42D2-83E6-8BB0FC21A006}"/>
    <cellStyle name="60% - 輔色5 2" xfId="433" xr:uid="{6A6ED97E-573E-4768-8948-733A82794CC6}"/>
    <cellStyle name="60% - 輔色6 2" xfId="434" xr:uid="{D904C3DF-5016-414D-8778-9FA164A9F681}"/>
    <cellStyle name="eng" xfId="435" xr:uid="{23D6FBCE-4436-47EF-9116-7E9A57606830}"/>
    <cellStyle name="Header1" xfId="436" xr:uid="{D2CC9987-02A2-41AA-8AA0-C8F49B0368FF}"/>
    <cellStyle name="Header2" xfId="437" xr:uid="{3991C389-0872-48A5-B152-2D116DABF1F4}"/>
    <cellStyle name="lu" xfId="438" xr:uid="{CEDC4503-FDF8-47A9-8671-20701B3ABD41}"/>
    <cellStyle name="Normal - Style1" xfId="439" xr:uid="{0978D551-F547-42B4-8475-A0EF63782FC2}"/>
    <cellStyle name="Normal_Basic Assumptions" xfId="440" xr:uid="{F98C3DD2-7A03-46AF-957C-7BCAE3BE37B8}"/>
    <cellStyle name="t_Area" xfId="441" xr:uid="{329F145B-679B-490B-BF74-B273409FD5AE}"/>
    <cellStyle name="t1" xfId="442" xr:uid="{91BAC648-892C-41C4-B5AD-A5701B9F3D74}"/>
    <cellStyle name="title" xfId="443" xr:uid="{4AF7EC99-CF6C-42C5-B164-E0CA6C82B1A1}"/>
    <cellStyle name="一般" xfId="0" builtinId="0"/>
    <cellStyle name="一般 2" xfId="444" xr:uid="{08FACAF1-1500-4326-8D9F-D0D2518486E9}"/>
    <cellStyle name="一般 3" xfId="1" xr:uid="{5F514EC4-6E7E-41FF-A2CD-C3E6A4B6E5C1}"/>
    <cellStyle name="一般_3-1監工日報表" xfId="932" xr:uid="{2FC4F3EE-FEC9-4E4E-AACC-436BD04282A4}"/>
    <cellStyle name="一般_水利監工日報" xfId="933" xr:uid="{6C217813-CB49-4CAF-8DD5-293E80D98A89}"/>
    <cellStyle name="一般_監造日報表--泰利風災瑞里村道路及擋土牆復建工程(未列印)" xfId="445" xr:uid="{69D1DD03-15D7-4E51-92C7-C7E88562C35E}"/>
    <cellStyle name="一般_總表" xfId="446" xr:uid="{C6334CCF-AB02-4842-A18E-9D20C70BFCED}"/>
    <cellStyle name="人工挖方" xfId="447" xr:uid="{E76F8EAF-7A1A-4421-B8DF-989A92748EB4}"/>
    <cellStyle name="千分位 2" xfId="448" xr:uid="{CD48D87B-2676-4614-AFF7-4BD7A154DF6C}"/>
    <cellStyle name="中等 2" xfId="449" xr:uid="{86C4A9F0-4E31-4DDB-B605-13F0416ECA06}"/>
    <cellStyle name="未定義" xfId="450" xr:uid="{04C404B6-3916-4D83-AA6F-BBD85C23F35E}"/>
    <cellStyle name="合計 2" xfId="451" xr:uid="{B6005925-B500-491A-A2FF-2FF028F2221A}"/>
    <cellStyle name="名稱‧規範" xfId="452" xr:uid="{49A6BBAE-D151-4E66-BAD3-A46EB951D689}"/>
    <cellStyle name="好 2" xfId="453" xr:uid="{7A704342-7AA1-440C-BB1F-A20B293C60C6}"/>
    <cellStyle name="好_新市鄉中正路景觀-施工日誌98.06.17~98.11.30" xfId="454" xr:uid="{178A6160-8825-4F0D-8110-0B46B88A5570}"/>
    <cellStyle name="好_臺南縣新市鄉中正路景觀與人行環境改善工程-監造日報98.06-11" xfId="455" xr:uid="{70316FA2-CE64-45C3-BF90-8562D810EDA4}"/>
    <cellStyle name="百分比" xfId="934" builtinId="5"/>
    <cellStyle name="百分比 2" xfId="456" xr:uid="{7D25E7AC-7A6B-4A4B-AA01-CA906677BFCE}"/>
    <cellStyle name="自+3" xfId="457" xr:uid="{762DFBE3-5F1E-4038-82E5-3D5C04CB8B63}"/>
    <cellStyle name="表格 1" xfId="458" xr:uid="{EAA58E91-FDDC-417A-BEA9-6985AF878477}"/>
    <cellStyle name="挖方" xfId="459" xr:uid="{C3C748A9-9C9A-40B2-8F83-F655DF074073}"/>
    <cellStyle name="計算方式 2" xfId="460" xr:uid="{7D21A52A-FB72-4CB9-941A-014800CB9500}"/>
    <cellStyle name="貨幣[0]_0植栽單" xfId="461" xr:uid="{FD1370D0-EDBA-4592-9B1D-146F9B50E91B}"/>
    <cellStyle name="連結的儲存格 2" xfId="462" xr:uid="{36ED331E-83E4-4BA3-A2BA-336B3232884C}"/>
    <cellStyle name="備註 2" xfId="463" xr:uid="{83F928F8-6ADA-4273-8D67-D190344EBEBA}"/>
    <cellStyle name="單位" xfId="464" xr:uid="{A2E53482-F34F-45F8-93F3-9749BC3EAC81}"/>
    <cellStyle name="單價" xfId="465" xr:uid="{198C2DBD-E6A2-4961-9745-03DE00914780}"/>
    <cellStyle name="距離" xfId="466" xr:uid="{1F70B29D-4199-447F-9638-461F736A8467}"/>
    <cellStyle name="項目" xfId="467" xr:uid="{17030F46-55BE-4007-A02E-B4655EC4C162}"/>
    <cellStyle name="預算書" xfId="468" xr:uid="{04107555-575F-40F4-BFFB-8FB147ECFD52}"/>
    <cellStyle name="說明文字 2" xfId="469" xr:uid="{C95F5379-FDA4-4E82-9299-33A043C23D72}"/>
    <cellStyle name="輔色1 2" xfId="470" xr:uid="{8F128ADA-F57D-4844-BA74-6A39BB27E20B}"/>
    <cellStyle name="輔色2 2" xfId="471" xr:uid="{B1CEA2E0-3FE3-4DAE-8D7E-CE36256C2EB1}"/>
    <cellStyle name="輔色3 2" xfId="472" xr:uid="{6EE2450D-E3B5-48B2-B223-6B32209B082D}"/>
    <cellStyle name="輔色4 2" xfId="473" xr:uid="{456A48E9-5669-49AE-A68C-0AF764D60591}"/>
    <cellStyle name="輔色5 2" xfId="474" xr:uid="{5E7D1F55-1E5D-469B-AEFD-A797DC566906}"/>
    <cellStyle name="輔色6 2" xfId="475" xr:uid="{221CB9CE-E5BE-42AC-A092-9EC3C8817C26}"/>
    <cellStyle name="數0" xfId="476" xr:uid="{A2556D3F-037A-47E9-B788-B2EA457A4DCE}"/>
    <cellStyle name="數3" xfId="477" xr:uid="{E6309DCC-E439-46D4-AB9A-E7F327E0B5B2}"/>
    <cellStyle name="數5" xfId="478" xr:uid="{50484F34-6B46-405C-9072-A6F4D63F9C33}"/>
    <cellStyle name="數P0" xfId="479" xr:uid="{2A75F188-D1ED-4C26-91CD-5C9E5A1729B7}"/>
    <cellStyle name="數P5" xfId="480" xr:uid="{9CCBCC35-CA9B-4E65-8661-9F28DC2475C2}"/>
    <cellStyle name="數量" xfId="481" xr:uid="{B20F0255-BEE6-479C-BD31-D0CF1E6C0761}"/>
    <cellStyle name="樁號" xfId="482" xr:uid="{B7CC448B-5289-4E94-9212-8FF74D3C51A9}"/>
    <cellStyle name="標題 1 2" xfId="484" xr:uid="{6F8FD9A1-90C0-433C-B56D-A04D9CDCE7B2}"/>
    <cellStyle name="標題 2 2" xfId="485" xr:uid="{96B90BF9-2FFD-4218-A1C6-51863A15C265}"/>
    <cellStyle name="標題 3 2" xfId="486" xr:uid="{C8F8388D-43CD-4752-BBEF-5010FEF540E6}"/>
    <cellStyle name="標題 4 2" xfId="487" xr:uid="{E6848A43-4160-4BB4-984B-6301CECE3DF7}"/>
    <cellStyle name="標題 5" xfId="483" xr:uid="{582F9102-44CA-4472-ADB8-66368A53AB5D}"/>
    <cellStyle name="樣式 1" xfId="488" xr:uid="{FAAE1230-CA48-4010-B2E7-BF2B892BE0B0}"/>
    <cellStyle name="樣式 10" xfId="489" xr:uid="{E08903DB-EDB2-40F5-9235-84A0E6D33C10}"/>
    <cellStyle name="樣式 100" xfId="490" xr:uid="{B4FF3E5F-1CAF-4AD2-91CD-E75655F0C6FC}"/>
    <cellStyle name="樣式 101" xfId="491" xr:uid="{9C8FEC79-86A1-4F93-9600-1DAF22308174}"/>
    <cellStyle name="樣式 102" xfId="492" xr:uid="{DA67C326-B592-40CB-B2BB-13087B9F0B67}"/>
    <cellStyle name="樣式 103" xfId="493" xr:uid="{CC9DF92B-B497-45BF-BF2F-FCA08DD400D0}"/>
    <cellStyle name="樣式 104" xfId="494" xr:uid="{20EFBF0E-834D-46A8-AA4C-AC4C3F7D6767}"/>
    <cellStyle name="樣式 105" xfId="495" xr:uid="{FCF4B78C-FA1E-472A-8AF6-6AF2F667CEE4}"/>
    <cellStyle name="樣式 106" xfId="496" xr:uid="{ECC33734-8F76-4D77-9F45-92D5D3638C2C}"/>
    <cellStyle name="樣式 107" xfId="497" xr:uid="{35A2A3BF-EB83-482A-BC29-9EA2FE5C447D}"/>
    <cellStyle name="樣式 108" xfId="498" xr:uid="{87AFF7AA-DC7A-4308-83EE-E195BEC09223}"/>
    <cellStyle name="樣式 109" xfId="499" xr:uid="{4061C6E5-F4F6-4810-9613-45AA8C03551F}"/>
    <cellStyle name="樣式 11" xfId="500" xr:uid="{402EEDB6-C77B-4E36-B94C-4D2C2DDA262E}"/>
    <cellStyle name="樣式 110" xfId="501" xr:uid="{C630A80F-C655-4823-B3D4-1976F854D101}"/>
    <cellStyle name="樣式 111" xfId="502" xr:uid="{F8DD564A-95BF-435D-8150-0DC16E3A96AC}"/>
    <cellStyle name="樣式 112" xfId="503" xr:uid="{54D91231-8CBB-436F-AF5F-97642FE04D55}"/>
    <cellStyle name="樣式 113" xfId="504" xr:uid="{A58732C1-876E-4A30-B852-218E7784C29C}"/>
    <cellStyle name="樣式 114" xfId="505" xr:uid="{90EE19C3-8A8A-4915-A488-5FA3FF004FD2}"/>
    <cellStyle name="樣式 115" xfId="506" xr:uid="{2A591A60-E72A-45F9-9A1B-250A1E4CD585}"/>
    <cellStyle name="樣式 116" xfId="507" xr:uid="{7F27583A-62BC-4DB8-BCEE-8FA2340C50D3}"/>
    <cellStyle name="樣式 117" xfId="508" xr:uid="{CF04101F-C95F-48AA-8CA3-574FA4A17821}"/>
    <cellStyle name="樣式 118" xfId="509" xr:uid="{C71E1820-D6B0-4319-A56F-B42E5D935D47}"/>
    <cellStyle name="樣式 119" xfId="510" xr:uid="{BC32E69F-2145-4244-B67F-5FB54B44CDEA}"/>
    <cellStyle name="樣式 12" xfId="511" xr:uid="{E6685D31-4AD9-4584-9099-3D6204923189}"/>
    <cellStyle name="樣式 120" xfId="512" xr:uid="{9B323E80-EF7B-4F6B-B67D-10F7B067436C}"/>
    <cellStyle name="樣式 121" xfId="513" xr:uid="{DC9147FB-A78B-466B-A2BF-8AC2443D64C1}"/>
    <cellStyle name="樣式 122" xfId="514" xr:uid="{016E3C52-D5C1-4CDC-BF16-C2ECDDFA4C88}"/>
    <cellStyle name="樣式 123" xfId="515" xr:uid="{2F301B00-0A55-4831-8B65-9D29FBD75E64}"/>
    <cellStyle name="樣式 124" xfId="516" xr:uid="{58E2570F-DCA3-456A-BD30-94B5964B9A6E}"/>
    <cellStyle name="樣式 125" xfId="517" xr:uid="{FBBD4173-18FC-43BA-B244-8E01AC90A710}"/>
    <cellStyle name="樣式 126" xfId="518" xr:uid="{C566BC74-8390-4C47-8E18-6212C632CF6F}"/>
    <cellStyle name="樣式 127" xfId="519" xr:uid="{0310D420-5EF0-4E24-9367-C2A1B2572626}"/>
    <cellStyle name="樣式 128" xfId="520" xr:uid="{09B255A9-5634-465B-955B-5F88335AC9FC}"/>
    <cellStyle name="樣式 129" xfId="521" xr:uid="{4F64F7BE-7DF8-4F6D-AEF5-D9245C82291D}"/>
    <cellStyle name="樣式 13" xfId="522" xr:uid="{955B9639-A5E0-4932-A8E2-15221B7E36AC}"/>
    <cellStyle name="樣式 130" xfId="523" xr:uid="{D50D2BD2-0BB2-4466-B55E-DF51B4CC3107}"/>
    <cellStyle name="樣式 131" xfId="524" xr:uid="{3AE27606-DED8-495F-8D2E-7C8C57131B37}"/>
    <cellStyle name="樣式 132" xfId="525" xr:uid="{1F9AE00C-B8CC-46D4-AAB6-2BD653D8DBF2}"/>
    <cellStyle name="樣式 133" xfId="526" xr:uid="{700A40CF-DA4E-4F73-91D9-0501A1209D06}"/>
    <cellStyle name="樣式 134" xfId="527" xr:uid="{07641E2A-2DDE-4EFE-87D7-F39202D4C632}"/>
    <cellStyle name="樣式 135" xfId="528" xr:uid="{6E982B95-5F9B-4AE9-9E1B-9E76F8A26DFF}"/>
    <cellStyle name="樣式 136" xfId="529" xr:uid="{77F900B4-D358-490A-A2EE-8D7010FFA264}"/>
    <cellStyle name="樣式 137" xfId="530" xr:uid="{B0CD7E4D-703A-4F70-B61A-6FBC165A18C3}"/>
    <cellStyle name="樣式 138" xfId="531" xr:uid="{0E86957E-1DFA-4554-9619-A71B1549A151}"/>
    <cellStyle name="樣式 139" xfId="532" xr:uid="{6E8F2FB6-B0A2-4FBF-9200-BAE5B204C0E6}"/>
    <cellStyle name="樣式 14" xfId="533" xr:uid="{F4138261-9423-4124-9400-269D702E905C}"/>
    <cellStyle name="樣式 140" xfId="534" xr:uid="{0C71A04D-AD3D-4492-B76C-C9F0891BFC6B}"/>
    <cellStyle name="樣式 141" xfId="535" xr:uid="{FF1E14F9-99D5-4090-AFCE-77D547575524}"/>
    <cellStyle name="樣式 142" xfId="536" xr:uid="{5CEB58DB-233D-4A27-BBBB-DD036BB3AAEE}"/>
    <cellStyle name="樣式 143" xfId="537" xr:uid="{47CB7CEA-D527-4770-89D3-F2338D27AA62}"/>
    <cellStyle name="樣式 144" xfId="538" xr:uid="{0685E488-9E78-41AF-B8F6-5B7F44B2F62B}"/>
    <cellStyle name="樣式 145" xfId="539" xr:uid="{FD531BE2-7BEB-4689-92D2-C74D80FD4A52}"/>
    <cellStyle name="樣式 146" xfId="540" xr:uid="{42D538DF-7AE7-4D42-A1A4-64C3C01C97C7}"/>
    <cellStyle name="樣式 147" xfId="541" xr:uid="{3CDBC5B4-0DDA-4891-8C0F-7AE041D681F0}"/>
    <cellStyle name="樣式 148" xfId="542" xr:uid="{3E80B973-9B84-4065-AD15-3FE6F9ABB449}"/>
    <cellStyle name="樣式 149" xfId="543" xr:uid="{DBBBAB27-F084-44FD-A460-1978070BCAA3}"/>
    <cellStyle name="樣式 15" xfId="544" xr:uid="{91479E2C-D5AB-4D00-88C7-AA6C5E8975BD}"/>
    <cellStyle name="樣式 150" xfId="545" xr:uid="{04CAAA4C-7456-4487-AE55-3A73B8AF228B}"/>
    <cellStyle name="樣式 151" xfId="546" xr:uid="{627E6C72-A839-449E-B738-656CB1FC0444}"/>
    <cellStyle name="樣式 152" xfId="547" xr:uid="{44D283EA-A3D6-46D6-8CD7-6404C62C2325}"/>
    <cellStyle name="樣式 153" xfId="548" xr:uid="{104D9944-8503-4440-9A10-0995548E2228}"/>
    <cellStyle name="樣式 154" xfId="549" xr:uid="{7E0A925B-C65A-4CFF-BC78-1AF2234E758B}"/>
    <cellStyle name="樣式 155" xfId="550" xr:uid="{DF621297-06B2-4734-83E2-CE35340F2FAE}"/>
    <cellStyle name="樣式 156" xfId="551" xr:uid="{4C784685-DC3D-479A-B472-979FD204CF3D}"/>
    <cellStyle name="樣式 157" xfId="552" xr:uid="{237DEAA5-CFF7-4975-B763-425861471A5C}"/>
    <cellStyle name="樣式 158" xfId="553" xr:uid="{936EA42E-BE4E-45C2-A4F0-DA7A0ADD24BA}"/>
    <cellStyle name="樣式 159" xfId="554" xr:uid="{7E4C1DC3-52DE-40E2-AAAE-E969F5813701}"/>
    <cellStyle name="樣式 16" xfId="555" xr:uid="{9EA702F0-AF82-44E9-9D93-E2CF08CF8E98}"/>
    <cellStyle name="樣式 160" xfId="556" xr:uid="{990880E3-B566-42A5-9725-1CCDC6778B12}"/>
    <cellStyle name="樣式 161" xfId="557" xr:uid="{6938C5DC-5719-4B02-A090-2B38F7D93EEC}"/>
    <cellStyle name="樣式 162" xfId="558" xr:uid="{D576602D-89E5-4759-A74C-93091C4A0141}"/>
    <cellStyle name="樣式 163" xfId="559" xr:uid="{42AEE207-732E-41E3-BB1E-BF5D95B31BC2}"/>
    <cellStyle name="樣式 164" xfId="560" xr:uid="{EFAC2B3F-2A4C-4E14-89D6-4B4F958D294F}"/>
    <cellStyle name="樣式 165" xfId="561" xr:uid="{74015251-E91D-49EA-98E1-62CACCB6D6AB}"/>
    <cellStyle name="樣式 166" xfId="562" xr:uid="{87AAA88F-8C9A-4087-8968-71D04F407A36}"/>
    <cellStyle name="樣式 167" xfId="563" xr:uid="{A61E8711-96E6-4547-B53D-8D289A532E0D}"/>
    <cellStyle name="樣式 168" xfId="564" xr:uid="{165C3F6F-8D20-42C0-B3C4-8F2414E5BE82}"/>
    <cellStyle name="樣式 169" xfId="565" xr:uid="{743BE3A8-EE22-439E-99BF-4ACA2F4CCDEE}"/>
    <cellStyle name="樣式 17" xfId="566" xr:uid="{8FD688C3-3216-483D-B1E1-34072059C360}"/>
    <cellStyle name="樣式 170" xfId="567" xr:uid="{DA5A1962-BD27-4820-8759-E0565EB09D5A}"/>
    <cellStyle name="樣式 171" xfId="568" xr:uid="{F02899A4-34C3-4107-A61A-066F9A246F01}"/>
    <cellStyle name="樣式 172" xfId="569" xr:uid="{96BA5CD0-FB78-44AA-B57F-4E3BD0B4AE91}"/>
    <cellStyle name="樣式 173" xfId="570" xr:uid="{76FA600F-FAAD-46AA-A77D-7A2A556D872E}"/>
    <cellStyle name="樣式 174" xfId="571" xr:uid="{36B85470-67F7-4874-95DF-33A157041208}"/>
    <cellStyle name="樣式 175" xfId="572" xr:uid="{80DA224F-195B-4A1A-A633-95A933192A65}"/>
    <cellStyle name="樣式 176" xfId="573" xr:uid="{21FAF976-602D-46C7-AA12-96F06EF267F5}"/>
    <cellStyle name="樣式 177" xfId="574" xr:uid="{35D05F4C-6B55-4AFA-9C97-62152567D72B}"/>
    <cellStyle name="樣式 178" xfId="575" xr:uid="{2185784A-7F4C-45F6-904E-C725D43EC0C8}"/>
    <cellStyle name="樣式 179" xfId="576" xr:uid="{F21E6DFF-26DB-47A7-8C6B-DF5A91473397}"/>
    <cellStyle name="樣式 18" xfId="577" xr:uid="{3D88B65A-136D-4987-8015-675B3B64037E}"/>
    <cellStyle name="樣式 180" xfId="578" xr:uid="{18B262B8-1F84-444F-85E3-21AFDB7FEE20}"/>
    <cellStyle name="樣式 181" xfId="579" xr:uid="{200BC6AD-98A7-4C49-8C01-89B940F34FDD}"/>
    <cellStyle name="樣式 182" xfId="580" xr:uid="{002E1E13-ED06-450A-A0C9-FEDD362CB656}"/>
    <cellStyle name="樣式 183" xfId="581" xr:uid="{FEE7A32E-8B3F-4F2F-AB71-2076372A2D75}"/>
    <cellStyle name="樣式 184" xfId="582" xr:uid="{10BDDE0A-C6A5-47EB-A95A-D885C5BA1C70}"/>
    <cellStyle name="樣式 185" xfId="583" xr:uid="{CC41FC29-40E7-40D5-BE9B-6E71F2FE9856}"/>
    <cellStyle name="樣式 186" xfId="584" xr:uid="{2F1264E7-6362-48C8-A3F7-764663A69435}"/>
    <cellStyle name="樣式 187" xfId="585" xr:uid="{39ABA08A-9988-476F-AC41-C5C1891ED0F5}"/>
    <cellStyle name="樣式 188" xfId="586" xr:uid="{04C4ECE4-5747-41E7-AC93-50E41CCBA4CE}"/>
    <cellStyle name="樣式 189" xfId="587" xr:uid="{BEE8446A-45C1-46E9-A114-803B851A0DFB}"/>
    <cellStyle name="樣式 19" xfId="588" xr:uid="{071309AE-EBAA-44DC-98F3-95DC98152F57}"/>
    <cellStyle name="樣式 190" xfId="589" xr:uid="{67E354B4-61EB-42F7-ADF8-9C528D853DE8}"/>
    <cellStyle name="樣式 191" xfId="590" xr:uid="{B52C1B34-438F-45C7-873D-C6433EE04582}"/>
    <cellStyle name="樣式 192" xfId="591" xr:uid="{32680D37-56D9-4D08-A346-F684697870B1}"/>
    <cellStyle name="樣式 193" xfId="592" xr:uid="{E1FABD08-197B-4849-8980-5730A1ACBFE8}"/>
    <cellStyle name="樣式 194" xfId="593" xr:uid="{44D722A9-E8B8-4A85-8319-6B081B966E10}"/>
    <cellStyle name="樣式 195" xfId="594" xr:uid="{7152538F-084B-4B65-A357-00F11F05FDDC}"/>
    <cellStyle name="樣式 196" xfId="595" xr:uid="{5E4FF800-7152-4108-9825-04F668DEFA0C}"/>
    <cellStyle name="樣式 197" xfId="596" xr:uid="{31225FE5-F297-4003-B271-E3F8736ADD1C}"/>
    <cellStyle name="樣式 198" xfId="597" xr:uid="{1E2DCB80-7CA6-4440-A915-4B5C6EB6AD32}"/>
    <cellStyle name="樣式 199" xfId="598" xr:uid="{768AFFBA-BFA9-4460-A1FE-3F2F1E3F400C}"/>
    <cellStyle name="樣式 2" xfId="599" xr:uid="{143894AB-8EE9-4062-8A30-8B37998A1F95}"/>
    <cellStyle name="樣式 20" xfId="600" xr:uid="{6FE297F6-A0D2-4D86-84C4-2AD8979029EC}"/>
    <cellStyle name="樣式 200" xfId="601" xr:uid="{2F8EE13F-7458-49DD-9FA5-4DB43406E042}"/>
    <cellStyle name="樣式 201" xfId="602" xr:uid="{E0E1D905-1D28-42EF-BF4E-A7634C7328EE}"/>
    <cellStyle name="樣式 202" xfId="603" xr:uid="{E3F2F6D4-7151-4032-A8F0-D5A6EBD7636B}"/>
    <cellStyle name="樣式 203" xfId="604" xr:uid="{57FC3CC7-F212-4928-9B04-8CF57075F039}"/>
    <cellStyle name="樣式 204" xfId="605" xr:uid="{139D8FBF-312A-46C5-8281-FC865397FD51}"/>
    <cellStyle name="樣式 205" xfId="606" xr:uid="{FBC733DB-8F1E-4FDC-B95A-2C3274E1B3CD}"/>
    <cellStyle name="樣式 206" xfId="607" xr:uid="{56B7BF36-F2FB-4ACF-95E5-0EC4DF571949}"/>
    <cellStyle name="樣式 207" xfId="608" xr:uid="{62414949-FC37-4468-B97D-9E25800E0AF6}"/>
    <cellStyle name="樣式 208" xfId="609" xr:uid="{6EF78860-E2FC-4974-8E67-575EC6B29C6C}"/>
    <cellStyle name="樣式 209" xfId="610" xr:uid="{6B17690C-2B34-40F1-8F31-E66B22E99346}"/>
    <cellStyle name="樣式 21" xfId="611" xr:uid="{0E20AB0F-A13D-4B77-93E7-39264D0AD32D}"/>
    <cellStyle name="樣式 210" xfId="612" xr:uid="{B299CBE4-93DD-4D6D-9CE7-AA32FFE60FEF}"/>
    <cellStyle name="樣式 211" xfId="613" xr:uid="{DE41B113-DE06-4C69-8564-29A808C74C3D}"/>
    <cellStyle name="樣式 212" xfId="614" xr:uid="{7822D1E2-A622-490C-85C5-F1102538B4EE}"/>
    <cellStyle name="樣式 213" xfId="615" xr:uid="{B0A7A077-4B49-434A-A679-8F6D0B37FFE4}"/>
    <cellStyle name="樣式 214" xfId="616" xr:uid="{85B00993-62C2-4339-AD09-38831331C865}"/>
    <cellStyle name="樣式 215" xfId="617" xr:uid="{EF4860B2-ED5F-4E5A-88F7-B7173D860E8E}"/>
    <cellStyle name="樣式 216" xfId="618" xr:uid="{13EF617F-EA84-4495-9E82-CDF6CB34CD93}"/>
    <cellStyle name="樣式 217" xfId="619" xr:uid="{5C8E7782-8571-401D-9EE4-2AB32E8C8496}"/>
    <cellStyle name="樣式 218" xfId="620" xr:uid="{D703788F-13B1-4C58-BA7F-7E3C2F5AA526}"/>
    <cellStyle name="樣式 219" xfId="621" xr:uid="{A66519A4-14B8-4AAB-9C5C-0BDFE9EF76A6}"/>
    <cellStyle name="樣式 22" xfId="622" xr:uid="{695E2E19-FC7C-4078-9D8D-BE988BD53E53}"/>
    <cellStyle name="樣式 220" xfId="623" xr:uid="{D7747FEE-2B3B-4C9F-AD2E-0801B2BB81EA}"/>
    <cellStyle name="樣式 221" xfId="624" xr:uid="{14D13A0F-3FA2-46E9-AF6F-792026CB2406}"/>
    <cellStyle name="樣式 222" xfId="625" xr:uid="{BB2A8FE1-9242-4764-8239-F158D26AD5D0}"/>
    <cellStyle name="樣式 223" xfId="626" xr:uid="{EA669B6E-86DD-4D48-8F95-30435F6B06D9}"/>
    <cellStyle name="樣式 224" xfId="627" xr:uid="{5439B312-B11E-484D-BC75-36232B1096EE}"/>
    <cellStyle name="樣式 225" xfId="628" xr:uid="{7A11E61F-6B2E-4532-9B1A-99AE47709BF8}"/>
    <cellStyle name="樣式 226" xfId="629" xr:uid="{FFF852B1-901F-4645-B9DE-540CC62ECC44}"/>
    <cellStyle name="樣式 227" xfId="630" xr:uid="{B315B26F-ED7E-4E10-8597-AE09BF8D34FF}"/>
    <cellStyle name="樣式 228" xfId="631" xr:uid="{9D200AB0-BCF1-4521-806D-2CDEFDBA90FD}"/>
    <cellStyle name="樣式 229" xfId="632" xr:uid="{BDCC2A00-4B82-44BA-A486-BBFBF1658C18}"/>
    <cellStyle name="樣式 23" xfId="633" xr:uid="{8FAF8884-AF4B-49BA-B781-C586E29C9CAC}"/>
    <cellStyle name="樣式 230" xfId="634" xr:uid="{09B5DACE-CE59-44FA-80F4-41587E5AF292}"/>
    <cellStyle name="樣式 231" xfId="635" xr:uid="{06E2CE55-D19A-4BFF-AB56-3AC3EE1C1A15}"/>
    <cellStyle name="樣式 232" xfId="636" xr:uid="{460289CB-3556-468E-84F0-8E9C5AF76A37}"/>
    <cellStyle name="樣式 233" xfId="637" xr:uid="{EA57B857-FD08-4251-A231-88A4666383EF}"/>
    <cellStyle name="樣式 234" xfId="638" xr:uid="{EFCAAA95-CF16-4761-B73C-95572C1529A6}"/>
    <cellStyle name="樣式 235" xfId="639" xr:uid="{C5B03968-FDEA-4473-8896-72C2BC66039C}"/>
    <cellStyle name="樣式 236" xfId="640" xr:uid="{6B9BD4B2-2DCC-49BC-B51C-1E0478A9DAEA}"/>
    <cellStyle name="樣式 237" xfId="641" xr:uid="{D9BBD965-4804-4516-877A-37FF7FEF71DF}"/>
    <cellStyle name="樣式 238" xfId="642" xr:uid="{2A0DC1FD-DE96-4FEC-B86B-1704F8F836A7}"/>
    <cellStyle name="樣式 239" xfId="643" xr:uid="{3E04BAAB-FF46-4BB4-924B-2B5EC57A40BA}"/>
    <cellStyle name="樣式 24" xfId="644" xr:uid="{77A2F355-E833-4010-A481-7550E6B30F27}"/>
    <cellStyle name="樣式 240" xfId="645" xr:uid="{8434C5F3-F469-4106-99E4-BABD251DBE82}"/>
    <cellStyle name="樣式 241" xfId="646" xr:uid="{4B5FB845-4BD3-4914-AAFB-DF3764F6A077}"/>
    <cellStyle name="樣式 242" xfId="647" xr:uid="{EBFB1A19-0CFE-412D-AF86-10CBAF8E5915}"/>
    <cellStyle name="樣式 243" xfId="648" xr:uid="{3A57E441-5C2A-469E-A88F-A10CE650CE22}"/>
    <cellStyle name="樣式 244" xfId="649" xr:uid="{CA4C0765-4F4E-4959-BA94-BD9687FEBD0A}"/>
    <cellStyle name="樣式 245" xfId="650" xr:uid="{7CA1D25A-6C1B-4D50-88EC-7DE244DF36B3}"/>
    <cellStyle name="樣式 246" xfId="651" xr:uid="{4EA96744-85C3-467A-8FCC-B00D713F1595}"/>
    <cellStyle name="樣式 247" xfId="652" xr:uid="{2E6006E8-B7CA-454A-914F-6C33333F7A84}"/>
    <cellStyle name="樣式 248" xfId="653" xr:uid="{326D4302-DBAC-41DD-9309-491ED05E83B9}"/>
    <cellStyle name="樣式 249" xfId="654" xr:uid="{4FA83B6F-243D-4A26-8483-F12D423514B5}"/>
    <cellStyle name="樣式 25" xfId="655" xr:uid="{2342BEDD-5F24-40CE-AE18-E325DE353BCD}"/>
    <cellStyle name="樣式 250" xfId="656" xr:uid="{330D036C-F2C1-45B2-9EB8-83F12718C2F7}"/>
    <cellStyle name="樣式 251" xfId="657" xr:uid="{AA558CA4-8E33-4AF7-8AA8-0AAF943B5A1A}"/>
    <cellStyle name="樣式 252" xfId="658" xr:uid="{0083A087-CC91-4900-B3BC-0333ED41EA9F}"/>
    <cellStyle name="樣式 253" xfId="659" xr:uid="{2D1E18B1-A33C-41ED-B01B-E24BD45906AE}"/>
    <cellStyle name="樣式 254" xfId="660" xr:uid="{4C821382-5BC4-4A87-8478-80F44ABC4384}"/>
    <cellStyle name="樣式 255" xfId="661" xr:uid="{589351CF-A0E6-4DE2-91BF-DD1519A3980A}"/>
    <cellStyle name="樣式 256" xfId="662" xr:uid="{05D1E249-B863-4DE3-8713-0547B687E666}"/>
    <cellStyle name="樣式 257" xfId="663" xr:uid="{0BDFE6A2-B1E1-4205-9AA8-AC658FD612CB}"/>
    <cellStyle name="樣式 258" xfId="664" xr:uid="{4D495BBE-59E7-42C3-8891-2B131250FE94}"/>
    <cellStyle name="樣式 259" xfId="665" xr:uid="{48D277EA-AFFE-4340-B408-3A0BE8D6804C}"/>
    <cellStyle name="樣式 26" xfId="666" xr:uid="{AD3A6975-127F-4854-B28C-30CF8938DFAB}"/>
    <cellStyle name="樣式 260" xfId="667" xr:uid="{299F79FD-84FC-47A4-9B1B-2F16CB0736C0}"/>
    <cellStyle name="樣式 261" xfId="668" xr:uid="{521A91DB-4CAA-4D74-A73B-C228126591E8}"/>
    <cellStyle name="樣式 262" xfId="669" xr:uid="{3F985C23-AC68-4269-9C1D-2CCB63857256}"/>
    <cellStyle name="樣式 263" xfId="670" xr:uid="{1A63D16C-CC40-4411-93F7-1DC298E6DAA9}"/>
    <cellStyle name="樣式 264" xfId="671" xr:uid="{C36A47B1-1E9C-41DE-A0AB-C166307A142A}"/>
    <cellStyle name="樣式 265" xfId="672" xr:uid="{29072D31-BD68-42AD-8117-3C28BA812FF8}"/>
    <cellStyle name="樣式 266" xfId="673" xr:uid="{89E99FF3-8432-49ED-85B4-32E23F160096}"/>
    <cellStyle name="樣式 267" xfId="674" xr:uid="{2D27EE17-26FE-4544-9102-CADD1BBD7D18}"/>
    <cellStyle name="樣式 268" xfId="675" xr:uid="{47F638DD-668C-4397-A145-53DB796008B8}"/>
    <cellStyle name="樣式 269" xfId="676" xr:uid="{E1EBE93B-FB96-423C-B0DB-26EB45A8F19E}"/>
    <cellStyle name="樣式 27" xfId="677" xr:uid="{9D147593-D6F3-4667-A563-5E68408131F8}"/>
    <cellStyle name="樣式 270" xfId="678" xr:uid="{8D7711A3-8DE1-4650-80C4-581BACD2CD45}"/>
    <cellStyle name="樣式 271" xfId="679" xr:uid="{94FFA1AE-740C-42BC-A89D-7EF07EF19690}"/>
    <cellStyle name="樣式 272" xfId="680" xr:uid="{C0BA75D8-4F86-46CD-B6C7-1A6565354CD9}"/>
    <cellStyle name="樣式 273" xfId="681" xr:uid="{D935CA71-0F44-4C73-BCCE-F89BD11ACEB9}"/>
    <cellStyle name="樣式 274" xfId="682" xr:uid="{394F7B12-89F6-4DA5-B768-F4DB3EB59742}"/>
    <cellStyle name="樣式 275" xfId="683" xr:uid="{760C824A-9A05-40F8-ABF2-704A374BA1F0}"/>
    <cellStyle name="樣式 276" xfId="684" xr:uid="{9FAA645C-07E2-41C4-BD15-1E17ED1FB5D6}"/>
    <cellStyle name="樣式 277" xfId="685" xr:uid="{9CF4CA29-6628-49D7-B879-873C0684FC2B}"/>
    <cellStyle name="樣式 278" xfId="686" xr:uid="{F6A7358B-5FC7-4471-AF02-0DA83505C8B2}"/>
    <cellStyle name="樣式 279" xfId="687" xr:uid="{6693AB67-938C-4688-839F-8C97B648CE73}"/>
    <cellStyle name="樣式 28" xfId="688" xr:uid="{69254501-F5EE-484A-B708-DF74570EDBB8}"/>
    <cellStyle name="樣式 280" xfId="689" xr:uid="{EA51E29B-B5D6-4276-9158-89208F354960}"/>
    <cellStyle name="樣式 281" xfId="690" xr:uid="{335EBF5A-0EC2-40F1-9AA6-100C0470B916}"/>
    <cellStyle name="樣式 282" xfId="691" xr:uid="{FD712104-FB32-40F1-8F06-C887650DA7C4}"/>
    <cellStyle name="樣式 283" xfId="692" xr:uid="{7AB215EC-DAEF-44D9-AE74-6D6C6A47355D}"/>
    <cellStyle name="樣式 284" xfId="693" xr:uid="{2435C494-F683-419D-BFF6-3E0BA3B7454F}"/>
    <cellStyle name="樣式 285" xfId="694" xr:uid="{FCD58EA7-C86D-46F0-B009-2DCE086C2878}"/>
    <cellStyle name="樣式 286" xfId="695" xr:uid="{13D9E80A-5DFA-4C5D-9564-3E5B51BFC704}"/>
    <cellStyle name="樣式 287" xfId="696" xr:uid="{F1A32F76-385B-4BDF-B4B8-F6DBF60B1CF4}"/>
    <cellStyle name="樣式 288" xfId="697" xr:uid="{D3A6853F-A386-4F35-BF21-1823DF6F738B}"/>
    <cellStyle name="樣式 289" xfId="698" xr:uid="{AE4CC1FF-086A-4A90-81CA-2A4F8218EDD5}"/>
    <cellStyle name="樣式 29" xfId="699" xr:uid="{DA2F0FFC-DC33-41F4-9CA0-A9D539C3466E}"/>
    <cellStyle name="樣式 290" xfId="700" xr:uid="{C18A6D9C-AD6C-4DE3-9303-6C61E19AD1AF}"/>
    <cellStyle name="樣式 291" xfId="701" xr:uid="{88EF142F-F087-45E9-AFF2-19DF3C681903}"/>
    <cellStyle name="樣式 292" xfId="702" xr:uid="{99ADC1EC-F228-45BF-8E5C-08951ECCA1E1}"/>
    <cellStyle name="樣式 293" xfId="703" xr:uid="{2FFEEAAF-016F-44B4-8CCB-5F9F3F56CE72}"/>
    <cellStyle name="樣式 294" xfId="704" xr:uid="{DEB3F270-FC53-4F4B-82DF-787DEA73F779}"/>
    <cellStyle name="樣式 295" xfId="705" xr:uid="{7794281F-D49D-4B65-BDAB-072F44AFCAA2}"/>
    <cellStyle name="樣式 296" xfId="706" xr:uid="{A6C5C21A-DDD1-4F65-AB57-1954FBBE2BAE}"/>
    <cellStyle name="樣式 297" xfId="707" xr:uid="{C78C993E-8C2E-4AC9-9DC4-BCC498CF3334}"/>
    <cellStyle name="樣式 298" xfId="708" xr:uid="{86F1D8CC-57CF-4E2A-A42B-87465FFAEF28}"/>
    <cellStyle name="樣式 299" xfId="709" xr:uid="{6F3D6390-5DB1-47D0-BD10-8AF4C6C846F8}"/>
    <cellStyle name="樣式 3" xfId="710" xr:uid="{409C7D48-7F17-42FE-8DD3-441E2A6C016B}"/>
    <cellStyle name="樣式 30" xfId="711" xr:uid="{F10B05FB-4604-45AB-B576-BC7B98BEF109}"/>
    <cellStyle name="樣式 300" xfId="712" xr:uid="{CABAD061-2027-4336-B5DA-BC29787C776E}"/>
    <cellStyle name="樣式 301" xfId="713" xr:uid="{F3624879-D85C-4FA3-AB74-6CB72942D2B5}"/>
    <cellStyle name="樣式 302" xfId="714" xr:uid="{0670B6C5-552B-48A1-9A2A-8EC2CC142FE0}"/>
    <cellStyle name="樣式 303" xfId="715" xr:uid="{F5538548-BE25-4C3C-B8A3-774314103AE0}"/>
    <cellStyle name="樣式 304" xfId="716" xr:uid="{C4F5F139-1BB1-4C8A-A15E-C1EA728A822C}"/>
    <cellStyle name="樣式 305" xfId="717" xr:uid="{1D090486-5543-45B0-A3D7-8425AA7022A3}"/>
    <cellStyle name="樣式 306" xfId="718" xr:uid="{C581BFBA-FFED-4382-9620-9E78FD33ED3F}"/>
    <cellStyle name="樣式 307" xfId="719" xr:uid="{AFC87474-3136-4669-9630-D129F8BBEA5F}"/>
    <cellStyle name="樣式 308" xfId="720" xr:uid="{69ADC336-18C3-40FC-BDFA-A3412AB11296}"/>
    <cellStyle name="樣式 309" xfId="721" xr:uid="{D3DE7DDA-C2FD-4234-A153-F2D4146B57B4}"/>
    <cellStyle name="樣式 31" xfId="722" xr:uid="{DC1CFE8C-5560-4F04-9D63-1E4E46A2DDDC}"/>
    <cellStyle name="樣式 310" xfId="723" xr:uid="{827FB93D-9C62-4E11-8CF2-60A7CD371101}"/>
    <cellStyle name="樣式 311" xfId="724" xr:uid="{821988AE-36A8-4DF4-90D1-83077A61BEB0}"/>
    <cellStyle name="樣式 312" xfId="725" xr:uid="{8CC225BF-86F8-4DA3-838E-C3B8542B914E}"/>
    <cellStyle name="樣式 313" xfId="726" xr:uid="{C0BC4FE2-481A-46D4-85AE-13D2F9476461}"/>
    <cellStyle name="樣式 314" xfId="727" xr:uid="{637CB8B6-FE88-4E91-9EF7-D3506BD134D5}"/>
    <cellStyle name="樣式 315" xfId="728" xr:uid="{89488079-A8FC-4BB5-919D-0F52DAF977BE}"/>
    <cellStyle name="樣式 316" xfId="729" xr:uid="{78C55D76-027E-4A39-82F6-22D07FC52468}"/>
    <cellStyle name="樣式 317" xfId="730" xr:uid="{778D9F55-D1C6-49BD-9E30-0F14DFA0F1BB}"/>
    <cellStyle name="樣式 318" xfId="731" xr:uid="{15E8F1A5-249D-4D6A-A17D-477100617841}"/>
    <cellStyle name="樣式 319" xfId="732" xr:uid="{49070C73-46DF-4EE6-9677-F3C1BA21681B}"/>
    <cellStyle name="樣式 32" xfId="733" xr:uid="{F7F7B227-F899-455B-9D59-A5A6DC5B7737}"/>
    <cellStyle name="樣式 320" xfId="734" xr:uid="{FEF7F8FF-EAC7-4520-8820-964F43AC7126}"/>
    <cellStyle name="樣式 321" xfId="735" xr:uid="{87C53FA7-696B-4640-BAAC-573AE5988650}"/>
    <cellStyle name="樣式 322" xfId="736" xr:uid="{745BF7CE-8A2D-4068-A2E9-7021BECF87A5}"/>
    <cellStyle name="樣式 323" xfId="737" xr:uid="{E7C4EB13-A24F-4248-ACE1-10838B1CEE33}"/>
    <cellStyle name="樣式 324" xfId="738" xr:uid="{6351D075-766B-471E-83E9-0C3875857CD0}"/>
    <cellStyle name="樣式 325" xfId="739" xr:uid="{8A0421CD-17FF-48D1-9DD9-3ABBC33854BD}"/>
    <cellStyle name="樣式 326" xfId="740" xr:uid="{AE6A658C-FF16-4CA9-BFD4-B6E3EDA9C115}"/>
    <cellStyle name="樣式 327" xfId="741" xr:uid="{F166354E-F676-4DD8-8335-304781EC5A9F}"/>
    <cellStyle name="樣式 328" xfId="742" xr:uid="{A1428411-3232-4CF2-87EF-C570E8656FA4}"/>
    <cellStyle name="樣式 329" xfId="743" xr:uid="{32D0ADDD-BCCB-4F9C-BDD0-2E36FC690A56}"/>
    <cellStyle name="樣式 33" xfId="744" xr:uid="{88CC1E12-157E-4E19-B058-4659BDCDEDFD}"/>
    <cellStyle name="樣式 330" xfId="745" xr:uid="{4E156553-6AF9-4526-9795-885013BFA106}"/>
    <cellStyle name="樣式 331" xfId="746" xr:uid="{909216E0-3D90-4735-AAAF-CFE52D2EACE6}"/>
    <cellStyle name="樣式 332" xfId="747" xr:uid="{951D5F18-CE8E-4BF8-A281-DA79CF4AD9A5}"/>
    <cellStyle name="樣式 333" xfId="748" xr:uid="{FE41704B-6B05-49A3-841A-22A4412955B5}"/>
    <cellStyle name="樣式 334" xfId="749" xr:uid="{1EAC9D9A-1758-4426-8998-57FC6AE00AC1}"/>
    <cellStyle name="樣式 335" xfId="750" xr:uid="{200A9A31-AF23-4BAB-A31F-BC1F0251523F}"/>
    <cellStyle name="樣式 336" xfId="751" xr:uid="{7E4E0193-76D5-48D9-9C7A-F34347175BFA}"/>
    <cellStyle name="樣式 337" xfId="752" xr:uid="{7F87734D-9CAC-4A33-94D6-DB076C9B7DD3}"/>
    <cellStyle name="樣式 338" xfId="753" xr:uid="{44437482-64A7-419A-9E64-49F6AECB0B00}"/>
    <cellStyle name="樣式 339" xfId="754" xr:uid="{788F766A-1203-4925-933F-792D8F789B65}"/>
    <cellStyle name="樣式 34" xfId="755" xr:uid="{7F9B12DD-A360-4138-B505-CDFA2E905825}"/>
    <cellStyle name="樣式 340" xfId="756" xr:uid="{B6272B1F-08A6-49F7-B29B-EB985E704D0C}"/>
    <cellStyle name="樣式 341" xfId="757" xr:uid="{AD89CAE6-4555-428A-B074-25F85FF696BC}"/>
    <cellStyle name="樣式 342" xfId="758" xr:uid="{908D6E87-2BF3-45EC-8F6A-C504DF9B0CF5}"/>
    <cellStyle name="樣式 343" xfId="759" xr:uid="{2DB01EC0-4381-4EE8-B288-5EE096CE2CD3}"/>
    <cellStyle name="樣式 344" xfId="760" xr:uid="{5D4DAB4F-7BEF-418F-9125-047ED240E0E6}"/>
    <cellStyle name="樣式 345" xfId="761" xr:uid="{91521C1C-FEC6-41DE-89EE-3D22D7DF564F}"/>
    <cellStyle name="樣式 346" xfId="762" xr:uid="{F70729C7-07B1-480A-92DA-0B53ED7098E5}"/>
    <cellStyle name="樣式 347" xfId="763" xr:uid="{5C609F40-25B8-47B3-80EC-F0401EEFC4E9}"/>
    <cellStyle name="樣式 348" xfId="764" xr:uid="{398CFB06-11C2-44D9-832E-0F2BCC77C35A}"/>
    <cellStyle name="樣式 349" xfId="765" xr:uid="{0CC16E08-1837-43E8-A0C5-939EF81E8547}"/>
    <cellStyle name="樣式 35" xfId="766" xr:uid="{79BD7FB5-B29A-4397-9FF9-A4B7CD3E3621}"/>
    <cellStyle name="樣式 350" xfId="767" xr:uid="{6D0D33DE-985B-482B-B01F-18DA8CDD132B}"/>
    <cellStyle name="樣式 351" xfId="768" xr:uid="{B8644DB7-5D6B-46C2-81BD-8EAEAAA8E9A9}"/>
    <cellStyle name="樣式 352" xfId="769" xr:uid="{148048A1-EDA7-497B-A6D8-8420CAEFC8F1}"/>
    <cellStyle name="樣式 353" xfId="770" xr:uid="{779511B5-40CF-4FCB-A7BF-8BADE5724B96}"/>
    <cellStyle name="樣式 354" xfId="771" xr:uid="{D28462E6-7650-458C-BDE4-00C02C20AFC9}"/>
    <cellStyle name="樣式 355" xfId="772" xr:uid="{BAF992F9-452B-499E-B386-D1EDB8A2A8B1}"/>
    <cellStyle name="樣式 356" xfId="773" xr:uid="{32BBB100-B579-4A60-8CB5-56AC714BAD13}"/>
    <cellStyle name="樣式 357" xfId="774" xr:uid="{EEBE4E85-3BB4-4342-8280-1D6A5A554C2F}"/>
    <cellStyle name="樣式 358" xfId="775" xr:uid="{675D4691-A025-4CAE-8E22-7192F823A01B}"/>
    <cellStyle name="樣式 359" xfId="776" xr:uid="{6D21A109-2BE5-4A27-988C-CD26DBA5B68B}"/>
    <cellStyle name="樣式 36" xfId="777" xr:uid="{0FEE1792-0FD5-4C88-9189-20F316C3170C}"/>
    <cellStyle name="樣式 360" xfId="778" xr:uid="{2769730D-E569-47DF-9A86-DCB64744CCA1}"/>
    <cellStyle name="樣式 361" xfId="779" xr:uid="{A2EC6207-A44F-4FBB-8290-BFD4684A4142}"/>
    <cellStyle name="樣式 362" xfId="780" xr:uid="{3F837843-361B-49D4-84BB-294E0CC3AE51}"/>
    <cellStyle name="樣式 363" xfId="781" xr:uid="{D5541CF2-50DA-46BE-BB64-887246AF18F8}"/>
    <cellStyle name="樣式 364" xfId="782" xr:uid="{A3DBD499-3210-4F8E-9AC2-AE6695AA699C}"/>
    <cellStyle name="樣式 365" xfId="783" xr:uid="{23B462C7-45D4-408A-9B50-E2CF9DF36B35}"/>
    <cellStyle name="樣式 366" xfId="784" xr:uid="{A7E9CA1F-6DB7-40B0-8654-ADDA6605A9D9}"/>
    <cellStyle name="樣式 367" xfId="785" xr:uid="{6EDF7778-9366-41A7-BC15-AFBF5DE1757E}"/>
    <cellStyle name="樣式 368" xfId="786" xr:uid="{E0C609BA-323F-4D45-92DA-45A92E93B26E}"/>
    <cellStyle name="樣式 369" xfId="787" xr:uid="{D54E46E9-F592-4DDF-B2B2-C0462EA09C47}"/>
    <cellStyle name="樣式 37" xfId="788" xr:uid="{CC916323-03BA-4261-8D7A-DE1B604D5413}"/>
    <cellStyle name="樣式 370" xfId="789" xr:uid="{0DDBAC67-851E-4231-979B-6F2426235058}"/>
    <cellStyle name="樣式 371" xfId="790" xr:uid="{424956CF-2558-4FA9-998E-66848CC0C80D}"/>
    <cellStyle name="樣式 372" xfId="791" xr:uid="{87B0AD27-20E5-4467-9DED-D74BB0AFC7DB}"/>
    <cellStyle name="樣式 373" xfId="792" xr:uid="{784B3514-3476-447C-B636-636AAD8FDF27}"/>
    <cellStyle name="樣式 374" xfId="793" xr:uid="{47D97A62-6410-4A01-A88A-AE84E24E7C4B}"/>
    <cellStyle name="樣式 375" xfId="794" xr:uid="{20333440-8F57-473D-BDAE-B097885B0B51}"/>
    <cellStyle name="樣式 376" xfId="795" xr:uid="{F679EBAC-F647-4115-8D75-97AC432C98B9}"/>
    <cellStyle name="樣式 377" xfId="796" xr:uid="{52A54A1B-35D1-45A6-8B29-38EC98A45BF6}"/>
    <cellStyle name="樣式 378" xfId="797" xr:uid="{1AC2D470-62ED-4735-8CAD-1F15B85416AF}"/>
    <cellStyle name="樣式 379" xfId="798" xr:uid="{E0C0F4A9-D290-4884-AF1C-083B7E5F7780}"/>
    <cellStyle name="樣式 38" xfId="799" xr:uid="{0E7A0DD3-A5F3-47EF-B223-A188CCBEDF91}"/>
    <cellStyle name="樣式 380" xfId="800" xr:uid="{61DA1A90-3FCD-45F9-8EC4-45027BCB6C0A}"/>
    <cellStyle name="樣式 381" xfId="801" xr:uid="{DCC58DC2-3FC5-4D97-AE54-105A874C475D}"/>
    <cellStyle name="樣式 382" xfId="802" xr:uid="{02B78042-5A73-4A84-B76C-66CEE9F4BC55}"/>
    <cellStyle name="樣式 383" xfId="803" xr:uid="{6230BD32-F94A-43DB-B54E-86AEA7138A46}"/>
    <cellStyle name="樣式 384" xfId="804" xr:uid="{B24FD54D-2602-4BCF-AFF3-0647D2CC3077}"/>
    <cellStyle name="樣式 385" xfId="805" xr:uid="{3DF45277-278F-41E1-A94D-3762D5556D8A}"/>
    <cellStyle name="樣式 386" xfId="806" xr:uid="{67C3C175-E0A7-465E-AB3D-60F4B145D7F3}"/>
    <cellStyle name="樣式 387" xfId="807" xr:uid="{3E3F598C-30E7-4F84-A639-089A4ED1800B}"/>
    <cellStyle name="樣式 388" xfId="808" xr:uid="{EDA1452E-FB1F-4A07-AC5E-B5C8B89E6ADA}"/>
    <cellStyle name="樣式 389" xfId="809" xr:uid="{5D557182-C9D8-44DF-97CC-43C5F83F066F}"/>
    <cellStyle name="樣式 39" xfId="810" xr:uid="{8634E119-43BE-43CD-B7BA-09D82AA9467B}"/>
    <cellStyle name="樣式 390" xfId="811" xr:uid="{F258BADE-FA09-45E5-8553-2297AA062FB8}"/>
    <cellStyle name="樣式 391" xfId="812" xr:uid="{E23F785E-E0B8-4942-9C3C-DCA7BF967C30}"/>
    <cellStyle name="樣式 392" xfId="813" xr:uid="{A51ECC2C-A707-4C7A-9122-FB8CC5118FE2}"/>
    <cellStyle name="樣式 393" xfId="814" xr:uid="{28803316-A8DB-4A50-B8E2-40E1948F1AD0}"/>
    <cellStyle name="樣式 394" xfId="815" xr:uid="{67EF83AC-0B21-499B-BA53-1B9F8EACA1CA}"/>
    <cellStyle name="樣式 395" xfId="816" xr:uid="{1AE56E2F-582B-461C-B0A6-30265589AFCF}"/>
    <cellStyle name="樣式 396" xfId="817" xr:uid="{4EF1A5C3-35A2-49D6-BADB-E040C1757629}"/>
    <cellStyle name="樣式 397" xfId="818" xr:uid="{EA5D07C5-F36B-4B38-8214-85B7A4B69855}"/>
    <cellStyle name="樣式 398" xfId="819" xr:uid="{3AC3E058-2D67-4B02-9835-F07D87A855AD}"/>
    <cellStyle name="樣式 399" xfId="820" xr:uid="{C586F4A4-7DEB-4566-AFB9-6273E3D6468C}"/>
    <cellStyle name="樣式 4" xfId="821" xr:uid="{42D939AF-FC2C-47BE-BF2A-16AF996F65CD}"/>
    <cellStyle name="樣式 40" xfId="822" xr:uid="{8506ABAC-E723-4F41-B644-61550A306792}"/>
    <cellStyle name="樣式 400" xfId="823" xr:uid="{3CB30DE5-9B31-48C9-82CE-FCCD3D4F4C3A}"/>
    <cellStyle name="樣式 401" xfId="824" xr:uid="{07FE9CA8-2A63-4F02-AEC3-B99E17072973}"/>
    <cellStyle name="樣式 402" xfId="825" xr:uid="{0B8EE72E-AF1C-4210-A597-542870D9B5A2}"/>
    <cellStyle name="樣式 403" xfId="826" xr:uid="{00664E50-9C47-469B-A28C-EEE9AE1F05A8}"/>
    <cellStyle name="樣式 404" xfId="827" xr:uid="{3E35D5C6-FDDF-4699-8753-7CE72AE9885D}"/>
    <cellStyle name="樣式 405" xfId="828" xr:uid="{551D1C15-5215-4C79-9836-45B4C4CD94EE}"/>
    <cellStyle name="樣式 406" xfId="829" xr:uid="{0E4F6E57-E9E0-4274-920C-30287BB77554}"/>
    <cellStyle name="樣式 407" xfId="830" xr:uid="{31FCE757-6D14-4C1E-9D00-2212B053C618}"/>
    <cellStyle name="樣式 408" xfId="831" xr:uid="{9929FDCA-9979-4BBD-8D59-50E53CAFDCCF}"/>
    <cellStyle name="樣式 409" xfId="832" xr:uid="{D4911698-E4B3-4881-8048-430263DCE1AE}"/>
    <cellStyle name="樣式 41" xfId="833" xr:uid="{778FD9D8-79DB-4A4F-BBFF-CA016D959B10}"/>
    <cellStyle name="樣式 410" xfId="834" xr:uid="{C0657E7B-DA0A-4739-9776-0FE97BD8BB44}"/>
    <cellStyle name="樣式 411" xfId="835" xr:uid="{DE28BE07-453A-410A-85B5-FFA221A33CE7}"/>
    <cellStyle name="樣式 412" xfId="836" xr:uid="{8AB9BD5A-AE5D-41A5-9AB4-453FE37FCB7A}"/>
    <cellStyle name="樣式 413" xfId="837" xr:uid="{FBCC1974-14ED-49C2-8C6F-0D0A55FA9F71}"/>
    <cellStyle name="樣式 414" xfId="838" xr:uid="{8A4C661D-82F5-4AE2-9E07-23820ADEE682}"/>
    <cellStyle name="樣式 415" xfId="839" xr:uid="{0C8BD3D3-56FD-4DF4-8F28-EC27CF761571}"/>
    <cellStyle name="樣式 416" xfId="840" xr:uid="{8028943E-4951-4143-BACA-E83ED6F799E2}"/>
    <cellStyle name="樣式 417" xfId="841" xr:uid="{8921A559-70A3-413E-BC79-DBDD5D048490}"/>
    <cellStyle name="樣式 418" xfId="842" xr:uid="{F39D7F51-D052-415E-A764-3F32D3C971D2}"/>
    <cellStyle name="樣式 419" xfId="843" xr:uid="{9119180C-0073-4E32-8EEC-BA49C7A5216E}"/>
    <cellStyle name="樣式 42" xfId="844" xr:uid="{627F7C03-799E-4440-AD9E-19C80D02B8E2}"/>
    <cellStyle name="樣式 420" xfId="845" xr:uid="{C9F2A58F-0E5A-4839-A267-55117FF31001}"/>
    <cellStyle name="樣式 421" xfId="846" xr:uid="{6A2801CE-3BEA-4F2D-B6C5-EABBF3EECFD1}"/>
    <cellStyle name="樣式 422" xfId="847" xr:uid="{F3ED575E-D63C-48D2-80B2-CED89BAC6F7B}"/>
    <cellStyle name="樣式 423" xfId="848" xr:uid="{B5FD2B64-EEA0-4E48-8EB4-F8296506B488}"/>
    <cellStyle name="樣式 424" xfId="849" xr:uid="{468FB8E6-94B5-4F60-97F6-3B5016D8458B}"/>
    <cellStyle name="樣式 425" xfId="850" xr:uid="{D2BF816A-B099-429E-9F29-1275CB23DE6D}"/>
    <cellStyle name="樣式 426" xfId="851" xr:uid="{CD7A5651-C04E-495C-9D8E-69E62E5C6390}"/>
    <cellStyle name="樣式 427" xfId="852" xr:uid="{36578BCA-6D2F-4CA5-925A-035D6160BCF6}"/>
    <cellStyle name="樣式 428" xfId="853" xr:uid="{CC0A4173-DC27-4242-B76F-7223BE4BC65B}"/>
    <cellStyle name="樣式 429" xfId="854" xr:uid="{9F91D092-A429-4B4B-AE88-B3FC618B4548}"/>
    <cellStyle name="樣式 43" xfId="855" xr:uid="{4892B881-B1F9-4144-97C8-38D18AB376C4}"/>
    <cellStyle name="樣式 430" xfId="856" xr:uid="{F06428A1-4E9E-4B38-B9BB-28D56C9CE805}"/>
    <cellStyle name="樣式 431" xfId="857" xr:uid="{D32998BB-E4DD-4F1A-BB85-ECB44E568478}"/>
    <cellStyle name="樣式 432" xfId="858" xr:uid="{414218E4-9A92-4825-B689-E2BC6BCBBA29}"/>
    <cellStyle name="樣式 433" xfId="859" xr:uid="{BE7F31DB-6E8C-488B-ACB7-85D929F938D0}"/>
    <cellStyle name="樣式 44" xfId="860" xr:uid="{0D0CB966-79B5-437B-81F5-3B001FFE9E9A}"/>
    <cellStyle name="樣式 45" xfId="861" xr:uid="{1E52F464-6956-4C17-A3FB-C7B49BD11119}"/>
    <cellStyle name="樣式 46" xfId="862" xr:uid="{624F13F2-A186-4695-8CE7-4B3E54A3B133}"/>
    <cellStyle name="樣式 47" xfId="863" xr:uid="{58FF1D95-51BE-4210-87F1-77CAA8710413}"/>
    <cellStyle name="樣式 48" xfId="864" xr:uid="{BA3B2835-E6FB-4A60-B7D5-287EC1153D82}"/>
    <cellStyle name="樣式 49" xfId="865" xr:uid="{AF0CB5D6-73D0-4778-962C-92F5E6DCCC16}"/>
    <cellStyle name="樣式 5" xfId="866" xr:uid="{04B7216A-A09B-444E-A697-94B9C68071FE}"/>
    <cellStyle name="樣式 50" xfId="867" xr:uid="{D9C07526-2AEE-4F12-B42A-1B47A50A87BE}"/>
    <cellStyle name="樣式 51" xfId="868" xr:uid="{BC0AD57D-7BA2-4745-855C-25E1D626E9EE}"/>
    <cellStyle name="樣式 52" xfId="869" xr:uid="{82AD6167-F322-4B3A-ABCD-1483C482CA1B}"/>
    <cellStyle name="樣式 53" xfId="870" xr:uid="{442E0063-6964-449B-98AD-FA0932ED2829}"/>
    <cellStyle name="樣式 54" xfId="871" xr:uid="{983A5AA8-401C-4FB2-9C5D-0F49B1D57CBA}"/>
    <cellStyle name="樣式 55" xfId="872" xr:uid="{9FD2DDD9-EEE1-4F84-A02E-75C78918A667}"/>
    <cellStyle name="樣式 56" xfId="873" xr:uid="{0B8185C3-8A60-4737-B1EC-7A4CD1EC8D21}"/>
    <cellStyle name="樣式 57" xfId="874" xr:uid="{C94CFE87-A772-458B-90D8-35B6C8371F4C}"/>
    <cellStyle name="樣式 58" xfId="875" xr:uid="{4F64E01E-F69A-40C3-9BBB-905A810326EA}"/>
    <cellStyle name="樣式 59" xfId="876" xr:uid="{FD407F76-5B19-4154-B274-30E37072D663}"/>
    <cellStyle name="樣式 6" xfId="877" xr:uid="{50EC7F0C-1A6E-484E-928E-90D90F043709}"/>
    <cellStyle name="樣式 60" xfId="878" xr:uid="{E6698513-0144-4A54-A65D-A8666D162880}"/>
    <cellStyle name="樣式 61" xfId="879" xr:uid="{3B38EF05-9D23-448D-AB99-48DBE20659CC}"/>
    <cellStyle name="樣式 62" xfId="880" xr:uid="{BFE73A01-2F15-4404-9C20-73DE03E60BA5}"/>
    <cellStyle name="樣式 63" xfId="881" xr:uid="{5FBE281A-B431-4696-A380-142CBCFC7D85}"/>
    <cellStyle name="樣式 64" xfId="882" xr:uid="{6AF7F3DE-21AF-4BB2-85DB-91E6C50DADE8}"/>
    <cellStyle name="樣式 65" xfId="883" xr:uid="{8F969C79-F43C-4857-91FE-4A2E01D5E9FF}"/>
    <cellStyle name="樣式 66" xfId="884" xr:uid="{B6F1AA21-5BB4-4AAD-B9AE-48167972E9BE}"/>
    <cellStyle name="樣式 67" xfId="885" xr:uid="{D35D0B25-6BCF-49EF-A1BA-13E7F50B8359}"/>
    <cellStyle name="樣式 68" xfId="886" xr:uid="{9B8A1BE1-AC7A-4E0A-B84A-0AC738B09354}"/>
    <cellStyle name="樣式 69" xfId="887" xr:uid="{4F8AF874-7B03-4A85-A1A0-F8E28DCEFDF8}"/>
    <cellStyle name="樣式 7" xfId="888" xr:uid="{EF9674D2-1FEE-4F8D-8F14-ED9F5A9D10C6}"/>
    <cellStyle name="樣式 70" xfId="889" xr:uid="{94186A3B-E17F-4349-BC8B-6365E4D9DD63}"/>
    <cellStyle name="樣式 71" xfId="890" xr:uid="{C1BC2CDF-37A1-4B71-AAF2-3AD959F9981D}"/>
    <cellStyle name="樣式 72" xfId="891" xr:uid="{9B33016E-DC1D-4646-BC80-0784ACE13D5C}"/>
    <cellStyle name="樣式 73" xfId="892" xr:uid="{F030A923-1051-41BE-99D5-D7394A6A24C3}"/>
    <cellStyle name="樣式 74" xfId="893" xr:uid="{6A00ACF9-C326-4370-B8AF-3E267464A4EB}"/>
    <cellStyle name="樣式 75" xfId="894" xr:uid="{38E0EB2B-556E-4DF6-A565-31C4B9D4CAB7}"/>
    <cellStyle name="樣式 76" xfId="895" xr:uid="{B3E3BAE5-70E5-4743-9A5B-16EE06E25201}"/>
    <cellStyle name="樣式 77" xfId="896" xr:uid="{DB0CA380-9446-4052-8102-B554D0E2C82F}"/>
    <cellStyle name="樣式 78" xfId="897" xr:uid="{E40A3FE8-DFDC-4F7F-8587-207FE766C7A2}"/>
    <cellStyle name="樣式 79" xfId="898" xr:uid="{C4934D66-119F-423E-8A7F-5F66D0102C0A}"/>
    <cellStyle name="樣式 8" xfId="899" xr:uid="{3856A2FE-1110-4D35-A55D-F30C6F5AB090}"/>
    <cellStyle name="樣式 80" xfId="900" xr:uid="{4022FE34-5A90-4285-97C3-0CF9F7CD1722}"/>
    <cellStyle name="樣式 81" xfId="901" xr:uid="{4C860D4F-8AA7-46CE-B3E3-41C6321F21AD}"/>
    <cellStyle name="樣式 82" xfId="902" xr:uid="{AC8AF99D-408E-4D79-9EAE-BAB407C4192E}"/>
    <cellStyle name="樣式 83" xfId="903" xr:uid="{9E7C2511-5A5E-4A65-BACA-241986A117A6}"/>
    <cellStyle name="樣式 84" xfId="904" xr:uid="{7049949D-4897-45A1-8DE0-3418BA49C017}"/>
    <cellStyle name="樣式 85" xfId="905" xr:uid="{9A7571D3-2E08-445A-A46F-EAE0432A3EEF}"/>
    <cellStyle name="樣式 86" xfId="906" xr:uid="{FC03C058-B608-4041-9B45-50F2150AA9DD}"/>
    <cellStyle name="樣式 87" xfId="907" xr:uid="{D6097837-6B40-4493-A721-C38F9E2F3346}"/>
    <cellStyle name="樣式 88" xfId="908" xr:uid="{42751FC4-539A-4D7D-B664-5B2EFDF288C4}"/>
    <cellStyle name="樣式 89" xfId="909" xr:uid="{6355E13B-39A6-4242-8CC1-2EE788663687}"/>
    <cellStyle name="樣式 9" xfId="910" xr:uid="{A39670E8-958B-45C8-A018-2F0D915E4706}"/>
    <cellStyle name="樣式 90" xfId="911" xr:uid="{B52348E1-83DA-4314-BF3D-8DD6FAC45B85}"/>
    <cellStyle name="樣式 91" xfId="912" xr:uid="{2861A088-E645-43CA-BA07-50F6C5F28F76}"/>
    <cellStyle name="樣式 92" xfId="913" xr:uid="{F6194EFD-7392-410A-98A6-4C563C902452}"/>
    <cellStyle name="樣式 93" xfId="914" xr:uid="{A500BE8F-4625-4388-8C03-2D3105849E07}"/>
    <cellStyle name="樣式 94" xfId="915" xr:uid="{43D4FF9E-DC97-40B1-838B-3CEA6E7EF3B1}"/>
    <cellStyle name="樣式 95" xfId="916" xr:uid="{E381C43B-88F8-4CB0-97E6-88B39712A3E0}"/>
    <cellStyle name="樣式 96" xfId="917" xr:uid="{7D5DC0AF-FA77-4A84-B206-5CF9AF646453}"/>
    <cellStyle name="樣式 97" xfId="918" xr:uid="{12ECFB6D-BDCB-4137-A7E2-0A6A158AEA7F}"/>
    <cellStyle name="樣式 98" xfId="919" xr:uid="{ECD689DF-E53D-42F3-8998-095375FEC246}"/>
    <cellStyle name="樣式 99" xfId="920" xr:uid="{1E024CB9-1302-42A1-9A6C-F00A5AB7B84E}"/>
    <cellStyle name="樣式一" xfId="921" xr:uid="{B5221B37-16C4-4D7B-BCB7-B93222431BA0}"/>
    <cellStyle name="複價" xfId="922" xr:uid="{CFAB3778-5753-4ECA-AAE8-6779909B4901}"/>
    <cellStyle name="機械挖方" xfId="923" xr:uid="{CF3DA936-A90E-41EC-A4F2-BC445D247382}"/>
    <cellStyle name="輸入 2" xfId="924" xr:uid="{AD3BC9B7-D715-4205-92C3-CD632CBDFDF6}"/>
    <cellStyle name="輸出 2" xfId="925" xr:uid="{98AFC029-970D-40FD-8DEA-B76205773709}"/>
    <cellStyle name="隨後的超連結_學甲鎮新田寮排水改善工程" xfId="926" xr:uid="{BB6BA204-BF25-4DE5-992C-931BAA01A01C}"/>
    <cellStyle name="檢查儲存格 2" xfId="927" xr:uid="{C7713994-137B-4361-9380-4DFDC8897182}"/>
    <cellStyle name="壞 2" xfId="928" xr:uid="{A9D3EB18-F18B-43CD-97EC-AD386CC46571}"/>
    <cellStyle name="壞_新市鄉中正路景觀-施工日誌98.06.17~98.11.30" xfId="929" xr:uid="{C0DFCEE8-7B39-4637-BC8E-F8487C984C1B}"/>
    <cellStyle name="壞_臺南縣新市鄉中正路景觀與人行環境改善工程-監造日報98.06-11" xfId="930" xr:uid="{9950D3F5-43B4-4684-A407-618681B68E00}"/>
    <cellStyle name="警告文字 2" xfId="931" xr:uid="{CD3DC231-3304-4222-B533-FF169FCA4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Evangelical\&#37559;&#36008;&#31649;&#29702;\&#27161;&#26696;&#36039;&#26009;(&#20381;&#22320;&#21312;&#20998;&#39006;)\&#27161;&#21934;\&#24037;&#31243;&#39006;&#27161;&#26696;&#27880;&#24847;&#20107;&#38917;&#21450;&#31684;&#26412;\&#30707;&#27060;&#22283;&#20013;&#26085;&#22577;&#34920;0410-&#31684;&#26412;.xls" TargetMode="External"/><Relationship Id="rId1" Type="http://schemas.openxmlformats.org/officeDocument/2006/relationships/externalLinkPath" Target="file:///\\Evangelical\&#37559;&#36008;&#31649;&#29702;\&#27161;&#26696;&#36039;&#26009;(&#20381;&#22320;&#21312;&#20998;&#39006;)\&#27161;&#21934;\&#24037;&#31243;&#39006;&#27161;&#26696;&#27880;&#24847;&#20107;&#38917;&#21450;&#31684;&#26412;\&#30707;&#27060;&#22283;&#20013;&#26085;&#22577;&#34920;0410-&#31684;&#264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標單詳細表"/>
      <sheetName val="1.工項"/>
      <sheetName val="2.總表"/>
      <sheetName val="進度表 "/>
      <sheetName val="新版-監造報表"/>
      <sheetName val="新版-施工日誌格式"/>
    </sheetNames>
    <sheetDataSet>
      <sheetData sheetId="0"/>
      <sheetData sheetId="1"/>
      <sheetData sheetId="2">
        <row r="7">
          <cell r="A7">
            <v>45698</v>
          </cell>
          <cell r="B7" t="str">
            <v>一</v>
          </cell>
          <cell r="C7" t="str">
            <v>晴</v>
          </cell>
          <cell r="D7">
            <v>1</v>
          </cell>
          <cell r="F7">
            <v>1</v>
          </cell>
          <cell r="G7">
            <v>0</v>
          </cell>
          <cell r="H7">
            <v>2.7289999999999998E-2</v>
          </cell>
          <cell r="I7">
            <v>5.3050646386407795E-2</v>
          </cell>
          <cell r="K7" t="str">
            <v>依據契約規定本日申報開工</v>
          </cell>
          <cell r="M7">
            <v>1</v>
          </cell>
          <cell r="N7">
            <v>1</v>
          </cell>
          <cell r="P7">
            <v>0</v>
          </cell>
          <cell r="R7">
            <v>0</v>
          </cell>
          <cell r="T7">
            <v>0</v>
          </cell>
          <cell r="V7">
            <v>0</v>
          </cell>
          <cell r="X7">
            <v>0</v>
          </cell>
          <cell r="Z7">
            <v>0</v>
          </cell>
          <cell r="AB7">
            <v>0</v>
          </cell>
          <cell r="AD7">
            <v>0</v>
          </cell>
          <cell r="AF7">
            <v>0</v>
          </cell>
          <cell r="AH7">
            <v>0</v>
          </cell>
          <cell r="AJ7">
            <v>0</v>
          </cell>
          <cell r="AL7">
            <v>0</v>
          </cell>
          <cell r="AN7">
            <v>0</v>
          </cell>
          <cell r="AP7">
            <v>0</v>
          </cell>
          <cell r="AR7">
            <v>0</v>
          </cell>
          <cell r="AT7">
            <v>0</v>
          </cell>
          <cell r="AV7">
            <v>0</v>
          </cell>
          <cell r="AX7">
            <v>0</v>
          </cell>
          <cell r="AZ7">
            <v>0</v>
          </cell>
          <cell r="BB7">
            <v>0</v>
          </cell>
          <cell r="BD7">
            <v>0</v>
          </cell>
          <cell r="BF7">
            <v>0</v>
          </cell>
          <cell r="BH7">
            <v>0</v>
          </cell>
          <cell r="BJ7">
            <v>0</v>
          </cell>
          <cell r="BL7">
            <v>0</v>
          </cell>
          <cell r="BN7">
            <v>0</v>
          </cell>
          <cell r="BP7">
            <v>0</v>
          </cell>
          <cell r="BR7">
            <v>0</v>
          </cell>
          <cell r="BT7">
            <v>0</v>
          </cell>
          <cell r="BV7">
            <v>0</v>
          </cell>
          <cell r="BX7">
            <v>0</v>
          </cell>
          <cell r="BZ7">
            <v>0</v>
          </cell>
          <cell r="CB7">
            <v>0</v>
          </cell>
          <cell r="CD7">
            <v>0</v>
          </cell>
          <cell r="CF7">
            <v>0</v>
          </cell>
          <cell r="CH7">
            <v>0</v>
          </cell>
          <cell r="CJ7">
            <v>0</v>
          </cell>
          <cell r="CL7">
            <v>0</v>
          </cell>
          <cell r="CN7">
            <v>0</v>
          </cell>
          <cell r="CP7">
            <v>0</v>
          </cell>
          <cell r="CR7">
            <v>0</v>
          </cell>
          <cell r="CT7">
            <v>0</v>
          </cell>
          <cell r="CV7">
            <v>0</v>
          </cell>
          <cell r="CX7">
            <v>0</v>
          </cell>
          <cell r="CZ7">
            <v>0</v>
          </cell>
          <cell r="DB7">
            <v>0</v>
          </cell>
          <cell r="DD7">
            <v>0</v>
          </cell>
          <cell r="DF7">
            <v>0</v>
          </cell>
          <cell r="DH7">
            <v>0</v>
          </cell>
          <cell r="DJ7">
            <v>0</v>
          </cell>
          <cell r="DL7">
            <v>0</v>
          </cell>
          <cell r="DN7">
            <v>0</v>
          </cell>
          <cell r="DP7">
            <v>0</v>
          </cell>
          <cell r="DR7">
            <v>0</v>
          </cell>
          <cell r="DT7">
            <v>0</v>
          </cell>
          <cell r="DV7">
            <v>0</v>
          </cell>
          <cell r="DX7">
            <v>0</v>
          </cell>
          <cell r="DZ7">
            <v>0</v>
          </cell>
          <cell r="EB7">
            <v>0</v>
          </cell>
          <cell r="ED7">
            <v>0</v>
          </cell>
          <cell r="EF7">
            <v>0</v>
          </cell>
          <cell r="EH7">
            <v>0</v>
          </cell>
          <cell r="EJ7">
            <v>0</v>
          </cell>
          <cell r="EL7">
            <v>0</v>
          </cell>
          <cell r="EN7">
            <v>0</v>
          </cell>
          <cell r="EP7">
            <v>0</v>
          </cell>
          <cell r="ER7">
            <v>0</v>
          </cell>
          <cell r="ET7">
            <v>0</v>
          </cell>
          <cell r="EV7">
            <v>0</v>
          </cell>
          <cell r="EX7">
            <v>0</v>
          </cell>
          <cell r="EZ7">
            <v>0</v>
          </cell>
          <cell r="FB7">
            <v>0</v>
          </cell>
          <cell r="FD7">
            <v>0</v>
          </cell>
          <cell r="FF7">
            <v>0</v>
          </cell>
          <cell r="FH7">
            <v>0</v>
          </cell>
          <cell r="FJ7">
            <v>0</v>
          </cell>
          <cell r="FL7">
            <v>0</v>
          </cell>
          <cell r="FN7">
            <v>0</v>
          </cell>
          <cell r="FP7">
            <v>0</v>
          </cell>
          <cell r="FR7">
            <v>0</v>
          </cell>
          <cell r="FT7">
            <v>0</v>
          </cell>
          <cell r="FV7">
            <v>0</v>
          </cell>
          <cell r="GC7">
            <v>1</v>
          </cell>
          <cell r="GD7">
            <v>1</v>
          </cell>
          <cell r="GF7">
            <v>0</v>
          </cell>
          <cell r="GH7">
            <v>0</v>
          </cell>
          <cell r="GI7">
            <v>1</v>
          </cell>
          <cell r="GJ7">
            <v>1</v>
          </cell>
          <cell r="GM7">
            <v>5.3050646386407795E-2</v>
          </cell>
          <cell r="GN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" t="str">
            <v>一</v>
          </cell>
          <cell r="GQ7">
            <v>2.7289999999999998E-2</v>
          </cell>
          <cell r="GR7">
            <v>5.3050646386407795E-2</v>
          </cell>
          <cell r="GS7">
            <v>45698</v>
          </cell>
          <cell r="GT7">
            <v>0</v>
          </cell>
          <cell r="GW7" t="str">
            <v>（一）施工廠商施工前檢查事項辦理情形：█完成 □未完成 （二）其他工地安全衛生督導事項：</v>
          </cell>
          <cell r="GX7">
            <v>45300</v>
          </cell>
          <cell r="GY7">
            <v>0</v>
          </cell>
        </row>
        <row r="8">
          <cell r="A8">
            <v>45699</v>
          </cell>
          <cell r="B8" t="str">
            <v>二</v>
          </cell>
          <cell r="C8" t="str">
            <v>晴</v>
          </cell>
          <cell r="D8">
            <v>1</v>
          </cell>
          <cell r="F8">
            <v>2</v>
          </cell>
          <cell r="G8">
            <v>0</v>
          </cell>
          <cell r="H8">
            <v>5.4579999999999997E-2</v>
          </cell>
          <cell r="I8">
            <v>5.7735030173287065E-2</v>
          </cell>
          <cell r="N8">
            <v>1</v>
          </cell>
          <cell r="O8">
            <v>1</v>
          </cell>
          <cell r="P8">
            <v>1</v>
          </cell>
          <cell r="R8">
            <v>0</v>
          </cell>
          <cell r="T8">
            <v>0</v>
          </cell>
          <cell r="V8">
            <v>0</v>
          </cell>
          <cell r="X8">
            <v>0</v>
          </cell>
          <cell r="Z8">
            <v>0</v>
          </cell>
          <cell r="AB8">
            <v>0</v>
          </cell>
          <cell r="AD8">
            <v>0</v>
          </cell>
          <cell r="AF8">
            <v>0</v>
          </cell>
          <cell r="AH8">
            <v>0</v>
          </cell>
          <cell r="AJ8">
            <v>0</v>
          </cell>
          <cell r="AL8">
            <v>0</v>
          </cell>
          <cell r="AN8">
            <v>0</v>
          </cell>
          <cell r="AP8">
            <v>0</v>
          </cell>
          <cell r="AR8">
            <v>0</v>
          </cell>
          <cell r="AT8">
            <v>0</v>
          </cell>
          <cell r="AV8">
            <v>0</v>
          </cell>
          <cell r="AX8">
            <v>0</v>
          </cell>
          <cell r="AZ8">
            <v>0</v>
          </cell>
          <cell r="BB8">
            <v>0</v>
          </cell>
          <cell r="BD8">
            <v>0</v>
          </cell>
          <cell r="BF8">
            <v>0</v>
          </cell>
          <cell r="BH8">
            <v>0</v>
          </cell>
          <cell r="BJ8">
            <v>0</v>
          </cell>
          <cell r="BL8">
            <v>0</v>
          </cell>
          <cell r="BN8">
            <v>0</v>
          </cell>
          <cell r="BP8">
            <v>0</v>
          </cell>
          <cell r="BR8">
            <v>0</v>
          </cell>
          <cell r="BT8">
            <v>0</v>
          </cell>
          <cell r="BV8">
            <v>0</v>
          </cell>
          <cell r="BX8">
            <v>0</v>
          </cell>
          <cell r="BZ8">
            <v>0</v>
          </cell>
          <cell r="CB8">
            <v>0</v>
          </cell>
          <cell r="CD8">
            <v>0</v>
          </cell>
          <cell r="CF8">
            <v>0</v>
          </cell>
          <cell r="CH8">
            <v>0</v>
          </cell>
          <cell r="CJ8">
            <v>0</v>
          </cell>
          <cell r="CL8">
            <v>0</v>
          </cell>
          <cell r="CN8">
            <v>0</v>
          </cell>
          <cell r="CP8">
            <v>0</v>
          </cell>
          <cell r="CR8">
            <v>0</v>
          </cell>
          <cell r="CT8">
            <v>0</v>
          </cell>
          <cell r="CV8">
            <v>0</v>
          </cell>
          <cell r="CX8">
            <v>0</v>
          </cell>
          <cell r="CZ8">
            <v>0</v>
          </cell>
          <cell r="DB8">
            <v>0</v>
          </cell>
          <cell r="DD8">
            <v>0</v>
          </cell>
          <cell r="DF8">
            <v>0</v>
          </cell>
          <cell r="DH8">
            <v>0</v>
          </cell>
          <cell r="DJ8">
            <v>0</v>
          </cell>
          <cell r="DL8">
            <v>0</v>
          </cell>
          <cell r="DN8">
            <v>0</v>
          </cell>
          <cell r="DP8">
            <v>0</v>
          </cell>
          <cell r="DR8">
            <v>0</v>
          </cell>
          <cell r="DT8">
            <v>0</v>
          </cell>
          <cell r="DV8">
            <v>0</v>
          </cell>
          <cell r="DX8">
            <v>0</v>
          </cell>
          <cell r="DZ8">
            <v>0</v>
          </cell>
          <cell r="EB8">
            <v>0</v>
          </cell>
          <cell r="ED8">
            <v>0</v>
          </cell>
          <cell r="EF8">
            <v>0</v>
          </cell>
          <cell r="EH8">
            <v>0</v>
          </cell>
          <cell r="EJ8">
            <v>0</v>
          </cell>
          <cell r="EL8">
            <v>0</v>
          </cell>
          <cell r="EN8">
            <v>0</v>
          </cell>
          <cell r="EP8">
            <v>0</v>
          </cell>
          <cell r="ER8">
            <v>0</v>
          </cell>
          <cell r="ET8">
            <v>0</v>
          </cell>
          <cell r="EV8">
            <v>0</v>
          </cell>
          <cell r="EX8">
            <v>0</v>
          </cell>
          <cell r="EZ8">
            <v>0</v>
          </cell>
          <cell r="FB8">
            <v>0</v>
          </cell>
          <cell r="FD8">
            <v>0</v>
          </cell>
          <cell r="FF8">
            <v>0</v>
          </cell>
          <cell r="FH8">
            <v>0</v>
          </cell>
          <cell r="FJ8">
            <v>0</v>
          </cell>
          <cell r="FL8">
            <v>0</v>
          </cell>
          <cell r="FN8">
            <v>0</v>
          </cell>
          <cell r="FP8">
            <v>0</v>
          </cell>
          <cell r="FR8">
            <v>0</v>
          </cell>
          <cell r="FT8">
            <v>0</v>
          </cell>
          <cell r="FV8">
            <v>0</v>
          </cell>
          <cell r="GC8">
            <v>1</v>
          </cell>
          <cell r="GD8">
            <v>2</v>
          </cell>
          <cell r="GF8">
            <v>0</v>
          </cell>
          <cell r="GH8">
            <v>0</v>
          </cell>
          <cell r="GI8">
            <v>1</v>
          </cell>
          <cell r="GJ8">
            <v>2</v>
          </cell>
          <cell r="GM8">
            <v>4.6843837868792704E-3</v>
          </cell>
          <cell r="GN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" t="str">
            <v>二</v>
          </cell>
          <cell r="GQ8">
            <v>2.7289999999999998E-2</v>
          </cell>
          <cell r="GR8">
            <v>4.6843837868792704E-3</v>
          </cell>
          <cell r="GS8">
            <v>45699</v>
          </cell>
          <cell r="GT8">
            <v>0</v>
          </cell>
          <cell r="GW8" t="str">
            <v>（一）施工廠商施工前檢查事項辦理情形：█完成 □未完成 （二）其他工地安全衛生督導事項：</v>
          </cell>
          <cell r="GX8">
            <v>49300</v>
          </cell>
          <cell r="GY8">
            <v>0</v>
          </cell>
        </row>
        <row r="9">
          <cell r="A9">
            <v>45700</v>
          </cell>
          <cell r="B9" t="str">
            <v>三</v>
          </cell>
          <cell r="C9" t="str">
            <v>雨</v>
          </cell>
          <cell r="D9">
            <v>1</v>
          </cell>
          <cell r="F9">
            <v>3</v>
          </cell>
          <cell r="G9">
            <v>0</v>
          </cell>
          <cell r="H9">
            <v>5.6259999999999998E-2</v>
          </cell>
          <cell r="I9">
            <v>5.7735030173287065E-2</v>
          </cell>
          <cell r="K9" t="str">
            <v>雨天無施工</v>
          </cell>
          <cell r="N9">
            <v>1</v>
          </cell>
          <cell r="P9">
            <v>1</v>
          </cell>
          <cell r="R9">
            <v>0</v>
          </cell>
          <cell r="T9">
            <v>0</v>
          </cell>
          <cell r="V9">
            <v>0</v>
          </cell>
          <cell r="X9">
            <v>0</v>
          </cell>
          <cell r="Z9">
            <v>0</v>
          </cell>
          <cell r="AB9">
            <v>0</v>
          </cell>
          <cell r="AD9">
            <v>0</v>
          </cell>
          <cell r="AF9">
            <v>0</v>
          </cell>
          <cell r="AH9">
            <v>0</v>
          </cell>
          <cell r="AJ9">
            <v>0</v>
          </cell>
          <cell r="AL9">
            <v>0</v>
          </cell>
          <cell r="AN9">
            <v>0</v>
          </cell>
          <cell r="AP9">
            <v>0</v>
          </cell>
          <cell r="AR9">
            <v>0</v>
          </cell>
          <cell r="AT9">
            <v>0</v>
          </cell>
          <cell r="AV9">
            <v>0</v>
          </cell>
          <cell r="AX9">
            <v>0</v>
          </cell>
          <cell r="AZ9">
            <v>0</v>
          </cell>
          <cell r="BB9">
            <v>0</v>
          </cell>
          <cell r="BD9">
            <v>0</v>
          </cell>
          <cell r="BF9">
            <v>0</v>
          </cell>
          <cell r="BH9">
            <v>0</v>
          </cell>
          <cell r="BJ9">
            <v>0</v>
          </cell>
          <cell r="BL9">
            <v>0</v>
          </cell>
          <cell r="BN9">
            <v>0</v>
          </cell>
          <cell r="BP9">
            <v>0</v>
          </cell>
          <cell r="BR9">
            <v>0</v>
          </cell>
          <cell r="BT9">
            <v>0</v>
          </cell>
          <cell r="BV9">
            <v>0</v>
          </cell>
          <cell r="BX9">
            <v>0</v>
          </cell>
          <cell r="BZ9">
            <v>0</v>
          </cell>
          <cell r="CB9">
            <v>0</v>
          </cell>
          <cell r="CD9">
            <v>0</v>
          </cell>
          <cell r="CF9">
            <v>0</v>
          </cell>
          <cell r="CH9">
            <v>0</v>
          </cell>
          <cell r="CJ9">
            <v>0</v>
          </cell>
          <cell r="CL9">
            <v>0</v>
          </cell>
          <cell r="CN9">
            <v>0</v>
          </cell>
          <cell r="CP9">
            <v>0</v>
          </cell>
          <cell r="CR9">
            <v>0</v>
          </cell>
          <cell r="CT9">
            <v>0</v>
          </cell>
          <cell r="CV9">
            <v>0</v>
          </cell>
          <cell r="CX9">
            <v>0</v>
          </cell>
          <cell r="CZ9">
            <v>0</v>
          </cell>
          <cell r="DB9">
            <v>0</v>
          </cell>
          <cell r="DD9">
            <v>0</v>
          </cell>
          <cell r="DF9">
            <v>0</v>
          </cell>
          <cell r="DH9">
            <v>0</v>
          </cell>
          <cell r="DJ9">
            <v>0</v>
          </cell>
          <cell r="DL9">
            <v>0</v>
          </cell>
          <cell r="DN9">
            <v>0</v>
          </cell>
          <cell r="DP9">
            <v>0</v>
          </cell>
          <cell r="DR9">
            <v>0</v>
          </cell>
          <cell r="DT9">
            <v>0</v>
          </cell>
          <cell r="DV9">
            <v>0</v>
          </cell>
          <cell r="DX9">
            <v>0</v>
          </cell>
          <cell r="DZ9">
            <v>0</v>
          </cell>
          <cell r="EB9">
            <v>0</v>
          </cell>
          <cell r="ED9">
            <v>0</v>
          </cell>
          <cell r="EF9">
            <v>0</v>
          </cell>
          <cell r="EH9">
            <v>0</v>
          </cell>
          <cell r="EJ9">
            <v>0</v>
          </cell>
          <cell r="EL9">
            <v>0</v>
          </cell>
          <cell r="EN9">
            <v>0</v>
          </cell>
          <cell r="EP9">
            <v>0</v>
          </cell>
          <cell r="ER9">
            <v>0</v>
          </cell>
          <cell r="ET9">
            <v>0</v>
          </cell>
          <cell r="EV9">
            <v>0</v>
          </cell>
          <cell r="EX9">
            <v>0</v>
          </cell>
          <cell r="EZ9">
            <v>0</v>
          </cell>
          <cell r="FB9">
            <v>0</v>
          </cell>
          <cell r="FD9">
            <v>0</v>
          </cell>
          <cell r="FF9">
            <v>0</v>
          </cell>
          <cell r="FH9">
            <v>0</v>
          </cell>
          <cell r="FJ9">
            <v>0</v>
          </cell>
          <cell r="FL9">
            <v>0</v>
          </cell>
          <cell r="FN9">
            <v>0</v>
          </cell>
          <cell r="FP9">
            <v>0</v>
          </cell>
          <cell r="FR9">
            <v>0</v>
          </cell>
          <cell r="FT9">
            <v>0</v>
          </cell>
          <cell r="FV9">
            <v>0</v>
          </cell>
          <cell r="GD9">
            <v>2</v>
          </cell>
          <cell r="GF9">
            <v>0</v>
          </cell>
          <cell r="GH9">
            <v>0</v>
          </cell>
          <cell r="GJ9">
            <v>2</v>
          </cell>
          <cell r="GM9">
            <v>0</v>
          </cell>
          <cell r="GN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" t="str">
            <v>三</v>
          </cell>
          <cell r="GQ9">
            <v>1.6800000000000009E-3</v>
          </cell>
          <cell r="GR9">
            <v>0</v>
          </cell>
          <cell r="GS9">
            <v>45700</v>
          </cell>
          <cell r="GT9">
            <v>0</v>
          </cell>
          <cell r="GW9" t="str">
            <v>（一）施工廠商施工前檢查事項辦理情形：█完成 □未完成 （二）其他工地安全衛生督導事項：</v>
          </cell>
          <cell r="GX9">
            <v>49300</v>
          </cell>
          <cell r="GY9">
            <v>0</v>
          </cell>
        </row>
        <row r="10">
          <cell r="A10">
            <v>45701</v>
          </cell>
          <cell r="B10" t="str">
            <v>四</v>
          </cell>
          <cell r="C10" t="str">
            <v>雨</v>
          </cell>
          <cell r="D10">
            <v>1</v>
          </cell>
          <cell r="F10">
            <v>4</v>
          </cell>
          <cell r="G10">
            <v>0</v>
          </cell>
          <cell r="H10">
            <v>5.7939999999999998E-2</v>
          </cell>
          <cell r="I10">
            <v>5.7735030173287065E-2</v>
          </cell>
          <cell r="K10" t="str">
            <v>雨天無施工</v>
          </cell>
          <cell r="N10">
            <v>1</v>
          </cell>
          <cell r="P10">
            <v>1</v>
          </cell>
          <cell r="R10">
            <v>0</v>
          </cell>
          <cell r="T10">
            <v>0</v>
          </cell>
          <cell r="V10">
            <v>0</v>
          </cell>
          <cell r="X10">
            <v>0</v>
          </cell>
          <cell r="Z10">
            <v>0</v>
          </cell>
          <cell r="AB10">
            <v>0</v>
          </cell>
          <cell r="AD10">
            <v>0</v>
          </cell>
          <cell r="AF10">
            <v>0</v>
          </cell>
          <cell r="AH10">
            <v>0</v>
          </cell>
          <cell r="AJ10">
            <v>0</v>
          </cell>
          <cell r="AL10">
            <v>0</v>
          </cell>
          <cell r="AN10">
            <v>0</v>
          </cell>
          <cell r="AP10">
            <v>0</v>
          </cell>
          <cell r="AR10">
            <v>0</v>
          </cell>
          <cell r="AT10">
            <v>0</v>
          </cell>
          <cell r="AV10">
            <v>0</v>
          </cell>
          <cell r="AX10">
            <v>0</v>
          </cell>
          <cell r="AZ10">
            <v>0</v>
          </cell>
          <cell r="BB10">
            <v>0</v>
          </cell>
          <cell r="BD10">
            <v>0</v>
          </cell>
          <cell r="BF10">
            <v>0</v>
          </cell>
          <cell r="BH10">
            <v>0</v>
          </cell>
          <cell r="BJ10">
            <v>0</v>
          </cell>
          <cell r="BL10">
            <v>0</v>
          </cell>
          <cell r="BN10">
            <v>0</v>
          </cell>
          <cell r="BP10">
            <v>0</v>
          </cell>
          <cell r="BR10">
            <v>0</v>
          </cell>
          <cell r="BT10">
            <v>0</v>
          </cell>
          <cell r="BV10">
            <v>0</v>
          </cell>
          <cell r="BX10">
            <v>0</v>
          </cell>
          <cell r="BZ10">
            <v>0</v>
          </cell>
          <cell r="CB10">
            <v>0</v>
          </cell>
          <cell r="CD10">
            <v>0</v>
          </cell>
          <cell r="CF10">
            <v>0</v>
          </cell>
          <cell r="CH10">
            <v>0</v>
          </cell>
          <cell r="CJ10">
            <v>0</v>
          </cell>
          <cell r="CL10">
            <v>0</v>
          </cell>
          <cell r="CN10">
            <v>0</v>
          </cell>
          <cell r="CP10">
            <v>0</v>
          </cell>
          <cell r="CR10">
            <v>0</v>
          </cell>
          <cell r="CT10">
            <v>0</v>
          </cell>
          <cell r="CV10">
            <v>0</v>
          </cell>
          <cell r="CX10">
            <v>0</v>
          </cell>
          <cell r="CZ10">
            <v>0</v>
          </cell>
          <cell r="DB10">
            <v>0</v>
          </cell>
          <cell r="DD10">
            <v>0</v>
          </cell>
          <cell r="DF10">
            <v>0</v>
          </cell>
          <cell r="DH10">
            <v>0</v>
          </cell>
          <cell r="DJ10">
            <v>0</v>
          </cell>
          <cell r="DL10">
            <v>0</v>
          </cell>
          <cell r="DN10">
            <v>0</v>
          </cell>
          <cell r="DP10">
            <v>0</v>
          </cell>
          <cell r="DR10">
            <v>0</v>
          </cell>
          <cell r="DT10">
            <v>0</v>
          </cell>
          <cell r="DV10">
            <v>0</v>
          </cell>
          <cell r="DX10">
            <v>0</v>
          </cell>
          <cell r="DZ10">
            <v>0</v>
          </cell>
          <cell r="EB10">
            <v>0</v>
          </cell>
          <cell r="ED10">
            <v>0</v>
          </cell>
          <cell r="EF10">
            <v>0</v>
          </cell>
          <cell r="EH10">
            <v>0</v>
          </cell>
          <cell r="EJ10">
            <v>0</v>
          </cell>
          <cell r="EL10">
            <v>0</v>
          </cell>
          <cell r="EN10">
            <v>0</v>
          </cell>
          <cell r="EP10">
            <v>0</v>
          </cell>
          <cell r="ER10">
            <v>0</v>
          </cell>
          <cell r="ET10">
            <v>0</v>
          </cell>
          <cell r="EV10">
            <v>0</v>
          </cell>
          <cell r="EX10">
            <v>0</v>
          </cell>
          <cell r="EZ10">
            <v>0</v>
          </cell>
          <cell r="FB10">
            <v>0</v>
          </cell>
          <cell r="FD10">
            <v>0</v>
          </cell>
          <cell r="FF10">
            <v>0</v>
          </cell>
          <cell r="FH10">
            <v>0</v>
          </cell>
          <cell r="FJ10">
            <v>0</v>
          </cell>
          <cell r="FL10">
            <v>0</v>
          </cell>
          <cell r="FN10">
            <v>0</v>
          </cell>
          <cell r="FP10">
            <v>0</v>
          </cell>
          <cell r="FR10">
            <v>0</v>
          </cell>
          <cell r="FT10">
            <v>0</v>
          </cell>
          <cell r="FV10">
            <v>0</v>
          </cell>
          <cell r="GD10">
            <v>2</v>
          </cell>
          <cell r="GF10">
            <v>0</v>
          </cell>
          <cell r="GH10">
            <v>0</v>
          </cell>
          <cell r="GJ10">
            <v>2</v>
          </cell>
          <cell r="GM10">
            <v>0.01</v>
          </cell>
          <cell r="GN1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" t="str">
            <v>四</v>
          </cell>
          <cell r="GQ10">
            <v>1.6800000000000009E-3</v>
          </cell>
          <cell r="GR10">
            <v>0</v>
          </cell>
          <cell r="GS10">
            <v>45701</v>
          </cell>
          <cell r="GT10">
            <v>0</v>
          </cell>
          <cell r="GW10" t="str">
            <v>（一）施工廠商施工前檢查事項辦理情形：█完成 □未完成 （二）其他工地安全衛生督導事項：</v>
          </cell>
          <cell r="GX10">
            <v>49300</v>
          </cell>
          <cell r="GY10">
            <v>0</v>
          </cell>
        </row>
        <row r="11">
          <cell r="A11">
            <v>45702</v>
          </cell>
          <cell r="B11" t="str">
            <v>五</v>
          </cell>
          <cell r="C11" t="str">
            <v>晴</v>
          </cell>
          <cell r="D11">
            <v>1</v>
          </cell>
          <cell r="F11">
            <v>5</v>
          </cell>
          <cell r="G11">
            <v>0</v>
          </cell>
          <cell r="H11">
            <v>5.9619999999999999E-2</v>
          </cell>
          <cell r="I11">
            <v>9.5210100468321263E-2</v>
          </cell>
          <cell r="N11">
            <v>1</v>
          </cell>
          <cell r="P11">
            <v>1</v>
          </cell>
          <cell r="R11">
            <v>0</v>
          </cell>
          <cell r="S11">
            <v>40</v>
          </cell>
          <cell r="T11">
            <v>40</v>
          </cell>
          <cell r="V11">
            <v>0</v>
          </cell>
          <cell r="X11">
            <v>0</v>
          </cell>
          <cell r="Z11">
            <v>0</v>
          </cell>
          <cell r="AB11">
            <v>0</v>
          </cell>
          <cell r="AD11">
            <v>0</v>
          </cell>
          <cell r="AF11">
            <v>0</v>
          </cell>
          <cell r="AH11">
            <v>0</v>
          </cell>
          <cell r="AJ11">
            <v>0</v>
          </cell>
          <cell r="AL11">
            <v>0</v>
          </cell>
          <cell r="AN11">
            <v>0</v>
          </cell>
          <cell r="AP11">
            <v>0</v>
          </cell>
          <cell r="AR11">
            <v>0</v>
          </cell>
          <cell r="AT11">
            <v>0</v>
          </cell>
          <cell r="AV11">
            <v>0</v>
          </cell>
          <cell r="AX11">
            <v>0</v>
          </cell>
          <cell r="AZ11">
            <v>0</v>
          </cell>
          <cell r="BB11">
            <v>0</v>
          </cell>
          <cell r="BD11">
            <v>0</v>
          </cell>
          <cell r="BF11">
            <v>0</v>
          </cell>
          <cell r="BH11">
            <v>0</v>
          </cell>
          <cell r="BJ11">
            <v>0</v>
          </cell>
          <cell r="BL11">
            <v>0</v>
          </cell>
          <cell r="BN11">
            <v>0</v>
          </cell>
          <cell r="BP11">
            <v>0</v>
          </cell>
          <cell r="BR11">
            <v>0</v>
          </cell>
          <cell r="BT11">
            <v>0</v>
          </cell>
          <cell r="BV11">
            <v>0</v>
          </cell>
          <cell r="BX11">
            <v>0</v>
          </cell>
          <cell r="BZ11">
            <v>0</v>
          </cell>
          <cell r="CB11">
            <v>0</v>
          </cell>
          <cell r="CD11">
            <v>0</v>
          </cell>
          <cell r="CF11">
            <v>0</v>
          </cell>
          <cell r="CH11">
            <v>0</v>
          </cell>
          <cell r="CJ11">
            <v>0</v>
          </cell>
          <cell r="CL11">
            <v>0</v>
          </cell>
          <cell r="CN11">
            <v>0</v>
          </cell>
          <cell r="CP11">
            <v>0</v>
          </cell>
          <cell r="CR11">
            <v>0</v>
          </cell>
          <cell r="CT11">
            <v>0</v>
          </cell>
          <cell r="CV11">
            <v>0</v>
          </cell>
          <cell r="CX11">
            <v>0</v>
          </cell>
          <cell r="CZ11">
            <v>0</v>
          </cell>
          <cell r="DB11">
            <v>0</v>
          </cell>
          <cell r="DD11">
            <v>0</v>
          </cell>
          <cell r="DF11">
            <v>0</v>
          </cell>
          <cell r="DH11">
            <v>0</v>
          </cell>
          <cell r="DJ11">
            <v>0</v>
          </cell>
          <cell r="DL11">
            <v>0</v>
          </cell>
          <cell r="DN11">
            <v>0</v>
          </cell>
          <cell r="DP11">
            <v>0</v>
          </cell>
          <cell r="DR11">
            <v>0</v>
          </cell>
          <cell r="DT11">
            <v>0</v>
          </cell>
          <cell r="DV11">
            <v>0</v>
          </cell>
          <cell r="DX11">
            <v>0</v>
          </cell>
          <cell r="DZ11">
            <v>0</v>
          </cell>
          <cell r="EB11">
            <v>0</v>
          </cell>
          <cell r="ED11">
            <v>0</v>
          </cell>
          <cell r="EF11">
            <v>0</v>
          </cell>
          <cell r="EH11">
            <v>0</v>
          </cell>
          <cell r="EJ11">
            <v>0</v>
          </cell>
          <cell r="EL11">
            <v>0</v>
          </cell>
          <cell r="EN11">
            <v>0</v>
          </cell>
          <cell r="EP11">
            <v>0</v>
          </cell>
          <cell r="ER11">
            <v>0</v>
          </cell>
          <cell r="ET11">
            <v>0</v>
          </cell>
          <cell r="EV11">
            <v>0</v>
          </cell>
          <cell r="EX11">
            <v>0</v>
          </cell>
          <cell r="EZ11">
            <v>0</v>
          </cell>
          <cell r="FB11">
            <v>0</v>
          </cell>
          <cell r="FD11">
            <v>0</v>
          </cell>
          <cell r="FF11">
            <v>0</v>
          </cell>
          <cell r="FH11">
            <v>0</v>
          </cell>
          <cell r="FJ11">
            <v>0</v>
          </cell>
          <cell r="FL11">
            <v>0</v>
          </cell>
          <cell r="FN11">
            <v>0</v>
          </cell>
          <cell r="FP11">
            <v>0</v>
          </cell>
          <cell r="FR11">
            <v>0</v>
          </cell>
          <cell r="FT11">
            <v>0</v>
          </cell>
          <cell r="FV11">
            <v>0</v>
          </cell>
          <cell r="GC11">
            <v>3</v>
          </cell>
          <cell r="GD11">
            <v>5</v>
          </cell>
          <cell r="GF11">
            <v>0</v>
          </cell>
          <cell r="GH11">
            <v>0</v>
          </cell>
          <cell r="GI11">
            <v>1</v>
          </cell>
          <cell r="GJ11">
            <v>3</v>
          </cell>
          <cell r="GM11">
            <v>3.7475070295034198E-2</v>
          </cell>
          <cell r="GN1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" t="str">
            <v>五</v>
          </cell>
          <cell r="GQ11">
            <v>2.8909999999999998E-2</v>
          </cell>
          <cell r="GR11">
            <v>3.7475070295034198E-2</v>
          </cell>
          <cell r="GS11">
            <v>45702</v>
          </cell>
          <cell r="GT11">
            <v>0</v>
          </cell>
          <cell r="GW11" t="str">
            <v>（一）施工廠商施工前檢查事項辦理情形：█完成 □未完成 （二）其他工地安全衛生督導事項：</v>
          </cell>
          <cell r="GX11">
            <v>81300</v>
          </cell>
          <cell r="GY11">
            <v>0</v>
          </cell>
        </row>
        <row r="12">
          <cell r="A12">
            <v>45703</v>
          </cell>
          <cell r="B12" t="str">
            <v>六</v>
          </cell>
          <cell r="C12" t="str">
            <v>晴</v>
          </cell>
          <cell r="D12">
            <v>1</v>
          </cell>
          <cell r="F12">
            <v>6</v>
          </cell>
          <cell r="G12">
            <v>0</v>
          </cell>
          <cell r="H12">
            <v>6.3509999999999997E-2</v>
          </cell>
          <cell r="I12">
            <v>0.12668915951615001</v>
          </cell>
          <cell r="N12">
            <v>1</v>
          </cell>
          <cell r="P12">
            <v>1</v>
          </cell>
          <cell r="Q12">
            <v>672</v>
          </cell>
          <cell r="R12">
            <v>672</v>
          </cell>
          <cell r="T12">
            <v>40</v>
          </cell>
          <cell r="V12">
            <v>0</v>
          </cell>
          <cell r="X12">
            <v>0</v>
          </cell>
          <cell r="Z12">
            <v>0</v>
          </cell>
          <cell r="AB12">
            <v>0</v>
          </cell>
          <cell r="AD12">
            <v>0</v>
          </cell>
          <cell r="AF12">
            <v>0</v>
          </cell>
          <cell r="AH12">
            <v>0</v>
          </cell>
          <cell r="AJ12">
            <v>0</v>
          </cell>
          <cell r="AL12">
            <v>0</v>
          </cell>
          <cell r="AN12">
            <v>0</v>
          </cell>
          <cell r="AP12">
            <v>0</v>
          </cell>
          <cell r="AR12">
            <v>0</v>
          </cell>
          <cell r="AT12">
            <v>0</v>
          </cell>
          <cell r="AV12">
            <v>0</v>
          </cell>
          <cell r="AX12">
            <v>0</v>
          </cell>
          <cell r="AZ12">
            <v>0</v>
          </cell>
          <cell r="BB12">
            <v>0</v>
          </cell>
          <cell r="BD12">
            <v>0</v>
          </cell>
          <cell r="BF12">
            <v>0</v>
          </cell>
          <cell r="BH12">
            <v>0</v>
          </cell>
          <cell r="BJ12">
            <v>0</v>
          </cell>
          <cell r="BL12">
            <v>0</v>
          </cell>
          <cell r="BN12">
            <v>0</v>
          </cell>
          <cell r="BP12">
            <v>0</v>
          </cell>
          <cell r="BR12">
            <v>0</v>
          </cell>
          <cell r="BT12">
            <v>0</v>
          </cell>
          <cell r="BV12">
            <v>0</v>
          </cell>
          <cell r="BX12">
            <v>0</v>
          </cell>
          <cell r="BZ12">
            <v>0</v>
          </cell>
          <cell r="CB12">
            <v>0</v>
          </cell>
          <cell r="CD12">
            <v>0</v>
          </cell>
          <cell r="CF12">
            <v>0</v>
          </cell>
          <cell r="CH12">
            <v>0</v>
          </cell>
          <cell r="CJ12">
            <v>0</v>
          </cell>
          <cell r="CL12">
            <v>0</v>
          </cell>
          <cell r="CN12">
            <v>0</v>
          </cell>
          <cell r="CP12">
            <v>0</v>
          </cell>
          <cell r="CR12">
            <v>0</v>
          </cell>
          <cell r="CT12">
            <v>0</v>
          </cell>
          <cell r="CV12">
            <v>0</v>
          </cell>
          <cell r="CX12">
            <v>0</v>
          </cell>
          <cell r="CZ12">
            <v>0</v>
          </cell>
          <cell r="DB12">
            <v>0</v>
          </cell>
          <cell r="DD12">
            <v>0</v>
          </cell>
          <cell r="DF12">
            <v>0</v>
          </cell>
          <cell r="DH12">
            <v>0</v>
          </cell>
          <cell r="DJ12">
            <v>0</v>
          </cell>
          <cell r="DL12">
            <v>0</v>
          </cell>
          <cell r="DN12">
            <v>0</v>
          </cell>
          <cell r="DP12">
            <v>0</v>
          </cell>
          <cell r="DR12">
            <v>0</v>
          </cell>
          <cell r="DT12">
            <v>0</v>
          </cell>
          <cell r="DV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F12">
            <v>0</v>
          </cell>
          <cell r="EH12">
            <v>0</v>
          </cell>
          <cell r="EJ12">
            <v>0</v>
          </cell>
          <cell r="EL12">
            <v>0</v>
          </cell>
          <cell r="EN12">
            <v>0</v>
          </cell>
          <cell r="EP12">
            <v>0</v>
          </cell>
          <cell r="ER12">
            <v>0</v>
          </cell>
          <cell r="ET12">
            <v>0</v>
          </cell>
          <cell r="EV12">
            <v>0</v>
          </cell>
          <cell r="EX12">
            <v>0</v>
          </cell>
          <cell r="EZ12">
            <v>0</v>
          </cell>
          <cell r="FB12">
            <v>0</v>
          </cell>
          <cell r="FD12">
            <v>0</v>
          </cell>
          <cell r="FF12">
            <v>0</v>
          </cell>
          <cell r="FH12">
            <v>0</v>
          </cell>
          <cell r="FJ12">
            <v>0</v>
          </cell>
          <cell r="FL12">
            <v>0</v>
          </cell>
          <cell r="FN12">
            <v>0</v>
          </cell>
          <cell r="FP12">
            <v>0</v>
          </cell>
          <cell r="FR12">
            <v>0</v>
          </cell>
          <cell r="FT12">
            <v>0</v>
          </cell>
          <cell r="FV12">
            <v>0</v>
          </cell>
          <cell r="GD12">
            <v>5</v>
          </cell>
          <cell r="GE12">
            <v>4</v>
          </cell>
          <cell r="GF12">
            <v>4</v>
          </cell>
          <cell r="GG12">
            <v>1</v>
          </cell>
          <cell r="GH12">
            <v>1</v>
          </cell>
          <cell r="GI12">
            <v>1</v>
          </cell>
          <cell r="GJ12">
            <v>4</v>
          </cell>
          <cell r="GM12">
            <v>3.1479059047828745E-2</v>
          </cell>
          <cell r="GN1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" t="str">
            <v>六</v>
          </cell>
          <cell r="GQ12">
            <v>3.8900000000000046E-3</v>
          </cell>
          <cell r="GR12">
            <v>3.1479059047828745E-2</v>
          </cell>
          <cell r="GS12">
            <v>45703</v>
          </cell>
          <cell r="GT12">
            <v>0</v>
          </cell>
          <cell r="GW12" t="str">
            <v>（一）施工廠商施工前檢查事項辦理情形：█完成 □未完成 （二）其他工地安全衛生督導事項：</v>
          </cell>
          <cell r="GX12">
            <v>108180</v>
          </cell>
          <cell r="GY12">
            <v>0</v>
          </cell>
        </row>
        <row r="13">
          <cell r="A13">
            <v>45704</v>
          </cell>
          <cell r="B13" t="str">
            <v>日</v>
          </cell>
          <cell r="C13" t="str">
            <v>晴</v>
          </cell>
          <cell r="D13">
            <v>1</v>
          </cell>
          <cell r="F13">
            <v>7</v>
          </cell>
          <cell r="G13">
            <v>0</v>
          </cell>
          <cell r="H13">
            <v>6.7400000000000002E-2</v>
          </cell>
          <cell r="I13">
            <v>0.12668915951615001</v>
          </cell>
          <cell r="N13">
            <v>1</v>
          </cell>
          <cell r="P13">
            <v>1</v>
          </cell>
          <cell r="R13">
            <v>672</v>
          </cell>
          <cell r="T13">
            <v>40</v>
          </cell>
          <cell r="V13">
            <v>0</v>
          </cell>
          <cell r="X13">
            <v>0</v>
          </cell>
          <cell r="Z13">
            <v>0</v>
          </cell>
          <cell r="AB13">
            <v>0</v>
          </cell>
          <cell r="AD13">
            <v>0</v>
          </cell>
          <cell r="AF13">
            <v>0</v>
          </cell>
          <cell r="AH13">
            <v>0</v>
          </cell>
          <cell r="AJ13">
            <v>0</v>
          </cell>
          <cell r="AL13">
            <v>0</v>
          </cell>
          <cell r="AN13">
            <v>0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Z13">
            <v>0</v>
          </cell>
          <cell r="BB13">
            <v>0</v>
          </cell>
          <cell r="BD13">
            <v>0</v>
          </cell>
          <cell r="BF13">
            <v>0</v>
          </cell>
          <cell r="BH13">
            <v>0</v>
          </cell>
          <cell r="BJ13">
            <v>0</v>
          </cell>
          <cell r="BL13">
            <v>0</v>
          </cell>
          <cell r="BN13">
            <v>0</v>
          </cell>
          <cell r="BP13">
            <v>0</v>
          </cell>
          <cell r="BR13">
            <v>0</v>
          </cell>
          <cell r="BT13">
            <v>0</v>
          </cell>
          <cell r="BV13">
            <v>0</v>
          </cell>
          <cell r="BX13">
            <v>0</v>
          </cell>
          <cell r="BZ13">
            <v>0</v>
          </cell>
          <cell r="CB13">
            <v>0</v>
          </cell>
          <cell r="CD13">
            <v>0</v>
          </cell>
          <cell r="CF13">
            <v>0</v>
          </cell>
          <cell r="CH13">
            <v>0</v>
          </cell>
          <cell r="CJ13">
            <v>0</v>
          </cell>
          <cell r="CL13">
            <v>0</v>
          </cell>
          <cell r="CN13">
            <v>0</v>
          </cell>
          <cell r="CP13">
            <v>0</v>
          </cell>
          <cell r="CR13">
            <v>0</v>
          </cell>
          <cell r="CT13">
            <v>0</v>
          </cell>
          <cell r="CV13">
            <v>0</v>
          </cell>
          <cell r="CX13">
            <v>0</v>
          </cell>
          <cell r="CZ13">
            <v>0</v>
          </cell>
          <cell r="DB13">
            <v>0</v>
          </cell>
          <cell r="DD13">
            <v>0</v>
          </cell>
          <cell r="DF13">
            <v>0</v>
          </cell>
          <cell r="DH13">
            <v>0</v>
          </cell>
          <cell r="DJ13">
            <v>0</v>
          </cell>
          <cell r="DL13">
            <v>0</v>
          </cell>
          <cell r="DN13">
            <v>0</v>
          </cell>
          <cell r="DP13">
            <v>0</v>
          </cell>
          <cell r="DR13">
            <v>0</v>
          </cell>
          <cell r="DT13">
            <v>0</v>
          </cell>
          <cell r="DV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H13">
            <v>0</v>
          </cell>
          <cell r="EJ13">
            <v>0</v>
          </cell>
          <cell r="EL13">
            <v>0</v>
          </cell>
          <cell r="EN13">
            <v>0</v>
          </cell>
          <cell r="EP13">
            <v>0</v>
          </cell>
          <cell r="ER13">
            <v>0</v>
          </cell>
          <cell r="ET13">
            <v>0</v>
          </cell>
          <cell r="EV13">
            <v>0</v>
          </cell>
          <cell r="EX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  <cell r="FJ13">
            <v>0</v>
          </cell>
          <cell r="FL13">
            <v>0</v>
          </cell>
          <cell r="FN13">
            <v>0</v>
          </cell>
          <cell r="FP13">
            <v>0</v>
          </cell>
          <cell r="FR13">
            <v>0</v>
          </cell>
          <cell r="FT13">
            <v>0</v>
          </cell>
          <cell r="FV13">
            <v>0</v>
          </cell>
          <cell r="GD13">
            <v>5</v>
          </cell>
          <cell r="GF13">
            <v>4</v>
          </cell>
          <cell r="GH13">
            <v>1</v>
          </cell>
          <cell r="GJ13">
            <v>4</v>
          </cell>
          <cell r="GM13">
            <v>0.01</v>
          </cell>
          <cell r="GN1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3" t="str">
            <v>日</v>
          </cell>
          <cell r="GQ13">
            <v>3.8900000000000046E-3</v>
          </cell>
          <cell r="GR13">
            <v>0</v>
          </cell>
          <cell r="GS13">
            <v>45704</v>
          </cell>
          <cell r="GT13">
            <v>0</v>
          </cell>
          <cell r="GW13" t="str">
            <v>（一）施工廠商施工前檢查事項辦理情形：█完成 □未完成 （二）其他工地安全衛生督導事項：</v>
          </cell>
          <cell r="GX13">
            <v>108180</v>
          </cell>
          <cell r="GY13">
            <v>0</v>
          </cell>
        </row>
        <row r="14">
          <cell r="A14">
            <v>45705</v>
          </cell>
          <cell r="B14" t="str">
            <v>一</v>
          </cell>
          <cell r="C14" t="str">
            <v>晴</v>
          </cell>
          <cell r="D14">
            <v>1</v>
          </cell>
          <cell r="F14">
            <v>8</v>
          </cell>
          <cell r="G14">
            <v>0</v>
          </cell>
          <cell r="H14">
            <v>7.1290000000000006E-2</v>
          </cell>
          <cell r="I14">
            <v>0.12668915951615001</v>
          </cell>
          <cell r="N14">
            <v>1</v>
          </cell>
          <cell r="P14">
            <v>1</v>
          </cell>
          <cell r="R14">
            <v>672</v>
          </cell>
          <cell r="T14">
            <v>40</v>
          </cell>
          <cell r="V14">
            <v>0</v>
          </cell>
          <cell r="X14">
            <v>0</v>
          </cell>
          <cell r="Z14">
            <v>0</v>
          </cell>
          <cell r="AB14">
            <v>0</v>
          </cell>
          <cell r="AD14">
            <v>0</v>
          </cell>
          <cell r="AF14">
            <v>0</v>
          </cell>
          <cell r="AH14">
            <v>0</v>
          </cell>
          <cell r="AJ14">
            <v>0</v>
          </cell>
          <cell r="AL14">
            <v>0</v>
          </cell>
          <cell r="AN14">
            <v>0</v>
          </cell>
          <cell r="AP14">
            <v>0</v>
          </cell>
          <cell r="AR14">
            <v>0</v>
          </cell>
          <cell r="AT14">
            <v>0</v>
          </cell>
          <cell r="AV14">
            <v>0</v>
          </cell>
          <cell r="AX14">
            <v>0</v>
          </cell>
          <cell r="AZ14">
            <v>0</v>
          </cell>
          <cell r="BB14">
            <v>0</v>
          </cell>
          <cell r="BD14">
            <v>0</v>
          </cell>
          <cell r="BF14">
            <v>0</v>
          </cell>
          <cell r="BH14">
            <v>0</v>
          </cell>
          <cell r="BJ14">
            <v>0</v>
          </cell>
          <cell r="BL14">
            <v>0</v>
          </cell>
          <cell r="BN14">
            <v>0</v>
          </cell>
          <cell r="BP14">
            <v>0</v>
          </cell>
          <cell r="BR14">
            <v>0</v>
          </cell>
          <cell r="BT14">
            <v>0</v>
          </cell>
          <cell r="BV14">
            <v>0</v>
          </cell>
          <cell r="BX14">
            <v>0</v>
          </cell>
          <cell r="BZ14">
            <v>0</v>
          </cell>
          <cell r="CB14">
            <v>0</v>
          </cell>
          <cell r="CD14">
            <v>0</v>
          </cell>
          <cell r="CF14">
            <v>0</v>
          </cell>
          <cell r="CH14">
            <v>0</v>
          </cell>
          <cell r="CJ14">
            <v>0</v>
          </cell>
          <cell r="CL14">
            <v>0</v>
          </cell>
          <cell r="CN14">
            <v>0</v>
          </cell>
          <cell r="CP14">
            <v>0</v>
          </cell>
          <cell r="CR14">
            <v>0</v>
          </cell>
          <cell r="CT14">
            <v>0</v>
          </cell>
          <cell r="CV14">
            <v>0</v>
          </cell>
          <cell r="CX14">
            <v>0</v>
          </cell>
          <cell r="CZ14">
            <v>0</v>
          </cell>
          <cell r="DB14">
            <v>0</v>
          </cell>
          <cell r="DD14">
            <v>0</v>
          </cell>
          <cell r="DF14">
            <v>0</v>
          </cell>
          <cell r="DH14">
            <v>0</v>
          </cell>
          <cell r="DJ14">
            <v>0</v>
          </cell>
          <cell r="DL14">
            <v>0</v>
          </cell>
          <cell r="DN14">
            <v>0</v>
          </cell>
          <cell r="DP14">
            <v>0</v>
          </cell>
          <cell r="DR14">
            <v>0</v>
          </cell>
          <cell r="DT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H14">
            <v>0</v>
          </cell>
          <cell r="EJ14">
            <v>0</v>
          </cell>
          <cell r="EL14">
            <v>0</v>
          </cell>
          <cell r="EN14">
            <v>0</v>
          </cell>
          <cell r="EP14">
            <v>0</v>
          </cell>
          <cell r="ER14">
            <v>0</v>
          </cell>
          <cell r="ET14">
            <v>0</v>
          </cell>
          <cell r="EV14">
            <v>0</v>
          </cell>
          <cell r="EX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  <cell r="FJ14">
            <v>0</v>
          </cell>
          <cell r="FL14">
            <v>0</v>
          </cell>
          <cell r="FN14">
            <v>0</v>
          </cell>
          <cell r="FP14">
            <v>0</v>
          </cell>
          <cell r="FR14">
            <v>0</v>
          </cell>
          <cell r="FT14">
            <v>0</v>
          </cell>
          <cell r="FV14">
            <v>0</v>
          </cell>
          <cell r="GD14">
            <v>5</v>
          </cell>
          <cell r="GF14">
            <v>4</v>
          </cell>
          <cell r="GH14">
            <v>1</v>
          </cell>
          <cell r="GJ14">
            <v>4</v>
          </cell>
          <cell r="GM14">
            <v>0.02</v>
          </cell>
          <cell r="GN1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4" t="str">
            <v>一</v>
          </cell>
          <cell r="GQ14">
            <v>3.8899999999999907E-3</v>
          </cell>
          <cell r="GR14">
            <v>0</v>
          </cell>
          <cell r="GS14">
            <v>45705</v>
          </cell>
          <cell r="GT14">
            <v>0</v>
          </cell>
          <cell r="GW14" t="str">
            <v>（一）施工廠商施工前檢查事項辦理情形：█完成 □未完成 （二）其他工地安全衛生督導事項：</v>
          </cell>
          <cell r="GX14">
            <v>108180</v>
          </cell>
          <cell r="GY14">
            <v>0</v>
          </cell>
        </row>
        <row r="15">
          <cell r="A15">
            <v>45706</v>
          </cell>
          <cell r="B15" t="str">
            <v>二</v>
          </cell>
          <cell r="C15" t="str">
            <v>晴</v>
          </cell>
          <cell r="D15">
            <v>1</v>
          </cell>
          <cell r="F15">
            <v>9</v>
          </cell>
          <cell r="G15">
            <v>0</v>
          </cell>
          <cell r="H15">
            <v>7.5179999999999997E-2</v>
          </cell>
          <cell r="I15">
            <v>0.12668915951615001</v>
          </cell>
          <cell r="N15">
            <v>1</v>
          </cell>
          <cell r="P15">
            <v>1</v>
          </cell>
          <cell r="R15">
            <v>672</v>
          </cell>
          <cell r="T15">
            <v>40</v>
          </cell>
          <cell r="V15">
            <v>0</v>
          </cell>
          <cell r="X15">
            <v>0</v>
          </cell>
          <cell r="Z15">
            <v>0</v>
          </cell>
          <cell r="AB15">
            <v>0</v>
          </cell>
          <cell r="AD15">
            <v>0</v>
          </cell>
          <cell r="AF15">
            <v>0</v>
          </cell>
          <cell r="AH15">
            <v>0</v>
          </cell>
          <cell r="AJ15">
            <v>0</v>
          </cell>
          <cell r="AL15">
            <v>0</v>
          </cell>
          <cell r="AN15">
            <v>0</v>
          </cell>
          <cell r="AP15">
            <v>0</v>
          </cell>
          <cell r="AR15">
            <v>0</v>
          </cell>
          <cell r="AT15">
            <v>0</v>
          </cell>
          <cell r="AV15">
            <v>0</v>
          </cell>
          <cell r="AX15">
            <v>0</v>
          </cell>
          <cell r="AZ15">
            <v>0</v>
          </cell>
          <cell r="BB15">
            <v>0</v>
          </cell>
          <cell r="BD15">
            <v>0</v>
          </cell>
          <cell r="BF15">
            <v>0</v>
          </cell>
          <cell r="BH15">
            <v>0</v>
          </cell>
          <cell r="BJ15">
            <v>0</v>
          </cell>
          <cell r="BL15">
            <v>0</v>
          </cell>
          <cell r="BN15">
            <v>0</v>
          </cell>
          <cell r="BP15">
            <v>0</v>
          </cell>
          <cell r="BR15">
            <v>0</v>
          </cell>
          <cell r="BT15">
            <v>0</v>
          </cell>
          <cell r="BV15">
            <v>0</v>
          </cell>
          <cell r="BX15">
            <v>0</v>
          </cell>
          <cell r="BZ15">
            <v>0</v>
          </cell>
          <cell r="CB15">
            <v>0</v>
          </cell>
          <cell r="CD15">
            <v>0</v>
          </cell>
          <cell r="CF15">
            <v>0</v>
          </cell>
          <cell r="CH15">
            <v>0</v>
          </cell>
          <cell r="CJ15">
            <v>0</v>
          </cell>
          <cell r="CL15">
            <v>0</v>
          </cell>
          <cell r="CN15">
            <v>0</v>
          </cell>
          <cell r="CP15">
            <v>0</v>
          </cell>
          <cell r="CR15">
            <v>0</v>
          </cell>
          <cell r="CT15">
            <v>0</v>
          </cell>
          <cell r="CV15">
            <v>0</v>
          </cell>
          <cell r="CX15">
            <v>0</v>
          </cell>
          <cell r="CZ15">
            <v>0</v>
          </cell>
          <cell r="DB15">
            <v>0</v>
          </cell>
          <cell r="DD15">
            <v>0</v>
          </cell>
          <cell r="DF15">
            <v>0</v>
          </cell>
          <cell r="DH15">
            <v>0</v>
          </cell>
          <cell r="DJ15">
            <v>0</v>
          </cell>
          <cell r="DL15">
            <v>0</v>
          </cell>
          <cell r="DN15">
            <v>0</v>
          </cell>
          <cell r="DP15">
            <v>0</v>
          </cell>
          <cell r="DR15">
            <v>0</v>
          </cell>
          <cell r="DT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H15">
            <v>0</v>
          </cell>
          <cell r="EJ15">
            <v>0</v>
          </cell>
          <cell r="EL15">
            <v>0</v>
          </cell>
          <cell r="EN15">
            <v>0</v>
          </cell>
          <cell r="EP15">
            <v>0</v>
          </cell>
          <cell r="ER15">
            <v>0</v>
          </cell>
          <cell r="ET15">
            <v>0</v>
          </cell>
          <cell r="EV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  <cell r="FJ15">
            <v>0</v>
          </cell>
          <cell r="FL15">
            <v>0</v>
          </cell>
          <cell r="FN15">
            <v>0</v>
          </cell>
          <cell r="FP15">
            <v>0</v>
          </cell>
          <cell r="FR15">
            <v>0</v>
          </cell>
          <cell r="FT15">
            <v>0</v>
          </cell>
          <cell r="FV15">
            <v>0</v>
          </cell>
          <cell r="GD15">
            <v>5</v>
          </cell>
          <cell r="GF15">
            <v>4</v>
          </cell>
          <cell r="GH15">
            <v>1</v>
          </cell>
          <cell r="GJ15">
            <v>4</v>
          </cell>
          <cell r="GM15">
            <v>0.01</v>
          </cell>
          <cell r="GN1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5" t="str">
            <v>二</v>
          </cell>
          <cell r="GQ15">
            <v>9.9400000000000044E-3</v>
          </cell>
          <cell r="GR15">
            <v>0</v>
          </cell>
          <cell r="GS15">
            <v>45706</v>
          </cell>
          <cell r="GT15">
            <v>0</v>
          </cell>
          <cell r="GW15" t="str">
            <v>（一）施工廠商施工前檢查事項辦理情形：█完成 □未完成 （二）其他工地安全衛生督導事項：</v>
          </cell>
          <cell r="GX15">
            <v>108180</v>
          </cell>
          <cell r="GY15">
            <v>0</v>
          </cell>
        </row>
        <row r="16">
          <cell r="A16">
            <v>45707</v>
          </cell>
          <cell r="B16" t="str">
            <v>三</v>
          </cell>
          <cell r="C16" t="str">
            <v>晴</v>
          </cell>
          <cell r="D16">
            <v>1</v>
          </cell>
          <cell r="F16">
            <v>10</v>
          </cell>
          <cell r="G16">
            <v>0</v>
          </cell>
          <cell r="H16">
            <v>7.9070000000000001E-2</v>
          </cell>
          <cell r="I16">
            <v>0.14542669466366709</v>
          </cell>
          <cell r="N16">
            <v>1</v>
          </cell>
          <cell r="P16">
            <v>1</v>
          </cell>
          <cell r="R16">
            <v>672</v>
          </cell>
          <cell r="S16">
            <v>20</v>
          </cell>
          <cell r="T16">
            <v>60</v>
          </cell>
          <cell r="V16">
            <v>0</v>
          </cell>
          <cell r="X16">
            <v>0</v>
          </cell>
          <cell r="Z16">
            <v>0</v>
          </cell>
          <cell r="AB16">
            <v>0</v>
          </cell>
          <cell r="AD16">
            <v>0</v>
          </cell>
          <cell r="AF16">
            <v>0</v>
          </cell>
          <cell r="AH16">
            <v>0</v>
          </cell>
          <cell r="AJ16">
            <v>0</v>
          </cell>
          <cell r="AL16">
            <v>0</v>
          </cell>
          <cell r="AN16">
            <v>0</v>
          </cell>
          <cell r="AP16">
            <v>0</v>
          </cell>
          <cell r="AR16">
            <v>0</v>
          </cell>
          <cell r="AT16">
            <v>0</v>
          </cell>
          <cell r="AV16">
            <v>0</v>
          </cell>
          <cell r="AX16">
            <v>0</v>
          </cell>
          <cell r="AZ16">
            <v>0</v>
          </cell>
          <cell r="BB16">
            <v>0</v>
          </cell>
          <cell r="BD16">
            <v>0</v>
          </cell>
          <cell r="BF16">
            <v>0</v>
          </cell>
          <cell r="BH16">
            <v>0</v>
          </cell>
          <cell r="BJ16">
            <v>0</v>
          </cell>
          <cell r="BL16">
            <v>0</v>
          </cell>
          <cell r="BN16">
            <v>0</v>
          </cell>
          <cell r="BP16">
            <v>0</v>
          </cell>
          <cell r="BR16">
            <v>0</v>
          </cell>
          <cell r="BT16">
            <v>0</v>
          </cell>
          <cell r="BV16">
            <v>0</v>
          </cell>
          <cell r="BX16">
            <v>0</v>
          </cell>
          <cell r="BZ16">
            <v>0</v>
          </cell>
          <cell r="CB16">
            <v>0</v>
          </cell>
          <cell r="CD16">
            <v>0</v>
          </cell>
          <cell r="CF16">
            <v>0</v>
          </cell>
          <cell r="CH16">
            <v>0</v>
          </cell>
          <cell r="CJ16">
            <v>0</v>
          </cell>
          <cell r="CL16">
            <v>0</v>
          </cell>
          <cell r="CN16">
            <v>0</v>
          </cell>
          <cell r="CP16">
            <v>0</v>
          </cell>
          <cell r="CR16">
            <v>0</v>
          </cell>
          <cell r="CT16">
            <v>0</v>
          </cell>
          <cell r="CV16">
            <v>0</v>
          </cell>
          <cell r="CX16">
            <v>0</v>
          </cell>
          <cell r="CZ16">
            <v>0</v>
          </cell>
          <cell r="DB16">
            <v>0</v>
          </cell>
          <cell r="DD16">
            <v>0</v>
          </cell>
          <cell r="DF16">
            <v>0</v>
          </cell>
          <cell r="DH16">
            <v>0</v>
          </cell>
          <cell r="DJ16">
            <v>0</v>
          </cell>
          <cell r="DL16">
            <v>0</v>
          </cell>
          <cell r="DN16">
            <v>0</v>
          </cell>
          <cell r="DP16">
            <v>0</v>
          </cell>
          <cell r="DR16">
            <v>0</v>
          </cell>
          <cell r="DT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H16">
            <v>0</v>
          </cell>
          <cell r="EJ16">
            <v>0</v>
          </cell>
          <cell r="EL16">
            <v>0</v>
          </cell>
          <cell r="EN16">
            <v>0</v>
          </cell>
          <cell r="EP16">
            <v>0</v>
          </cell>
          <cell r="ER16">
            <v>0</v>
          </cell>
          <cell r="ET16">
            <v>0</v>
          </cell>
          <cell r="EV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  <cell r="FJ16">
            <v>0</v>
          </cell>
          <cell r="FL16">
            <v>0</v>
          </cell>
          <cell r="FN16">
            <v>0</v>
          </cell>
          <cell r="FP16">
            <v>0</v>
          </cell>
          <cell r="FR16">
            <v>0</v>
          </cell>
          <cell r="FT16">
            <v>0</v>
          </cell>
          <cell r="FV16">
            <v>0</v>
          </cell>
          <cell r="GC16">
            <v>3</v>
          </cell>
          <cell r="GD16">
            <v>8</v>
          </cell>
          <cell r="GF16">
            <v>4</v>
          </cell>
          <cell r="GH16">
            <v>1</v>
          </cell>
          <cell r="GI16">
            <v>1</v>
          </cell>
          <cell r="GJ16">
            <v>5</v>
          </cell>
          <cell r="GM16">
            <v>0.01</v>
          </cell>
          <cell r="GN1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6" t="str">
            <v>三</v>
          </cell>
          <cell r="GQ16">
            <v>9.9400000000000044E-3</v>
          </cell>
          <cell r="GR16">
            <v>1.8737535147517081E-2</v>
          </cell>
          <cell r="GS16">
            <v>45707</v>
          </cell>
          <cell r="GT16">
            <v>0</v>
          </cell>
          <cell r="GW16" t="str">
            <v>（一）施工廠商施工前檢查事項辦理情形：█完成 □未完成 （二）其他工地安全衛生督導事項：</v>
          </cell>
          <cell r="GX16">
            <v>124180</v>
          </cell>
          <cell r="GY16">
            <v>0</v>
          </cell>
        </row>
        <row r="17">
          <cell r="A17">
            <v>45708</v>
          </cell>
          <cell r="B17" t="str">
            <v>四</v>
          </cell>
          <cell r="C17" t="str">
            <v>晴</v>
          </cell>
          <cell r="D17">
            <v>1</v>
          </cell>
          <cell r="F17">
            <v>11</v>
          </cell>
          <cell r="G17">
            <v>0</v>
          </cell>
          <cell r="H17">
            <v>8.2960000000000006E-2</v>
          </cell>
          <cell r="I17">
            <v>0.14542669466366709</v>
          </cell>
          <cell r="N17">
            <v>1</v>
          </cell>
          <cell r="P17">
            <v>1</v>
          </cell>
          <cell r="R17">
            <v>672</v>
          </cell>
          <cell r="T17">
            <v>60</v>
          </cell>
          <cell r="V17">
            <v>0</v>
          </cell>
          <cell r="X17">
            <v>0</v>
          </cell>
          <cell r="Z17">
            <v>0</v>
          </cell>
          <cell r="AB17">
            <v>0</v>
          </cell>
          <cell r="AD17">
            <v>0</v>
          </cell>
          <cell r="AF17">
            <v>0</v>
          </cell>
          <cell r="AH17">
            <v>0</v>
          </cell>
          <cell r="AJ17">
            <v>0</v>
          </cell>
          <cell r="AL17">
            <v>0</v>
          </cell>
          <cell r="AN17">
            <v>0</v>
          </cell>
          <cell r="AP17">
            <v>0</v>
          </cell>
          <cell r="AR17">
            <v>0</v>
          </cell>
          <cell r="AT17">
            <v>0</v>
          </cell>
          <cell r="AV17">
            <v>0</v>
          </cell>
          <cell r="AX17">
            <v>0</v>
          </cell>
          <cell r="AZ17">
            <v>0</v>
          </cell>
          <cell r="BB17">
            <v>0</v>
          </cell>
          <cell r="BD17">
            <v>0</v>
          </cell>
          <cell r="BF17">
            <v>0</v>
          </cell>
          <cell r="BH17">
            <v>0</v>
          </cell>
          <cell r="BJ17">
            <v>0</v>
          </cell>
          <cell r="BL17">
            <v>0</v>
          </cell>
          <cell r="BN17">
            <v>0</v>
          </cell>
          <cell r="BP17">
            <v>0</v>
          </cell>
          <cell r="BR17">
            <v>0</v>
          </cell>
          <cell r="BT17">
            <v>0</v>
          </cell>
          <cell r="BV17">
            <v>0</v>
          </cell>
          <cell r="BX17">
            <v>0</v>
          </cell>
          <cell r="BZ17">
            <v>0</v>
          </cell>
          <cell r="CB17">
            <v>0</v>
          </cell>
          <cell r="CD17">
            <v>0</v>
          </cell>
          <cell r="CF17">
            <v>0</v>
          </cell>
          <cell r="CH17">
            <v>0</v>
          </cell>
          <cell r="CJ17">
            <v>0</v>
          </cell>
          <cell r="CL17">
            <v>0</v>
          </cell>
          <cell r="CN17">
            <v>0</v>
          </cell>
          <cell r="CP17">
            <v>0</v>
          </cell>
          <cell r="CR17">
            <v>0</v>
          </cell>
          <cell r="CT17">
            <v>0</v>
          </cell>
          <cell r="CV17">
            <v>0</v>
          </cell>
          <cell r="CX17">
            <v>0</v>
          </cell>
          <cell r="CZ17">
            <v>0</v>
          </cell>
          <cell r="DB17">
            <v>0</v>
          </cell>
          <cell r="DD17">
            <v>0</v>
          </cell>
          <cell r="DF17">
            <v>0</v>
          </cell>
          <cell r="DH17">
            <v>0</v>
          </cell>
          <cell r="DJ17">
            <v>0</v>
          </cell>
          <cell r="DL17">
            <v>0</v>
          </cell>
          <cell r="DN17">
            <v>0</v>
          </cell>
          <cell r="DP17">
            <v>0</v>
          </cell>
          <cell r="DR17">
            <v>0</v>
          </cell>
          <cell r="DT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H17">
            <v>0</v>
          </cell>
          <cell r="EJ17">
            <v>0</v>
          </cell>
          <cell r="EL17">
            <v>0</v>
          </cell>
          <cell r="EN17">
            <v>0</v>
          </cell>
          <cell r="EP17">
            <v>0</v>
          </cell>
          <cell r="ER17">
            <v>0</v>
          </cell>
          <cell r="ET17">
            <v>0</v>
          </cell>
          <cell r="EV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  <cell r="FJ17">
            <v>0</v>
          </cell>
          <cell r="FL17">
            <v>0</v>
          </cell>
          <cell r="FN17">
            <v>0</v>
          </cell>
          <cell r="FP17">
            <v>0</v>
          </cell>
          <cell r="FR17">
            <v>0</v>
          </cell>
          <cell r="FT17">
            <v>0</v>
          </cell>
          <cell r="FV17">
            <v>0</v>
          </cell>
          <cell r="GD17">
            <v>8</v>
          </cell>
          <cell r="GF17">
            <v>4</v>
          </cell>
          <cell r="GH17">
            <v>1</v>
          </cell>
          <cell r="GJ17">
            <v>5</v>
          </cell>
          <cell r="GM17">
            <v>0.01</v>
          </cell>
          <cell r="GN1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7" t="str">
            <v>四</v>
          </cell>
          <cell r="GQ17">
            <v>9.9400000000000044E-3</v>
          </cell>
          <cell r="GR17">
            <v>0</v>
          </cell>
          <cell r="GS17">
            <v>45708</v>
          </cell>
          <cell r="GT17">
            <v>0</v>
          </cell>
          <cell r="GW17" t="str">
            <v>（一）施工廠商施工前檢查事項辦理情形：█完成 □未完成 （二）其他工地安全衛生督導事項：</v>
          </cell>
          <cell r="GX17">
            <v>124180</v>
          </cell>
          <cell r="GY17">
            <v>0</v>
          </cell>
        </row>
        <row r="18">
          <cell r="A18">
            <v>45709</v>
          </cell>
          <cell r="B18" t="str">
            <v>五</v>
          </cell>
          <cell r="C18" t="str">
            <v>晴</v>
          </cell>
          <cell r="D18">
            <v>1</v>
          </cell>
          <cell r="F18">
            <v>12</v>
          </cell>
          <cell r="G18">
            <v>0</v>
          </cell>
          <cell r="H18">
            <v>8.6849999999999997E-2</v>
          </cell>
          <cell r="I18">
            <v>0.14542669466366709</v>
          </cell>
          <cell r="N18">
            <v>1</v>
          </cell>
          <cell r="P18">
            <v>1</v>
          </cell>
          <cell r="R18">
            <v>672</v>
          </cell>
          <cell r="T18">
            <v>60</v>
          </cell>
          <cell r="V18">
            <v>0</v>
          </cell>
          <cell r="X18">
            <v>0</v>
          </cell>
          <cell r="Z18">
            <v>0</v>
          </cell>
          <cell r="AB18">
            <v>0</v>
          </cell>
          <cell r="AD18">
            <v>0</v>
          </cell>
          <cell r="AF18">
            <v>0</v>
          </cell>
          <cell r="AH18">
            <v>0</v>
          </cell>
          <cell r="AJ18">
            <v>0</v>
          </cell>
          <cell r="AL18">
            <v>0</v>
          </cell>
          <cell r="AN18">
            <v>0</v>
          </cell>
          <cell r="AP18">
            <v>0</v>
          </cell>
          <cell r="AR18">
            <v>0</v>
          </cell>
          <cell r="AT18">
            <v>0</v>
          </cell>
          <cell r="AV18">
            <v>0</v>
          </cell>
          <cell r="AX18">
            <v>0</v>
          </cell>
          <cell r="AZ18">
            <v>0</v>
          </cell>
          <cell r="BB18">
            <v>0</v>
          </cell>
          <cell r="BD18">
            <v>0</v>
          </cell>
          <cell r="BF18">
            <v>0</v>
          </cell>
          <cell r="BH18">
            <v>0</v>
          </cell>
          <cell r="BJ18">
            <v>0</v>
          </cell>
          <cell r="BL18">
            <v>0</v>
          </cell>
          <cell r="BN18">
            <v>0</v>
          </cell>
          <cell r="BP18">
            <v>0</v>
          </cell>
          <cell r="BR18">
            <v>0</v>
          </cell>
          <cell r="BT18">
            <v>0</v>
          </cell>
          <cell r="BV18">
            <v>0</v>
          </cell>
          <cell r="BX18">
            <v>0</v>
          </cell>
          <cell r="BZ18">
            <v>0</v>
          </cell>
          <cell r="CB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L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0</v>
          </cell>
          <cell r="CV18">
            <v>0</v>
          </cell>
          <cell r="CX18">
            <v>0</v>
          </cell>
          <cell r="CZ18">
            <v>0</v>
          </cell>
          <cell r="DB18">
            <v>0</v>
          </cell>
          <cell r="DD18">
            <v>0</v>
          </cell>
          <cell r="DF18">
            <v>0</v>
          </cell>
          <cell r="DH18">
            <v>0</v>
          </cell>
          <cell r="DJ18">
            <v>0</v>
          </cell>
          <cell r="DL18">
            <v>0</v>
          </cell>
          <cell r="DN18">
            <v>0</v>
          </cell>
          <cell r="DP18">
            <v>0</v>
          </cell>
          <cell r="DR18">
            <v>0</v>
          </cell>
          <cell r="DT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H18">
            <v>0</v>
          </cell>
          <cell r="EJ18">
            <v>0</v>
          </cell>
          <cell r="EL18">
            <v>0</v>
          </cell>
          <cell r="EN18">
            <v>0</v>
          </cell>
          <cell r="EP18">
            <v>0</v>
          </cell>
          <cell r="ER18">
            <v>0</v>
          </cell>
          <cell r="ET18">
            <v>0</v>
          </cell>
          <cell r="EV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  <cell r="FJ18">
            <v>0</v>
          </cell>
          <cell r="FL18">
            <v>0</v>
          </cell>
          <cell r="FN18">
            <v>0</v>
          </cell>
          <cell r="FP18">
            <v>0</v>
          </cell>
          <cell r="FR18">
            <v>0</v>
          </cell>
          <cell r="FT18">
            <v>0</v>
          </cell>
          <cell r="FV18">
            <v>0</v>
          </cell>
          <cell r="GD18">
            <v>8</v>
          </cell>
          <cell r="GF18">
            <v>4</v>
          </cell>
          <cell r="GH18">
            <v>1</v>
          </cell>
          <cell r="GJ18">
            <v>5</v>
          </cell>
          <cell r="GM18">
            <v>0.01</v>
          </cell>
          <cell r="GN1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8" t="str">
            <v>五</v>
          </cell>
          <cell r="GQ18">
            <v>9.9399999999999766E-3</v>
          </cell>
          <cell r="GR18">
            <v>0</v>
          </cell>
          <cell r="GS18">
            <v>45709</v>
          </cell>
          <cell r="GT18">
            <v>0</v>
          </cell>
          <cell r="GW18" t="str">
            <v>（一）施工廠商施工前檢查事項辦理情形：█完成 □未完成 （二）其他工地安全衛生督導事項：</v>
          </cell>
          <cell r="GX18">
            <v>124180</v>
          </cell>
          <cell r="GY18">
            <v>0</v>
          </cell>
        </row>
        <row r="19">
          <cell r="A19">
            <v>45710</v>
          </cell>
          <cell r="B19" t="str">
            <v>六</v>
          </cell>
          <cell r="C19" t="str">
            <v>晴</v>
          </cell>
          <cell r="D19">
            <v>1</v>
          </cell>
          <cell r="F19">
            <v>13</v>
          </cell>
          <cell r="G19">
            <v>0</v>
          </cell>
          <cell r="H19">
            <v>9.0740000000000001E-2</v>
          </cell>
          <cell r="I19">
            <v>0.14542669466366709</v>
          </cell>
          <cell r="N19">
            <v>1</v>
          </cell>
          <cell r="P19">
            <v>1</v>
          </cell>
          <cell r="R19">
            <v>672</v>
          </cell>
          <cell r="T19">
            <v>60</v>
          </cell>
          <cell r="V19">
            <v>0</v>
          </cell>
          <cell r="X19">
            <v>0</v>
          </cell>
          <cell r="Z19">
            <v>0</v>
          </cell>
          <cell r="AB19">
            <v>0</v>
          </cell>
          <cell r="AD19">
            <v>0</v>
          </cell>
          <cell r="AF19">
            <v>0</v>
          </cell>
          <cell r="AH19">
            <v>0</v>
          </cell>
          <cell r="AJ19">
            <v>0</v>
          </cell>
          <cell r="AL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Z19">
            <v>0</v>
          </cell>
          <cell r="BB19">
            <v>0</v>
          </cell>
          <cell r="BD19">
            <v>0</v>
          </cell>
          <cell r="BF19">
            <v>0</v>
          </cell>
          <cell r="BH19">
            <v>0</v>
          </cell>
          <cell r="BJ19">
            <v>0</v>
          </cell>
          <cell r="BL19">
            <v>0</v>
          </cell>
          <cell r="BN19">
            <v>0</v>
          </cell>
          <cell r="BP19">
            <v>0</v>
          </cell>
          <cell r="BR19">
            <v>0</v>
          </cell>
          <cell r="BT19">
            <v>0</v>
          </cell>
          <cell r="BV19">
            <v>0</v>
          </cell>
          <cell r="BX19">
            <v>0</v>
          </cell>
          <cell r="BZ19">
            <v>0</v>
          </cell>
          <cell r="CB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L19">
            <v>0</v>
          </cell>
          <cell r="CN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CZ19">
            <v>0</v>
          </cell>
          <cell r="DB19">
            <v>0</v>
          </cell>
          <cell r="DD19">
            <v>0</v>
          </cell>
          <cell r="DF19">
            <v>0</v>
          </cell>
          <cell r="DH19">
            <v>0</v>
          </cell>
          <cell r="DJ19">
            <v>0</v>
          </cell>
          <cell r="DL19">
            <v>0</v>
          </cell>
          <cell r="DN19">
            <v>0</v>
          </cell>
          <cell r="DP19">
            <v>0</v>
          </cell>
          <cell r="DR19">
            <v>0</v>
          </cell>
          <cell r="DT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H19">
            <v>0</v>
          </cell>
          <cell r="EJ19">
            <v>0</v>
          </cell>
          <cell r="EL19">
            <v>0</v>
          </cell>
          <cell r="EN19">
            <v>0</v>
          </cell>
          <cell r="EP19">
            <v>0</v>
          </cell>
          <cell r="ER19">
            <v>0</v>
          </cell>
          <cell r="ET19">
            <v>0</v>
          </cell>
          <cell r="EV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  <cell r="FJ19">
            <v>0</v>
          </cell>
          <cell r="FL19">
            <v>0</v>
          </cell>
          <cell r="FN19">
            <v>0</v>
          </cell>
          <cell r="FP19">
            <v>0</v>
          </cell>
          <cell r="FR19">
            <v>0</v>
          </cell>
          <cell r="FT19">
            <v>0</v>
          </cell>
          <cell r="FV19">
            <v>0</v>
          </cell>
          <cell r="GD19">
            <v>8</v>
          </cell>
          <cell r="GF19">
            <v>4</v>
          </cell>
          <cell r="GH19">
            <v>1</v>
          </cell>
          <cell r="GJ19">
            <v>5</v>
          </cell>
          <cell r="GM19">
            <v>0.01</v>
          </cell>
          <cell r="GN1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9" t="str">
            <v>六</v>
          </cell>
          <cell r="GQ19">
            <v>2.9820000000000013E-2</v>
          </cell>
          <cell r="GR19">
            <v>0</v>
          </cell>
          <cell r="GS19">
            <v>45710</v>
          </cell>
          <cell r="GT19">
            <v>0</v>
          </cell>
          <cell r="GW19" t="str">
            <v>（一）施工廠商施工前檢查事項辦理情形：█完成 □未完成 （二）其他工地安全衛生督導事項：</v>
          </cell>
          <cell r="GX19">
            <v>124180</v>
          </cell>
          <cell r="GY19">
            <v>0</v>
          </cell>
        </row>
        <row r="20">
          <cell r="A20">
            <v>45711</v>
          </cell>
          <cell r="B20" t="str">
            <v>日</v>
          </cell>
          <cell r="C20" t="str">
            <v>晴</v>
          </cell>
          <cell r="D20">
            <v>1</v>
          </cell>
          <cell r="F20">
            <v>14</v>
          </cell>
          <cell r="G20">
            <v>0</v>
          </cell>
          <cell r="H20">
            <v>9.4630000000000006E-2</v>
          </cell>
          <cell r="I20">
            <v>0.14542669466366709</v>
          </cell>
          <cell r="N20">
            <v>1</v>
          </cell>
          <cell r="P20">
            <v>1</v>
          </cell>
          <cell r="R20">
            <v>672</v>
          </cell>
          <cell r="T20">
            <v>60</v>
          </cell>
          <cell r="V20">
            <v>0</v>
          </cell>
          <cell r="X20">
            <v>0</v>
          </cell>
          <cell r="Z20">
            <v>0</v>
          </cell>
          <cell r="AB20">
            <v>0</v>
          </cell>
          <cell r="AD20">
            <v>0</v>
          </cell>
          <cell r="AF20">
            <v>0</v>
          </cell>
          <cell r="AH20">
            <v>0</v>
          </cell>
          <cell r="AJ20">
            <v>0</v>
          </cell>
          <cell r="AL20">
            <v>0</v>
          </cell>
          <cell r="AN20">
            <v>0</v>
          </cell>
          <cell r="AP20">
            <v>0</v>
          </cell>
          <cell r="AR20">
            <v>0</v>
          </cell>
          <cell r="AT20">
            <v>0</v>
          </cell>
          <cell r="AV20">
            <v>0</v>
          </cell>
          <cell r="AX20">
            <v>0</v>
          </cell>
          <cell r="AZ20">
            <v>0</v>
          </cell>
          <cell r="BB20">
            <v>0</v>
          </cell>
          <cell r="BD20">
            <v>0</v>
          </cell>
          <cell r="BF20">
            <v>0</v>
          </cell>
          <cell r="BH20">
            <v>0</v>
          </cell>
          <cell r="BJ20">
            <v>0</v>
          </cell>
          <cell r="BL20">
            <v>0</v>
          </cell>
          <cell r="BN20">
            <v>0</v>
          </cell>
          <cell r="BP20">
            <v>0</v>
          </cell>
          <cell r="BR20">
            <v>0</v>
          </cell>
          <cell r="BT20">
            <v>0</v>
          </cell>
          <cell r="BV20">
            <v>0</v>
          </cell>
          <cell r="BX20">
            <v>0</v>
          </cell>
          <cell r="BZ20">
            <v>0</v>
          </cell>
          <cell r="CB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L20">
            <v>0</v>
          </cell>
          <cell r="CN20">
            <v>0</v>
          </cell>
          <cell r="CP20">
            <v>0</v>
          </cell>
          <cell r="CR20">
            <v>0</v>
          </cell>
          <cell r="CT20">
            <v>0</v>
          </cell>
          <cell r="CV20">
            <v>0</v>
          </cell>
          <cell r="CX20">
            <v>0</v>
          </cell>
          <cell r="CZ20">
            <v>0</v>
          </cell>
          <cell r="DB20">
            <v>0</v>
          </cell>
          <cell r="DD20">
            <v>0</v>
          </cell>
          <cell r="DF20">
            <v>0</v>
          </cell>
          <cell r="DH20">
            <v>0</v>
          </cell>
          <cell r="DJ20">
            <v>0</v>
          </cell>
          <cell r="DL20">
            <v>0</v>
          </cell>
          <cell r="DN20">
            <v>0</v>
          </cell>
          <cell r="DP20">
            <v>0</v>
          </cell>
          <cell r="DR20">
            <v>0</v>
          </cell>
          <cell r="DT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H20">
            <v>0</v>
          </cell>
          <cell r="EJ20">
            <v>0</v>
          </cell>
          <cell r="EL20">
            <v>0</v>
          </cell>
          <cell r="EN20">
            <v>0</v>
          </cell>
          <cell r="EP20">
            <v>0</v>
          </cell>
          <cell r="ER20">
            <v>0</v>
          </cell>
          <cell r="ET20">
            <v>0</v>
          </cell>
          <cell r="EV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  <cell r="FJ20">
            <v>0</v>
          </cell>
          <cell r="FL20">
            <v>0</v>
          </cell>
          <cell r="FN20">
            <v>0</v>
          </cell>
          <cell r="FP20">
            <v>0</v>
          </cell>
          <cell r="FR20">
            <v>0</v>
          </cell>
          <cell r="FT20">
            <v>0</v>
          </cell>
          <cell r="FV20">
            <v>0</v>
          </cell>
          <cell r="GD20">
            <v>8</v>
          </cell>
          <cell r="GF20">
            <v>4</v>
          </cell>
          <cell r="GH20">
            <v>1</v>
          </cell>
          <cell r="GJ20">
            <v>5</v>
          </cell>
          <cell r="GM20">
            <v>0.01</v>
          </cell>
          <cell r="GN2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0" t="str">
            <v>日</v>
          </cell>
          <cell r="GQ20">
            <v>9.9400000000000044E-3</v>
          </cell>
          <cell r="GR20">
            <v>0</v>
          </cell>
          <cell r="GS20">
            <v>45711</v>
          </cell>
          <cell r="GT20">
            <v>0</v>
          </cell>
          <cell r="GW20" t="str">
            <v>（一）施工廠商施工前檢查事項辦理情形：█完成 □未完成 （二）其他工地安全衛生督導事項：</v>
          </cell>
          <cell r="GX20">
            <v>124180</v>
          </cell>
          <cell r="GY20">
            <v>0</v>
          </cell>
        </row>
        <row r="21">
          <cell r="A21">
            <v>45712</v>
          </cell>
          <cell r="B21" t="str">
            <v>一</v>
          </cell>
          <cell r="C21" t="str">
            <v>晴</v>
          </cell>
          <cell r="D21">
            <v>1</v>
          </cell>
          <cell r="F21">
            <v>15</v>
          </cell>
          <cell r="G21">
            <v>0</v>
          </cell>
          <cell r="H21">
            <v>9.8519999999999996E-2</v>
          </cell>
          <cell r="I21">
            <v>0.1641642298111842</v>
          </cell>
          <cell r="N21">
            <v>1</v>
          </cell>
          <cell r="P21">
            <v>1</v>
          </cell>
          <cell r="R21">
            <v>672</v>
          </cell>
          <cell r="S21">
            <v>20</v>
          </cell>
          <cell r="T21">
            <v>80</v>
          </cell>
          <cell r="V21">
            <v>0</v>
          </cell>
          <cell r="X21">
            <v>0</v>
          </cell>
          <cell r="Z21">
            <v>0</v>
          </cell>
          <cell r="AB21">
            <v>0</v>
          </cell>
          <cell r="AD21">
            <v>0</v>
          </cell>
          <cell r="AF21">
            <v>0</v>
          </cell>
          <cell r="AH21">
            <v>0</v>
          </cell>
          <cell r="AJ21">
            <v>0</v>
          </cell>
          <cell r="AL21">
            <v>0</v>
          </cell>
          <cell r="AN21">
            <v>0</v>
          </cell>
          <cell r="AP21">
            <v>0</v>
          </cell>
          <cell r="AR21">
            <v>0</v>
          </cell>
          <cell r="AT21">
            <v>0</v>
          </cell>
          <cell r="AV21">
            <v>0</v>
          </cell>
          <cell r="AX21">
            <v>0</v>
          </cell>
          <cell r="AZ21">
            <v>0</v>
          </cell>
          <cell r="BB21">
            <v>0</v>
          </cell>
          <cell r="BD21">
            <v>0</v>
          </cell>
          <cell r="BF21">
            <v>0</v>
          </cell>
          <cell r="BH21">
            <v>0</v>
          </cell>
          <cell r="BJ21">
            <v>0</v>
          </cell>
          <cell r="BL21">
            <v>0</v>
          </cell>
          <cell r="BN21">
            <v>0</v>
          </cell>
          <cell r="BP21">
            <v>0</v>
          </cell>
          <cell r="BR21">
            <v>0</v>
          </cell>
          <cell r="BT21">
            <v>0</v>
          </cell>
          <cell r="BV21">
            <v>0</v>
          </cell>
          <cell r="BX21">
            <v>0</v>
          </cell>
          <cell r="BZ21">
            <v>0</v>
          </cell>
          <cell r="CB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L21">
            <v>0</v>
          </cell>
          <cell r="CN21">
            <v>0</v>
          </cell>
          <cell r="CP21">
            <v>0</v>
          </cell>
          <cell r="CR21">
            <v>0</v>
          </cell>
          <cell r="CT21">
            <v>0</v>
          </cell>
          <cell r="CV21">
            <v>0</v>
          </cell>
          <cell r="CX21">
            <v>0</v>
          </cell>
          <cell r="CZ21">
            <v>0</v>
          </cell>
          <cell r="DB21">
            <v>0</v>
          </cell>
          <cell r="DD21">
            <v>0</v>
          </cell>
          <cell r="DF21">
            <v>0</v>
          </cell>
          <cell r="DH21">
            <v>0</v>
          </cell>
          <cell r="DJ21">
            <v>0</v>
          </cell>
          <cell r="DL21">
            <v>0</v>
          </cell>
          <cell r="DN21">
            <v>0</v>
          </cell>
          <cell r="DP21">
            <v>0</v>
          </cell>
          <cell r="DR21">
            <v>0</v>
          </cell>
          <cell r="DT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H21">
            <v>0</v>
          </cell>
          <cell r="EJ21">
            <v>0</v>
          </cell>
          <cell r="EL21">
            <v>0</v>
          </cell>
          <cell r="EN21">
            <v>0</v>
          </cell>
          <cell r="EP21">
            <v>0</v>
          </cell>
          <cell r="ER21">
            <v>0</v>
          </cell>
          <cell r="ET21">
            <v>0</v>
          </cell>
          <cell r="EV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  <cell r="FJ21">
            <v>0</v>
          </cell>
          <cell r="FL21">
            <v>0</v>
          </cell>
          <cell r="FN21">
            <v>0</v>
          </cell>
          <cell r="FP21">
            <v>0</v>
          </cell>
          <cell r="FR21">
            <v>0</v>
          </cell>
          <cell r="FT21">
            <v>0</v>
          </cell>
          <cell r="FV21">
            <v>0</v>
          </cell>
          <cell r="GC21">
            <v>3</v>
          </cell>
          <cell r="GD21">
            <v>11</v>
          </cell>
          <cell r="GF21">
            <v>4</v>
          </cell>
          <cell r="GH21">
            <v>1</v>
          </cell>
          <cell r="GI21">
            <v>1</v>
          </cell>
          <cell r="GJ21">
            <v>6</v>
          </cell>
          <cell r="GM21">
            <v>0.01</v>
          </cell>
          <cell r="GN2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1" t="str">
            <v>一</v>
          </cell>
          <cell r="GQ21">
            <v>9.9400000000000044E-3</v>
          </cell>
          <cell r="GR21">
            <v>1.8737535147517109E-2</v>
          </cell>
          <cell r="GS21">
            <v>45712</v>
          </cell>
          <cell r="GT21">
            <v>0</v>
          </cell>
          <cell r="GW21" t="str">
            <v>（一）施工廠商施工前檢查事項辦理情形：█完成 □未完成 （二）其他工地安全衛生督導事項：</v>
          </cell>
          <cell r="GX21">
            <v>140180</v>
          </cell>
          <cell r="GY21">
            <v>0</v>
          </cell>
        </row>
        <row r="22">
          <cell r="A22">
            <v>45713</v>
          </cell>
          <cell r="B22" t="str">
            <v>二</v>
          </cell>
          <cell r="C22" t="str">
            <v>晴</v>
          </cell>
          <cell r="D22">
            <v>1</v>
          </cell>
          <cell r="F22">
            <v>16</v>
          </cell>
          <cell r="G22">
            <v>0</v>
          </cell>
          <cell r="H22">
            <v>0.10846</v>
          </cell>
          <cell r="I22">
            <v>0.1641642298111842</v>
          </cell>
          <cell r="N22">
            <v>1</v>
          </cell>
          <cell r="P22">
            <v>1</v>
          </cell>
          <cell r="R22">
            <v>672</v>
          </cell>
          <cell r="T22">
            <v>80</v>
          </cell>
          <cell r="V22">
            <v>0</v>
          </cell>
          <cell r="X22">
            <v>0</v>
          </cell>
          <cell r="Z22">
            <v>0</v>
          </cell>
          <cell r="AB22">
            <v>0</v>
          </cell>
          <cell r="AD22">
            <v>0</v>
          </cell>
          <cell r="AF22">
            <v>0</v>
          </cell>
          <cell r="AH22">
            <v>0</v>
          </cell>
          <cell r="AJ22">
            <v>0</v>
          </cell>
          <cell r="AL22">
            <v>0</v>
          </cell>
          <cell r="AN22">
            <v>0</v>
          </cell>
          <cell r="AP22">
            <v>0</v>
          </cell>
          <cell r="AR22">
            <v>0</v>
          </cell>
          <cell r="AT22">
            <v>0</v>
          </cell>
          <cell r="AV22">
            <v>0</v>
          </cell>
          <cell r="AX22">
            <v>0</v>
          </cell>
          <cell r="AZ22">
            <v>0</v>
          </cell>
          <cell r="BB22">
            <v>0</v>
          </cell>
          <cell r="BD22">
            <v>0</v>
          </cell>
          <cell r="BF22">
            <v>0</v>
          </cell>
          <cell r="BH22">
            <v>0</v>
          </cell>
          <cell r="BJ22">
            <v>0</v>
          </cell>
          <cell r="BL22">
            <v>0</v>
          </cell>
          <cell r="BN22">
            <v>0</v>
          </cell>
          <cell r="BP22">
            <v>0</v>
          </cell>
          <cell r="BR22">
            <v>0</v>
          </cell>
          <cell r="BT22">
            <v>0</v>
          </cell>
          <cell r="BV22">
            <v>0</v>
          </cell>
          <cell r="BX22">
            <v>0</v>
          </cell>
          <cell r="BZ22">
            <v>0</v>
          </cell>
          <cell r="CB22">
            <v>0</v>
          </cell>
          <cell r="CD22">
            <v>0</v>
          </cell>
          <cell r="CF22">
            <v>0</v>
          </cell>
          <cell r="CH22">
            <v>0</v>
          </cell>
          <cell r="CJ22">
            <v>0</v>
          </cell>
          <cell r="CL22">
            <v>0</v>
          </cell>
          <cell r="CN22">
            <v>0</v>
          </cell>
          <cell r="CP22">
            <v>0</v>
          </cell>
          <cell r="CR22">
            <v>0</v>
          </cell>
          <cell r="CT22">
            <v>0</v>
          </cell>
          <cell r="CV22">
            <v>0</v>
          </cell>
          <cell r="CX22">
            <v>0</v>
          </cell>
          <cell r="CZ22">
            <v>0</v>
          </cell>
          <cell r="DB22">
            <v>0</v>
          </cell>
          <cell r="DD22">
            <v>0</v>
          </cell>
          <cell r="DF22">
            <v>0</v>
          </cell>
          <cell r="DH22">
            <v>0</v>
          </cell>
          <cell r="DJ22">
            <v>0</v>
          </cell>
          <cell r="DL22">
            <v>0</v>
          </cell>
          <cell r="DN22">
            <v>0</v>
          </cell>
          <cell r="DP22">
            <v>0</v>
          </cell>
          <cell r="DR22">
            <v>0</v>
          </cell>
          <cell r="DT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H22">
            <v>0</v>
          </cell>
          <cell r="EJ22">
            <v>0</v>
          </cell>
          <cell r="EL22">
            <v>0</v>
          </cell>
          <cell r="EN22">
            <v>0</v>
          </cell>
          <cell r="EP22">
            <v>0</v>
          </cell>
          <cell r="ER22">
            <v>0</v>
          </cell>
          <cell r="ET22">
            <v>0</v>
          </cell>
          <cell r="EV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  <cell r="FJ22">
            <v>0</v>
          </cell>
          <cell r="FL22">
            <v>0</v>
          </cell>
          <cell r="FN22">
            <v>0</v>
          </cell>
          <cell r="FP22">
            <v>0</v>
          </cell>
          <cell r="FR22">
            <v>0</v>
          </cell>
          <cell r="FT22">
            <v>0</v>
          </cell>
          <cell r="FV22">
            <v>0</v>
          </cell>
          <cell r="GD22">
            <v>11</v>
          </cell>
          <cell r="GF22">
            <v>4</v>
          </cell>
          <cell r="GH22">
            <v>1</v>
          </cell>
          <cell r="GJ22">
            <v>6</v>
          </cell>
          <cell r="GM22">
            <v>0.01</v>
          </cell>
          <cell r="GN2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2" t="str">
            <v>二</v>
          </cell>
          <cell r="GQ22">
            <v>7.3499999999999982E-2</v>
          </cell>
          <cell r="GR22">
            <v>0</v>
          </cell>
          <cell r="GS22">
            <v>45713</v>
          </cell>
          <cell r="GT22">
            <v>0</v>
          </cell>
          <cell r="GW22" t="str">
            <v>（一）施工廠商施工前檢查事項辦理情形：█完成 □未完成 （二）其他工地安全衛生督導事項：</v>
          </cell>
          <cell r="GX22">
            <v>140180</v>
          </cell>
          <cell r="GY22">
            <v>0</v>
          </cell>
        </row>
        <row r="23">
          <cell r="A23">
            <v>45714</v>
          </cell>
          <cell r="B23" t="str">
            <v>三</v>
          </cell>
          <cell r="C23" t="str">
            <v>晴</v>
          </cell>
          <cell r="D23">
            <v>1</v>
          </cell>
          <cell r="F23">
            <v>17</v>
          </cell>
          <cell r="G23">
            <v>0</v>
          </cell>
          <cell r="H23">
            <v>0.11840000000000001</v>
          </cell>
          <cell r="I23">
            <v>0.1641642298111842</v>
          </cell>
          <cell r="N23">
            <v>1</v>
          </cell>
          <cell r="P23">
            <v>1</v>
          </cell>
          <cell r="R23">
            <v>672</v>
          </cell>
          <cell r="T23">
            <v>80</v>
          </cell>
          <cell r="V23">
            <v>0</v>
          </cell>
          <cell r="X23">
            <v>0</v>
          </cell>
          <cell r="Z23">
            <v>0</v>
          </cell>
          <cell r="AB23">
            <v>0</v>
          </cell>
          <cell r="AD23">
            <v>0</v>
          </cell>
          <cell r="AF23">
            <v>0</v>
          </cell>
          <cell r="AH23">
            <v>0</v>
          </cell>
          <cell r="AJ23">
            <v>0</v>
          </cell>
          <cell r="AL23">
            <v>0</v>
          </cell>
          <cell r="AN23">
            <v>0</v>
          </cell>
          <cell r="AP23">
            <v>0</v>
          </cell>
          <cell r="AR23">
            <v>0</v>
          </cell>
          <cell r="AT23">
            <v>0</v>
          </cell>
          <cell r="AV23">
            <v>0</v>
          </cell>
          <cell r="AX23">
            <v>0</v>
          </cell>
          <cell r="AZ23">
            <v>0</v>
          </cell>
          <cell r="BB23">
            <v>0</v>
          </cell>
          <cell r="BD23">
            <v>0</v>
          </cell>
          <cell r="BF23">
            <v>0</v>
          </cell>
          <cell r="BH23">
            <v>0</v>
          </cell>
          <cell r="BJ23">
            <v>0</v>
          </cell>
          <cell r="BL23">
            <v>0</v>
          </cell>
          <cell r="BN23">
            <v>0</v>
          </cell>
          <cell r="BP23">
            <v>0</v>
          </cell>
          <cell r="BR23">
            <v>0</v>
          </cell>
          <cell r="BT23">
            <v>0</v>
          </cell>
          <cell r="BV23">
            <v>0</v>
          </cell>
          <cell r="BX23">
            <v>0</v>
          </cell>
          <cell r="BZ23">
            <v>0</v>
          </cell>
          <cell r="CB23">
            <v>0</v>
          </cell>
          <cell r="CD23">
            <v>0</v>
          </cell>
          <cell r="CF23">
            <v>0</v>
          </cell>
          <cell r="CH23">
            <v>0</v>
          </cell>
          <cell r="CJ23">
            <v>0</v>
          </cell>
          <cell r="CL23">
            <v>0</v>
          </cell>
          <cell r="CN23">
            <v>0</v>
          </cell>
          <cell r="CP23">
            <v>0</v>
          </cell>
          <cell r="CR23">
            <v>0</v>
          </cell>
          <cell r="CT23">
            <v>0</v>
          </cell>
          <cell r="CV23">
            <v>0</v>
          </cell>
          <cell r="CX23">
            <v>0</v>
          </cell>
          <cell r="CZ23">
            <v>0</v>
          </cell>
          <cell r="DB23">
            <v>0</v>
          </cell>
          <cell r="DD23">
            <v>0</v>
          </cell>
          <cell r="DF23">
            <v>0</v>
          </cell>
          <cell r="DH23">
            <v>0</v>
          </cell>
          <cell r="DJ23">
            <v>0</v>
          </cell>
          <cell r="DL23">
            <v>0</v>
          </cell>
          <cell r="DN23">
            <v>0</v>
          </cell>
          <cell r="DP23">
            <v>0</v>
          </cell>
          <cell r="DR23">
            <v>0</v>
          </cell>
          <cell r="DT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H23">
            <v>0</v>
          </cell>
          <cell r="EJ23">
            <v>0</v>
          </cell>
          <cell r="EL23">
            <v>0</v>
          </cell>
          <cell r="EN23">
            <v>0</v>
          </cell>
          <cell r="EP23">
            <v>0</v>
          </cell>
          <cell r="ER23">
            <v>0</v>
          </cell>
          <cell r="ET23">
            <v>0</v>
          </cell>
          <cell r="EV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  <cell r="FJ23">
            <v>0</v>
          </cell>
          <cell r="FL23">
            <v>0</v>
          </cell>
          <cell r="FN23">
            <v>0</v>
          </cell>
          <cell r="FP23">
            <v>0</v>
          </cell>
          <cell r="FR23">
            <v>0</v>
          </cell>
          <cell r="FT23">
            <v>0</v>
          </cell>
          <cell r="FV23">
            <v>0</v>
          </cell>
          <cell r="GD23">
            <v>11</v>
          </cell>
          <cell r="GF23">
            <v>4</v>
          </cell>
          <cell r="GH23">
            <v>1</v>
          </cell>
          <cell r="GJ23">
            <v>6</v>
          </cell>
          <cell r="GM23">
            <v>0.01</v>
          </cell>
          <cell r="GN2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3" t="str">
            <v>三</v>
          </cell>
          <cell r="GQ23">
            <v>7.350000000000001E-2</v>
          </cell>
          <cell r="GR23">
            <v>0</v>
          </cell>
          <cell r="GS23">
            <v>45714</v>
          </cell>
          <cell r="GT23">
            <v>0</v>
          </cell>
          <cell r="GW23" t="str">
            <v>（一）施工廠商施工前檢查事項辦理情形：█完成 □未完成 （二）其他工地安全衛生督導事項：</v>
          </cell>
          <cell r="GX23">
            <v>140180</v>
          </cell>
          <cell r="GY23">
            <v>0</v>
          </cell>
        </row>
        <row r="24">
          <cell r="A24">
            <v>45715</v>
          </cell>
          <cell r="B24" t="str">
            <v>四</v>
          </cell>
          <cell r="C24" t="str">
            <v>晴</v>
          </cell>
          <cell r="D24">
            <v>1</v>
          </cell>
          <cell r="F24">
            <v>18</v>
          </cell>
          <cell r="G24">
            <v>0</v>
          </cell>
          <cell r="H24">
            <v>0.12834000000000001</v>
          </cell>
          <cell r="I24">
            <v>0.1641642298111842</v>
          </cell>
          <cell r="N24">
            <v>1</v>
          </cell>
          <cell r="P24">
            <v>1</v>
          </cell>
          <cell r="R24">
            <v>672</v>
          </cell>
          <cell r="T24">
            <v>80</v>
          </cell>
          <cell r="V24">
            <v>0</v>
          </cell>
          <cell r="X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0</v>
          </cell>
          <cell r="AV24">
            <v>0</v>
          </cell>
          <cell r="AX24">
            <v>0</v>
          </cell>
          <cell r="AZ24">
            <v>0</v>
          </cell>
          <cell r="BB24">
            <v>0</v>
          </cell>
          <cell r="BD24">
            <v>0</v>
          </cell>
          <cell r="BF24">
            <v>0</v>
          </cell>
          <cell r="BH24">
            <v>0</v>
          </cell>
          <cell r="BJ24">
            <v>0</v>
          </cell>
          <cell r="BL24">
            <v>0</v>
          </cell>
          <cell r="BN24">
            <v>0</v>
          </cell>
          <cell r="BP24">
            <v>0</v>
          </cell>
          <cell r="BR24">
            <v>0</v>
          </cell>
          <cell r="BT24">
            <v>0</v>
          </cell>
          <cell r="BV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0</v>
          </cell>
          <cell r="CV24">
            <v>0</v>
          </cell>
          <cell r="CX24">
            <v>0</v>
          </cell>
          <cell r="CZ24">
            <v>0</v>
          </cell>
          <cell r="DB24">
            <v>0</v>
          </cell>
          <cell r="DD24">
            <v>0</v>
          </cell>
          <cell r="DF24">
            <v>0</v>
          </cell>
          <cell r="DH24">
            <v>0</v>
          </cell>
          <cell r="DJ24">
            <v>0</v>
          </cell>
          <cell r="DL24">
            <v>0</v>
          </cell>
          <cell r="DN24">
            <v>0</v>
          </cell>
          <cell r="DP24">
            <v>0</v>
          </cell>
          <cell r="DR24">
            <v>0</v>
          </cell>
          <cell r="DT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H24">
            <v>0</v>
          </cell>
          <cell r="EJ24">
            <v>0</v>
          </cell>
          <cell r="EL24">
            <v>0</v>
          </cell>
          <cell r="EN24">
            <v>0</v>
          </cell>
          <cell r="EP24">
            <v>0</v>
          </cell>
          <cell r="ER24">
            <v>0</v>
          </cell>
          <cell r="ET24">
            <v>0</v>
          </cell>
          <cell r="EV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  <cell r="FJ24">
            <v>0</v>
          </cell>
          <cell r="FL24">
            <v>0</v>
          </cell>
          <cell r="FN24">
            <v>0</v>
          </cell>
          <cell r="FP24">
            <v>0</v>
          </cell>
          <cell r="FR24">
            <v>0</v>
          </cell>
          <cell r="FT24">
            <v>0</v>
          </cell>
          <cell r="FV24">
            <v>0</v>
          </cell>
          <cell r="GD24">
            <v>11</v>
          </cell>
          <cell r="GF24">
            <v>4</v>
          </cell>
          <cell r="GH24">
            <v>1</v>
          </cell>
          <cell r="GJ24">
            <v>6</v>
          </cell>
          <cell r="GM24">
            <v>0.01</v>
          </cell>
          <cell r="GN2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4" t="str">
            <v>四</v>
          </cell>
          <cell r="GQ24">
            <v>7.3799999999999977E-2</v>
          </cell>
          <cell r="GR24">
            <v>0</v>
          </cell>
          <cell r="GS24">
            <v>45715</v>
          </cell>
          <cell r="GT24">
            <v>0</v>
          </cell>
          <cell r="GW24" t="str">
            <v>（一）施工廠商施工前檢查事項辦理情形：█完成 □未完成 （二）其他工地安全衛生督導事項：</v>
          </cell>
          <cell r="GX24">
            <v>140180</v>
          </cell>
          <cell r="GY24">
            <v>0</v>
          </cell>
        </row>
        <row r="25">
          <cell r="A25">
            <v>45716</v>
          </cell>
          <cell r="B25" t="str">
            <v>五</v>
          </cell>
          <cell r="C25" t="str">
            <v>晴</v>
          </cell>
          <cell r="D25">
            <v>1</v>
          </cell>
          <cell r="F25">
            <v>19</v>
          </cell>
          <cell r="G25">
            <v>0</v>
          </cell>
          <cell r="H25">
            <v>0.13827999999999999</v>
          </cell>
          <cell r="I25">
            <v>0.1641642298111842</v>
          </cell>
          <cell r="N25">
            <v>1</v>
          </cell>
          <cell r="P25">
            <v>1</v>
          </cell>
          <cell r="R25">
            <v>672</v>
          </cell>
          <cell r="T25">
            <v>80</v>
          </cell>
          <cell r="V25">
            <v>0</v>
          </cell>
          <cell r="X25">
            <v>0</v>
          </cell>
          <cell r="Z25">
            <v>0</v>
          </cell>
          <cell r="AB25">
            <v>0</v>
          </cell>
          <cell r="AD25">
            <v>0</v>
          </cell>
          <cell r="AF25">
            <v>0</v>
          </cell>
          <cell r="AH25">
            <v>0</v>
          </cell>
          <cell r="AJ25">
            <v>0</v>
          </cell>
          <cell r="AL25">
            <v>0</v>
          </cell>
          <cell r="AN25">
            <v>0</v>
          </cell>
          <cell r="AP25">
            <v>0</v>
          </cell>
          <cell r="AR25">
            <v>0</v>
          </cell>
          <cell r="AT25">
            <v>0</v>
          </cell>
          <cell r="AV25">
            <v>0</v>
          </cell>
          <cell r="AX25">
            <v>0</v>
          </cell>
          <cell r="AZ25">
            <v>0</v>
          </cell>
          <cell r="BB25">
            <v>0</v>
          </cell>
          <cell r="BD25">
            <v>0</v>
          </cell>
          <cell r="BF25">
            <v>0</v>
          </cell>
          <cell r="BH25">
            <v>0</v>
          </cell>
          <cell r="BJ25">
            <v>0</v>
          </cell>
          <cell r="BL25">
            <v>0</v>
          </cell>
          <cell r="BN25">
            <v>0</v>
          </cell>
          <cell r="BP25">
            <v>0</v>
          </cell>
          <cell r="BR25">
            <v>0</v>
          </cell>
          <cell r="BT25">
            <v>0</v>
          </cell>
          <cell r="BV25">
            <v>0</v>
          </cell>
          <cell r="BX25">
            <v>0</v>
          </cell>
          <cell r="BZ25">
            <v>0</v>
          </cell>
          <cell r="CB25">
            <v>0</v>
          </cell>
          <cell r="CD25">
            <v>0</v>
          </cell>
          <cell r="CF25">
            <v>0</v>
          </cell>
          <cell r="CH25">
            <v>0</v>
          </cell>
          <cell r="CJ25">
            <v>0</v>
          </cell>
          <cell r="CL25">
            <v>0</v>
          </cell>
          <cell r="CN25">
            <v>0</v>
          </cell>
          <cell r="CP25">
            <v>0</v>
          </cell>
          <cell r="CR25">
            <v>0</v>
          </cell>
          <cell r="CT25">
            <v>0</v>
          </cell>
          <cell r="CV25">
            <v>0</v>
          </cell>
          <cell r="CX25">
            <v>0</v>
          </cell>
          <cell r="CZ25">
            <v>0</v>
          </cell>
          <cell r="DB25">
            <v>0</v>
          </cell>
          <cell r="DD25">
            <v>0</v>
          </cell>
          <cell r="DF25">
            <v>0</v>
          </cell>
          <cell r="DH25">
            <v>0</v>
          </cell>
          <cell r="DJ25">
            <v>0</v>
          </cell>
          <cell r="DL25">
            <v>0</v>
          </cell>
          <cell r="DN25">
            <v>0</v>
          </cell>
          <cell r="DP25">
            <v>0</v>
          </cell>
          <cell r="DR25">
            <v>0</v>
          </cell>
          <cell r="DT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H25">
            <v>0</v>
          </cell>
          <cell r="EJ25">
            <v>0</v>
          </cell>
          <cell r="EL25">
            <v>0</v>
          </cell>
          <cell r="EN25">
            <v>0</v>
          </cell>
          <cell r="EP25">
            <v>0</v>
          </cell>
          <cell r="ER25">
            <v>0</v>
          </cell>
          <cell r="ET25">
            <v>0</v>
          </cell>
          <cell r="EV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  <cell r="FJ25">
            <v>0</v>
          </cell>
          <cell r="FL25">
            <v>0</v>
          </cell>
          <cell r="FN25">
            <v>0</v>
          </cell>
          <cell r="FP25">
            <v>0</v>
          </cell>
          <cell r="FR25">
            <v>0</v>
          </cell>
          <cell r="FT25">
            <v>0</v>
          </cell>
          <cell r="FV25">
            <v>0</v>
          </cell>
          <cell r="GC25">
            <v>3</v>
          </cell>
          <cell r="GD25">
            <v>14</v>
          </cell>
          <cell r="GF25">
            <v>4</v>
          </cell>
          <cell r="GH25">
            <v>1</v>
          </cell>
          <cell r="GI25">
            <v>1</v>
          </cell>
          <cell r="GJ25">
            <v>7</v>
          </cell>
          <cell r="GM25">
            <v>0.01</v>
          </cell>
          <cell r="GN2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5" t="str">
            <v>五</v>
          </cell>
          <cell r="GQ25">
            <v>7.3200000000000043E-2</v>
          </cell>
          <cell r="GR25">
            <v>0</v>
          </cell>
          <cell r="GS25">
            <v>45716</v>
          </cell>
          <cell r="GT25">
            <v>0</v>
          </cell>
          <cell r="GW25" t="str">
            <v>（一）施工廠商施工前檢查事項辦理情形：█完成 □未完成 （二）其他工地安全衛生督導事項：</v>
          </cell>
          <cell r="GX25">
            <v>140180</v>
          </cell>
          <cell r="GY25">
            <v>0</v>
          </cell>
        </row>
        <row r="26">
          <cell r="A26">
            <v>45717</v>
          </cell>
          <cell r="B26" t="str">
            <v>六</v>
          </cell>
          <cell r="C26" t="str">
            <v>晴</v>
          </cell>
          <cell r="D26">
            <v>1</v>
          </cell>
          <cell r="F26">
            <v>20</v>
          </cell>
          <cell r="G26">
            <v>0</v>
          </cell>
          <cell r="H26">
            <v>0.14821999999999999</v>
          </cell>
          <cell r="I26">
            <v>0.18290176495870131</v>
          </cell>
          <cell r="N26">
            <v>1</v>
          </cell>
          <cell r="P26">
            <v>1</v>
          </cell>
          <cell r="R26">
            <v>672</v>
          </cell>
          <cell r="S26">
            <v>20</v>
          </cell>
          <cell r="T26">
            <v>100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  <cell r="AD26">
            <v>0</v>
          </cell>
          <cell r="AF26">
            <v>0</v>
          </cell>
          <cell r="AH26">
            <v>0</v>
          </cell>
          <cell r="AJ26">
            <v>0</v>
          </cell>
          <cell r="AL26">
            <v>0</v>
          </cell>
          <cell r="AN26">
            <v>0</v>
          </cell>
          <cell r="AP26">
            <v>0</v>
          </cell>
          <cell r="AR26">
            <v>0</v>
          </cell>
          <cell r="AT26">
            <v>0</v>
          </cell>
          <cell r="AV26">
            <v>0</v>
          </cell>
          <cell r="AX26">
            <v>0</v>
          </cell>
          <cell r="AZ26">
            <v>0</v>
          </cell>
          <cell r="BB26">
            <v>0</v>
          </cell>
          <cell r="BD26">
            <v>0</v>
          </cell>
          <cell r="BF26">
            <v>0</v>
          </cell>
          <cell r="BH26">
            <v>0</v>
          </cell>
          <cell r="BJ26">
            <v>0</v>
          </cell>
          <cell r="BL26">
            <v>0</v>
          </cell>
          <cell r="BN26">
            <v>0</v>
          </cell>
          <cell r="BP26">
            <v>0</v>
          </cell>
          <cell r="BR26">
            <v>0</v>
          </cell>
          <cell r="BT26">
            <v>0</v>
          </cell>
          <cell r="BV26">
            <v>0</v>
          </cell>
          <cell r="BX26">
            <v>0</v>
          </cell>
          <cell r="BZ26">
            <v>0</v>
          </cell>
          <cell r="CB26">
            <v>0</v>
          </cell>
          <cell r="CD26">
            <v>0</v>
          </cell>
          <cell r="CF26">
            <v>0</v>
          </cell>
          <cell r="CH26">
            <v>0</v>
          </cell>
          <cell r="CJ26">
            <v>0</v>
          </cell>
          <cell r="CL26">
            <v>0</v>
          </cell>
          <cell r="CN26">
            <v>0</v>
          </cell>
          <cell r="CP26">
            <v>0</v>
          </cell>
          <cell r="CR26">
            <v>0</v>
          </cell>
          <cell r="CT26">
            <v>0</v>
          </cell>
          <cell r="CV26">
            <v>0</v>
          </cell>
          <cell r="CX26">
            <v>0</v>
          </cell>
          <cell r="CZ26">
            <v>0</v>
          </cell>
          <cell r="DB26">
            <v>0</v>
          </cell>
          <cell r="DD26">
            <v>0</v>
          </cell>
          <cell r="DF26">
            <v>0</v>
          </cell>
          <cell r="DH26">
            <v>0</v>
          </cell>
          <cell r="DJ26">
            <v>0</v>
          </cell>
          <cell r="DL26">
            <v>0</v>
          </cell>
          <cell r="DN26">
            <v>0</v>
          </cell>
          <cell r="DP26">
            <v>0</v>
          </cell>
          <cell r="DR26">
            <v>0</v>
          </cell>
          <cell r="DT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H26">
            <v>0</v>
          </cell>
          <cell r="EJ26">
            <v>0</v>
          </cell>
          <cell r="EL26">
            <v>0</v>
          </cell>
          <cell r="EN26">
            <v>0</v>
          </cell>
          <cell r="EP26">
            <v>0</v>
          </cell>
          <cell r="ER26">
            <v>0</v>
          </cell>
          <cell r="ET26">
            <v>0</v>
          </cell>
          <cell r="EV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  <cell r="FJ26">
            <v>0</v>
          </cell>
          <cell r="FL26">
            <v>0</v>
          </cell>
          <cell r="FN26">
            <v>0</v>
          </cell>
          <cell r="FP26">
            <v>0</v>
          </cell>
          <cell r="FR26">
            <v>0</v>
          </cell>
          <cell r="FT26">
            <v>0</v>
          </cell>
          <cell r="FV26">
            <v>0</v>
          </cell>
          <cell r="GD26">
            <v>14</v>
          </cell>
          <cell r="GF26">
            <v>4</v>
          </cell>
          <cell r="GH26">
            <v>1</v>
          </cell>
          <cell r="GJ26">
            <v>7</v>
          </cell>
          <cell r="GM26">
            <v>0.01</v>
          </cell>
          <cell r="GN2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6" t="str">
            <v>六</v>
          </cell>
          <cell r="GQ26">
            <v>7.3499999999999954E-2</v>
          </cell>
          <cell r="GR26">
            <v>1.8737535147517109E-2</v>
          </cell>
          <cell r="GS26">
            <v>45717</v>
          </cell>
          <cell r="GT26">
            <v>0</v>
          </cell>
          <cell r="GW26" t="str">
            <v>（一）施工廠商施工前檢查事項辦理情形：█完成 □未完成 （二）其他工地安全衛生督導事項：</v>
          </cell>
          <cell r="GX26">
            <v>156180</v>
          </cell>
          <cell r="GY26">
            <v>0</v>
          </cell>
        </row>
        <row r="27">
          <cell r="A27">
            <v>45718</v>
          </cell>
          <cell r="B27" t="str">
            <v>日</v>
          </cell>
          <cell r="C27" t="str">
            <v>晴</v>
          </cell>
          <cell r="D27">
            <v>1</v>
          </cell>
          <cell r="F27">
            <v>21</v>
          </cell>
          <cell r="G27">
            <v>0</v>
          </cell>
          <cell r="H27">
            <v>0.15826000000000001</v>
          </cell>
          <cell r="I27">
            <v>0.18290176495870131</v>
          </cell>
          <cell r="N27">
            <v>1</v>
          </cell>
          <cell r="P27">
            <v>1</v>
          </cell>
          <cell r="R27">
            <v>672</v>
          </cell>
          <cell r="T27">
            <v>100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  <cell r="AD27">
            <v>0</v>
          </cell>
          <cell r="AF27">
            <v>0</v>
          </cell>
          <cell r="AH27">
            <v>0</v>
          </cell>
          <cell r="AJ27">
            <v>0</v>
          </cell>
          <cell r="AL27">
            <v>0</v>
          </cell>
          <cell r="AN27">
            <v>0</v>
          </cell>
          <cell r="AP27">
            <v>0</v>
          </cell>
          <cell r="AR27">
            <v>0</v>
          </cell>
          <cell r="AT27">
            <v>0</v>
          </cell>
          <cell r="AV27">
            <v>0</v>
          </cell>
          <cell r="AX27">
            <v>0</v>
          </cell>
          <cell r="AZ27">
            <v>0</v>
          </cell>
          <cell r="BB27">
            <v>0</v>
          </cell>
          <cell r="BD27">
            <v>0</v>
          </cell>
          <cell r="BF27">
            <v>0</v>
          </cell>
          <cell r="BH27">
            <v>0</v>
          </cell>
          <cell r="BJ27">
            <v>0</v>
          </cell>
          <cell r="BL27">
            <v>0</v>
          </cell>
          <cell r="BN27">
            <v>0</v>
          </cell>
          <cell r="BP27">
            <v>0</v>
          </cell>
          <cell r="BR27">
            <v>0</v>
          </cell>
          <cell r="BT27">
            <v>0</v>
          </cell>
          <cell r="BV27">
            <v>0</v>
          </cell>
          <cell r="BX27">
            <v>0</v>
          </cell>
          <cell r="BZ27">
            <v>0</v>
          </cell>
          <cell r="CB27">
            <v>0</v>
          </cell>
          <cell r="CD27">
            <v>0</v>
          </cell>
          <cell r="CF27">
            <v>0</v>
          </cell>
          <cell r="CH27">
            <v>0</v>
          </cell>
          <cell r="CJ27">
            <v>0</v>
          </cell>
          <cell r="CL27">
            <v>0</v>
          </cell>
          <cell r="CN27">
            <v>0</v>
          </cell>
          <cell r="CP27">
            <v>0</v>
          </cell>
          <cell r="CR27">
            <v>0</v>
          </cell>
          <cell r="CT27">
            <v>0</v>
          </cell>
          <cell r="CV27">
            <v>0</v>
          </cell>
          <cell r="CX27">
            <v>0</v>
          </cell>
          <cell r="CZ27">
            <v>0</v>
          </cell>
          <cell r="DB27">
            <v>0</v>
          </cell>
          <cell r="DD27">
            <v>0</v>
          </cell>
          <cell r="DF27">
            <v>0</v>
          </cell>
          <cell r="DH27">
            <v>0</v>
          </cell>
          <cell r="DJ27">
            <v>0</v>
          </cell>
          <cell r="DL27">
            <v>0</v>
          </cell>
          <cell r="DN27">
            <v>0</v>
          </cell>
          <cell r="DP27">
            <v>0</v>
          </cell>
          <cell r="DR27">
            <v>0</v>
          </cell>
          <cell r="DT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H27">
            <v>0</v>
          </cell>
          <cell r="EJ27">
            <v>0</v>
          </cell>
          <cell r="EL27">
            <v>0</v>
          </cell>
          <cell r="EN27">
            <v>0</v>
          </cell>
          <cell r="EP27">
            <v>0</v>
          </cell>
          <cell r="ER27">
            <v>0</v>
          </cell>
          <cell r="ET27">
            <v>0</v>
          </cell>
          <cell r="EV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  <cell r="FJ27">
            <v>0</v>
          </cell>
          <cell r="FL27">
            <v>0</v>
          </cell>
          <cell r="FN27">
            <v>0</v>
          </cell>
          <cell r="FP27">
            <v>0</v>
          </cell>
          <cell r="FR27">
            <v>0</v>
          </cell>
          <cell r="FT27">
            <v>0</v>
          </cell>
          <cell r="FV27">
            <v>0</v>
          </cell>
          <cell r="GD27">
            <v>14</v>
          </cell>
          <cell r="GF27">
            <v>4</v>
          </cell>
          <cell r="GH27">
            <v>1</v>
          </cell>
          <cell r="GJ27">
            <v>7</v>
          </cell>
          <cell r="GM27">
            <v>0.01</v>
          </cell>
          <cell r="GN2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7" t="str">
            <v>日</v>
          </cell>
          <cell r="GQ27">
            <v>7.4000000000007393E-4</v>
          </cell>
          <cell r="GR27">
            <v>0</v>
          </cell>
          <cell r="GS27">
            <v>45718</v>
          </cell>
          <cell r="GT27">
            <v>0</v>
          </cell>
          <cell r="GW27" t="str">
            <v>（一）施工廠商施工前檢查事項辦理情形：█完成 □未完成 （二）其他工地安全衛生督導事項：</v>
          </cell>
          <cell r="GX27">
            <v>156180</v>
          </cell>
          <cell r="GY27">
            <v>0</v>
          </cell>
        </row>
        <row r="28">
          <cell r="A28">
            <v>45719</v>
          </cell>
          <cell r="B28" t="str">
            <v>一</v>
          </cell>
          <cell r="C28" t="str">
            <v>晴</v>
          </cell>
          <cell r="D28">
            <v>1</v>
          </cell>
          <cell r="F28">
            <v>22</v>
          </cell>
          <cell r="G28">
            <v>0</v>
          </cell>
          <cell r="H28">
            <v>0.1681</v>
          </cell>
          <cell r="I28">
            <v>0.18290176495870131</v>
          </cell>
          <cell r="N28">
            <v>1</v>
          </cell>
          <cell r="P28">
            <v>1</v>
          </cell>
          <cell r="R28">
            <v>672</v>
          </cell>
          <cell r="T28">
            <v>100</v>
          </cell>
          <cell r="V28">
            <v>0</v>
          </cell>
          <cell r="X28">
            <v>0</v>
          </cell>
          <cell r="Z28">
            <v>0</v>
          </cell>
          <cell r="AB28">
            <v>0</v>
          </cell>
          <cell r="AD28">
            <v>0</v>
          </cell>
          <cell r="AF28">
            <v>0</v>
          </cell>
          <cell r="AH28">
            <v>0</v>
          </cell>
          <cell r="AJ28">
            <v>0</v>
          </cell>
          <cell r="AL28">
            <v>0</v>
          </cell>
          <cell r="AN28">
            <v>0</v>
          </cell>
          <cell r="AP28">
            <v>0</v>
          </cell>
          <cell r="AR28">
            <v>0</v>
          </cell>
          <cell r="AT28">
            <v>0</v>
          </cell>
          <cell r="AV28">
            <v>0</v>
          </cell>
          <cell r="AX28">
            <v>0</v>
          </cell>
          <cell r="AZ28">
            <v>0</v>
          </cell>
          <cell r="BB28">
            <v>0</v>
          </cell>
          <cell r="BD28">
            <v>0</v>
          </cell>
          <cell r="BF28">
            <v>0</v>
          </cell>
          <cell r="BH28">
            <v>0</v>
          </cell>
          <cell r="BJ28">
            <v>0</v>
          </cell>
          <cell r="BL28">
            <v>0</v>
          </cell>
          <cell r="BN28">
            <v>0</v>
          </cell>
          <cell r="BP28">
            <v>0</v>
          </cell>
          <cell r="BR28">
            <v>0</v>
          </cell>
          <cell r="BT28">
            <v>0</v>
          </cell>
          <cell r="BV28">
            <v>0</v>
          </cell>
          <cell r="BX28">
            <v>0</v>
          </cell>
          <cell r="BZ28">
            <v>0</v>
          </cell>
          <cell r="CB28">
            <v>0</v>
          </cell>
          <cell r="CD28">
            <v>0</v>
          </cell>
          <cell r="CF28">
            <v>0</v>
          </cell>
          <cell r="CH28">
            <v>0</v>
          </cell>
          <cell r="CJ28">
            <v>0</v>
          </cell>
          <cell r="CL28">
            <v>0</v>
          </cell>
          <cell r="CN28">
            <v>0</v>
          </cell>
          <cell r="CP28">
            <v>0</v>
          </cell>
          <cell r="CR28">
            <v>0</v>
          </cell>
          <cell r="CT28">
            <v>0</v>
          </cell>
          <cell r="CV28">
            <v>0</v>
          </cell>
          <cell r="CX28">
            <v>0</v>
          </cell>
          <cell r="CZ28">
            <v>0</v>
          </cell>
          <cell r="DB28">
            <v>0</v>
          </cell>
          <cell r="DD28">
            <v>0</v>
          </cell>
          <cell r="DF28">
            <v>0</v>
          </cell>
          <cell r="DH28">
            <v>0</v>
          </cell>
          <cell r="DJ28">
            <v>0</v>
          </cell>
          <cell r="DL28">
            <v>0</v>
          </cell>
          <cell r="DN28">
            <v>0</v>
          </cell>
          <cell r="DP28">
            <v>0</v>
          </cell>
          <cell r="DR28">
            <v>0</v>
          </cell>
          <cell r="DT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H28">
            <v>0</v>
          </cell>
          <cell r="EJ28">
            <v>0</v>
          </cell>
          <cell r="EL28">
            <v>0</v>
          </cell>
          <cell r="EN28">
            <v>0</v>
          </cell>
          <cell r="EP28">
            <v>0</v>
          </cell>
          <cell r="ER28">
            <v>0</v>
          </cell>
          <cell r="ET28">
            <v>0</v>
          </cell>
          <cell r="EV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  <cell r="FJ28">
            <v>0</v>
          </cell>
          <cell r="FL28">
            <v>0</v>
          </cell>
          <cell r="FN28">
            <v>0</v>
          </cell>
          <cell r="FP28">
            <v>0</v>
          </cell>
          <cell r="FR28">
            <v>0</v>
          </cell>
          <cell r="FT28">
            <v>0</v>
          </cell>
          <cell r="FV28">
            <v>0</v>
          </cell>
          <cell r="GD28">
            <v>14</v>
          </cell>
          <cell r="GF28">
            <v>4</v>
          </cell>
          <cell r="GH28">
            <v>1</v>
          </cell>
          <cell r="GJ28">
            <v>7</v>
          </cell>
          <cell r="GM28">
            <v>0.01</v>
          </cell>
          <cell r="GN2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8" t="str">
            <v>一</v>
          </cell>
          <cell r="GQ28">
            <v>1.4799999999999258E-3</v>
          </cell>
          <cell r="GR28">
            <v>0</v>
          </cell>
          <cell r="GS28">
            <v>45719</v>
          </cell>
          <cell r="GT28">
            <v>0</v>
          </cell>
          <cell r="GW28" t="str">
            <v>（一）施工廠商施工前檢查事項辦理情形：█完成 □未完成 （二）其他工地安全衛生督導事項：</v>
          </cell>
          <cell r="GX28">
            <v>156180</v>
          </cell>
          <cell r="GY28">
            <v>0</v>
          </cell>
        </row>
        <row r="29">
          <cell r="A29">
            <v>45720</v>
          </cell>
          <cell r="B29" t="str">
            <v>二</v>
          </cell>
          <cell r="C29" t="str">
            <v>雨</v>
          </cell>
          <cell r="D29">
            <v>1</v>
          </cell>
          <cell r="F29">
            <v>23</v>
          </cell>
          <cell r="G29">
            <v>0</v>
          </cell>
          <cell r="H29">
            <v>0.17804</v>
          </cell>
          <cell r="I29">
            <v>0.18290176495870131</v>
          </cell>
          <cell r="N29">
            <v>1</v>
          </cell>
          <cell r="P29">
            <v>1</v>
          </cell>
          <cell r="R29">
            <v>672</v>
          </cell>
          <cell r="T29">
            <v>100</v>
          </cell>
          <cell r="V29">
            <v>0</v>
          </cell>
          <cell r="X29">
            <v>0</v>
          </cell>
          <cell r="Z29">
            <v>0</v>
          </cell>
          <cell r="AB29">
            <v>0</v>
          </cell>
          <cell r="AD29">
            <v>0</v>
          </cell>
          <cell r="AF29">
            <v>0</v>
          </cell>
          <cell r="AH29">
            <v>0</v>
          </cell>
          <cell r="AJ29">
            <v>0</v>
          </cell>
          <cell r="AL29">
            <v>0</v>
          </cell>
          <cell r="AN29">
            <v>0</v>
          </cell>
          <cell r="AP29">
            <v>0</v>
          </cell>
          <cell r="AR29">
            <v>0</v>
          </cell>
          <cell r="AT29">
            <v>0</v>
          </cell>
          <cell r="AV29">
            <v>0</v>
          </cell>
          <cell r="AX29">
            <v>0</v>
          </cell>
          <cell r="AZ29">
            <v>0</v>
          </cell>
          <cell r="BB29">
            <v>0</v>
          </cell>
          <cell r="BD29">
            <v>0</v>
          </cell>
          <cell r="BF29">
            <v>0</v>
          </cell>
          <cell r="BH29">
            <v>0</v>
          </cell>
          <cell r="BJ29">
            <v>0</v>
          </cell>
          <cell r="BL29">
            <v>0</v>
          </cell>
          <cell r="BN29">
            <v>0</v>
          </cell>
          <cell r="BP29">
            <v>0</v>
          </cell>
          <cell r="BR29">
            <v>0</v>
          </cell>
          <cell r="BT29">
            <v>0</v>
          </cell>
          <cell r="BV29">
            <v>0</v>
          </cell>
          <cell r="BX29">
            <v>0</v>
          </cell>
          <cell r="BZ29">
            <v>0</v>
          </cell>
          <cell r="CB29">
            <v>0</v>
          </cell>
          <cell r="CD29">
            <v>0</v>
          </cell>
          <cell r="CF29">
            <v>0</v>
          </cell>
          <cell r="CH29">
            <v>0</v>
          </cell>
          <cell r="CJ29">
            <v>0</v>
          </cell>
          <cell r="CL29">
            <v>0</v>
          </cell>
          <cell r="CN29">
            <v>0</v>
          </cell>
          <cell r="CP29">
            <v>0</v>
          </cell>
          <cell r="CR29">
            <v>0</v>
          </cell>
          <cell r="CT29">
            <v>0</v>
          </cell>
          <cell r="CV29">
            <v>0</v>
          </cell>
          <cell r="CX29">
            <v>0</v>
          </cell>
          <cell r="CZ29">
            <v>0</v>
          </cell>
          <cell r="DB29">
            <v>0</v>
          </cell>
          <cell r="DD29">
            <v>0</v>
          </cell>
          <cell r="DF29">
            <v>0</v>
          </cell>
          <cell r="DH29">
            <v>0</v>
          </cell>
          <cell r="DJ29">
            <v>0</v>
          </cell>
          <cell r="DL29">
            <v>0</v>
          </cell>
          <cell r="DN29">
            <v>0</v>
          </cell>
          <cell r="DP29">
            <v>0</v>
          </cell>
          <cell r="DR29">
            <v>0</v>
          </cell>
          <cell r="DT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H29">
            <v>0</v>
          </cell>
          <cell r="EJ29">
            <v>0</v>
          </cell>
          <cell r="EL29">
            <v>0</v>
          </cell>
          <cell r="EN29">
            <v>0</v>
          </cell>
          <cell r="EP29">
            <v>0</v>
          </cell>
          <cell r="ER29">
            <v>0</v>
          </cell>
          <cell r="ET29">
            <v>0</v>
          </cell>
          <cell r="EV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  <cell r="FJ29">
            <v>0</v>
          </cell>
          <cell r="FL29">
            <v>0</v>
          </cell>
          <cell r="FN29">
            <v>0</v>
          </cell>
          <cell r="FP29">
            <v>0</v>
          </cell>
          <cell r="FR29">
            <v>0</v>
          </cell>
          <cell r="FT29">
            <v>0</v>
          </cell>
          <cell r="FV29">
            <v>0</v>
          </cell>
          <cell r="GD29">
            <v>14</v>
          </cell>
          <cell r="GF29">
            <v>4</v>
          </cell>
          <cell r="GH29">
            <v>1</v>
          </cell>
          <cell r="GJ29">
            <v>7</v>
          </cell>
          <cell r="GM29">
            <v>0.01</v>
          </cell>
          <cell r="GN2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29" t="str">
            <v>二</v>
          </cell>
          <cell r="GQ29">
            <v>7.4000000000007393E-4</v>
          </cell>
          <cell r="GR29">
            <v>0</v>
          </cell>
          <cell r="GS29">
            <v>45720</v>
          </cell>
          <cell r="GT29">
            <v>0</v>
          </cell>
          <cell r="GW29" t="str">
            <v>（一）施工廠商施工前檢查事項辦理情形：█完成 □未完成 （二）其他工地安全衛生督導事項：</v>
          </cell>
          <cell r="GX29">
            <v>156180</v>
          </cell>
          <cell r="GY29">
            <v>0</v>
          </cell>
        </row>
        <row r="30">
          <cell r="A30">
            <v>45721</v>
          </cell>
          <cell r="B30" t="str">
            <v>三</v>
          </cell>
          <cell r="C30" t="str">
            <v>雨</v>
          </cell>
          <cell r="D30">
            <v>1</v>
          </cell>
          <cell r="F30">
            <v>24</v>
          </cell>
          <cell r="G30">
            <v>0</v>
          </cell>
          <cell r="H30">
            <v>0.18798000000000001</v>
          </cell>
          <cell r="I30">
            <v>0.18290176495870131</v>
          </cell>
          <cell r="N30">
            <v>1</v>
          </cell>
          <cell r="P30">
            <v>1</v>
          </cell>
          <cell r="R30">
            <v>672</v>
          </cell>
          <cell r="T30">
            <v>100</v>
          </cell>
          <cell r="V30">
            <v>0</v>
          </cell>
          <cell r="X30">
            <v>0</v>
          </cell>
          <cell r="Z30">
            <v>0</v>
          </cell>
          <cell r="AB30">
            <v>0</v>
          </cell>
          <cell r="AD30">
            <v>0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0</v>
          </cell>
          <cell r="AV30">
            <v>0</v>
          </cell>
          <cell r="AX30">
            <v>0</v>
          </cell>
          <cell r="AZ30">
            <v>0</v>
          </cell>
          <cell r="BB30">
            <v>0</v>
          </cell>
          <cell r="BD30">
            <v>0</v>
          </cell>
          <cell r="BF30">
            <v>0</v>
          </cell>
          <cell r="BH30">
            <v>0</v>
          </cell>
          <cell r="BJ30">
            <v>0</v>
          </cell>
          <cell r="BL30">
            <v>0</v>
          </cell>
          <cell r="BN30">
            <v>0</v>
          </cell>
          <cell r="BP30">
            <v>0</v>
          </cell>
          <cell r="BR30">
            <v>0</v>
          </cell>
          <cell r="BT30">
            <v>0</v>
          </cell>
          <cell r="BV30">
            <v>0</v>
          </cell>
          <cell r="BX30">
            <v>0</v>
          </cell>
          <cell r="BZ30">
            <v>0</v>
          </cell>
          <cell r="CB30">
            <v>0</v>
          </cell>
          <cell r="CD30">
            <v>0</v>
          </cell>
          <cell r="CF30">
            <v>0</v>
          </cell>
          <cell r="CH30">
            <v>0</v>
          </cell>
          <cell r="CJ30">
            <v>0</v>
          </cell>
          <cell r="CL30">
            <v>0</v>
          </cell>
          <cell r="CN30">
            <v>0</v>
          </cell>
          <cell r="CP30">
            <v>0</v>
          </cell>
          <cell r="CR30">
            <v>0</v>
          </cell>
          <cell r="CT30">
            <v>0</v>
          </cell>
          <cell r="CV30">
            <v>0</v>
          </cell>
          <cell r="CX30">
            <v>0</v>
          </cell>
          <cell r="CZ30">
            <v>0</v>
          </cell>
          <cell r="DB30">
            <v>0</v>
          </cell>
          <cell r="DD30">
            <v>0</v>
          </cell>
          <cell r="DF30">
            <v>0</v>
          </cell>
          <cell r="DH30">
            <v>0</v>
          </cell>
          <cell r="DJ30">
            <v>0</v>
          </cell>
          <cell r="DL30">
            <v>0</v>
          </cell>
          <cell r="DN30">
            <v>0</v>
          </cell>
          <cell r="DP30">
            <v>0</v>
          </cell>
          <cell r="DR30">
            <v>0</v>
          </cell>
          <cell r="DT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H30">
            <v>0</v>
          </cell>
          <cell r="EJ30">
            <v>0</v>
          </cell>
          <cell r="EL30">
            <v>0</v>
          </cell>
          <cell r="EN30">
            <v>0</v>
          </cell>
          <cell r="EP30">
            <v>0</v>
          </cell>
          <cell r="ER30">
            <v>0</v>
          </cell>
          <cell r="ET30">
            <v>0</v>
          </cell>
          <cell r="EV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  <cell r="FJ30">
            <v>0</v>
          </cell>
          <cell r="FL30">
            <v>0</v>
          </cell>
          <cell r="FN30">
            <v>0</v>
          </cell>
          <cell r="FP30">
            <v>0</v>
          </cell>
          <cell r="FR30">
            <v>0</v>
          </cell>
          <cell r="FT30">
            <v>0</v>
          </cell>
          <cell r="FV30">
            <v>0</v>
          </cell>
          <cell r="GD30">
            <v>14</v>
          </cell>
          <cell r="GF30">
            <v>4</v>
          </cell>
          <cell r="GH30">
            <v>1</v>
          </cell>
          <cell r="GJ30">
            <v>7</v>
          </cell>
          <cell r="GM30">
            <v>0.01</v>
          </cell>
          <cell r="GN3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0" t="str">
            <v>三</v>
          </cell>
          <cell r="GQ30">
            <v>1.3299999999999979E-2</v>
          </cell>
          <cell r="GR30">
            <v>0</v>
          </cell>
          <cell r="GS30">
            <v>45721</v>
          </cell>
          <cell r="GT30">
            <v>0</v>
          </cell>
          <cell r="GW30" t="str">
            <v>（一）施工廠商施工前檢查事項辦理情形：█完成 □未完成 （二）其他工地安全衛生督導事項：</v>
          </cell>
          <cell r="GX30">
            <v>156180</v>
          </cell>
          <cell r="GY30">
            <v>0</v>
          </cell>
        </row>
        <row r="31">
          <cell r="A31">
            <v>45722</v>
          </cell>
          <cell r="B31" t="str">
            <v>四</v>
          </cell>
          <cell r="C31" t="str">
            <v>雨</v>
          </cell>
          <cell r="D31">
            <v>1</v>
          </cell>
          <cell r="F31">
            <v>25</v>
          </cell>
          <cell r="G31">
            <v>0</v>
          </cell>
          <cell r="H31">
            <v>0.26147999999999999</v>
          </cell>
          <cell r="I31">
            <v>0.18290176495870131</v>
          </cell>
          <cell r="N31">
            <v>1</v>
          </cell>
          <cell r="P31">
            <v>1</v>
          </cell>
          <cell r="R31">
            <v>672</v>
          </cell>
          <cell r="T31">
            <v>100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  <cell r="AD31">
            <v>0</v>
          </cell>
          <cell r="AF31">
            <v>0</v>
          </cell>
          <cell r="AH31">
            <v>0</v>
          </cell>
          <cell r="AJ31">
            <v>0</v>
          </cell>
          <cell r="AL31">
            <v>0</v>
          </cell>
          <cell r="AN31">
            <v>0</v>
          </cell>
          <cell r="AP31">
            <v>0</v>
          </cell>
          <cell r="AR31">
            <v>0</v>
          </cell>
          <cell r="AT31">
            <v>0</v>
          </cell>
          <cell r="AV31">
            <v>0</v>
          </cell>
          <cell r="AX31">
            <v>0</v>
          </cell>
          <cell r="AZ31">
            <v>0</v>
          </cell>
          <cell r="BB31">
            <v>0</v>
          </cell>
          <cell r="BD31">
            <v>0</v>
          </cell>
          <cell r="BF31">
            <v>0</v>
          </cell>
          <cell r="BH31">
            <v>0</v>
          </cell>
          <cell r="BJ31">
            <v>0</v>
          </cell>
          <cell r="BL31">
            <v>0</v>
          </cell>
          <cell r="BN31">
            <v>0</v>
          </cell>
          <cell r="BP31">
            <v>0</v>
          </cell>
          <cell r="BR31">
            <v>0</v>
          </cell>
          <cell r="BT31">
            <v>0</v>
          </cell>
          <cell r="BV31">
            <v>0</v>
          </cell>
          <cell r="BX31">
            <v>0</v>
          </cell>
          <cell r="BZ31">
            <v>0</v>
          </cell>
          <cell r="CB31">
            <v>0</v>
          </cell>
          <cell r="CD31">
            <v>0</v>
          </cell>
          <cell r="CF31">
            <v>0</v>
          </cell>
          <cell r="CH31">
            <v>0</v>
          </cell>
          <cell r="CJ31">
            <v>0</v>
          </cell>
          <cell r="CL31">
            <v>0</v>
          </cell>
          <cell r="CN31">
            <v>0</v>
          </cell>
          <cell r="CP31">
            <v>0</v>
          </cell>
          <cell r="CR31">
            <v>0</v>
          </cell>
          <cell r="CT31">
            <v>0</v>
          </cell>
          <cell r="CV31">
            <v>0</v>
          </cell>
          <cell r="CX31">
            <v>0</v>
          </cell>
          <cell r="CZ31">
            <v>0</v>
          </cell>
          <cell r="DB31">
            <v>0</v>
          </cell>
          <cell r="DD31">
            <v>0</v>
          </cell>
          <cell r="DF31">
            <v>0</v>
          </cell>
          <cell r="DH31">
            <v>0</v>
          </cell>
          <cell r="DJ31">
            <v>0</v>
          </cell>
          <cell r="DL31">
            <v>0</v>
          </cell>
          <cell r="DN31">
            <v>0</v>
          </cell>
          <cell r="DP31">
            <v>0</v>
          </cell>
          <cell r="DR31">
            <v>0</v>
          </cell>
          <cell r="DT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H31">
            <v>0</v>
          </cell>
          <cell r="EJ31">
            <v>0</v>
          </cell>
          <cell r="EL31">
            <v>0</v>
          </cell>
          <cell r="EN31">
            <v>0</v>
          </cell>
          <cell r="EP31">
            <v>0</v>
          </cell>
          <cell r="ER31">
            <v>0</v>
          </cell>
          <cell r="ET31">
            <v>0</v>
          </cell>
          <cell r="EV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  <cell r="FJ31">
            <v>0</v>
          </cell>
          <cell r="FL31">
            <v>0</v>
          </cell>
          <cell r="FN31">
            <v>0</v>
          </cell>
          <cell r="FP31">
            <v>0</v>
          </cell>
          <cell r="FR31">
            <v>0</v>
          </cell>
          <cell r="FT31">
            <v>0</v>
          </cell>
          <cell r="FV31">
            <v>0</v>
          </cell>
          <cell r="GD31">
            <v>14</v>
          </cell>
          <cell r="GF31">
            <v>4</v>
          </cell>
          <cell r="GH31">
            <v>1</v>
          </cell>
          <cell r="GJ31">
            <v>7</v>
          </cell>
          <cell r="GM31">
            <v>0.01</v>
          </cell>
          <cell r="GN3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1" t="str">
            <v>四</v>
          </cell>
          <cell r="GQ31">
            <v>2.0299999999999763E-3</v>
          </cell>
          <cell r="GR31">
            <v>0</v>
          </cell>
          <cell r="GS31">
            <v>45722</v>
          </cell>
          <cell r="GT31">
            <v>0</v>
          </cell>
          <cell r="GW31" t="str">
            <v>（一）施工廠商施工前檢查事項辦理情形：█完成 □未完成 （二）其他工地安全衛生督導事項：</v>
          </cell>
          <cell r="GX31">
            <v>156180</v>
          </cell>
          <cell r="GY31">
            <v>0</v>
          </cell>
        </row>
        <row r="32">
          <cell r="A32">
            <v>45723</v>
          </cell>
          <cell r="B32" t="str">
            <v>五</v>
          </cell>
          <cell r="C32" t="str">
            <v>晴</v>
          </cell>
          <cell r="D32">
            <v>1</v>
          </cell>
          <cell r="F32">
            <v>26</v>
          </cell>
          <cell r="G32">
            <v>0</v>
          </cell>
          <cell r="H32">
            <v>0.33498</v>
          </cell>
          <cell r="I32">
            <v>0.18290176495870131</v>
          </cell>
          <cell r="N32">
            <v>1</v>
          </cell>
          <cell r="P32">
            <v>1</v>
          </cell>
          <cell r="R32">
            <v>672</v>
          </cell>
          <cell r="T32">
            <v>100</v>
          </cell>
          <cell r="V32">
            <v>0</v>
          </cell>
          <cell r="X32">
            <v>0</v>
          </cell>
          <cell r="Z32">
            <v>0</v>
          </cell>
          <cell r="AB32">
            <v>0</v>
          </cell>
          <cell r="AD32">
            <v>0</v>
          </cell>
          <cell r="AF32">
            <v>0</v>
          </cell>
          <cell r="AH32">
            <v>0</v>
          </cell>
          <cell r="AJ32">
            <v>0</v>
          </cell>
          <cell r="AL32">
            <v>0</v>
          </cell>
          <cell r="AN32">
            <v>0</v>
          </cell>
          <cell r="AP32">
            <v>0</v>
          </cell>
          <cell r="AR32">
            <v>0</v>
          </cell>
          <cell r="AT32">
            <v>0</v>
          </cell>
          <cell r="AV32">
            <v>0</v>
          </cell>
          <cell r="AX32">
            <v>0</v>
          </cell>
          <cell r="AZ32">
            <v>0</v>
          </cell>
          <cell r="BB32">
            <v>0</v>
          </cell>
          <cell r="BD32">
            <v>0</v>
          </cell>
          <cell r="BF32">
            <v>0</v>
          </cell>
          <cell r="BH32">
            <v>0</v>
          </cell>
          <cell r="BJ32">
            <v>0</v>
          </cell>
          <cell r="BL32">
            <v>0</v>
          </cell>
          <cell r="BN32">
            <v>0</v>
          </cell>
          <cell r="BP32">
            <v>0</v>
          </cell>
          <cell r="BR32">
            <v>0</v>
          </cell>
          <cell r="BT32">
            <v>0</v>
          </cell>
          <cell r="BV32">
            <v>0</v>
          </cell>
          <cell r="BX32">
            <v>0</v>
          </cell>
          <cell r="BZ32">
            <v>0</v>
          </cell>
          <cell r="CB32">
            <v>0</v>
          </cell>
          <cell r="CD32">
            <v>0</v>
          </cell>
          <cell r="CF32">
            <v>0</v>
          </cell>
          <cell r="CH32">
            <v>0</v>
          </cell>
          <cell r="CJ32">
            <v>0</v>
          </cell>
          <cell r="CL32">
            <v>0</v>
          </cell>
          <cell r="CN32">
            <v>0</v>
          </cell>
          <cell r="CP32">
            <v>0</v>
          </cell>
          <cell r="CR32">
            <v>0</v>
          </cell>
          <cell r="CT32">
            <v>0</v>
          </cell>
          <cell r="CV32">
            <v>0</v>
          </cell>
          <cell r="CX32">
            <v>0</v>
          </cell>
          <cell r="CZ32">
            <v>0</v>
          </cell>
          <cell r="DB32">
            <v>0</v>
          </cell>
          <cell r="DD32">
            <v>0</v>
          </cell>
          <cell r="DF32">
            <v>0</v>
          </cell>
          <cell r="DH32">
            <v>0</v>
          </cell>
          <cell r="DJ32">
            <v>0</v>
          </cell>
          <cell r="DL32">
            <v>0</v>
          </cell>
          <cell r="DN32">
            <v>0</v>
          </cell>
          <cell r="DP32">
            <v>0</v>
          </cell>
          <cell r="DR32">
            <v>0</v>
          </cell>
          <cell r="DT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H32">
            <v>0</v>
          </cell>
          <cell r="EJ32">
            <v>0</v>
          </cell>
          <cell r="EL32">
            <v>0</v>
          </cell>
          <cell r="EN32">
            <v>0</v>
          </cell>
          <cell r="EP32">
            <v>0</v>
          </cell>
          <cell r="ER32">
            <v>0</v>
          </cell>
          <cell r="ET32">
            <v>0</v>
          </cell>
          <cell r="EV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  <cell r="FJ32">
            <v>0</v>
          </cell>
          <cell r="FL32">
            <v>0</v>
          </cell>
          <cell r="FN32">
            <v>0</v>
          </cell>
          <cell r="FP32">
            <v>0</v>
          </cell>
          <cell r="FR32">
            <v>0</v>
          </cell>
          <cell r="FT32">
            <v>0</v>
          </cell>
          <cell r="FV32">
            <v>0</v>
          </cell>
          <cell r="GD32">
            <v>14</v>
          </cell>
          <cell r="GF32">
            <v>4</v>
          </cell>
          <cell r="GH32">
            <v>1</v>
          </cell>
          <cell r="GJ32">
            <v>7</v>
          </cell>
          <cell r="GM32">
            <v>0.01</v>
          </cell>
          <cell r="GN3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2" t="str">
            <v>五</v>
          </cell>
          <cell r="GQ32">
            <v>2.0299999999999763E-3</v>
          </cell>
          <cell r="GR32">
            <v>0</v>
          </cell>
          <cell r="GS32">
            <v>45723</v>
          </cell>
          <cell r="GT32">
            <v>0</v>
          </cell>
          <cell r="GW32" t="str">
            <v>（一）施工廠商施工前檢查事項辦理情形：█完成 □未完成 （二）其他工地安全衛生督導事項：</v>
          </cell>
          <cell r="GX32">
            <v>156180</v>
          </cell>
          <cell r="GY32">
            <v>0</v>
          </cell>
        </row>
        <row r="33">
          <cell r="A33">
            <v>45724</v>
          </cell>
          <cell r="B33" t="str">
            <v>六</v>
          </cell>
          <cell r="C33" t="str">
            <v>晴</v>
          </cell>
          <cell r="D33">
            <v>1</v>
          </cell>
          <cell r="F33">
            <v>27</v>
          </cell>
          <cell r="G33">
            <v>0</v>
          </cell>
          <cell r="H33">
            <v>0.40877999999999998</v>
          </cell>
          <cell r="I33">
            <v>0.54672614272614739</v>
          </cell>
          <cell r="N33">
            <v>1</v>
          </cell>
          <cell r="P33">
            <v>1</v>
          </cell>
          <cell r="R33">
            <v>672</v>
          </cell>
          <cell r="T33">
            <v>100</v>
          </cell>
          <cell r="U33">
            <v>661</v>
          </cell>
          <cell r="V33">
            <v>661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F33">
            <v>0</v>
          </cell>
          <cell r="AH33">
            <v>0</v>
          </cell>
          <cell r="AJ33">
            <v>0</v>
          </cell>
          <cell r="AL33">
            <v>0</v>
          </cell>
          <cell r="AN33">
            <v>0</v>
          </cell>
          <cell r="AP33">
            <v>0</v>
          </cell>
          <cell r="AR33">
            <v>0</v>
          </cell>
          <cell r="AT33">
            <v>0</v>
          </cell>
          <cell r="AV33">
            <v>0</v>
          </cell>
          <cell r="AX33">
            <v>0</v>
          </cell>
          <cell r="AZ33">
            <v>0</v>
          </cell>
          <cell r="BB33">
            <v>0</v>
          </cell>
          <cell r="BD33">
            <v>0</v>
          </cell>
          <cell r="BF33">
            <v>0</v>
          </cell>
          <cell r="BH33">
            <v>0</v>
          </cell>
          <cell r="BJ33">
            <v>0</v>
          </cell>
          <cell r="BL33">
            <v>0</v>
          </cell>
          <cell r="BN33">
            <v>0</v>
          </cell>
          <cell r="BP33">
            <v>0</v>
          </cell>
          <cell r="BR33">
            <v>0</v>
          </cell>
          <cell r="BT33">
            <v>0</v>
          </cell>
          <cell r="BV33">
            <v>0</v>
          </cell>
          <cell r="BX33">
            <v>0</v>
          </cell>
          <cell r="BZ33">
            <v>0</v>
          </cell>
          <cell r="CB33">
            <v>0</v>
          </cell>
          <cell r="CD33">
            <v>0</v>
          </cell>
          <cell r="CF33">
            <v>0</v>
          </cell>
          <cell r="CH33">
            <v>0</v>
          </cell>
          <cell r="CJ33">
            <v>0</v>
          </cell>
          <cell r="CL33">
            <v>0</v>
          </cell>
          <cell r="CN33">
            <v>0</v>
          </cell>
          <cell r="CP33">
            <v>0</v>
          </cell>
          <cell r="CR33">
            <v>0</v>
          </cell>
          <cell r="CT33">
            <v>0</v>
          </cell>
          <cell r="CV33">
            <v>0</v>
          </cell>
          <cell r="CX33">
            <v>0</v>
          </cell>
          <cell r="CZ33">
            <v>0</v>
          </cell>
          <cell r="DB33">
            <v>0</v>
          </cell>
          <cell r="DD33">
            <v>0</v>
          </cell>
          <cell r="DF33">
            <v>0</v>
          </cell>
          <cell r="DH33">
            <v>0</v>
          </cell>
          <cell r="DJ33">
            <v>0</v>
          </cell>
          <cell r="DL33">
            <v>0</v>
          </cell>
          <cell r="DN33">
            <v>0</v>
          </cell>
          <cell r="DP33">
            <v>0</v>
          </cell>
          <cell r="DR33">
            <v>0</v>
          </cell>
          <cell r="DT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H33">
            <v>0</v>
          </cell>
          <cell r="EJ33">
            <v>0</v>
          </cell>
          <cell r="EL33">
            <v>0</v>
          </cell>
          <cell r="EN33">
            <v>0</v>
          </cell>
          <cell r="EP33">
            <v>0</v>
          </cell>
          <cell r="ER33">
            <v>0</v>
          </cell>
          <cell r="ET33">
            <v>0</v>
          </cell>
          <cell r="EV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  <cell r="FJ33">
            <v>0</v>
          </cell>
          <cell r="FL33">
            <v>0</v>
          </cell>
          <cell r="FN33">
            <v>0</v>
          </cell>
          <cell r="FP33">
            <v>0</v>
          </cell>
          <cell r="FR33">
            <v>0</v>
          </cell>
          <cell r="FT33">
            <v>0</v>
          </cell>
          <cell r="FV33">
            <v>0</v>
          </cell>
          <cell r="GD33">
            <v>14</v>
          </cell>
          <cell r="GF33">
            <v>4</v>
          </cell>
          <cell r="GH33">
            <v>1</v>
          </cell>
          <cell r="GJ33">
            <v>7</v>
          </cell>
          <cell r="GM33">
            <v>0.01</v>
          </cell>
          <cell r="GN3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3" t="str">
            <v>六</v>
          </cell>
          <cell r="GQ33">
            <v>5.6150000000000033E-2</v>
          </cell>
          <cell r="GR33">
            <v>0.36382437776744608</v>
          </cell>
          <cell r="GS33">
            <v>45724</v>
          </cell>
          <cell r="GT33">
            <v>0</v>
          </cell>
          <cell r="GW33" t="str">
            <v>（一）施工廠商施工前檢查事項辦理情形：█完成 □未完成 （二）其他工地安全衛生督導事項：</v>
          </cell>
          <cell r="GX33">
            <v>466850</v>
          </cell>
          <cell r="GY33">
            <v>0</v>
          </cell>
        </row>
        <row r="34">
          <cell r="A34">
            <v>45725</v>
          </cell>
          <cell r="B34" t="str">
            <v>日</v>
          </cell>
          <cell r="C34" t="str">
            <v>晴</v>
          </cell>
          <cell r="D34">
            <v>1</v>
          </cell>
          <cell r="F34">
            <v>28</v>
          </cell>
          <cell r="G34">
            <v>0</v>
          </cell>
          <cell r="H34">
            <v>0.48198000000000002</v>
          </cell>
          <cell r="I34">
            <v>0.54672614272614739</v>
          </cell>
          <cell r="N34">
            <v>1</v>
          </cell>
          <cell r="P34">
            <v>1</v>
          </cell>
          <cell r="R34">
            <v>672</v>
          </cell>
          <cell r="T34">
            <v>100</v>
          </cell>
          <cell r="V34">
            <v>661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F34">
            <v>0</v>
          </cell>
          <cell r="AH34">
            <v>0</v>
          </cell>
          <cell r="AJ34">
            <v>0</v>
          </cell>
          <cell r="AL34">
            <v>0</v>
          </cell>
          <cell r="AN34">
            <v>0</v>
          </cell>
          <cell r="AP34">
            <v>0</v>
          </cell>
          <cell r="AR34">
            <v>0</v>
          </cell>
          <cell r="AT34">
            <v>0</v>
          </cell>
          <cell r="AV34">
            <v>0</v>
          </cell>
          <cell r="AX34">
            <v>0</v>
          </cell>
          <cell r="AZ34">
            <v>0</v>
          </cell>
          <cell r="BB34">
            <v>0</v>
          </cell>
          <cell r="BD34">
            <v>0</v>
          </cell>
          <cell r="BF34">
            <v>0</v>
          </cell>
          <cell r="BH34">
            <v>0</v>
          </cell>
          <cell r="BJ34">
            <v>0</v>
          </cell>
          <cell r="BL34">
            <v>0</v>
          </cell>
          <cell r="BN34">
            <v>0</v>
          </cell>
          <cell r="BP34">
            <v>0</v>
          </cell>
          <cell r="BR34">
            <v>0</v>
          </cell>
          <cell r="BT34">
            <v>0</v>
          </cell>
          <cell r="BV34">
            <v>0</v>
          </cell>
          <cell r="BX34">
            <v>0</v>
          </cell>
          <cell r="BZ34">
            <v>0</v>
          </cell>
          <cell r="CB34">
            <v>0</v>
          </cell>
          <cell r="CD34">
            <v>0</v>
          </cell>
          <cell r="CF34">
            <v>0</v>
          </cell>
          <cell r="CH34">
            <v>0</v>
          </cell>
          <cell r="CJ34">
            <v>0</v>
          </cell>
          <cell r="CL34">
            <v>0</v>
          </cell>
          <cell r="CN34">
            <v>0</v>
          </cell>
          <cell r="CP34">
            <v>0</v>
          </cell>
          <cell r="CR34">
            <v>0</v>
          </cell>
          <cell r="CT34">
            <v>0</v>
          </cell>
          <cell r="CV34">
            <v>0</v>
          </cell>
          <cell r="CX34">
            <v>0</v>
          </cell>
          <cell r="CZ34">
            <v>0</v>
          </cell>
          <cell r="DB34">
            <v>0</v>
          </cell>
          <cell r="DD34">
            <v>0</v>
          </cell>
          <cell r="DF34">
            <v>0</v>
          </cell>
          <cell r="DH34">
            <v>0</v>
          </cell>
          <cell r="DJ34">
            <v>0</v>
          </cell>
          <cell r="DL34">
            <v>0</v>
          </cell>
          <cell r="DN34">
            <v>0</v>
          </cell>
          <cell r="DP34">
            <v>0</v>
          </cell>
          <cell r="DR34">
            <v>0</v>
          </cell>
          <cell r="DT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H34">
            <v>0</v>
          </cell>
          <cell r="EJ34">
            <v>0</v>
          </cell>
          <cell r="EL34">
            <v>0</v>
          </cell>
          <cell r="EN34">
            <v>0</v>
          </cell>
          <cell r="EP34">
            <v>0</v>
          </cell>
          <cell r="ER34">
            <v>0</v>
          </cell>
          <cell r="ET34">
            <v>0</v>
          </cell>
          <cell r="EV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  <cell r="FJ34">
            <v>0</v>
          </cell>
          <cell r="FL34">
            <v>0</v>
          </cell>
          <cell r="FN34">
            <v>0</v>
          </cell>
          <cell r="FP34">
            <v>0</v>
          </cell>
          <cell r="FR34">
            <v>0</v>
          </cell>
          <cell r="FT34">
            <v>0</v>
          </cell>
          <cell r="FV34">
            <v>0</v>
          </cell>
          <cell r="GD34">
            <v>14</v>
          </cell>
          <cell r="GF34">
            <v>4</v>
          </cell>
          <cell r="GH34">
            <v>1</v>
          </cell>
          <cell r="GJ34">
            <v>7</v>
          </cell>
          <cell r="GM34">
            <v>0.01</v>
          </cell>
          <cell r="GN3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4" t="str">
            <v>日</v>
          </cell>
          <cell r="GQ34">
            <v>4.3320000000000025E-2</v>
          </cell>
          <cell r="GR34">
            <v>0</v>
          </cell>
          <cell r="GS34">
            <v>45725</v>
          </cell>
          <cell r="GT34">
            <v>0</v>
          </cell>
          <cell r="GW34" t="str">
            <v>（一）施工廠商施工前檢查事項辦理情形：█完成 □未完成 （二）其他工地安全衛生督導事項：</v>
          </cell>
          <cell r="GX34">
            <v>466850</v>
          </cell>
          <cell r="GY34">
            <v>0</v>
          </cell>
        </row>
        <row r="35">
          <cell r="A35">
            <v>45726</v>
          </cell>
          <cell r="B35" t="str">
            <v>一</v>
          </cell>
          <cell r="C35" t="str">
            <v>晴</v>
          </cell>
          <cell r="D35">
            <v>1</v>
          </cell>
          <cell r="F35">
            <v>29</v>
          </cell>
          <cell r="G35">
            <v>0</v>
          </cell>
          <cell r="H35">
            <v>0.55547999999999997</v>
          </cell>
          <cell r="I35">
            <v>0.54672614272614739</v>
          </cell>
          <cell r="N35">
            <v>1</v>
          </cell>
          <cell r="P35">
            <v>1</v>
          </cell>
          <cell r="R35">
            <v>672</v>
          </cell>
          <cell r="T35">
            <v>100</v>
          </cell>
          <cell r="V35">
            <v>661</v>
          </cell>
          <cell r="X35">
            <v>0</v>
          </cell>
          <cell r="Z35">
            <v>0</v>
          </cell>
          <cell r="AB35">
            <v>0</v>
          </cell>
          <cell r="AD35">
            <v>0</v>
          </cell>
          <cell r="AF35">
            <v>0</v>
          </cell>
          <cell r="AH35">
            <v>0</v>
          </cell>
          <cell r="AJ35">
            <v>0</v>
          </cell>
          <cell r="AL35">
            <v>0</v>
          </cell>
          <cell r="AN35">
            <v>0</v>
          </cell>
          <cell r="AP35">
            <v>0</v>
          </cell>
          <cell r="AR35">
            <v>0</v>
          </cell>
          <cell r="AT35">
            <v>0</v>
          </cell>
          <cell r="AV35">
            <v>0</v>
          </cell>
          <cell r="AX35">
            <v>0</v>
          </cell>
          <cell r="AZ35">
            <v>0</v>
          </cell>
          <cell r="BB35">
            <v>0</v>
          </cell>
          <cell r="BD35">
            <v>0</v>
          </cell>
          <cell r="BF35">
            <v>0</v>
          </cell>
          <cell r="BH35">
            <v>0</v>
          </cell>
          <cell r="BJ35">
            <v>0</v>
          </cell>
          <cell r="BL35">
            <v>0</v>
          </cell>
          <cell r="BN35">
            <v>0</v>
          </cell>
          <cell r="BP35">
            <v>0</v>
          </cell>
          <cell r="BR35">
            <v>0</v>
          </cell>
          <cell r="BT35">
            <v>0</v>
          </cell>
          <cell r="BV35">
            <v>0</v>
          </cell>
          <cell r="BX35">
            <v>0</v>
          </cell>
          <cell r="BZ35">
            <v>0</v>
          </cell>
          <cell r="CB35">
            <v>0</v>
          </cell>
          <cell r="CD35">
            <v>0</v>
          </cell>
          <cell r="CF35">
            <v>0</v>
          </cell>
          <cell r="CH35">
            <v>0</v>
          </cell>
          <cell r="CJ35">
            <v>0</v>
          </cell>
          <cell r="CL35">
            <v>0</v>
          </cell>
          <cell r="CN35">
            <v>0</v>
          </cell>
          <cell r="CP35">
            <v>0</v>
          </cell>
          <cell r="CR35">
            <v>0</v>
          </cell>
          <cell r="CT35">
            <v>0</v>
          </cell>
          <cell r="CV35">
            <v>0</v>
          </cell>
          <cell r="CX35">
            <v>0</v>
          </cell>
          <cell r="CZ35">
            <v>0</v>
          </cell>
          <cell r="DB35">
            <v>0</v>
          </cell>
          <cell r="DD35">
            <v>0</v>
          </cell>
          <cell r="DF35">
            <v>0</v>
          </cell>
          <cell r="DH35">
            <v>0</v>
          </cell>
          <cell r="DJ35">
            <v>0</v>
          </cell>
          <cell r="DL35">
            <v>0</v>
          </cell>
          <cell r="DN35">
            <v>0</v>
          </cell>
          <cell r="DP35">
            <v>0</v>
          </cell>
          <cell r="DR35">
            <v>0</v>
          </cell>
          <cell r="DT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H35">
            <v>0</v>
          </cell>
          <cell r="EJ35">
            <v>0</v>
          </cell>
          <cell r="EL35">
            <v>0</v>
          </cell>
          <cell r="EN35">
            <v>0</v>
          </cell>
          <cell r="EP35">
            <v>0</v>
          </cell>
          <cell r="ER35">
            <v>0</v>
          </cell>
          <cell r="ET35">
            <v>0</v>
          </cell>
          <cell r="EV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  <cell r="FJ35">
            <v>0</v>
          </cell>
          <cell r="FL35">
            <v>0</v>
          </cell>
          <cell r="FN35">
            <v>0</v>
          </cell>
          <cell r="FP35">
            <v>0</v>
          </cell>
          <cell r="FR35">
            <v>0</v>
          </cell>
          <cell r="FT35">
            <v>0</v>
          </cell>
          <cell r="FV35">
            <v>0</v>
          </cell>
          <cell r="GD35">
            <v>14</v>
          </cell>
          <cell r="GF35">
            <v>4</v>
          </cell>
          <cell r="GH35">
            <v>1</v>
          </cell>
          <cell r="GJ35">
            <v>7</v>
          </cell>
          <cell r="GM35">
            <v>0.01</v>
          </cell>
          <cell r="GN3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5" t="str">
            <v>一</v>
          </cell>
          <cell r="GQ35">
            <v>4.4889999999999985E-2</v>
          </cell>
          <cell r="GR35">
            <v>0</v>
          </cell>
          <cell r="GS35">
            <v>45726</v>
          </cell>
          <cell r="GT35">
            <v>0</v>
          </cell>
          <cell r="GW35" t="str">
            <v>（一）施工廠商施工前檢查事項辦理情形：█完成 □未完成 （二）其他工地安全衛生督導事項：</v>
          </cell>
          <cell r="GX35">
            <v>466850</v>
          </cell>
          <cell r="GY35">
            <v>0</v>
          </cell>
        </row>
        <row r="36">
          <cell r="A36">
            <v>45727</v>
          </cell>
          <cell r="B36" t="str">
            <v>二</v>
          </cell>
          <cell r="C36" t="str">
            <v>晴</v>
          </cell>
          <cell r="D36">
            <v>1</v>
          </cell>
          <cell r="F36">
            <v>30</v>
          </cell>
          <cell r="G36">
            <v>0</v>
          </cell>
          <cell r="H36">
            <v>0.55622000000000005</v>
          </cell>
          <cell r="I36">
            <v>0.54672614272614739</v>
          </cell>
          <cell r="N36">
            <v>1</v>
          </cell>
          <cell r="P36">
            <v>1</v>
          </cell>
          <cell r="R36">
            <v>672</v>
          </cell>
          <cell r="T36">
            <v>100</v>
          </cell>
          <cell r="V36">
            <v>661</v>
          </cell>
          <cell r="X36">
            <v>0</v>
          </cell>
          <cell r="Z36">
            <v>0</v>
          </cell>
          <cell r="AB36">
            <v>0</v>
          </cell>
          <cell r="AD36">
            <v>0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0</v>
          </cell>
          <cell r="AV36">
            <v>0</v>
          </cell>
          <cell r="AX36">
            <v>0</v>
          </cell>
          <cell r="AZ36">
            <v>0</v>
          </cell>
          <cell r="BB36">
            <v>0</v>
          </cell>
          <cell r="BD36">
            <v>0</v>
          </cell>
          <cell r="BF36">
            <v>0</v>
          </cell>
          <cell r="BH36">
            <v>0</v>
          </cell>
          <cell r="BJ36">
            <v>0</v>
          </cell>
          <cell r="BL36">
            <v>0</v>
          </cell>
          <cell r="BN36">
            <v>0</v>
          </cell>
          <cell r="BP36">
            <v>0</v>
          </cell>
          <cell r="BR36">
            <v>0</v>
          </cell>
          <cell r="BT36">
            <v>0</v>
          </cell>
          <cell r="BV36">
            <v>0</v>
          </cell>
          <cell r="BX36">
            <v>0</v>
          </cell>
          <cell r="BZ36">
            <v>0</v>
          </cell>
          <cell r="CB36">
            <v>0</v>
          </cell>
          <cell r="CD36">
            <v>0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N36">
            <v>0</v>
          </cell>
          <cell r="CP36">
            <v>0</v>
          </cell>
          <cell r="CR36">
            <v>0</v>
          </cell>
          <cell r="CT36">
            <v>0</v>
          </cell>
          <cell r="CV36">
            <v>0</v>
          </cell>
          <cell r="CX36">
            <v>0</v>
          </cell>
          <cell r="CZ36">
            <v>0</v>
          </cell>
          <cell r="DB36">
            <v>0</v>
          </cell>
          <cell r="DD36">
            <v>0</v>
          </cell>
          <cell r="DF36">
            <v>0</v>
          </cell>
          <cell r="DH36">
            <v>0</v>
          </cell>
          <cell r="DJ36">
            <v>0</v>
          </cell>
          <cell r="DL36">
            <v>0</v>
          </cell>
          <cell r="DN36">
            <v>0</v>
          </cell>
          <cell r="DP36">
            <v>0</v>
          </cell>
          <cell r="DR36">
            <v>0</v>
          </cell>
          <cell r="DT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H36">
            <v>0</v>
          </cell>
          <cell r="EJ36">
            <v>0</v>
          </cell>
          <cell r="EL36">
            <v>0</v>
          </cell>
          <cell r="EN36">
            <v>0</v>
          </cell>
          <cell r="EP36">
            <v>0</v>
          </cell>
          <cell r="ER36">
            <v>0</v>
          </cell>
          <cell r="ET36">
            <v>0</v>
          </cell>
          <cell r="EV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  <cell r="FJ36">
            <v>0</v>
          </cell>
          <cell r="FL36">
            <v>0</v>
          </cell>
          <cell r="FN36">
            <v>0</v>
          </cell>
          <cell r="FP36">
            <v>0</v>
          </cell>
          <cell r="FR36">
            <v>0</v>
          </cell>
          <cell r="FT36">
            <v>0</v>
          </cell>
          <cell r="FV36">
            <v>0</v>
          </cell>
          <cell r="GD36">
            <v>14</v>
          </cell>
          <cell r="GF36">
            <v>4</v>
          </cell>
          <cell r="GH36">
            <v>1</v>
          </cell>
          <cell r="GJ36">
            <v>7</v>
          </cell>
          <cell r="GM36">
            <v>0.01</v>
          </cell>
          <cell r="GN3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6" t="str">
            <v>二</v>
          </cell>
          <cell r="GQ36">
            <v>4.4889999999999985E-2</v>
          </cell>
          <cell r="GR36">
            <v>0</v>
          </cell>
          <cell r="GS36">
            <v>45727</v>
          </cell>
          <cell r="GT36">
            <v>0</v>
          </cell>
          <cell r="GW36" t="str">
            <v>（一）施工廠商施工前檢查事項辦理情形：█完成 □未完成 （二）其他工地安全衛生督導事項：</v>
          </cell>
          <cell r="GX36">
            <v>466850</v>
          </cell>
          <cell r="GY36">
            <v>0</v>
          </cell>
        </row>
        <row r="37">
          <cell r="A37">
            <v>45728</v>
          </cell>
          <cell r="B37" t="str">
            <v>三</v>
          </cell>
          <cell r="C37" t="str">
            <v>晴</v>
          </cell>
          <cell r="D37">
            <v>1</v>
          </cell>
          <cell r="F37">
            <v>31</v>
          </cell>
          <cell r="G37">
            <v>0</v>
          </cell>
          <cell r="H37">
            <v>0.55696000000000001</v>
          </cell>
          <cell r="I37">
            <v>0.54672614272614739</v>
          </cell>
          <cell r="N37">
            <v>1</v>
          </cell>
          <cell r="P37">
            <v>1</v>
          </cell>
          <cell r="R37">
            <v>672</v>
          </cell>
          <cell r="T37">
            <v>100</v>
          </cell>
          <cell r="V37">
            <v>661</v>
          </cell>
          <cell r="X37">
            <v>0</v>
          </cell>
          <cell r="Z37">
            <v>0</v>
          </cell>
          <cell r="AB37">
            <v>0</v>
          </cell>
          <cell r="AD37">
            <v>0</v>
          </cell>
          <cell r="AF37">
            <v>0</v>
          </cell>
          <cell r="AH37">
            <v>0</v>
          </cell>
          <cell r="AJ37">
            <v>0</v>
          </cell>
          <cell r="AL37">
            <v>0</v>
          </cell>
          <cell r="AN37">
            <v>0</v>
          </cell>
          <cell r="AP37">
            <v>0</v>
          </cell>
          <cell r="AR37">
            <v>0</v>
          </cell>
          <cell r="AT37">
            <v>0</v>
          </cell>
          <cell r="AV37">
            <v>0</v>
          </cell>
          <cell r="AX37">
            <v>0</v>
          </cell>
          <cell r="AZ37">
            <v>0</v>
          </cell>
          <cell r="BB37">
            <v>0</v>
          </cell>
          <cell r="BD37">
            <v>0</v>
          </cell>
          <cell r="BF37">
            <v>0</v>
          </cell>
          <cell r="BH37">
            <v>0</v>
          </cell>
          <cell r="BJ37">
            <v>0</v>
          </cell>
          <cell r="BL37">
            <v>0</v>
          </cell>
          <cell r="BN37">
            <v>0</v>
          </cell>
          <cell r="BP37">
            <v>0</v>
          </cell>
          <cell r="BR37">
            <v>0</v>
          </cell>
          <cell r="BT37">
            <v>0</v>
          </cell>
          <cell r="BV37">
            <v>0</v>
          </cell>
          <cell r="BX37">
            <v>0</v>
          </cell>
          <cell r="BZ37">
            <v>0</v>
          </cell>
          <cell r="CB37">
            <v>0</v>
          </cell>
          <cell r="CD37">
            <v>0</v>
          </cell>
          <cell r="CF37">
            <v>0</v>
          </cell>
          <cell r="CH37">
            <v>0</v>
          </cell>
          <cell r="CJ37">
            <v>0</v>
          </cell>
          <cell r="CL37">
            <v>0</v>
          </cell>
          <cell r="CN37">
            <v>0</v>
          </cell>
          <cell r="CP37">
            <v>0</v>
          </cell>
          <cell r="CR37">
            <v>0</v>
          </cell>
          <cell r="CT37">
            <v>0</v>
          </cell>
          <cell r="CV37">
            <v>0</v>
          </cell>
          <cell r="CX37">
            <v>0</v>
          </cell>
          <cell r="CZ37">
            <v>0</v>
          </cell>
          <cell r="DB37">
            <v>0</v>
          </cell>
          <cell r="DD37">
            <v>0</v>
          </cell>
          <cell r="DF37">
            <v>0</v>
          </cell>
          <cell r="DH37">
            <v>0</v>
          </cell>
          <cell r="DJ37">
            <v>0</v>
          </cell>
          <cell r="DL37">
            <v>0</v>
          </cell>
          <cell r="DN37">
            <v>0</v>
          </cell>
          <cell r="DP37">
            <v>0</v>
          </cell>
          <cell r="DR37">
            <v>0</v>
          </cell>
          <cell r="DT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H37">
            <v>0</v>
          </cell>
          <cell r="EJ37">
            <v>0</v>
          </cell>
          <cell r="EL37">
            <v>0</v>
          </cell>
          <cell r="EN37">
            <v>0</v>
          </cell>
          <cell r="EP37">
            <v>0</v>
          </cell>
          <cell r="ER37">
            <v>0</v>
          </cell>
          <cell r="ET37">
            <v>0</v>
          </cell>
          <cell r="EV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  <cell r="FJ37">
            <v>0</v>
          </cell>
          <cell r="FL37">
            <v>0</v>
          </cell>
          <cell r="FN37">
            <v>0</v>
          </cell>
          <cell r="FP37">
            <v>0</v>
          </cell>
          <cell r="FR37">
            <v>0</v>
          </cell>
          <cell r="FT37">
            <v>0</v>
          </cell>
          <cell r="FV37">
            <v>0</v>
          </cell>
          <cell r="GD37">
            <v>14</v>
          </cell>
          <cell r="GF37">
            <v>4</v>
          </cell>
          <cell r="GH37">
            <v>1</v>
          </cell>
          <cell r="GJ37">
            <v>7</v>
          </cell>
          <cell r="GM37">
            <v>0.01</v>
          </cell>
          <cell r="GN3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7" t="str">
            <v>三</v>
          </cell>
          <cell r="GQ37">
            <v>4.4889999999999985E-2</v>
          </cell>
          <cell r="GR37">
            <v>0</v>
          </cell>
          <cell r="GS37">
            <v>45728</v>
          </cell>
          <cell r="GT37">
            <v>0</v>
          </cell>
          <cell r="GW37" t="str">
            <v>（一）施工廠商施工前檢查事項辦理情形：█完成 □未完成 （二）其他工地安全衛生督導事項：</v>
          </cell>
          <cell r="GX37">
            <v>466850</v>
          </cell>
          <cell r="GY37">
            <v>0</v>
          </cell>
        </row>
        <row r="38">
          <cell r="A38">
            <v>45729</v>
          </cell>
          <cell r="B38" t="str">
            <v>四</v>
          </cell>
          <cell r="C38" t="str">
            <v>雨</v>
          </cell>
          <cell r="D38">
            <v>1</v>
          </cell>
          <cell r="F38">
            <v>32</v>
          </cell>
          <cell r="G38">
            <v>0</v>
          </cell>
          <cell r="H38">
            <v>0.55769999999999997</v>
          </cell>
          <cell r="I38">
            <v>0.54672614272614739</v>
          </cell>
          <cell r="N38">
            <v>1</v>
          </cell>
          <cell r="P38">
            <v>1</v>
          </cell>
          <cell r="R38">
            <v>672</v>
          </cell>
          <cell r="T38">
            <v>100</v>
          </cell>
          <cell r="V38">
            <v>661</v>
          </cell>
          <cell r="X38">
            <v>0</v>
          </cell>
          <cell r="Z38">
            <v>0</v>
          </cell>
          <cell r="AB38">
            <v>0</v>
          </cell>
          <cell r="AD38">
            <v>0</v>
          </cell>
          <cell r="AF38">
            <v>0</v>
          </cell>
          <cell r="AH38">
            <v>0</v>
          </cell>
          <cell r="AJ38">
            <v>0</v>
          </cell>
          <cell r="AL38">
            <v>0</v>
          </cell>
          <cell r="AN38">
            <v>0</v>
          </cell>
          <cell r="AP38">
            <v>0</v>
          </cell>
          <cell r="AR38">
            <v>0</v>
          </cell>
          <cell r="AT38">
            <v>0</v>
          </cell>
          <cell r="AV38">
            <v>0</v>
          </cell>
          <cell r="AX38">
            <v>0</v>
          </cell>
          <cell r="AZ38">
            <v>0</v>
          </cell>
          <cell r="BB38">
            <v>0</v>
          </cell>
          <cell r="BD38">
            <v>0</v>
          </cell>
          <cell r="BF38">
            <v>0</v>
          </cell>
          <cell r="BH38">
            <v>0</v>
          </cell>
          <cell r="BJ38">
            <v>0</v>
          </cell>
          <cell r="BL38">
            <v>0</v>
          </cell>
          <cell r="BN38">
            <v>0</v>
          </cell>
          <cell r="BP38">
            <v>0</v>
          </cell>
          <cell r="BR38">
            <v>0</v>
          </cell>
          <cell r="BT38">
            <v>0</v>
          </cell>
          <cell r="BV38">
            <v>0</v>
          </cell>
          <cell r="BX38">
            <v>0</v>
          </cell>
          <cell r="BZ38">
            <v>0</v>
          </cell>
          <cell r="CB38">
            <v>0</v>
          </cell>
          <cell r="CD38">
            <v>0</v>
          </cell>
          <cell r="CF38">
            <v>0</v>
          </cell>
          <cell r="CH38">
            <v>0</v>
          </cell>
          <cell r="CJ38">
            <v>0</v>
          </cell>
          <cell r="CL38">
            <v>0</v>
          </cell>
          <cell r="CN38">
            <v>0</v>
          </cell>
          <cell r="CP38">
            <v>0</v>
          </cell>
          <cell r="CR38">
            <v>0</v>
          </cell>
          <cell r="CT38">
            <v>0</v>
          </cell>
          <cell r="CV38">
            <v>0</v>
          </cell>
          <cell r="CX38">
            <v>0</v>
          </cell>
          <cell r="CZ38">
            <v>0</v>
          </cell>
          <cell r="DB38">
            <v>0</v>
          </cell>
          <cell r="DD38">
            <v>0</v>
          </cell>
          <cell r="DF38">
            <v>0</v>
          </cell>
          <cell r="DH38">
            <v>0</v>
          </cell>
          <cell r="DJ38">
            <v>0</v>
          </cell>
          <cell r="DL38">
            <v>0</v>
          </cell>
          <cell r="DN38">
            <v>0</v>
          </cell>
          <cell r="DP38">
            <v>0</v>
          </cell>
          <cell r="DR38">
            <v>0</v>
          </cell>
          <cell r="DT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H38">
            <v>0</v>
          </cell>
          <cell r="EJ38">
            <v>0</v>
          </cell>
          <cell r="EL38">
            <v>0</v>
          </cell>
          <cell r="EN38">
            <v>0</v>
          </cell>
          <cell r="EP38">
            <v>0</v>
          </cell>
          <cell r="ER38">
            <v>0</v>
          </cell>
          <cell r="ET38">
            <v>0</v>
          </cell>
          <cell r="EV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  <cell r="FJ38">
            <v>0</v>
          </cell>
          <cell r="FL38">
            <v>0</v>
          </cell>
          <cell r="FN38">
            <v>0</v>
          </cell>
          <cell r="FP38">
            <v>0</v>
          </cell>
          <cell r="FR38">
            <v>0</v>
          </cell>
          <cell r="FT38">
            <v>0</v>
          </cell>
          <cell r="FV38">
            <v>0</v>
          </cell>
          <cell r="GD38">
            <v>14</v>
          </cell>
          <cell r="GF38">
            <v>4</v>
          </cell>
          <cell r="GH38">
            <v>1</v>
          </cell>
          <cell r="GJ38">
            <v>7</v>
          </cell>
          <cell r="GM38">
            <v>0.01</v>
          </cell>
          <cell r="GN3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8" t="str">
            <v>四</v>
          </cell>
          <cell r="GQ38">
            <v>4.3320000000000025E-2</v>
          </cell>
          <cell r="GR38">
            <v>0</v>
          </cell>
          <cell r="GS38">
            <v>45729</v>
          </cell>
          <cell r="GT38">
            <v>0</v>
          </cell>
          <cell r="GW38" t="str">
            <v>（一）施工廠商施工前檢查事項辦理情形：█完成 □未完成 （二）其他工地安全衛生督導事項：</v>
          </cell>
          <cell r="GX38">
            <v>466850</v>
          </cell>
          <cell r="GY38">
            <v>0</v>
          </cell>
        </row>
        <row r="39">
          <cell r="A39">
            <v>45730</v>
          </cell>
          <cell r="B39" t="str">
            <v>五</v>
          </cell>
          <cell r="C39" t="str">
            <v>雨</v>
          </cell>
          <cell r="D39">
            <v>1</v>
          </cell>
          <cell r="F39">
            <v>33</v>
          </cell>
          <cell r="G39">
            <v>0</v>
          </cell>
          <cell r="H39">
            <v>0.55844000000000005</v>
          </cell>
          <cell r="I39">
            <v>0.54672614272614739</v>
          </cell>
          <cell r="N39">
            <v>1</v>
          </cell>
          <cell r="P39">
            <v>1</v>
          </cell>
          <cell r="R39">
            <v>672</v>
          </cell>
          <cell r="T39">
            <v>100</v>
          </cell>
          <cell r="V39">
            <v>661</v>
          </cell>
          <cell r="X39">
            <v>0</v>
          </cell>
          <cell r="Z39">
            <v>0</v>
          </cell>
          <cell r="AB39">
            <v>0</v>
          </cell>
          <cell r="AD39">
            <v>0</v>
          </cell>
          <cell r="AF39">
            <v>0</v>
          </cell>
          <cell r="AH39">
            <v>0</v>
          </cell>
          <cell r="AJ39">
            <v>0</v>
          </cell>
          <cell r="AL39">
            <v>0</v>
          </cell>
          <cell r="AN39">
            <v>0</v>
          </cell>
          <cell r="AP39">
            <v>0</v>
          </cell>
          <cell r="AR39">
            <v>0</v>
          </cell>
          <cell r="AT39">
            <v>0</v>
          </cell>
          <cell r="AV39">
            <v>0</v>
          </cell>
          <cell r="AX39">
            <v>0</v>
          </cell>
          <cell r="AZ39">
            <v>0</v>
          </cell>
          <cell r="BB39">
            <v>0</v>
          </cell>
          <cell r="BD39">
            <v>0</v>
          </cell>
          <cell r="BF39">
            <v>0</v>
          </cell>
          <cell r="BH39">
            <v>0</v>
          </cell>
          <cell r="BJ39">
            <v>0</v>
          </cell>
          <cell r="BL39">
            <v>0</v>
          </cell>
          <cell r="BN39">
            <v>0</v>
          </cell>
          <cell r="BP39">
            <v>0</v>
          </cell>
          <cell r="BR39">
            <v>0</v>
          </cell>
          <cell r="BT39">
            <v>0</v>
          </cell>
          <cell r="BV39">
            <v>0</v>
          </cell>
          <cell r="BX39">
            <v>0</v>
          </cell>
          <cell r="BZ39">
            <v>0</v>
          </cell>
          <cell r="CB39">
            <v>0</v>
          </cell>
          <cell r="CD39">
            <v>0</v>
          </cell>
          <cell r="CF39">
            <v>0</v>
          </cell>
          <cell r="CH39">
            <v>0</v>
          </cell>
          <cell r="CJ39">
            <v>0</v>
          </cell>
          <cell r="CL39">
            <v>0</v>
          </cell>
          <cell r="CN39">
            <v>0</v>
          </cell>
          <cell r="CP39">
            <v>0</v>
          </cell>
          <cell r="CR39">
            <v>0</v>
          </cell>
          <cell r="CT39">
            <v>0</v>
          </cell>
          <cell r="CV39">
            <v>0</v>
          </cell>
          <cell r="CX39">
            <v>0</v>
          </cell>
          <cell r="CZ39">
            <v>0</v>
          </cell>
          <cell r="DB39">
            <v>0</v>
          </cell>
          <cell r="DD39">
            <v>0</v>
          </cell>
          <cell r="DF39">
            <v>0</v>
          </cell>
          <cell r="DH39">
            <v>0</v>
          </cell>
          <cell r="DJ39">
            <v>0</v>
          </cell>
          <cell r="DL39">
            <v>0</v>
          </cell>
          <cell r="DN39">
            <v>0</v>
          </cell>
          <cell r="DP39">
            <v>0</v>
          </cell>
          <cell r="DR39">
            <v>0</v>
          </cell>
          <cell r="DT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H39">
            <v>0</v>
          </cell>
          <cell r="EJ39">
            <v>0</v>
          </cell>
          <cell r="EL39">
            <v>0</v>
          </cell>
          <cell r="EN39">
            <v>0</v>
          </cell>
          <cell r="EP39">
            <v>0</v>
          </cell>
          <cell r="ER39">
            <v>0</v>
          </cell>
          <cell r="ET39">
            <v>0</v>
          </cell>
          <cell r="EV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  <cell r="FJ39">
            <v>0</v>
          </cell>
          <cell r="FL39">
            <v>0</v>
          </cell>
          <cell r="FN39">
            <v>0</v>
          </cell>
          <cell r="FP39">
            <v>0</v>
          </cell>
          <cell r="FR39">
            <v>0</v>
          </cell>
          <cell r="FT39">
            <v>0</v>
          </cell>
          <cell r="FV39">
            <v>0</v>
          </cell>
          <cell r="GD39">
            <v>14</v>
          </cell>
          <cell r="GF39">
            <v>4</v>
          </cell>
          <cell r="GH39">
            <v>1</v>
          </cell>
          <cell r="GJ39">
            <v>7</v>
          </cell>
          <cell r="GM39">
            <v>0.01</v>
          </cell>
          <cell r="GN3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39" t="str">
            <v>五</v>
          </cell>
          <cell r="GQ39">
            <v>4.3320000000000025E-2</v>
          </cell>
          <cell r="GR39">
            <v>0</v>
          </cell>
          <cell r="GS39">
            <v>45730</v>
          </cell>
          <cell r="GT39">
            <v>0</v>
          </cell>
          <cell r="GW39" t="str">
            <v>（一）施工廠商施工前檢查事項辦理情形：█完成 □未完成 （二）其他工地安全衛生督導事項：</v>
          </cell>
          <cell r="GX39">
            <v>466850</v>
          </cell>
          <cell r="GY39">
            <v>0</v>
          </cell>
        </row>
        <row r="40">
          <cell r="A40">
            <v>45731</v>
          </cell>
          <cell r="B40" t="str">
            <v>六</v>
          </cell>
          <cell r="C40" t="str">
            <v>雨</v>
          </cell>
          <cell r="D40">
            <v>1</v>
          </cell>
          <cell r="F40">
            <v>34</v>
          </cell>
          <cell r="G40">
            <v>0</v>
          </cell>
          <cell r="H40">
            <v>0.55918000000000001</v>
          </cell>
          <cell r="I40">
            <v>0.54672614272614739</v>
          </cell>
          <cell r="N40">
            <v>1</v>
          </cell>
          <cell r="P40">
            <v>1</v>
          </cell>
          <cell r="R40">
            <v>672</v>
          </cell>
          <cell r="T40">
            <v>100</v>
          </cell>
          <cell r="V40">
            <v>661</v>
          </cell>
          <cell r="X40">
            <v>0</v>
          </cell>
          <cell r="Z40">
            <v>0</v>
          </cell>
          <cell r="AB40">
            <v>0</v>
          </cell>
          <cell r="AD40">
            <v>0</v>
          </cell>
          <cell r="AF40">
            <v>0</v>
          </cell>
          <cell r="AH40">
            <v>0</v>
          </cell>
          <cell r="AJ40">
            <v>0</v>
          </cell>
          <cell r="AL40">
            <v>0</v>
          </cell>
          <cell r="AN40">
            <v>0</v>
          </cell>
          <cell r="AP40">
            <v>0</v>
          </cell>
          <cell r="AR40">
            <v>0</v>
          </cell>
          <cell r="AT40">
            <v>0</v>
          </cell>
          <cell r="AV40">
            <v>0</v>
          </cell>
          <cell r="AX40">
            <v>0</v>
          </cell>
          <cell r="AZ40">
            <v>0</v>
          </cell>
          <cell r="BB40">
            <v>0</v>
          </cell>
          <cell r="BD40">
            <v>0</v>
          </cell>
          <cell r="BF40">
            <v>0</v>
          </cell>
          <cell r="BH40">
            <v>0</v>
          </cell>
          <cell r="BJ40">
            <v>0</v>
          </cell>
          <cell r="BL40">
            <v>0</v>
          </cell>
          <cell r="BN40">
            <v>0</v>
          </cell>
          <cell r="BP40">
            <v>0</v>
          </cell>
          <cell r="BR40">
            <v>0</v>
          </cell>
          <cell r="BT40">
            <v>0</v>
          </cell>
          <cell r="BV40">
            <v>0</v>
          </cell>
          <cell r="BX40">
            <v>0</v>
          </cell>
          <cell r="BZ40">
            <v>0</v>
          </cell>
          <cell r="CB40">
            <v>0</v>
          </cell>
          <cell r="CD40">
            <v>0</v>
          </cell>
          <cell r="CF40">
            <v>0</v>
          </cell>
          <cell r="CH40">
            <v>0</v>
          </cell>
          <cell r="CJ40">
            <v>0</v>
          </cell>
          <cell r="CL40">
            <v>0</v>
          </cell>
          <cell r="CN40">
            <v>0</v>
          </cell>
          <cell r="CP40">
            <v>0</v>
          </cell>
          <cell r="CR40">
            <v>0</v>
          </cell>
          <cell r="CT40">
            <v>0</v>
          </cell>
          <cell r="CV40">
            <v>0</v>
          </cell>
          <cell r="CX40">
            <v>0</v>
          </cell>
          <cell r="CZ40">
            <v>0</v>
          </cell>
          <cell r="DB40">
            <v>0</v>
          </cell>
          <cell r="DD40">
            <v>0</v>
          </cell>
          <cell r="DF40">
            <v>0</v>
          </cell>
          <cell r="DH40">
            <v>0</v>
          </cell>
          <cell r="DJ40">
            <v>0</v>
          </cell>
          <cell r="DL40">
            <v>0</v>
          </cell>
          <cell r="DN40">
            <v>0</v>
          </cell>
          <cell r="DP40">
            <v>0</v>
          </cell>
          <cell r="DR40">
            <v>0</v>
          </cell>
          <cell r="DT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H40">
            <v>0</v>
          </cell>
          <cell r="EJ40">
            <v>0</v>
          </cell>
          <cell r="EL40">
            <v>0</v>
          </cell>
          <cell r="EN40">
            <v>0</v>
          </cell>
          <cell r="EP40">
            <v>0</v>
          </cell>
          <cell r="ER40">
            <v>0</v>
          </cell>
          <cell r="ET40">
            <v>0</v>
          </cell>
          <cell r="EV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  <cell r="FJ40">
            <v>0</v>
          </cell>
          <cell r="FL40">
            <v>0</v>
          </cell>
          <cell r="FN40">
            <v>0</v>
          </cell>
          <cell r="FP40">
            <v>0</v>
          </cell>
          <cell r="FR40">
            <v>0</v>
          </cell>
          <cell r="FT40">
            <v>0</v>
          </cell>
          <cell r="FV40">
            <v>0</v>
          </cell>
          <cell r="GD40">
            <v>14</v>
          </cell>
          <cell r="GF40">
            <v>4</v>
          </cell>
          <cell r="GH40">
            <v>1</v>
          </cell>
          <cell r="GJ40">
            <v>7</v>
          </cell>
          <cell r="GM40">
            <v>0.01</v>
          </cell>
          <cell r="GN4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0" t="str">
            <v>六</v>
          </cell>
          <cell r="GQ40">
            <v>4.3319999999999914E-2</v>
          </cell>
          <cell r="GR40">
            <v>0</v>
          </cell>
          <cell r="GS40">
            <v>45731</v>
          </cell>
          <cell r="GT40">
            <v>0</v>
          </cell>
          <cell r="GW40" t="str">
            <v>（一）施工廠商施工前檢查事項辦理情形：█完成 □未完成 （二）其他工地安全衛生督導事項：</v>
          </cell>
          <cell r="GX40">
            <v>466850</v>
          </cell>
          <cell r="GY40">
            <v>0</v>
          </cell>
        </row>
        <row r="41">
          <cell r="A41">
            <v>45732</v>
          </cell>
          <cell r="B41" t="str">
            <v>日</v>
          </cell>
          <cell r="C41" t="str">
            <v>雨</v>
          </cell>
          <cell r="D41">
            <v>1</v>
          </cell>
          <cell r="F41">
            <v>35</v>
          </cell>
          <cell r="G41">
            <v>0</v>
          </cell>
          <cell r="H41">
            <v>0.55991999999999997</v>
          </cell>
          <cell r="I41">
            <v>0.54672614272614739</v>
          </cell>
          <cell r="N41">
            <v>1</v>
          </cell>
          <cell r="P41">
            <v>1</v>
          </cell>
          <cell r="R41">
            <v>672</v>
          </cell>
          <cell r="T41">
            <v>100</v>
          </cell>
          <cell r="V41">
            <v>661</v>
          </cell>
          <cell r="X41">
            <v>0</v>
          </cell>
          <cell r="Z41">
            <v>0</v>
          </cell>
          <cell r="AB41">
            <v>0</v>
          </cell>
          <cell r="AD41">
            <v>0</v>
          </cell>
          <cell r="AF41">
            <v>0</v>
          </cell>
          <cell r="AH41">
            <v>0</v>
          </cell>
          <cell r="AJ41">
            <v>0</v>
          </cell>
          <cell r="AL41">
            <v>0</v>
          </cell>
          <cell r="AN41">
            <v>0</v>
          </cell>
          <cell r="AP41">
            <v>0</v>
          </cell>
          <cell r="AR41">
            <v>0</v>
          </cell>
          <cell r="AT41">
            <v>0</v>
          </cell>
          <cell r="AV41">
            <v>0</v>
          </cell>
          <cell r="AX41">
            <v>0</v>
          </cell>
          <cell r="AZ41">
            <v>0</v>
          </cell>
          <cell r="BB41">
            <v>0</v>
          </cell>
          <cell r="BD41">
            <v>0</v>
          </cell>
          <cell r="BF41">
            <v>0</v>
          </cell>
          <cell r="BH41">
            <v>0</v>
          </cell>
          <cell r="BJ41">
            <v>0</v>
          </cell>
          <cell r="BL41">
            <v>0</v>
          </cell>
          <cell r="BN41">
            <v>0</v>
          </cell>
          <cell r="BP41">
            <v>0</v>
          </cell>
          <cell r="BR41">
            <v>0</v>
          </cell>
          <cell r="BT41">
            <v>0</v>
          </cell>
          <cell r="BV41">
            <v>0</v>
          </cell>
          <cell r="BX41">
            <v>0</v>
          </cell>
          <cell r="BZ41">
            <v>0</v>
          </cell>
          <cell r="CB41">
            <v>0</v>
          </cell>
          <cell r="CD41">
            <v>0</v>
          </cell>
          <cell r="CF41">
            <v>0</v>
          </cell>
          <cell r="CH41">
            <v>0</v>
          </cell>
          <cell r="CJ41">
            <v>0</v>
          </cell>
          <cell r="CL41">
            <v>0</v>
          </cell>
          <cell r="CN41">
            <v>0</v>
          </cell>
          <cell r="CP41">
            <v>0</v>
          </cell>
          <cell r="CR41">
            <v>0</v>
          </cell>
          <cell r="CT41">
            <v>0</v>
          </cell>
          <cell r="CV41">
            <v>0</v>
          </cell>
          <cell r="CX41">
            <v>0</v>
          </cell>
          <cell r="CZ41">
            <v>0</v>
          </cell>
          <cell r="DB41">
            <v>0</v>
          </cell>
          <cell r="DD41">
            <v>0</v>
          </cell>
          <cell r="DF41">
            <v>0</v>
          </cell>
          <cell r="DH41">
            <v>0</v>
          </cell>
          <cell r="DJ41">
            <v>0</v>
          </cell>
          <cell r="DL41">
            <v>0</v>
          </cell>
          <cell r="DN41">
            <v>0</v>
          </cell>
          <cell r="DP41">
            <v>0</v>
          </cell>
          <cell r="DR41">
            <v>0</v>
          </cell>
          <cell r="DT41">
            <v>0</v>
          </cell>
          <cell r="DV41">
            <v>0</v>
          </cell>
          <cell r="DX41">
            <v>0</v>
          </cell>
          <cell r="DZ41">
            <v>0</v>
          </cell>
          <cell r="EB41">
            <v>0</v>
          </cell>
          <cell r="ED41">
            <v>0</v>
          </cell>
          <cell r="EF41">
            <v>0</v>
          </cell>
          <cell r="EH41">
            <v>0</v>
          </cell>
          <cell r="EJ41">
            <v>0</v>
          </cell>
          <cell r="EL41">
            <v>0</v>
          </cell>
          <cell r="EN41">
            <v>0</v>
          </cell>
          <cell r="EP41">
            <v>0</v>
          </cell>
          <cell r="ER41">
            <v>0</v>
          </cell>
          <cell r="ET41">
            <v>0</v>
          </cell>
          <cell r="EV41">
            <v>0</v>
          </cell>
          <cell r="EX41">
            <v>0</v>
          </cell>
          <cell r="EZ41">
            <v>0</v>
          </cell>
          <cell r="FB41">
            <v>0</v>
          </cell>
          <cell r="FD41">
            <v>0</v>
          </cell>
          <cell r="FF41">
            <v>0</v>
          </cell>
          <cell r="FH41">
            <v>0</v>
          </cell>
          <cell r="FJ41">
            <v>0</v>
          </cell>
          <cell r="FL41">
            <v>0</v>
          </cell>
          <cell r="FN41">
            <v>0</v>
          </cell>
          <cell r="FP41">
            <v>0</v>
          </cell>
          <cell r="FR41">
            <v>0</v>
          </cell>
          <cell r="FT41">
            <v>0</v>
          </cell>
          <cell r="FV41">
            <v>0</v>
          </cell>
          <cell r="GD41">
            <v>14</v>
          </cell>
          <cell r="GF41">
            <v>4</v>
          </cell>
          <cell r="GH41">
            <v>1</v>
          </cell>
          <cell r="GJ41">
            <v>7</v>
          </cell>
          <cell r="GM41">
            <v>0.01</v>
          </cell>
          <cell r="GN4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1" t="str">
            <v>日</v>
          </cell>
          <cell r="GQ41">
            <v>3.0180000000000096E-2</v>
          </cell>
          <cell r="GR41">
            <v>0</v>
          </cell>
          <cell r="GS41">
            <v>45732</v>
          </cell>
          <cell r="GT41">
            <v>0</v>
          </cell>
          <cell r="GW41" t="str">
            <v>（一）施工廠商施工前檢查事項辦理情形：█完成 □未完成 （二）其他工地安全衛生督導事項：</v>
          </cell>
          <cell r="GX41">
            <v>466850</v>
          </cell>
          <cell r="GY41">
            <v>0</v>
          </cell>
        </row>
        <row r="42">
          <cell r="A42">
            <v>45733</v>
          </cell>
          <cell r="B42" t="str">
            <v>一</v>
          </cell>
          <cell r="C42" t="str">
            <v>雨</v>
          </cell>
          <cell r="D42">
            <v>1</v>
          </cell>
          <cell r="F42">
            <v>36</v>
          </cell>
          <cell r="G42">
            <v>0</v>
          </cell>
          <cell r="H42">
            <v>0.56066000000000005</v>
          </cell>
          <cell r="I42">
            <v>0.54672614272614739</v>
          </cell>
          <cell r="N42">
            <v>1</v>
          </cell>
          <cell r="P42">
            <v>1</v>
          </cell>
          <cell r="R42">
            <v>672</v>
          </cell>
          <cell r="T42">
            <v>100</v>
          </cell>
          <cell r="V42">
            <v>661</v>
          </cell>
          <cell r="X42">
            <v>0</v>
          </cell>
          <cell r="Z42">
            <v>0</v>
          </cell>
          <cell r="AB42">
            <v>0</v>
          </cell>
          <cell r="AD42">
            <v>0</v>
          </cell>
          <cell r="AF42">
            <v>0</v>
          </cell>
          <cell r="AH42">
            <v>0</v>
          </cell>
          <cell r="AJ42">
            <v>0</v>
          </cell>
          <cell r="AL42">
            <v>0</v>
          </cell>
          <cell r="AN42">
            <v>0</v>
          </cell>
          <cell r="AP42">
            <v>0</v>
          </cell>
          <cell r="AR42">
            <v>0</v>
          </cell>
          <cell r="AT42">
            <v>0</v>
          </cell>
          <cell r="AV42">
            <v>0</v>
          </cell>
          <cell r="AX42">
            <v>0</v>
          </cell>
          <cell r="AZ42">
            <v>0</v>
          </cell>
          <cell r="BB42">
            <v>0</v>
          </cell>
          <cell r="BD42">
            <v>0</v>
          </cell>
          <cell r="BF42">
            <v>0</v>
          </cell>
          <cell r="BH42">
            <v>0</v>
          </cell>
          <cell r="BJ42">
            <v>0</v>
          </cell>
          <cell r="BL42">
            <v>0</v>
          </cell>
          <cell r="BN42">
            <v>0</v>
          </cell>
          <cell r="BP42">
            <v>0</v>
          </cell>
          <cell r="BR42">
            <v>0</v>
          </cell>
          <cell r="BT42">
            <v>0</v>
          </cell>
          <cell r="BV42">
            <v>0</v>
          </cell>
          <cell r="BX42">
            <v>0</v>
          </cell>
          <cell r="BZ42">
            <v>0</v>
          </cell>
          <cell r="CB42">
            <v>0</v>
          </cell>
          <cell r="CD42">
            <v>0</v>
          </cell>
          <cell r="CF42">
            <v>0</v>
          </cell>
          <cell r="CH42">
            <v>0</v>
          </cell>
          <cell r="CJ42">
            <v>0</v>
          </cell>
          <cell r="CL42">
            <v>0</v>
          </cell>
          <cell r="CN42">
            <v>0</v>
          </cell>
          <cell r="CP42">
            <v>0</v>
          </cell>
          <cell r="CR42">
            <v>0</v>
          </cell>
          <cell r="CT42">
            <v>0</v>
          </cell>
          <cell r="CV42">
            <v>0</v>
          </cell>
          <cell r="CX42">
            <v>0</v>
          </cell>
          <cell r="CZ42">
            <v>0</v>
          </cell>
          <cell r="DB42">
            <v>0</v>
          </cell>
          <cell r="DD42">
            <v>0</v>
          </cell>
          <cell r="DF42">
            <v>0</v>
          </cell>
          <cell r="DH42">
            <v>0</v>
          </cell>
          <cell r="DJ42">
            <v>0</v>
          </cell>
          <cell r="DL42">
            <v>0</v>
          </cell>
          <cell r="DN42">
            <v>0</v>
          </cell>
          <cell r="DP42">
            <v>0</v>
          </cell>
          <cell r="DR42">
            <v>0</v>
          </cell>
          <cell r="DT42">
            <v>0</v>
          </cell>
          <cell r="DV42">
            <v>0</v>
          </cell>
          <cell r="DX42">
            <v>0</v>
          </cell>
          <cell r="DZ42">
            <v>0</v>
          </cell>
          <cell r="EB42">
            <v>0</v>
          </cell>
          <cell r="ED42">
            <v>0</v>
          </cell>
          <cell r="EF42">
            <v>0</v>
          </cell>
          <cell r="EH42">
            <v>0</v>
          </cell>
          <cell r="EJ42">
            <v>0</v>
          </cell>
          <cell r="EL42">
            <v>0</v>
          </cell>
          <cell r="EN42">
            <v>0</v>
          </cell>
          <cell r="EP42">
            <v>0</v>
          </cell>
          <cell r="ER42">
            <v>0</v>
          </cell>
          <cell r="ET42">
            <v>0</v>
          </cell>
          <cell r="EV42">
            <v>0</v>
          </cell>
          <cell r="EX42">
            <v>0</v>
          </cell>
          <cell r="EZ42">
            <v>0</v>
          </cell>
          <cell r="FB42">
            <v>0</v>
          </cell>
          <cell r="FD42">
            <v>0</v>
          </cell>
          <cell r="FF42">
            <v>0</v>
          </cell>
          <cell r="FH42">
            <v>0</v>
          </cell>
          <cell r="FJ42">
            <v>0</v>
          </cell>
          <cell r="FL42">
            <v>0</v>
          </cell>
          <cell r="FN42">
            <v>0</v>
          </cell>
          <cell r="FP42">
            <v>0</v>
          </cell>
          <cell r="FR42">
            <v>0</v>
          </cell>
          <cell r="FT42">
            <v>0</v>
          </cell>
          <cell r="FV42">
            <v>0</v>
          </cell>
          <cell r="GD42">
            <v>14</v>
          </cell>
          <cell r="GF42">
            <v>4</v>
          </cell>
          <cell r="GH42">
            <v>1</v>
          </cell>
          <cell r="GJ42">
            <v>7</v>
          </cell>
          <cell r="GM42">
            <v>0</v>
          </cell>
          <cell r="GN4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2" t="str">
            <v>一</v>
          </cell>
          <cell r="GQ42">
            <v>2.9919999999999947E-2</v>
          </cell>
          <cell r="GR42">
            <v>0</v>
          </cell>
          <cell r="GS42">
            <v>45733</v>
          </cell>
          <cell r="GT42">
            <v>0</v>
          </cell>
          <cell r="GW42" t="str">
            <v>（一）施工廠商施工前檢查事項辦理情形：█完成 □未完成 （二）其他工地安全衛生督導事項：</v>
          </cell>
          <cell r="GX42">
            <v>466850</v>
          </cell>
          <cell r="GY42">
            <v>0</v>
          </cell>
        </row>
        <row r="43">
          <cell r="A43">
            <v>45734</v>
          </cell>
          <cell r="B43" t="str">
            <v>二</v>
          </cell>
          <cell r="C43" t="str">
            <v>雨</v>
          </cell>
          <cell r="D43">
            <v>1</v>
          </cell>
          <cell r="F43">
            <v>37</v>
          </cell>
          <cell r="G43">
            <v>0</v>
          </cell>
          <cell r="H43">
            <v>0.56140000000000001</v>
          </cell>
          <cell r="I43">
            <v>0.55890554057203357</v>
          </cell>
          <cell r="N43">
            <v>1</v>
          </cell>
          <cell r="P43">
            <v>1</v>
          </cell>
          <cell r="R43">
            <v>672</v>
          </cell>
          <cell r="S43">
            <v>8</v>
          </cell>
          <cell r="T43">
            <v>108</v>
          </cell>
          <cell r="V43">
            <v>661</v>
          </cell>
          <cell r="X43">
            <v>0</v>
          </cell>
          <cell r="Z43">
            <v>0</v>
          </cell>
          <cell r="AB43">
            <v>0</v>
          </cell>
          <cell r="AD43">
            <v>0</v>
          </cell>
          <cell r="AE43">
            <v>0.5</v>
          </cell>
          <cell r="AF43">
            <v>0.5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0</v>
          </cell>
          <cell r="AV43">
            <v>0</v>
          </cell>
          <cell r="AX43">
            <v>0</v>
          </cell>
          <cell r="AZ43">
            <v>0</v>
          </cell>
          <cell r="BB43">
            <v>0</v>
          </cell>
          <cell r="BD43">
            <v>0</v>
          </cell>
          <cell r="BF43">
            <v>0</v>
          </cell>
          <cell r="BH43">
            <v>0</v>
          </cell>
          <cell r="BJ43">
            <v>0</v>
          </cell>
          <cell r="BL43">
            <v>0</v>
          </cell>
          <cell r="BN43">
            <v>0</v>
          </cell>
          <cell r="BP43">
            <v>0</v>
          </cell>
          <cell r="BR43">
            <v>0</v>
          </cell>
          <cell r="BT43">
            <v>0</v>
          </cell>
          <cell r="BV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0</v>
          </cell>
          <cell r="CV43">
            <v>0</v>
          </cell>
          <cell r="CX43">
            <v>0</v>
          </cell>
          <cell r="CZ43">
            <v>0</v>
          </cell>
          <cell r="DB43">
            <v>0</v>
          </cell>
          <cell r="DD43">
            <v>0</v>
          </cell>
          <cell r="DF43">
            <v>0</v>
          </cell>
          <cell r="DH43">
            <v>0</v>
          </cell>
          <cell r="DJ43">
            <v>0</v>
          </cell>
          <cell r="DL43">
            <v>0</v>
          </cell>
          <cell r="DN43">
            <v>0</v>
          </cell>
          <cell r="DP43">
            <v>0</v>
          </cell>
          <cell r="DR43">
            <v>0</v>
          </cell>
          <cell r="DT43">
            <v>0</v>
          </cell>
          <cell r="DV43">
            <v>0</v>
          </cell>
          <cell r="DX43">
            <v>0</v>
          </cell>
          <cell r="DZ43">
            <v>0</v>
          </cell>
          <cell r="EB43">
            <v>0</v>
          </cell>
          <cell r="ED43">
            <v>0</v>
          </cell>
          <cell r="EF43">
            <v>0</v>
          </cell>
          <cell r="EH43">
            <v>0</v>
          </cell>
          <cell r="EJ43">
            <v>0</v>
          </cell>
          <cell r="EL43">
            <v>0</v>
          </cell>
          <cell r="EN43">
            <v>0</v>
          </cell>
          <cell r="EP43">
            <v>0</v>
          </cell>
          <cell r="ER43">
            <v>0</v>
          </cell>
          <cell r="ET43">
            <v>0</v>
          </cell>
          <cell r="EV43">
            <v>0</v>
          </cell>
          <cell r="EX43">
            <v>0</v>
          </cell>
          <cell r="EZ43">
            <v>0</v>
          </cell>
          <cell r="FB43">
            <v>0</v>
          </cell>
          <cell r="FD43">
            <v>0</v>
          </cell>
          <cell r="FF43">
            <v>0</v>
          </cell>
          <cell r="FH43">
            <v>0</v>
          </cell>
          <cell r="FJ43">
            <v>0</v>
          </cell>
          <cell r="FL43">
            <v>0</v>
          </cell>
          <cell r="FN43">
            <v>0</v>
          </cell>
          <cell r="FP43">
            <v>0</v>
          </cell>
          <cell r="FR43">
            <v>0</v>
          </cell>
          <cell r="FT43">
            <v>0</v>
          </cell>
          <cell r="FV43">
            <v>0</v>
          </cell>
          <cell r="GD43">
            <v>14</v>
          </cell>
          <cell r="GF43">
            <v>4</v>
          </cell>
          <cell r="GH43">
            <v>1</v>
          </cell>
          <cell r="GJ43">
            <v>7</v>
          </cell>
          <cell r="GM43">
            <v>0</v>
          </cell>
          <cell r="GN4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3" t="str">
            <v>二</v>
          </cell>
          <cell r="GQ43">
            <v>-1</v>
          </cell>
          <cell r="GR43">
            <v>1.2179397845886175E-2</v>
          </cell>
          <cell r="GS43">
            <v>45734</v>
          </cell>
          <cell r="GT43">
            <v>0</v>
          </cell>
          <cell r="GW43" t="str">
            <v>（一）施工廠商施工前檢查事項辦理情形：█完成 □未完成 （二）其他工地安全衛生督導事項：</v>
          </cell>
          <cell r="GX43">
            <v>477250</v>
          </cell>
          <cell r="GY43">
            <v>0</v>
          </cell>
        </row>
        <row r="44">
          <cell r="A44">
            <v>45735</v>
          </cell>
          <cell r="B44" t="str">
            <v>三</v>
          </cell>
          <cell r="C44" t="str">
            <v>晴</v>
          </cell>
          <cell r="D44">
            <v>1</v>
          </cell>
          <cell r="F44">
            <v>38</v>
          </cell>
          <cell r="G44">
            <v>0</v>
          </cell>
          <cell r="H44">
            <v>0.56213999999999997</v>
          </cell>
          <cell r="I44">
            <v>0.55890554057203357</v>
          </cell>
          <cell r="N44">
            <v>1</v>
          </cell>
          <cell r="P44">
            <v>1</v>
          </cell>
          <cell r="R44">
            <v>672</v>
          </cell>
          <cell r="T44">
            <v>108</v>
          </cell>
          <cell r="V44">
            <v>661</v>
          </cell>
          <cell r="X44">
            <v>0</v>
          </cell>
          <cell r="Z44">
            <v>0</v>
          </cell>
          <cell r="AB44">
            <v>0</v>
          </cell>
          <cell r="AD44">
            <v>0</v>
          </cell>
          <cell r="AF44">
            <v>0.5</v>
          </cell>
          <cell r="AH44">
            <v>0</v>
          </cell>
          <cell r="AJ44">
            <v>0</v>
          </cell>
          <cell r="AL44">
            <v>0</v>
          </cell>
          <cell r="AN44">
            <v>0</v>
          </cell>
          <cell r="AP44">
            <v>0</v>
          </cell>
          <cell r="AR44">
            <v>0</v>
          </cell>
          <cell r="AT44">
            <v>0</v>
          </cell>
          <cell r="AV44">
            <v>0</v>
          </cell>
          <cell r="AX44">
            <v>0</v>
          </cell>
          <cell r="AZ44">
            <v>0</v>
          </cell>
          <cell r="BB44">
            <v>0</v>
          </cell>
          <cell r="BD44">
            <v>0</v>
          </cell>
          <cell r="BF44">
            <v>0</v>
          </cell>
          <cell r="BH44">
            <v>0</v>
          </cell>
          <cell r="BJ44">
            <v>0</v>
          </cell>
          <cell r="BL44">
            <v>0</v>
          </cell>
          <cell r="BN44">
            <v>0</v>
          </cell>
          <cell r="BP44">
            <v>0</v>
          </cell>
          <cell r="BR44">
            <v>0</v>
          </cell>
          <cell r="BT44">
            <v>0</v>
          </cell>
          <cell r="BV44">
            <v>0</v>
          </cell>
          <cell r="BX44">
            <v>0</v>
          </cell>
          <cell r="BZ44">
            <v>0</v>
          </cell>
          <cell r="CB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L44">
            <v>0</v>
          </cell>
          <cell r="CN44">
            <v>0</v>
          </cell>
          <cell r="CP44">
            <v>0</v>
          </cell>
          <cell r="CR44">
            <v>0</v>
          </cell>
          <cell r="CT44">
            <v>0</v>
          </cell>
          <cell r="CV44">
            <v>0</v>
          </cell>
          <cell r="CX44">
            <v>0</v>
          </cell>
          <cell r="CZ44">
            <v>0</v>
          </cell>
          <cell r="DB44">
            <v>0</v>
          </cell>
          <cell r="DD44">
            <v>0</v>
          </cell>
          <cell r="DF44">
            <v>0</v>
          </cell>
          <cell r="DH44">
            <v>0</v>
          </cell>
          <cell r="DJ44">
            <v>0</v>
          </cell>
          <cell r="DL44">
            <v>0</v>
          </cell>
          <cell r="DN44">
            <v>0</v>
          </cell>
          <cell r="DP44">
            <v>0</v>
          </cell>
          <cell r="DR44">
            <v>0</v>
          </cell>
          <cell r="DT44">
            <v>0</v>
          </cell>
          <cell r="DV44">
            <v>0</v>
          </cell>
          <cell r="DX44">
            <v>0</v>
          </cell>
          <cell r="DZ44">
            <v>0</v>
          </cell>
          <cell r="EB44">
            <v>0</v>
          </cell>
          <cell r="ED44">
            <v>0</v>
          </cell>
          <cell r="EF44">
            <v>0</v>
          </cell>
          <cell r="EH44">
            <v>0</v>
          </cell>
          <cell r="EJ44">
            <v>0</v>
          </cell>
          <cell r="EL44">
            <v>0</v>
          </cell>
          <cell r="EN44">
            <v>0</v>
          </cell>
          <cell r="EP44">
            <v>0</v>
          </cell>
          <cell r="ER44">
            <v>0</v>
          </cell>
          <cell r="ET44">
            <v>0</v>
          </cell>
          <cell r="EV44">
            <v>0</v>
          </cell>
          <cell r="EX44">
            <v>0</v>
          </cell>
          <cell r="EZ44">
            <v>0</v>
          </cell>
          <cell r="FB44">
            <v>0</v>
          </cell>
          <cell r="FD44">
            <v>0</v>
          </cell>
          <cell r="FF44">
            <v>0</v>
          </cell>
          <cell r="FH44">
            <v>0</v>
          </cell>
          <cell r="FJ44">
            <v>0</v>
          </cell>
          <cell r="FL44">
            <v>0</v>
          </cell>
          <cell r="FN44">
            <v>0</v>
          </cell>
          <cell r="FP44">
            <v>0</v>
          </cell>
          <cell r="FR44">
            <v>0</v>
          </cell>
          <cell r="FT44">
            <v>0</v>
          </cell>
          <cell r="FV44">
            <v>0</v>
          </cell>
          <cell r="GD44">
            <v>14</v>
          </cell>
          <cell r="GF44">
            <v>4</v>
          </cell>
          <cell r="GH44">
            <v>1</v>
          </cell>
          <cell r="GJ44">
            <v>7</v>
          </cell>
          <cell r="GM44">
            <v>0</v>
          </cell>
          <cell r="GN4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4" t="str">
            <v>三</v>
          </cell>
          <cell r="GQ44">
            <v>0</v>
          </cell>
          <cell r="GR44">
            <v>0</v>
          </cell>
          <cell r="GS44">
            <v>45735</v>
          </cell>
          <cell r="GT44">
            <v>0</v>
          </cell>
          <cell r="GW44" t="str">
            <v>（一）施工廠商施工前檢查事項辦理情形：█完成 □未完成 （二）其他工地安全衛生督導事項：</v>
          </cell>
          <cell r="GX44">
            <v>477250</v>
          </cell>
          <cell r="GY44">
            <v>0</v>
          </cell>
        </row>
        <row r="45">
          <cell r="A45">
            <v>45736</v>
          </cell>
          <cell r="B45" t="str">
            <v>四</v>
          </cell>
          <cell r="C45" t="str">
            <v>晴</v>
          </cell>
          <cell r="D45">
            <v>1</v>
          </cell>
          <cell r="F45">
            <v>39</v>
          </cell>
          <cell r="G45">
            <v>0</v>
          </cell>
          <cell r="H45">
            <v>0.56288000000000005</v>
          </cell>
          <cell r="I45">
            <v>0.57412978787939117</v>
          </cell>
          <cell r="N45">
            <v>1</v>
          </cell>
          <cell r="P45">
            <v>1</v>
          </cell>
          <cell r="R45">
            <v>672</v>
          </cell>
          <cell r="T45">
            <v>108</v>
          </cell>
          <cell r="V45">
            <v>661</v>
          </cell>
          <cell r="W45">
            <v>2</v>
          </cell>
          <cell r="X45">
            <v>2</v>
          </cell>
          <cell r="Y45">
            <v>1</v>
          </cell>
          <cell r="Z45">
            <v>1</v>
          </cell>
          <cell r="AB45">
            <v>0</v>
          </cell>
          <cell r="AD45">
            <v>0</v>
          </cell>
          <cell r="AF45">
            <v>0.5</v>
          </cell>
          <cell r="AH45">
            <v>0</v>
          </cell>
          <cell r="AJ45">
            <v>0</v>
          </cell>
          <cell r="AL45">
            <v>0</v>
          </cell>
          <cell r="AN45">
            <v>0</v>
          </cell>
          <cell r="AP45">
            <v>0</v>
          </cell>
          <cell r="AR45">
            <v>0</v>
          </cell>
          <cell r="AT45">
            <v>0</v>
          </cell>
          <cell r="AV45">
            <v>0</v>
          </cell>
          <cell r="AX45">
            <v>0</v>
          </cell>
          <cell r="AZ45">
            <v>0</v>
          </cell>
          <cell r="BB45">
            <v>0</v>
          </cell>
          <cell r="BD45">
            <v>0</v>
          </cell>
          <cell r="BF45">
            <v>0</v>
          </cell>
          <cell r="BH45">
            <v>0</v>
          </cell>
          <cell r="BJ45">
            <v>0</v>
          </cell>
          <cell r="BL45">
            <v>0</v>
          </cell>
          <cell r="BN45">
            <v>0</v>
          </cell>
          <cell r="BP45">
            <v>0</v>
          </cell>
          <cell r="BR45">
            <v>0</v>
          </cell>
          <cell r="BT45">
            <v>0</v>
          </cell>
          <cell r="BV45">
            <v>0</v>
          </cell>
          <cell r="BX45">
            <v>0</v>
          </cell>
          <cell r="BZ45">
            <v>0</v>
          </cell>
          <cell r="CB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L45">
            <v>0</v>
          </cell>
          <cell r="CN45">
            <v>0</v>
          </cell>
          <cell r="CP45">
            <v>0</v>
          </cell>
          <cell r="CR45">
            <v>0</v>
          </cell>
          <cell r="CT45">
            <v>0</v>
          </cell>
          <cell r="CV45">
            <v>0</v>
          </cell>
          <cell r="CX45">
            <v>0</v>
          </cell>
          <cell r="CZ45">
            <v>0</v>
          </cell>
          <cell r="DB45">
            <v>0</v>
          </cell>
          <cell r="DD45">
            <v>0</v>
          </cell>
          <cell r="DF45">
            <v>0</v>
          </cell>
          <cell r="DH45">
            <v>0</v>
          </cell>
          <cell r="DJ45">
            <v>0</v>
          </cell>
          <cell r="DL45">
            <v>0</v>
          </cell>
          <cell r="DN45">
            <v>0</v>
          </cell>
          <cell r="DP45">
            <v>0</v>
          </cell>
          <cell r="DR45">
            <v>0</v>
          </cell>
          <cell r="DT45">
            <v>0</v>
          </cell>
          <cell r="DV45">
            <v>0</v>
          </cell>
          <cell r="DX45">
            <v>0</v>
          </cell>
          <cell r="DZ45">
            <v>0</v>
          </cell>
          <cell r="EB45">
            <v>0</v>
          </cell>
          <cell r="ED45">
            <v>0</v>
          </cell>
          <cell r="EF45">
            <v>0</v>
          </cell>
          <cell r="EH45">
            <v>0</v>
          </cell>
          <cell r="EJ45">
            <v>0</v>
          </cell>
          <cell r="EL45">
            <v>0</v>
          </cell>
          <cell r="EN45">
            <v>0</v>
          </cell>
          <cell r="EP45">
            <v>0</v>
          </cell>
          <cell r="ER45">
            <v>0</v>
          </cell>
          <cell r="ET45">
            <v>0</v>
          </cell>
          <cell r="EV45">
            <v>0</v>
          </cell>
          <cell r="EX45">
            <v>0</v>
          </cell>
          <cell r="EZ45">
            <v>0</v>
          </cell>
          <cell r="FB45">
            <v>0</v>
          </cell>
          <cell r="FD45">
            <v>0</v>
          </cell>
          <cell r="FF45">
            <v>0</v>
          </cell>
          <cell r="FH45">
            <v>0</v>
          </cell>
          <cell r="FJ45">
            <v>0</v>
          </cell>
          <cell r="FL45">
            <v>0</v>
          </cell>
          <cell r="FN45">
            <v>0</v>
          </cell>
          <cell r="FP45">
            <v>0</v>
          </cell>
          <cell r="FR45">
            <v>0</v>
          </cell>
          <cell r="FT45">
            <v>0</v>
          </cell>
          <cell r="FV45">
            <v>0</v>
          </cell>
          <cell r="GD45">
            <v>14</v>
          </cell>
          <cell r="GF45">
            <v>4</v>
          </cell>
          <cell r="GH45">
            <v>1</v>
          </cell>
          <cell r="GJ45">
            <v>7</v>
          </cell>
          <cell r="GM45">
            <v>0</v>
          </cell>
          <cell r="GN4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5" t="str">
            <v>四</v>
          </cell>
          <cell r="GQ45" t="e">
            <v>#REF!</v>
          </cell>
          <cell r="GR45">
            <v>1.5224247307357608E-2</v>
          </cell>
          <cell r="GS45">
            <v>45736</v>
          </cell>
          <cell r="GT45">
            <v>0</v>
          </cell>
          <cell r="GW45" t="str">
            <v>（一）施工廠商施工前檢查事項辦理情形：█完成 □未完成 （二）其他工地安全衛生督導事項：</v>
          </cell>
          <cell r="GX45">
            <v>490250</v>
          </cell>
          <cell r="GY45">
            <v>0</v>
          </cell>
        </row>
        <row r="46">
          <cell r="A46">
            <v>45737</v>
          </cell>
          <cell r="B46" t="str">
            <v>五</v>
          </cell>
          <cell r="C46" t="str">
            <v>晴</v>
          </cell>
          <cell r="D46">
            <v>1</v>
          </cell>
          <cell r="F46">
            <v>40</v>
          </cell>
          <cell r="G46">
            <v>0</v>
          </cell>
          <cell r="H46">
            <v>0.56362000000000001</v>
          </cell>
          <cell r="I46">
            <v>0.57412978787939117</v>
          </cell>
          <cell r="N46">
            <v>1</v>
          </cell>
          <cell r="P46">
            <v>1</v>
          </cell>
          <cell r="R46">
            <v>672</v>
          </cell>
          <cell r="T46">
            <v>108</v>
          </cell>
          <cell r="V46">
            <v>661</v>
          </cell>
          <cell r="X46">
            <v>2</v>
          </cell>
          <cell r="Z46">
            <v>1</v>
          </cell>
          <cell r="AB46">
            <v>0</v>
          </cell>
          <cell r="AD46">
            <v>0</v>
          </cell>
          <cell r="AF46">
            <v>0.5</v>
          </cell>
          <cell r="AH46">
            <v>0</v>
          </cell>
          <cell r="AJ46">
            <v>0</v>
          </cell>
          <cell r="AL46">
            <v>0</v>
          </cell>
          <cell r="AN46">
            <v>0</v>
          </cell>
          <cell r="AP46">
            <v>0</v>
          </cell>
          <cell r="AR46">
            <v>0</v>
          </cell>
          <cell r="AT46">
            <v>0</v>
          </cell>
          <cell r="AV46">
            <v>0</v>
          </cell>
          <cell r="AX46">
            <v>0</v>
          </cell>
          <cell r="AZ46">
            <v>0</v>
          </cell>
          <cell r="BB46">
            <v>0</v>
          </cell>
          <cell r="BD46">
            <v>0</v>
          </cell>
          <cell r="BF46">
            <v>0</v>
          </cell>
          <cell r="BH46">
            <v>0</v>
          </cell>
          <cell r="BJ46">
            <v>0</v>
          </cell>
          <cell r="BL46">
            <v>0</v>
          </cell>
          <cell r="BN46">
            <v>0</v>
          </cell>
          <cell r="BP46">
            <v>0</v>
          </cell>
          <cell r="BR46">
            <v>0</v>
          </cell>
          <cell r="BT46">
            <v>0</v>
          </cell>
          <cell r="BV46">
            <v>0</v>
          </cell>
          <cell r="BX46">
            <v>0</v>
          </cell>
          <cell r="BZ46">
            <v>0</v>
          </cell>
          <cell r="CB46">
            <v>0</v>
          </cell>
          <cell r="CD46">
            <v>0</v>
          </cell>
          <cell r="CF46">
            <v>0</v>
          </cell>
          <cell r="CH46">
            <v>0</v>
          </cell>
          <cell r="CJ46">
            <v>0</v>
          </cell>
          <cell r="CL46">
            <v>0</v>
          </cell>
          <cell r="CN46">
            <v>0</v>
          </cell>
          <cell r="CP46">
            <v>0</v>
          </cell>
          <cell r="CR46">
            <v>0</v>
          </cell>
          <cell r="CT46">
            <v>0</v>
          </cell>
          <cell r="CV46">
            <v>0</v>
          </cell>
          <cell r="CX46">
            <v>0</v>
          </cell>
          <cell r="CZ46">
            <v>0</v>
          </cell>
          <cell r="DB46">
            <v>0</v>
          </cell>
          <cell r="DD46">
            <v>0</v>
          </cell>
          <cell r="DF46">
            <v>0</v>
          </cell>
          <cell r="DH46">
            <v>0</v>
          </cell>
          <cell r="DJ46">
            <v>0</v>
          </cell>
          <cell r="DL46">
            <v>0</v>
          </cell>
          <cell r="DN46">
            <v>0</v>
          </cell>
          <cell r="DP46">
            <v>0</v>
          </cell>
          <cell r="DR46">
            <v>0</v>
          </cell>
          <cell r="DT46">
            <v>0</v>
          </cell>
          <cell r="DV46">
            <v>0</v>
          </cell>
          <cell r="DX46">
            <v>0</v>
          </cell>
          <cell r="DZ46">
            <v>0</v>
          </cell>
          <cell r="EB46">
            <v>0</v>
          </cell>
          <cell r="ED46">
            <v>0</v>
          </cell>
          <cell r="EF46">
            <v>0</v>
          </cell>
          <cell r="EH46">
            <v>0</v>
          </cell>
          <cell r="EJ46">
            <v>0</v>
          </cell>
          <cell r="EL46">
            <v>0</v>
          </cell>
          <cell r="EN46">
            <v>0</v>
          </cell>
          <cell r="EP46">
            <v>0</v>
          </cell>
          <cell r="ER46">
            <v>0</v>
          </cell>
          <cell r="ET46">
            <v>0</v>
          </cell>
          <cell r="EV46">
            <v>0</v>
          </cell>
          <cell r="EX46">
            <v>0</v>
          </cell>
          <cell r="EZ46">
            <v>0</v>
          </cell>
          <cell r="FB46">
            <v>0</v>
          </cell>
          <cell r="FD46">
            <v>0</v>
          </cell>
          <cell r="FF46">
            <v>0</v>
          </cell>
          <cell r="FH46">
            <v>0</v>
          </cell>
          <cell r="FJ46">
            <v>0</v>
          </cell>
          <cell r="FL46">
            <v>0</v>
          </cell>
          <cell r="FN46">
            <v>0</v>
          </cell>
          <cell r="FP46">
            <v>0</v>
          </cell>
          <cell r="FR46">
            <v>0</v>
          </cell>
          <cell r="FT46">
            <v>0</v>
          </cell>
          <cell r="FV46">
            <v>0</v>
          </cell>
          <cell r="GD46">
            <v>14</v>
          </cell>
          <cell r="GF46">
            <v>4</v>
          </cell>
          <cell r="GH46">
            <v>1</v>
          </cell>
          <cell r="GJ46">
            <v>7</v>
          </cell>
          <cell r="GM46">
            <v>0</v>
          </cell>
          <cell r="GN4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6" t="str">
            <v>五</v>
          </cell>
          <cell r="GQ46" t="e">
            <v>#REF!</v>
          </cell>
          <cell r="GR46">
            <v>0</v>
          </cell>
          <cell r="GS46">
            <v>45737</v>
          </cell>
          <cell r="GT46">
            <v>0</v>
          </cell>
          <cell r="GW46" t="str">
            <v>（一）施工廠商施工前檢查事項辦理情形：█完成 □未完成 （二）其他工地安全衛生督導事項：</v>
          </cell>
          <cell r="GX46">
            <v>490250</v>
          </cell>
          <cell r="GY46">
            <v>0</v>
          </cell>
        </row>
        <row r="47">
          <cell r="A47">
            <v>45738</v>
          </cell>
          <cell r="B47" t="str">
            <v>六</v>
          </cell>
          <cell r="C47" t="str">
            <v>晴</v>
          </cell>
          <cell r="D47">
            <v>1</v>
          </cell>
          <cell r="F47">
            <v>41</v>
          </cell>
          <cell r="G47">
            <v>0</v>
          </cell>
          <cell r="H47">
            <v>0.56564999999999999</v>
          </cell>
          <cell r="I47">
            <v>0.57412978787939117</v>
          </cell>
          <cell r="N47">
            <v>1</v>
          </cell>
          <cell r="P47">
            <v>1</v>
          </cell>
          <cell r="R47">
            <v>672</v>
          </cell>
          <cell r="T47">
            <v>108</v>
          </cell>
          <cell r="V47">
            <v>661</v>
          </cell>
          <cell r="X47">
            <v>2</v>
          </cell>
          <cell r="Z47">
            <v>1</v>
          </cell>
          <cell r="AB47">
            <v>0</v>
          </cell>
          <cell r="AD47">
            <v>0</v>
          </cell>
          <cell r="AF47">
            <v>0.5</v>
          </cell>
          <cell r="AH47">
            <v>0</v>
          </cell>
          <cell r="AJ47">
            <v>0</v>
          </cell>
          <cell r="AL47">
            <v>0</v>
          </cell>
          <cell r="AN47">
            <v>0</v>
          </cell>
          <cell r="AP47">
            <v>0</v>
          </cell>
          <cell r="AR47">
            <v>0</v>
          </cell>
          <cell r="AT47">
            <v>0</v>
          </cell>
          <cell r="AV47">
            <v>0</v>
          </cell>
          <cell r="AX47">
            <v>0</v>
          </cell>
          <cell r="AZ47">
            <v>0</v>
          </cell>
          <cell r="BB47">
            <v>0</v>
          </cell>
          <cell r="BD47">
            <v>0</v>
          </cell>
          <cell r="BF47">
            <v>0</v>
          </cell>
          <cell r="BH47">
            <v>0</v>
          </cell>
          <cell r="BJ47">
            <v>0</v>
          </cell>
          <cell r="BL47">
            <v>0</v>
          </cell>
          <cell r="BN47">
            <v>0</v>
          </cell>
          <cell r="BP47">
            <v>0</v>
          </cell>
          <cell r="BR47">
            <v>0</v>
          </cell>
          <cell r="BT47">
            <v>0</v>
          </cell>
          <cell r="BV47">
            <v>0</v>
          </cell>
          <cell r="BX47">
            <v>0</v>
          </cell>
          <cell r="BZ47">
            <v>0</v>
          </cell>
          <cell r="CB47">
            <v>0</v>
          </cell>
          <cell r="CD47">
            <v>0</v>
          </cell>
          <cell r="CF47">
            <v>0</v>
          </cell>
          <cell r="CH47">
            <v>0</v>
          </cell>
          <cell r="CJ47">
            <v>0</v>
          </cell>
          <cell r="CL47">
            <v>0</v>
          </cell>
          <cell r="CN47">
            <v>0</v>
          </cell>
          <cell r="CP47">
            <v>0</v>
          </cell>
          <cell r="CR47">
            <v>0</v>
          </cell>
          <cell r="CT47">
            <v>0</v>
          </cell>
          <cell r="CV47">
            <v>0</v>
          </cell>
          <cell r="CX47">
            <v>0</v>
          </cell>
          <cell r="CZ47">
            <v>0</v>
          </cell>
          <cell r="DB47">
            <v>0</v>
          </cell>
          <cell r="DD47">
            <v>0</v>
          </cell>
          <cell r="DF47">
            <v>0</v>
          </cell>
          <cell r="DH47">
            <v>0</v>
          </cell>
          <cell r="DJ47">
            <v>0</v>
          </cell>
          <cell r="DL47">
            <v>0</v>
          </cell>
          <cell r="DN47">
            <v>0</v>
          </cell>
          <cell r="DP47">
            <v>0</v>
          </cell>
          <cell r="DR47">
            <v>0</v>
          </cell>
          <cell r="DT47">
            <v>0</v>
          </cell>
          <cell r="DV47">
            <v>0</v>
          </cell>
          <cell r="DX47">
            <v>0</v>
          </cell>
          <cell r="DZ47">
            <v>0</v>
          </cell>
          <cell r="EB47">
            <v>0</v>
          </cell>
          <cell r="ED47">
            <v>0</v>
          </cell>
          <cell r="EF47">
            <v>0</v>
          </cell>
          <cell r="EH47">
            <v>0</v>
          </cell>
          <cell r="EJ47">
            <v>0</v>
          </cell>
          <cell r="EL47">
            <v>0</v>
          </cell>
          <cell r="EN47">
            <v>0</v>
          </cell>
          <cell r="EP47">
            <v>0</v>
          </cell>
          <cell r="ER47">
            <v>0</v>
          </cell>
          <cell r="ET47">
            <v>0</v>
          </cell>
          <cell r="EV47">
            <v>0</v>
          </cell>
          <cell r="EX47">
            <v>0</v>
          </cell>
          <cell r="EZ47">
            <v>0</v>
          </cell>
          <cell r="FB47">
            <v>0</v>
          </cell>
          <cell r="FD47">
            <v>0</v>
          </cell>
          <cell r="FF47">
            <v>0</v>
          </cell>
          <cell r="FH47">
            <v>0</v>
          </cell>
          <cell r="FJ47">
            <v>0</v>
          </cell>
          <cell r="FL47">
            <v>0</v>
          </cell>
          <cell r="FN47">
            <v>0</v>
          </cell>
          <cell r="FP47">
            <v>0</v>
          </cell>
          <cell r="FR47">
            <v>0</v>
          </cell>
          <cell r="FT47">
            <v>0</v>
          </cell>
          <cell r="FV47">
            <v>0</v>
          </cell>
          <cell r="GD47">
            <v>14</v>
          </cell>
          <cell r="GF47">
            <v>4</v>
          </cell>
          <cell r="GH47">
            <v>1</v>
          </cell>
          <cell r="GJ47">
            <v>7</v>
          </cell>
          <cell r="GM47">
            <v>0</v>
          </cell>
          <cell r="GN4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7" t="str">
            <v>六</v>
          </cell>
          <cell r="GQ47" t="e">
            <v>#REF!</v>
          </cell>
          <cell r="GR47">
            <v>0</v>
          </cell>
          <cell r="GS47">
            <v>45738</v>
          </cell>
          <cell r="GT47">
            <v>0</v>
          </cell>
          <cell r="GW47" t="str">
            <v>（一）施工廠商施工前檢查事項辦理情形：█完成 □未完成 （二）其他工地安全衛生督導事項：</v>
          </cell>
          <cell r="GX47">
            <v>490250</v>
          </cell>
          <cell r="GY47">
            <v>0</v>
          </cell>
        </row>
        <row r="48">
          <cell r="A48">
            <v>45739</v>
          </cell>
          <cell r="B48" t="str">
            <v>日</v>
          </cell>
          <cell r="C48" t="str">
            <v>晴</v>
          </cell>
          <cell r="D48">
            <v>1</v>
          </cell>
          <cell r="F48">
            <v>42</v>
          </cell>
          <cell r="G48">
            <v>0</v>
          </cell>
          <cell r="H48">
            <v>0.56767999999999996</v>
          </cell>
          <cell r="I48">
            <v>0.57412978787939117</v>
          </cell>
          <cell r="N48">
            <v>1</v>
          </cell>
          <cell r="P48">
            <v>1</v>
          </cell>
          <cell r="R48">
            <v>672</v>
          </cell>
          <cell r="T48">
            <v>108</v>
          </cell>
          <cell r="V48">
            <v>661</v>
          </cell>
          <cell r="X48">
            <v>2</v>
          </cell>
          <cell r="Z48">
            <v>1</v>
          </cell>
          <cell r="AB48">
            <v>0</v>
          </cell>
          <cell r="AD48">
            <v>0</v>
          </cell>
          <cell r="AF48">
            <v>0.5</v>
          </cell>
          <cell r="AH48">
            <v>0</v>
          </cell>
          <cell r="AJ48">
            <v>0</v>
          </cell>
          <cell r="AL48">
            <v>0</v>
          </cell>
          <cell r="AN48">
            <v>0</v>
          </cell>
          <cell r="AP48">
            <v>0</v>
          </cell>
          <cell r="AR48">
            <v>0</v>
          </cell>
          <cell r="AT48">
            <v>0</v>
          </cell>
          <cell r="AV48">
            <v>0</v>
          </cell>
          <cell r="AX48">
            <v>0</v>
          </cell>
          <cell r="AZ48">
            <v>0</v>
          </cell>
          <cell r="BB48">
            <v>0</v>
          </cell>
          <cell r="BD48">
            <v>0</v>
          </cell>
          <cell r="BF48">
            <v>0</v>
          </cell>
          <cell r="BH48">
            <v>0</v>
          </cell>
          <cell r="BJ48">
            <v>0</v>
          </cell>
          <cell r="BL48">
            <v>0</v>
          </cell>
          <cell r="BN48">
            <v>0</v>
          </cell>
          <cell r="BP48">
            <v>0</v>
          </cell>
          <cell r="BR48">
            <v>0</v>
          </cell>
          <cell r="BT48">
            <v>0</v>
          </cell>
          <cell r="BV48">
            <v>0</v>
          </cell>
          <cell r="BX48">
            <v>0</v>
          </cell>
          <cell r="BZ48">
            <v>0</v>
          </cell>
          <cell r="CB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L48">
            <v>0</v>
          </cell>
          <cell r="CN48">
            <v>0</v>
          </cell>
          <cell r="CP48">
            <v>0</v>
          </cell>
          <cell r="CR48">
            <v>0</v>
          </cell>
          <cell r="CT48">
            <v>0</v>
          </cell>
          <cell r="CV48">
            <v>0</v>
          </cell>
          <cell r="CX48">
            <v>0</v>
          </cell>
          <cell r="CZ48">
            <v>0</v>
          </cell>
          <cell r="DB48">
            <v>0</v>
          </cell>
          <cell r="DD48">
            <v>0</v>
          </cell>
          <cell r="DF48">
            <v>0</v>
          </cell>
          <cell r="DH48">
            <v>0</v>
          </cell>
          <cell r="DJ48">
            <v>0</v>
          </cell>
          <cell r="DL48">
            <v>0</v>
          </cell>
          <cell r="DN48">
            <v>0</v>
          </cell>
          <cell r="DP48">
            <v>0</v>
          </cell>
          <cell r="DR48">
            <v>0</v>
          </cell>
          <cell r="DT48">
            <v>0</v>
          </cell>
          <cell r="DV48">
            <v>0</v>
          </cell>
          <cell r="DX48">
            <v>0</v>
          </cell>
          <cell r="DZ48">
            <v>0</v>
          </cell>
          <cell r="EB48">
            <v>0</v>
          </cell>
          <cell r="ED48">
            <v>0</v>
          </cell>
          <cell r="EF48">
            <v>0</v>
          </cell>
          <cell r="EH48">
            <v>0</v>
          </cell>
          <cell r="EJ48">
            <v>0</v>
          </cell>
          <cell r="EL48">
            <v>0</v>
          </cell>
          <cell r="EN48">
            <v>0</v>
          </cell>
          <cell r="EP48">
            <v>0</v>
          </cell>
          <cell r="ER48">
            <v>0</v>
          </cell>
          <cell r="ET48">
            <v>0</v>
          </cell>
          <cell r="EV48">
            <v>0</v>
          </cell>
          <cell r="EX48">
            <v>0</v>
          </cell>
          <cell r="EZ48">
            <v>0</v>
          </cell>
          <cell r="FB48">
            <v>0</v>
          </cell>
          <cell r="FD48">
            <v>0</v>
          </cell>
          <cell r="FF48">
            <v>0</v>
          </cell>
          <cell r="FH48">
            <v>0</v>
          </cell>
          <cell r="FJ48">
            <v>0</v>
          </cell>
          <cell r="FL48">
            <v>0</v>
          </cell>
          <cell r="FN48">
            <v>0</v>
          </cell>
          <cell r="FP48">
            <v>0</v>
          </cell>
          <cell r="FR48">
            <v>0</v>
          </cell>
          <cell r="FT48">
            <v>0</v>
          </cell>
          <cell r="FV48">
            <v>0</v>
          </cell>
          <cell r="GD48">
            <v>14</v>
          </cell>
          <cell r="GF48">
            <v>4</v>
          </cell>
          <cell r="GH48">
            <v>1</v>
          </cell>
          <cell r="GJ48">
            <v>7</v>
          </cell>
          <cell r="GM48">
            <v>0</v>
          </cell>
          <cell r="GN4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8" t="str">
            <v>日</v>
          </cell>
          <cell r="GQ48">
            <v>0</v>
          </cell>
          <cell r="GR48">
            <v>0</v>
          </cell>
          <cell r="GS48">
            <v>45739</v>
          </cell>
          <cell r="GT48">
            <v>0</v>
          </cell>
          <cell r="GW48" t="str">
            <v>（一）施工廠商施工前檢查事項辦理情形：█完成 □未完成 （二）其他工地安全衛生督導事項：</v>
          </cell>
          <cell r="GX48">
            <v>490250</v>
          </cell>
          <cell r="GY48">
            <v>0</v>
          </cell>
        </row>
        <row r="49">
          <cell r="A49">
            <v>45740</v>
          </cell>
          <cell r="B49" t="str">
            <v>一</v>
          </cell>
          <cell r="C49" t="str">
            <v>晴</v>
          </cell>
          <cell r="D49">
            <v>1</v>
          </cell>
          <cell r="F49">
            <v>43</v>
          </cell>
          <cell r="G49">
            <v>0</v>
          </cell>
          <cell r="H49">
            <v>0.56971000000000005</v>
          </cell>
          <cell r="I49">
            <v>0.57412978787939117</v>
          </cell>
          <cell r="N49">
            <v>1</v>
          </cell>
          <cell r="P49">
            <v>1</v>
          </cell>
          <cell r="R49">
            <v>672</v>
          </cell>
          <cell r="T49">
            <v>108</v>
          </cell>
          <cell r="V49">
            <v>661</v>
          </cell>
          <cell r="X49">
            <v>2</v>
          </cell>
          <cell r="Z49">
            <v>1</v>
          </cell>
          <cell r="AB49">
            <v>0</v>
          </cell>
          <cell r="AD49">
            <v>0</v>
          </cell>
          <cell r="AF49">
            <v>0.5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0</v>
          </cell>
          <cell r="AV49">
            <v>0</v>
          </cell>
          <cell r="AX49">
            <v>0</v>
          </cell>
          <cell r="AZ49">
            <v>0</v>
          </cell>
          <cell r="BB49">
            <v>0</v>
          </cell>
          <cell r="BD49">
            <v>0</v>
          </cell>
          <cell r="BF49">
            <v>0</v>
          </cell>
          <cell r="BH49">
            <v>0</v>
          </cell>
          <cell r="BJ49">
            <v>0</v>
          </cell>
          <cell r="BL49">
            <v>0</v>
          </cell>
          <cell r="BN49">
            <v>0</v>
          </cell>
          <cell r="BP49">
            <v>0</v>
          </cell>
          <cell r="BR49">
            <v>0</v>
          </cell>
          <cell r="BT49">
            <v>0</v>
          </cell>
          <cell r="BV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0</v>
          </cell>
          <cell r="CV49">
            <v>0</v>
          </cell>
          <cell r="CX49">
            <v>0</v>
          </cell>
          <cell r="CZ49">
            <v>0</v>
          </cell>
          <cell r="DB49">
            <v>0</v>
          </cell>
          <cell r="DD49">
            <v>0</v>
          </cell>
          <cell r="DF49">
            <v>0</v>
          </cell>
          <cell r="DH49">
            <v>0</v>
          </cell>
          <cell r="DJ49">
            <v>0</v>
          </cell>
          <cell r="DL49">
            <v>0</v>
          </cell>
          <cell r="DN49">
            <v>0</v>
          </cell>
          <cell r="DP49">
            <v>0</v>
          </cell>
          <cell r="DR49">
            <v>0</v>
          </cell>
          <cell r="DT49">
            <v>0</v>
          </cell>
          <cell r="DV49">
            <v>0</v>
          </cell>
          <cell r="DX49">
            <v>0</v>
          </cell>
          <cell r="DZ49">
            <v>0</v>
          </cell>
          <cell r="EB49">
            <v>0</v>
          </cell>
          <cell r="ED49">
            <v>0</v>
          </cell>
          <cell r="EF49">
            <v>0</v>
          </cell>
          <cell r="EH49">
            <v>0</v>
          </cell>
          <cell r="EJ49">
            <v>0</v>
          </cell>
          <cell r="EL49">
            <v>0</v>
          </cell>
          <cell r="EN49">
            <v>0</v>
          </cell>
          <cell r="EP49">
            <v>0</v>
          </cell>
          <cell r="ER49">
            <v>0</v>
          </cell>
          <cell r="ET49">
            <v>0</v>
          </cell>
          <cell r="EV49">
            <v>0</v>
          </cell>
          <cell r="EX49">
            <v>0</v>
          </cell>
          <cell r="EZ49">
            <v>0</v>
          </cell>
          <cell r="FB49">
            <v>0</v>
          </cell>
          <cell r="FD49">
            <v>0</v>
          </cell>
          <cell r="FF49">
            <v>0</v>
          </cell>
          <cell r="FH49">
            <v>0</v>
          </cell>
          <cell r="FJ49">
            <v>0</v>
          </cell>
          <cell r="FL49">
            <v>0</v>
          </cell>
          <cell r="FN49">
            <v>0</v>
          </cell>
          <cell r="FP49">
            <v>0</v>
          </cell>
          <cell r="FR49">
            <v>0</v>
          </cell>
          <cell r="FT49">
            <v>0</v>
          </cell>
          <cell r="FV49">
            <v>0</v>
          </cell>
          <cell r="GD49">
            <v>14</v>
          </cell>
          <cell r="GF49">
            <v>4</v>
          </cell>
          <cell r="GH49">
            <v>1</v>
          </cell>
          <cell r="GJ49">
            <v>7</v>
          </cell>
          <cell r="GM49">
            <v>0</v>
          </cell>
          <cell r="GN4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49" t="str">
            <v>一</v>
          </cell>
          <cell r="GQ49">
            <v>0</v>
          </cell>
          <cell r="GR49">
            <v>0</v>
          </cell>
          <cell r="GS49">
            <v>45740</v>
          </cell>
          <cell r="GT49">
            <v>0</v>
          </cell>
          <cell r="GW49" t="str">
            <v>（一）施工廠商施工前檢查事項辦理情形：█完成 □未完成 （二）其他工地安全衛生督導事項：</v>
          </cell>
          <cell r="GX49">
            <v>490250</v>
          </cell>
          <cell r="GY49">
            <v>0</v>
          </cell>
        </row>
        <row r="50">
          <cell r="A50">
            <v>45741</v>
          </cell>
          <cell r="B50" t="str">
            <v>二</v>
          </cell>
          <cell r="C50" t="str">
            <v>晴</v>
          </cell>
          <cell r="D50">
            <v>1</v>
          </cell>
          <cell r="F50">
            <v>44</v>
          </cell>
          <cell r="G50">
            <v>0</v>
          </cell>
          <cell r="H50">
            <v>0.57174000000000003</v>
          </cell>
          <cell r="I50">
            <v>0.57412978787939117</v>
          </cell>
          <cell r="N50">
            <v>1</v>
          </cell>
          <cell r="P50">
            <v>1</v>
          </cell>
          <cell r="R50">
            <v>672</v>
          </cell>
          <cell r="T50">
            <v>108</v>
          </cell>
          <cell r="V50">
            <v>661</v>
          </cell>
          <cell r="X50">
            <v>2</v>
          </cell>
          <cell r="Z50">
            <v>1</v>
          </cell>
          <cell r="AB50">
            <v>0</v>
          </cell>
          <cell r="AD50">
            <v>0</v>
          </cell>
          <cell r="AF50">
            <v>0.5</v>
          </cell>
          <cell r="AH50">
            <v>0</v>
          </cell>
          <cell r="AJ50">
            <v>0</v>
          </cell>
          <cell r="AL50">
            <v>0</v>
          </cell>
          <cell r="AN50">
            <v>0</v>
          </cell>
          <cell r="AP50">
            <v>0</v>
          </cell>
          <cell r="AR50">
            <v>0</v>
          </cell>
          <cell r="AT50">
            <v>0</v>
          </cell>
          <cell r="AV50">
            <v>0</v>
          </cell>
          <cell r="AX50">
            <v>0</v>
          </cell>
          <cell r="AZ50">
            <v>0</v>
          </cell>
          <cell r="BB50">
            <v>0</v>
          </cell>
          <cell r="BD50">
            <v>0</v>
          </cell>
          <cell r="BF50">
            <v>0</v>
          </cell>
          <cell r="BH50">
            <v>0</v>
          </cell>
          <cell r="BJ50">
            <v>0</v>
          </cell>
          <cell r="BL50">
            <v>0</v>
          </cell>
          <cell r="BN50">
            <v>0</v>
          </cell>
          <cell r="BP50">
            <v>0</v>
          </cell>
          <cell r="BR50">
            <v>0</v>
          </cell>
          <cell r="BT50">
            <v>0</v>
          </cell>
          <cell r="BV50">
            <v>0</v>
          </cell>
          <cell r="BX50">
            <v>0</v>
          </cell>
          <cell r="BZ50">
            <v>0</v>
          </cell>
          <cell r="CB50">
            <v>0</v>
          </cell>
          <cell r="CD50">
            <v>0</v>
          </cell>
          <cell r="CF50">
            <v>0</v>
          </cell>
          <cell r="CH50">
            <v>0</v>
          </cell>
          <cell r="CJ50">
            <v>0</v>
          </cell>
          <cell r="CL50">
            <v>0</v>
          </cell>
          <cell r="CN50">
            <v>0</v>
          </cell>
          <cell r="CP50">
            <v>0</v>
          </cell>
          <cell r="CR50">
            <v>0</v>
          </cell>
          <cell r="CT50">
            <v>0</v>
          </cell>
          <cell r="CV50">
            <v>0</v>
          </cell>
          <cell r="CX50">
            <v>0</v>
          </cell>
          <cell r="CZ50">
            <v>0</v>
          </cell>
          <cell r="DB50">
            <v>0</v>
          </cell>
          <cell r="DD50">
            <v>0</v>
          </cell>
          <cell r="DF50">
            <v>0</v>
          </cell>
          <cell r="DH50">
            <v>0</v>
          </cell>
          <cell r="DJ50">
            <v>0</v>
          </cell>
          <cell r="DL50">
            <v>0</v>
          </cell>
          <cell r="DN50">
            <v>0</v>
          </cell>
          <cell r="DP50">
            <v>0</v>
          </cell>
          <cell r="DR50">
            <v>0</v>
          </cell>
          <cell r="DT50">
            <v>0</v>
          </cell>
          <cell r="DV50">
            <v>0</v>
          </cell>
          <cell r="DX50">
            <v>0</v>
          </cell>
          <cell r="DZ50">
            <v>0</v>
          </cell>
          <cell r="EB50">
            <v>0</v>
          </cell>
          <cell r="ED50">
            <v>0</v>
          </cell>
          <cell r="EF50">
            <v>0</v>
          </cell>
          <cell r="EH50">
            <v>0</v>
          </cell>
          <cell r="EJ50">
            <v>0</v>
          </cell>
          <cell r="EL50">
            <v>0</v>
          </cell>
          <cell r="EN50">
            <v>0</v>
          </cell>
          <cell r="EP50">
            <v>0</v>
          </cell>
          <cell r="ER50">
            <v>0</v>
          </cell>
          <cell r="ET50">
            <v>0</v>
          </cell>
          <cell r="EV50">
            <v>0</v>
          </cell>
          <cell r="EX50">
            <v>0</v>
          </cell>
          <cell r="EZ50">
            <v>0</v>
          </cell>
          <cell r="FB50">
            <v>0</v>
          </cell>
          <cell r="FD50">
            <v>0</v>
          </cell>
          <cell r="FF50">
            <v>0</v>
          </cell>
          <cell r="FH50">
            <v>0</v>
          </cell>
          <cell r="FJ50">
            <v>0</v>
          </cell>
          <cell r="FL50">
            <v>0</v>
          </cell>
          <cell r="FN50">
            <v>0</v>
          </cell>
          <cell r="FP50">
            <v>0</v>
          </cell>
          <cell r="FR50">
            <v>0</v>
          </cell>
          <cell r="FT50">
            <v>0</v>
          </cell>
          <cell r="FV50">
            <v>0</v>
          </cell>
          <cell r="GD50">
            <v>14</v>
          </cell>
          <cell r="GF50">
            <v>4</v>
          </cell>
          <cell r="GH50">
            <v>1</v>
          </cell>
          <cell r="GJ50">
            <v>7</v>
          </cell>
          <cell r="GM50">
            <v>0</v>
          </cell>
          <cell r="GN5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0" t="str">
            <v>二</v>
          </cell>
          <cell r="GQ50">
            <v>0</v>
          </cell>
          <cell r="GR50">
            <v>0</v>
          </cell>
          <cell r="GS50">
            <v>45741</v>
          </cell>
          <cell r="GT50">
            <v>0</v>
          </cell>
          <cell r="GW50" t="str">
            <v>（一）施工廠商施工前檢查事項辦理情形：█完成 □未完成 （二）其他工地安全衛生督導事項：</v>
          </cell>
          <cell r="GX50">
            <v>490250</v>
          </cell>
          <cell r="GY50">
            <v>0</v>
          </cell>
        </row>
        <row r="51">
          <cell r="A51">
            <v>45742</v>
          </cell>
          <cell r="B51" t="str">
            <v>三</v>
          </cell>
          <cell r="C51" t="str">
            <v>晴</v>
          </cell>
          <cell r="D51">
            <v>1</v>
          </cell>
          <cell r="F51">
            <v>45</v>
          </cell>
          <cell r="G51">
            <v>0</v>
          </cell>
          <cell r="H51">
            <v>0.57377</v>
          </cell>
          <cell r="I51">
            <v>0.57412978787939117</v>
          </cell>
          <cell r="N51">
            <v>1</v>
          </cell>
          <cell r="P51">
            <v>1</v>
          </cell>
          <cell r="R51">
            <v>672</v>
          </cell>
          <cell r="T51">
            <v>108</v>
          </cell>
          <cell r="V51">
            <v>661</v>
          </cell>
          <cell r="X51">
            <v>2</v>
          </cell>
          <cell r="Z51">
            <v>1</v>
          </cell>
          <cell r="AB51">
            <v>0</v>
          </cell>
          <cell r="AD51">
            <v>0</v>
          </cell>
          <cell r="AF51">
            <v>0.5</v>
          </cell>
          <cell r="AH51">
            <v>0</v>
          </cell>
          <cell r="AJ51">
            <v>0</v>
          </cell>
          <cell r="AL51">
            <v>0</v>
          </cell>
          <cell r="AN51">
            <v>0</v>
          </cell>
          <cell r="AP51">
            <v>0</v>
          </cell>
          <cell r="AR51">
            <v>0</v>
          </cell>
          <cell r="AT51">
            <v>0</v>
          </cell>
          <cell r="AV51">
            <v>0</v>
          </cell>
          <cell r="AX51">
            <v>0</v>
          </cell>
          <cell r="AZ51">
            <v>0</v>
          </cell>
          <cell r="BB51">
            <v>0</v>
          </cell>
          <cell r="BD51">
            <v>0</v>
          </cell>
          <cell r="BF51">
            <v>0</v>
          </cell>
          <cell r="BH51">
            <v>0</v>
          </cell>
          <cell r="BJ51">
            <v>0</v>
          </cell>
          <cell r="BL51">
            <v>0</v>
          </cell>
          <cell r="BN51">
            <v>0</v>
          </cell>
          <cell r="BP51">
            <v>0</v>
          </cell>
          <cell r="BR51">
            <v>0</v>
          </cell>
          <cell r="BT51">
            <v>0</v>
          </cell>
          <cell r="BV51">
            <v>0</v>
          </cell>
          <cell r="BX51">
            <v>0</v>
          </cell>
          <cell r="BZ51">
            <v>0</v>
          </cell>
          <cell r="CB51">
            <v>0</v>
          </cell>
          <cell r="CD51">
            <v>0</v>
          </cell>
          <cell r="CF51">
            <v>0</v>
          </cell>
          <cell r="CH51">
            <v>0</v>
          </cell>
          <cell r="CJ51">
            <v>0</v>
          </cell>
          <cell r="CL51">
            <v>0</v>
          </cell>
          <cell r="CN51">
            <v>0</v>
          </cell>
          <cell r="CP51">
            <v>0</v>
          </cell>
          <cell r="CR51">
            <v>0</v>
          </cell>
          <cell r="CT51">
            <v>0</v>
          </cell>
          <cell r="CV51">
            <v>0</v>
          </cell>
          <cell r="CX51">
            <v>0</v>
          </cell>
          <cell r="CZ51">
            <v>0</v>
          </cell>
          <cell r="DB51">
            <v>0</v>
          </cell>
          <cell r="DD51">
            <v>0</v>
          </cell>
          <cell r="DF51">
            <v>0</v>
          </cell>
          <cell r="DH51">
            <v>0</v>
          </cell>
          <cell r="DJ51">
            <v>0</v>
          </cell>
          <cell r="DL51">
            <v>0</v>
          </cell>
          <cell r="DN51">
            <v>0</v>
          </cell>
          <cell r="DP51">
            <v>0</v>
          </cell>
          <cell r="DR51">
            <v>0</v>
          </cell>
          <cell r="DT51">
            <v>0</v>
          </cell>
          <cell r="DV51">
            <v>0</v>
          </cell>
          <cell r="DX51">
            <v>0</v>
          </cell>
          <cell r="DZ51">
            <v>0</v>
          </cell>
          <cell r="EB51">
            <v>0</v>
          </cell>
          <cell r="ED51">
            <v>0</v>
          </cell>
          <cell r="EF51">
            <v>0</v>
          </cell>
          <cell r="EH51">
            <v>0</v>
          </cell>
          <cell r="EJ51">
            <v>0</v>
          </cell>
          <cell r="EL51">
            <v>0</v>
          </cell>
          <cell r="EN51">
            <v>0</v>
          </cell>
          <cell r="EP51">
            <v>0</v>
          </cell>
          <cell r="ER51">
            <v>0</v>
          </cell>
          <cell r="ET51">
            <v>0</v>
          </cell>
          <cell r="EV51">
            <v>0</v>
          </cell>
          <cell r="EX51">
            <v>0</v>
          </cell>
          <cell r="EZ51">
            <v>0</v>
          </cell>
          <cell r="FB51">
            <v>0</v>
          </cell>
          <cell r="FD51">
            <v>0</v>
          </cell>
          <cell r="FF51">
            <v>0</v>
          </cell>
          <cell r="FH51">
            <v>0</v>
          </cell>
          <cell r="FJ51">
            <v>0</v>
          </cell>
          <cell r="FL51">
            <v>0</v>
          </cell>
          <cell r="FN51">
            <v>0</v>
          </cell>
          <cell r="FP51">
            <v>0</v>
          </cell>
          <cell r="FR51">
            <v>0</v>
          </cell>
          <cell r="FT51">
            <v>0</v>
          </cell>
          <cell r="FV51">
            <v>0</v>
          </cell>
          <cell r="GD51">
            <v>14</v>
          </cell>
          <cell r="GF51">
            <v>4</v>
          </cell>
          <cell r="GH51">
            <v>1</v>
          </cell>
          <cell r="GJ51">
            <v>7</v>
          </cell>
          <cell r="GM51">
            <v>0.01</v>
          </cell>
          <cell r="GN5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1" t="str">
            <v>三</v>
          </cell>
          <cell r="GQ51">
            <v>0</v>
          </cell>
          <cell r="GR51">
            <v>0</v>
          </cell>
          <cell r="GS51">
            <v>45742</v>
          </cell>
          <cell r="GT51">
            <v>0</v>
          </cell>
          <cell r="GW51" t="str">
            <v>（一）施工廠商施工前檢查事項辦理情形：█完成 □未完成 （二）其他工地安全衛生督導事項：</v>
          </cell>
          <cell r="GX51">
            <v>490250</v>
          </cell>
          <cell r="GY51">
            <v>0</v>
          </cell>
        </row>
        <row r="52">
          <cell r="A52">
            <v>45743</v>
          </cell>
          <cell r="B52" t="str">
            <v>四</v>
          </cell>
          <cell r="C52" t="str">
            <v>晴</v>
          </cell>
          <cell r="D52">
            <v>1</v>
          </cell>
          <cell r="F52">
            <v>46</v>
          </cell>
          <cell r="G52">
            <v>0</v>
          </cell>
          <cell r="H52">
            <v>0.57579999999999998</v>
          </cell>
          <cell r="I52">
            <v>0.57412978787939117</v>
          </cell>
          <cell r="K52" t="str">
            <v>技師現場督查</v>
          </cell>
          <cell r="N52">
            <v>1</v>
          </cell>
          <cell r="P52">
            <v>1</v>
          </cell>
          <cell r="R52">
            <v>672</v>
          </cell>
          <cell r="T52">
            <v>108</v>
          </cell>
          <cell r="V52">
            <v>661</v>
          </cell>
          <cell r="X52">
            <v>2</v>
          </cell>
          <cell r="Z52">
            <v>1</v>
          </cell>
          <cell r="AB52">
            <v>0</v>
          </cell>
          <cell r="AD52">
            <v>0</v>
          </cell>
          <cell r="AF52">
            <v>0.5</v>
          </cell>
          <cell r="AH52">
            <v>0</v>
          </cell>
          <cell r="AJ52">
            <v>0</v>
          </cell>
          <cell r="AL52">
            <v>0</v>
          </cell>
          <cell r="AN52">
            <v>0</v>
          </cell>
          <cell r="AP52">
            <v>0</v>
          </cell>
          <cell r="AR52">
            <v>0</v>
          </cell>
          <cell r="AT52">
            <v>0</v>
          </cell>
          <cell r="AV52">
            <v>0</v>
          </cell>
          <cell r="AX52">
            <v>0</v>
          </cell>
          <cell r="AZ52">
            <v>0</v>
          </cell>
          <cell r="BB52">
            <v>0</v>
          </cell>
          <cell r="BD52">
            <v>0</v>
          </cell>
          <cell r="BF52">
            <v>0</v>
          </cell>
          <cell r="BH52">
            <v>0</v>
          </cell>
          <cell r="BJ52">
            <v>0</v>
          </cell>
          <cell r="BL52">
            <v>0</v>
          </cell>
          <cell r="BN52">
            <v>0</v>
          </cell>
          <cell r="BP52">
            <v>0</v>
          </cell>
          <cell r="BR52">
            <v>0</v>
          </cell>
          <cell r="BT52">
            <v>0</v>
          </cell>
          <cell r="BV52">
            <v>0</v>
          </cell>
          <cell r="BX52">
            <v>0</v>
          </cell>
          <cell r="BZ52">
            <v>0</v>
          </cell>
          <cell r="CB52">
            <v>0</v>
          </cell>
          <cell r="CD52">
            <v>0</v>
          </cell>
          <cell r="CF52">
            <v>0</v>
          </cell>
          <cell r="CH52">
            <v>0</v>
          </cell>
          <cell r="CJ52">
            <v>0</v>
          </cell>
          <cell r="CL52">
            <v>0</v>
          </cell>
          <cell r="CN52">
            <v>0</v>
          </cell>
          <cell r="CP52">
            <v>0</v>
          </cell>
          <cell r="CR52">
            <v>0</v>
          </cell>
          <cell r="CT52">
            <v>0</v>
          </cell>
          <cell r="CV52">
            <v>0</v>
          </cell>
          <cell r="CX52">
            <v>0</v>
          </cell>
          <cell r="CZ52">
            <v>0</v>
          </cell>
          <cell r="DB52">
            <v>0</v>
          </cell>
          <cell r="DD52">
            <v>0</v>
          </cell>
          <cell r="DF52">
            <v>0</v>
          </cell>
          <cell r="DH52">
            <v>0</v>
          </cell>
          <cell r="DJ52">
            <v>0</v>
          </cell>
          <cell r="DL52">
            <v>0</v>
          </cell>
          <cell r="DN52">
            <v>0</v>
          </cell>
          <cell r="DP52">
            <v>0</v>
          </cell>
          <cell r="DR52">
            <v>0</v>
          </cell>
          <cell r="DT52">
            <v>0</v>
          </cell>
          <cell r="DV52">
            <v>0</v>
          </cell>
          <cell r="DX52">
            <v>0</v>
          </cell>
          <cell r="DZ52">
            <v>0</v>
          </cell>
          <cell r="EB52">
            <v>0</v>
          </cell>
          <cell r="ED52">
            <v>0</v>
          </cell>
          <cell r="EF52">
            <v>0</v>
          </cell>
          <cell r="EH52">
            <v>0</v>
          </cell>
          <cell r="EJ52">
            <v>0</v>
          </cell>
          <cell r="EL52">
            <v>0</v>
          </cell>
          <cell r="EN52">
            <v>0</v>
          </cell>
          <cell r="EP52">
            <v>0</v>
          </cell>
          <cell r="ER52">
            <v>0</v>
          </cell>
          <cell r="ET52">
            <v>0</v>
          </cell>
          <cell r="EV52">
            <v>0</v>
          </cell>
          <cell r="EX52">
            <v>0</v>
          </cell>
          <cell r="EZ52">
            <v>0</v>
          </cell>
          <cell r="FB52">
            <v>0</v>
          </cell>
          <cell r="FD52">
            <v>0</v>
          </cell>
          <cell r="FF52">
            <v>0</v>
          </cell>
          <cell r="FH52">
            <v>0</v>
          </cell>
          <cell r="FJ52">
            <v>0</v>
          </cell>
          <cell r="FL52">
            <v>0</v>
          </cell>
          <cell r="FN52">
            <v>0</v>
          </cell>
          <cell r="FP52">
            <v>0</v>
          </cell>
          <cell r="FR52">
            <v>0</v>
          </cell>
          <cell r="FT52">
            <v>0</v>
          </cell>
          <cell r="FV52">
            <v>0</v>
          </cell>
          <cell r="GD52">
            <v>14</v>
          </cell>
          <cell r="GF52">
            <v>4</v>
          </cell>
          <cell r="GH52">
            <v>1</v>
          </cell>
          <cell r="GJ52">
            <v>7</v>
          </cell>
          <cell r="GM52">
            <v>0.01</v>
          </cell>
          <cell r="GN5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2" t="str">
            <v>四</v>
          </cell>
          <cell r="GQ52">
            <v>0</v>
          </cell>
          <cell r="GR52">
            <v>0</v>
          </cell>
          <cell r="GS52">
            <v>45743</v>
          </cell>
          <cell r="GT52">
            <v>0</v>
          </cell>
          <cell r="GW52" t="str">
            <v>（一）施工廠商施工前檢查事項辦理情形：█完成 □未完成 （二）其他工地安全衛生督導事項：</v>
          </cell>
          <cell r="GX52">
            <v>490250</v>
          </cell>
          <cell r="GY52">
            <v>0</v>
          </cell>
        </row>
        <row r="53">
          <cell r="A53">
            <v>45744</v>
          </cell>
          <cell r="B53" t="str">
            <v>五</v>
          </cell>
          <cell r="C53" t="str">
            <v>晴</v>
          </cell>
          <cell r="D53">
            <v>1</v>
          </cell>
          <cell r="F53">
            <v>47</v>
          </cell>
          <cell r="G53">
            <v>0</v>
          </cell>
          <cell r="H53">
            <v>0.57782999999999995</v>
          </cell>
          <cell r="I53">
            <v>0.57412978787939117</v>
          </cell>
          <cell r="N53">
            <v>1</v>
          </cell>
          <cell r="P53">
            <v>1</v>
          </cell>
          <cell r="R53">
            <v>672</v>
          </cell>
          <cell r="T53">
            <v>108</v>
          </cell>
          <cell r="V53">
            <v>661</v>
          </cell>
          <cell r="X53">
            <v>2</v>
          </cell>
          <cell r="Z53">
            <v>1</v>
          </cell>
          <cell r="AB53">
            <v>0</v>
          </cell>
          <cell r="AD53">
            <v>0</v>
          </cell>
          <cell r="AF53">
            <v>0.5</v>
          </cell>
          <cell r="AH53">
            <v>0</v>
          </cell>
          <cell r="AJ53">
            <v>0</v>
          </cell>
          <cell r="AL53">
            <v>0</v>
          </cell>
          <cell r="AN53">
            <v>0</v>
          </cell>
          <cell r="AP53">
            <v>0</v>
          </cell>
          <cell r="AR53">
            <v>0</v>
          </cell>
          <cell r="AT53">
            <v>0</v>
          </cell>
          <cell r="AV53">
            <v>0</v>
          </cell>
          <cell r="AX53">
            <v>0</v>
          </cell>
          <cell r="AZ53">
            <v>0</v>
          </cell>
          <cell r="BB53">
            <v>0</v>
          </cell>
          <cell r="BD53">
            <v>0</v>
          </cell>
          <cell r="BF53">
            <v>0</v>
          </cell>
          <cell r="BH53">
            <v>0</v>
          </cell>
          <cell r="BJ53">
            <v>0</v>
          </cell>
          <cell r="BL53">
            <v>0</v>
          </cell>
          <cell r="BN53">
            <v>0</v>
          </cell>
          <cell r="BP53">
            <v>0</v>
          </cell>
          <cell r="BR53">
            <v>0</v>
          </cell>
          <cell r="BT53">
            <v>0</v>
          </cell>
          <cell r="BV53">
            <v>0</v>
          </cell>
          <cell r="BX53">
            <v>0</v>
          </cell>
          <cell r="BZ53">
            <v>0</v>
          </cell>
          <cell r="CB53">
            <v>0</v>
          </cell>
          <cell r="CD53">
            <v>0</v>
          </cell>
          <cell r="CF53">
            <v>0</v>
          </cell>
          <cell r="CH53">
            <v>0</v>
          </cell>
          <cell r="CJ53">
            <v>0</v>
          </cell>
          <cell r="CL53">
            <v>0</v>
          </cell>
          <cell r="CN53">
            <v>0</v>
          </cell>
          <cell r="CP53">
            <v>0</v>
          </cell>
          <cell r="CR53">
            <v>0</v>
          </cell>
          <cell r="CT53">
            <v>0</v>
          </cell>
          <cell r="CV53">
            <v>0</v>
          </cell>
          <cell r="CX53">
            <v>0</v>
          </cell>
          <cell r="CZ53">
            <v>0</v>
          </cell>
          <cell r="DB53">
            <v>0</v>
          </cell>
          <cell r="DD53">
            <v>0</v>
          </cell>
          <cell r="DF53">
            <v>0</v>
          </cell>
          <cell r="DH53">
            <v>0</v>
          </cell>
          <cell r="DJ53">
            <v>0</v>
          </cell>
          <cell r="DL53">
            <v>0</v>
          </cell>
          <cell r="DN53">
            <v>0</v>
          </cell>
          <cell r="DP53">
            <v>0</v>
          </cell>
          <cell r="DR53">
            <v>0</v>
          </cell>
          <cell r="DT53">
            <v>0</v>
          </cell>
          <cell r="DV53">
            <v>0</v>
          </cell>
          <cell r="DX53">
            <v>0</v>
          </cell>
          <cell r="DZ53">
            <v>0</v>
          </cell>
          <cell r="EB53">
            <v>0</v>
          </cell>
          <cell r="ED53">
            <v>0</v>
          </cell>
          <cell r="EF53">
            <v>0</v>
          </cell>
          <cell r="EH53">
            <v>0</v>
          </cell>
          <cell r="EJ53">
            <v>0</v>
          </cell>
          <cell r="EL53">
            <v>0</v>
          </cell>
          <cell r="EN53">
            <v>0</v>
          </cell>
          <cell r="EP53">
            <v>0</v>
          </cell>
          <cell r="ER53">
            <v>0</v>
          </cell>
          <cell r="ET53">
            <v>0</v>
          </cell>
          <cell r="EV53">
            <v>0</v>
          </cell>
          <cell r="EX53">
            <v>0</v>
          </cell>
          <cell r="EZ53">
            <v>0</v>
          </cell>
          <cell r="FB53">
            <v>0</v>
          </cell>
          <cell r="FD53">
            <v>0</v>
          </cell>
          <cell r="FF53">
            <v>0</v>
          </cell>
          <cell r="FH53">
            <v>0</v>
          </cell>
          <cell r="FJ53">
            <v>0</v>
          </cell>
          <cell r="FL53">
            <v>0</v>
          </cell>
          <cell r="FN53">
            <v>0</v>
          </cell>
          <cell r="FP53">
            <v>0</v>
          </cell>
          <cell r="FR53">
            <v>0</v>
          </cell>
          <cell r="FT53">
            <v>0</v>
          </cell>
          <cell r="FV53">
            <v>0</v>
          </cell>
          <cell r="GD53">
            <v>14</v>
          </cell>
          <cell r="GF53">
            <v>4</v>
          </cell>
          <cell r="GH53">
            <v>1</v>
          </cell>
          <cell r="GJ53">
            <v>7</v>
          </cell>
          <cell r="GM53">
            <v>0.01</v>
          </cell>
          <cell r="GN5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3" t="str">
            <v>五</v>
          </cell>
          <cell r="GQ53">
            <v>0</v>
          </cell>
          <cell r="GR53">
            <v>0</v>
          </cell>
          <cell r="GS53">
            <v>45744</v>
          </cell>
          <cell r="GT53">
            <v>0</v>
          </cell>
          <cell r="GW53" t="str">
            <v>（一）施工廠商施工前檢查事項辦理情形：█完成 □未完成 （二）其他工地安全衛生督導事項：</v>
          </cell>
          <cell r="GX53">
            <v>490250</v>
          </cell>
          <cell r="GY53">
            <v>0</v>
          </cell>
        </row>
        <row r="54">
          <cell r="A54">
            <v>45745</v>
          </cell>
          <cell r="B54" t="str">
            <v>六</v>
          </cell>
          <cell r="C54" t="str">
            <v>雨</v>
          </cell>
          <cell r="D54">
            <v>1</v>
          </cell>
          <cell r="F54">
            <v>48</v>
          </cell>
          <cell r="G54">
            <v>0</v>
          </cell>
          <cell r="H54">
            <v>0.58143</v>
          </cell>
          <cell r="I54">
            <v>0.57412978787939117</v>
          </cell>
          <cell r="N54">
            <v>1</v>
          </cell>
          <cell r="P54">
            <v>1</v>
          </cell>
          <cell r="R54">
            <v>672</v>
          </cell>
          <cell r="T54">
            <v>108</v>
          </cell>
          <cell r="V54">
            <v>661</v>
          </cell>
          <cell r="X54">
            <v>2</v>
          </cell>
          <cell r="Z54">
            <v>1</v>
          </cell>
          <cell r="AB54">
            <v>0</v>
          </cell>
          <cell r="AD54">
            <v>0</v>
          </cell>
          <cell r="AF54">
            <v>0.5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0</v>
          </cell>
          <cell r="AV54">
            <v>0</v>
          </cell>
          <cell r="AX54">
            <v>0</v>
          </cell>
          <cell r="AZ54">
            <v>0</v>
          </cell>
          <cell r="BB54">
            <v>0</v>
          </cell>
          <cell r="BD54">
            <v>0</v>
          </cell>
          <cell r="BF54">
            <v>0</v>
          </cell>
          <cell r="BH54">
            <v>0</v>
          </cell>
          <cell r="BJ54">
            <v>0</v>
          </cell>
          <cell r="BL54">
            <v>0</v>
          </cell>
          <cell r="BN54">
            <v>0</v>
          </cell>
          <cell r="BP54">
            <v>0</v>
          </cell>
          <cell r="BR54">
            <v>0</v>
          </cell>
          <cell r="BT54">
            <v>0</v>
          </cell>
          <cell r="BV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0</v>
          </cell>
          <cell r="CV54">
            <v>0</v>
          </cell>
          <cell r="CX54">
            <v>0</v>
          </cell>
          <cell r="CZ54">
            <v>0</v>
          </cell>
          <cell r="DB54">
            <v>0</v>
          </cell>
          <cell r="DD54">
            <v>0</v>
          </cell>
          <cell r="DF54">
            <v>0</v>
          </cell>
          <cell r="DH54">
            <v>0</v>
          </cell>
          <cell r="DJ54">
            <v>0</v>
          </cell>
          <cell r="DL54">
            <v>0</v>
          </cell>
          <cell r="DN54">
            <v>0</v>
          </cell>
          <cell r="DP54">
            <v>0</v>
          </cell>
          <cell r="DR54">
            <v>0</v>
          </cell>
          <cell r="DT54">
            <v>0</v>
          </cell>
          <cell r="DV54">
            <v>0</v>
          </cell>
          <cell r="DX54">
            <v>0</v>
          </cell>
          <cell r="DZ54">
            <v>0</v>
          </cell>
          <cell r="EB54">
            <v>0</v>
          </cell>
          <cell r="ED54">
            <v>0</v>
          </cell>
          <cell r="EF54">
            <v>0</v>
          </cell>
          <cell r="EH54">
            <v>0</v>
          </cell>
          <cell r="EJ54">
            <v>0</v>
          </cell>
          <cell r="EL54">
            <v>0</v>
          </cell>
          <cell r="EN54">
            <v>0</v>
          </cell>
          <cell r="EP54">
            <v>0</v>
          </cell>
          <cell r="ER54">
            <v>0</v>
          </cell>
          <cell r="ET54">
            <v>0</v>
          </cell>
          <cell r="EV54">
            <v>0</v>
          </cell>
          <cell r="EX54">
            <v>0</v>
          </cell>
          <cell r="EZ54">
            <v>0</v>
          </cell>
          <cell r="FB54">
            <v>0</v>
          </cell>
          <cell r="FD54">
            <v>0</v>
          </cell>
          <cell r="FF54">
            <v>0</v>
          </cell>
          <cell r="FH54">
            <v>0</v>
          </cell>
          <cell r="FJ54">
            <v>0</v>
          </cell>
          <cell r="FL54">
            <v>0</v>
          </cell>
          <cell r="FN54">
            <v>0</v>
          </cell>
          <cell r="FP54">
            <v>0</v>
          </cell>
          <cell r="FR54">
            <v>0</v>
          </cell>
          <cell r="FT54">
            <v>0</v>
          </cell>
          <cell r="FV54">
            <v>0</v>
          </cell>
          <cell r="GD54">
            <v>14</v>
          </cell>
          <cell r="GF54">
            <v>4</v>
          </cell>
          <cell r="GH54">
            <v>1</v>
          </cell>
          <cell r="GJ54">
            <v>7</v>
          </cell>
          <cell r="GM54">
            <v>0.01</v>
          </cell>
          <cell r="GN5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4" t="str">
            <v>六</v>
          </cell>
          <cell r="GQ54">
            <v>0</v>
          </cell>
          <cell r="GR54">
            <v>0</v>
          </cell>
          <cell r="GS54">
            <v>45745</v>
          </cell>
          <cell r="GT54">
            <v>0</v>
          </cell>
          <cell r="GW54" t="str">
            <v>（一）施工廠商施工前檢查事項辦理情形：█完成 □未完成 （二）其他工地安全衛生督導事項：</v>
          </cell>
          <cell r="GX54">
            <v>490250</v>
          </cell>
          <cell r="GY54">
            <v>0</v>
          </cell>
        </row>
        <row r="55">
          <cell r="A55">
            <v>45746</v>
          </cell>
          <cell r="B55" t="str">
            <v>日</v>
          </cell>
          <cell r="C55" t="str">
            <v>雨</v>
          </cell>
          <cell r="D55">
            <v>1</v>
          </cell>
          <cell r="F55">
            <v>49</v>
          </cell>
          <cell r="G55">
            <v>0</v>
          </cell>
          <cell r="H55">
            <v>0.58503000000000005</v>
          </cell>
          <cell r="I55">
            <v>0.62565800953506323</v>
          </cell>
          <cell r="N55">
            <v>1</v>
          </cell>
          <cell r="P55">
            <v>1</v>
          </cell>
          <cell r="R55">
            <v>672</v>
          </cell>
          <cell r="T55">
            <v>108</v>
          </cell>
          <cell r="V55">
            <v>661</v>
          </cell>
          <cell r="X55">
            <v>2</v>
          </cell>
          <cell r="Z55">
            <v>1</v>
          </cell>
          <cell r="AA55">
            <v>100</v>
          </cell>
          <cell r="AB55">
            <v>100</v>
          </cell>
          <cell r="AD55">
            <v>0</v>
          </cell>
          <cell r="AF55">
            <v>0.5</v>
          </cell>
          <cell r="AH55">
            <v>0</v>
          </cell>
          <cell r="AJ55">
            <v>0</v>
          </cell>
          <cell r="AL55">
            <v>0</v>
          </cell>
          <cell r="AN55">
            <v>0</v>
          </cell>
          <cell r="AP55">
            <v>0</v>
          </cell>
          <cell r="AR55">
            <v>0</v>
          </cell>
          <cell r="AT55">
            <v>0</v>
          </cell>
          <cell r="AV55">
            <v>0</v>
          </cell>
          <cell r="AX55">
            <v>0</v>
          </cell>
          <cell r="AZ55">
            <v>0</v>
          </cell>
          <cell r="BB55">
            <v>0</v>
          </cell>
          <cell r="BD55">
            <v>0</v>
          </cell>
          <cell r="BF55">
            <v>0</v>
          </cell>
          <cell r="BH55">
            <v>0</v>
          </cell>
          <cell r="BJ55">
            <v>0</v>
          </cell>
          <cell r="BL55">
            <v>0</v>
          </cell>
          <cell r="BN55">
            <v>0</v>
          </cell>
          <cell r="BP55">
            <v>0</v>
          </cell>
          <cell r="BR55">
            <v>0</v>
          </cell>
          <cell r="BT55">
            <v>0</v>
          </cell>
          <cell r="BV55">
            <v>0</v>
          </cell>
          <cell r="BX55">
            <v>0</v>
          </cell>
          <cell r="BZ55">
            <v>0</v>
          </cell>
          <cell r="CB55">
            <v>0</v>
          </cell>
          <cell r="CD55">
            <v>0</v>
          </cell>
          <cell r="CF55">
            <v>0</v>
          </cell>
          <cell r="CH55">
            <v>0</v>
          </cell>
          <cell r="CJ55">
            <v>0</v>
          </cell>
          <cell r="CL55">
            <v>0</v>
          </cell>
          <cell r="CN55">
            <v>0</v>
          </cell>
          <cell r="CP55">
            <v>0</v>
          </cell>
          <cell r="CR55">
            <v>0</v>
          </cell>
          <cell r="CT55">
            <v>0</v>
          </cell>
          <cell r="CV55">
            <v>0</v>
          </cell>
          <cell r="CX55">
            <v>0</v>
          </cell>
          <cell r="CZ55">
            <v>0</v>
          </cell>
          <cell r="DB55">
            <v>0</v>
          </cell>
          <cell r="DD55">
            <v>0</v>
          </cell>
          <cell r="DF55">
            <v>0</v>
          </cell>
          <cell r="DH55">
            <v>0</v>
          </cell>
          <cell r="DJ55">
            <v>0</v>
          </cell>
          <cell r="DL55">
            <v>0</v>
          </cell>
          <cell r="DN55">
            <v>0</v>
          </cell>
          <cell r="DP55">
            <v>0</v>
          </cell>
          <cell r="DR55">
            <v>0</v>
          </cell>
          <cell r="DT55">
            <v>0</v>
          </cell>
          <cell r="DV55">
            <v>0</v>
          </cell>
          <cell r="DX55">
            <v>0</v>
          </cell>
          <cell r="DZ55">
            <v>0</v>
          </cell>
          <cell r="EB55">
            <v>0</v>
          </cell>
          <cell r="ED55">
            <v>0</v>
          </cell>
          <cell r="EF55">
            <v>0</v>
          </cell>
          <cell r="EH55">
            <v>0</v>
          </cell>
          <cell r="EJ55">
            <v>0</v>
          </cell>
          <cell r="EL55">
            <v>0</v>
          </cell>
          <cell r="EN55">
            <v>0</v>
          </cell>
          <cell r="EP55">
            <v>0</v>
          </cell>
          <cell r="ER55">
            <v>0</v>
          </cell>
          <cell r="ET55">
            <v>0</v>
          </cell>
          <cell r="EV55">
            <v>0</v>
          </cell>
          <cell r="EX55">
            <v>0</v>
          </cell>
          <cell r="EZ55">
            <v>0</v>
          </cell>
          <cell r="FB55">
            <v>0</v>
          </cell>
          <cell r="FD55">
            <v>0</v>
          </cell>
          <cell r="FF55">
            <v>0</v>
          </cell>
          <cell r="FH55">
            <v>0</v>
          </cell>
          <cell r="FJ55">
            <v>0</v>
          </cell>
          <cell r="FL55">
            <v>0</v>
          </cell>
          <cell r="FN55">
            <v>0</v>
          </cell>
          <cell r="FP55">
            <v>0</v>
          </cell>
          <cell r="FR55">
            <v>0</v>
          </cell>
          <cell r="FT55">
            <v>0</v>
          </cell>
          <cell r="FV55">
            <v>0</v>
          </cell>
          <cell r="GD55">
            <v>14</v>
          </cell>
          <cell r="GF55">
            <v>4</v>
          </cell>
          <cell r="GH55">
            <v>1</v>
          </cell>
          <cell r="GJ55">
            <v>7</v>
          </cell>
          <cell r="GM55">
            <v>0.01</v>
          </cell>
          <cell r="GN5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5" t="str">
            <v>日</v>
          </cell>
          <cell r="GQ55">
            <v>0</v>
          </cell>
          <cell r="GR55">
            <v>5.1528221655672057E-2</v>
          </cell>
          <cell r="GS55">
            <v>45746</v>
          </cell>
          <cell r="GT55">
            <v>0</v>
          </cell>
          <cell r="GW55" t="str">
            <v>（一）施工廠商施工前檢查事項辦理情形：█完成 □未完成 （二）其他工地安全衛生督導事項：</v>
          </cell>
          <cell r="GX55">
            <v>534250</v>
          </cell>
          <cell r="GY55">
            <v>0</v>
          </cell>
        </row>
        <row r="56">
          <cell r="A56">
            <v>45747</v>
          </cell>
          <cell r="B56" t="str">
            <v>一</v>
          </cell>
          <cell r="C56" t="str">
            <v>雨</v>
          </cell>
          <cell r="D56">
            <v>1</v>
          </cell>
          <cell r="F56">
            <v>50</v>
          </cell>
          <cell r="G56">
            <v>0</v>
          </cell>
          <cell r="H56">
            <v>0.58862999999999999</v>
          </cell>
          <cell r="I56">
            <v>0.63034239332194242</v>
          </cell>
          <cell r="N56">
            <v>1</v>
          </cell>
          <cell r="P56">
            <v>1</v>
          </cell>
          <cell r="R56">
            <v>672</v>
          </cell>
          <cell r="T56">
            <v>108</v>
          </cell>
          <cell r="V56">
            <v>661</v>
          </cell>
          <cell r="X56">
            <v>2</v>
          </cell>
          <cell r="Z56">
            <v>1</v>
          </cell>
          <cell r="AB56">
            <v>100</v>
          </cell>
          <cell r="AD56">
            <v>0</v>
          </cell>
          <cell r="AE56">
            <v>0.5</v>
          </cell>
          <cell r="AF56">
            <v>1</v>
          </cell>
          <cell r="AH56">
            <v>0</v>
          </cell>
          <cell r="AJ56">
            <v>0</v>
          </cell>
          <cell r="AL56">
            <v>0</v>
          </cell>
          <cell r="AN56">
            <v>0</v>
          </cell>
          <cell r="AP56">
            <v>0</v>
          </cell>
          <cell r="AR56">
            <v>0</v>
          </cell>
          <cell r="AT56">
            <v>0</v>
          </cell>
          <cell r="AV56">
            <v>0</v>
          </cell>
          <cell r="AX56">
            <v>0</v>
          </cell>
          <cell r="AZ56">
            <v>0</v>
          </cell>
          <cell r="BB56">
            <v>0</v>
          </cell>
          <cell r="BD56">
            <v>0</v>
          </cell>
          <cell r="BF56">
            <v>0</v>
          </cell>
          <cell r="BH56">
            <v>0</v>
          </cell>
          <cell r="BJ56">
            <v>0</v>
          </cell>
          <cell r="BL56">
            <v>0</v>
          </cell>
          <cell r="BN56">
            <v>0</v>
          </cell>
          <cell r="BP56">
            <v>0</v>
          </cell>
          <cell r="BR56">
            <v>0</v>
          </cell>
          <cell r="BT56">
            <v>0</v>
          </cell>
          <cell r="BV56">
            <v>0</v>
          </cell>
          <cell r="BX56">
            <v>0</v>
          </cell>
          <cell r="BZ56">
            <v>0</v>
          </cell>
          <cell r="CB56">
            <v>0</v>
          </cell>
          <cell r="CD56">
            <v>0</v>
          </cell>
          <cell r="CF56">
            <v>0</v>
          </cell>
          <cell r="CH56">
            <v>0</v>
          </cell>
          <cell r="CJ56">
            <v>0</v>
          </cell>
          <cell r="CL56">
            <v>0</v>
          </cell>
          <cell r="CN56">
            <v>0</v>
          </cell>
          <cell r="CP56">
            <v>0</v>
          </cell>
          <cell r="CR56">
            <v>0</v>
          </cell>
          <cell r="CT56">
            <v>0</v>
          </cell>
          <cell r="CV56">
            <v>0</v>
          </cell>
          <cell r="CX56">
            <v>0</v>
          </cell>
          <cell r="CZ56">
            <v>0</v>
          </cell>
          <cell r="DB56">
            <v>0</v>
          </cell>
          <cell r="DD56">
            <v>0</v>
          </cell>
          <cell r="DF56">
            <v>0</v>
          </cell>
          <cell r="DH56">
            <v>0</v>
          </cell>
          <cell r="DJ56">
            <v>0</v>
          </cell>
          <cell r="DL56">
            <v>0</v>
          </cell>
          <cell r="DN56">
            <v>0</v>
          </cell>
          <cell r="DP56">
            <v>0</v>
          </cell>
          <cell r="DR56">
            <v>0</v>
          </cell>
          <cell r="DT56">
            <v>0</v>
          </cell>
          <cell r="DV56">
            <v>0</v>
          </cell>
          <cell r="DX56">
            <v>0</v>
          </cell>
          <cell r="DZ56">
            <v>0</v>
          </cell>
          <cell r="EB56">
            <v>0</v>
          </cell>
          <cell r="ED56">
            <v>0</v>
          </cell>
          <cell r="EF56">
            <v>0</v>
          </cell>
          <cell r="EH56">
            <v>0</v>
          </cell>
          <cell r="EJ56">
            <v>0</v>
          </cell>
          <cell r="EL56">
            <v>0</v>
          </cell>
          <cell r="EN56">
            <v>0</v>
          </cell>
          <cell r="EP56">
            <v>0</v>
          </cell>
          <cell r="ER56">
            <v>0</v>
          </cell>
          <cell r="ET56">
            <v>0</v>
          </cell>
          <cell r="EV56">
            <v>0</v>
          </cell>
          <cell r="EX56">
            <v>0</v>
          </cell>
          <cell r="EZ56">
            <v>0</v>
          </cell>
          <cell r="FB56">
            <v>0</v>
          </cell>
          <cell r="FD56">
            <v>0</v>
          </cell>
          <cell r="FF56">
            <v>0</v>
          </cell>
          <cell r="FH56">
            <v>0</v>
          </cell>
          <cell r="FJ56">
            <v>0</v>
          </cell>
          <cell r="FL56">
            <v>0</v>
          </cell>
          <cell r="FN56">
            <v>0</v>
          </cell>
          <cell r="FP56">
            <v>0</v>
          </cell>
          <cell r="FR56">
            <v>0</v>
          </cell>
          <cell r="FT56">
            <v>0</v>
          </cell>
          <cell r="FV56">
            <v>0</v>
          </cell>
          <cell r="GD56">
            <v>14</v>
          </cell>
          <cell r="GF56">
            <v>4</v>
          </cell>
          <cell r="GH56">
            <v>1</v>
          </cell>
          <cell r="GJ56">
            <v>7</v>
          </cell>
          <cell r="GM56">
            <v>0.01</v>
          </cell>
          <cell r="GN5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6" t="str">
            <v>一</v>
          </cell>
          <cell r="GQ56">
            <v>0</v>
          </cell>
          <cell r="GR56">
            <v>4.6843837868791871E-3</v>
          </cell>
          <cell r="GS56">
            <v>45747</v>
          </cell>
          <cell r="GT56">
            <v>0</v>
          </cell>
          <cell r="GW56" t="str">
            <v>（一）施工廠商施工前檢查事項辦理情形：█完成 □未完成 （二）其他工地安全衛生督導事項：</v>
          </cell>
          <cell r="GX56">
            <v>538250</v>
          </cell>
          <cell r="GY56">
            <v>0</v>
          </cell>
        </row>
        <row r="57">
          <cell r="A57">
            <v>45748</v>
          </cell>
          <cell r="B57" t="str">
            <v>二</v>
          </cell>
          <cell r="C57" t="str">
            <v>雨</v>
          </cell>
          <cell r="D57">
            <v>1</v>
          </cell>
          <cell r="F57">
            <v>51</v>
          </cell>
          <cell r="G57">
            <v>0</v>
          </cell>
          <cell r="H57">
            <v>0.63195000000000001</v>
          </cell>
          <cell r="I57">
            <v>0.68187061497761448</v>
          </cell>
          <cell r="N57">
            <v>1</v>
          </cell>
          <cell r="P57">
            <v>1</v>
          </cell>
          <cell r="R57">
            <v>672</v>
          </cell>
          <cell r="T57">
            <v>108</v>
          </cell>
          <cell r="V57">
            <v>661</v>
          </cell>
          <cell r="X57">
            <v>2</v>
          </cell>
          <cell r="Z57">
            <v>1</v>
          </cell>
          <cell r="AA57">
            <v>100</v>
          </cell>
          <cell r="AB57">
            <v>200</v>
          </cell>
          <cell r="AD57">
            <v>0</v>
          </cell>
          <cell r="AF57">
            <v>1</v>
          </cell>
          <cell r="AH57">
            <v>0</v>
          </cell>
          <cell r="AJ57">
            <v>0</v>
          </cell>
          <cell r="AL57">
            <v>0</v>
          </cell>
          <cell r="AN57">
            <v>0</v>
          </cell>
          <cell r="AP57">
            <v>0</v>
          </cell>
          <cell r="AR57">
            <v>0</v>
          </cell>
          <cell r="AT57">
            <v>0</v>
          </cell>
          <cell r="AV57">
            <v>0</v>
          </cell>
          <cell r="AX57">
            <v>0</v>
          </cell>
          <cell r="AZ57">
            <v>0</v>
          </cell>
          <cell r="BB57">
            <v>0</v>
          </cell>
          <cell r="BD57">
            <v>0</v>
          </cell>
          <cell r="BF57">
            <v>0</v>
          </cell>
          <cell r="BH57">
            <v>0</v>
          </cell>
          <cell r="BJ57">
            <v>0</v>
          </cell>
          <cell r="BL57">
            <v>0</v>
          </cell>
          <cell r="BN57">
            <v>0</v>
          </cell>
          <cell r="BP57">
            <v>0</v>
          </cell>
          <cell r="BR57">
            <v>0</v>
          </cell>
          <cell r="BT57">
            <v>0</v>
          </cell>
          <cell r="BV57">
            <v>0</v>
          </cell>
          <cell r="BX57">
            <v>0</v>
          </cell>
          <cell r="BZ57">
            <v>0</v>
          </cell>
          <cell r="CB57">
            <v>0</v>
          </cell>
          <cell r="CD57">
            <v>0</v>
          </cell>
          <cell r="CF57">
            <v>0</v>
          </cell>
          <cell r="CH57">
            <v>0</v>
          </cell>
          <cell r="CJ57">
            <v>0</v>
          </cell>
          <cell r="CL57">
            <v>0</v>
          </cell>
          <cell r="CN57">
            <v>0</v>
          </cell>
          <cell r="CP57">
            <v>0</v>
          </cell>
          <cell r="CR57">
            <v>0</v>
          </cell>
          <cell r="CT57">
            <v>0</v>
          </cell>
          <cell r="CV57">
            <v>0</v>
          </cell>
          <cell r="CX57">
            <v>0</v>
          </cell>
          <cell r="CZ57">
            <v>0</v>
          </cell>
          <cell r="DB57">
            <v>0</v>
          </cell>
          <cell r="DD57">
            <v>0</v>
          </cell>
          <cell r="DF57">
            <v>0</v>
          </cell>
          <cell r="DH57">
            <v>0</v>
          </cell>
          <cell r="DJ57">
            <v>0</v>
          </cell>
          <cell r="DL57">
            <v>0</v>
          </cell>
          <cell r="DN57">
            <v>0</v>
          </cell>
          <cell r="DP57">
            <v>0</v>
          </cell>
          <cell r="DR57">
            <v>0</v>
          </cell>
          <cell r="DT57">
            <v>0</v>
          </cell>
          <cell r="DV57">
            <v>0</v>
          </cell>
          <cell r="DX57">
            <v>0</v>
          </cell>
          <cell r="DZ57">
            <v>0</v>
          </cell>
          <cell r="EB57">
            <v>0</v>
          </cell>
          <cell r="ED57">
            <v>0</v>
          </cell>
          <cell r="EF57">
            <v>0</v>
          </cell>
          <cell r="EH57">
            <v>0</v>
          </cell>
          <cell r="EJ57">
            <v>0</v>
          </cell>
          <cell r="EL57">
            <v>0</v>
          </cell>
          <cell r="EN57">
            <v>0</v>
          </cell>
          <cell r="EP57">
            <v>0</v>
          </cell>
          <cell r="ER57">
            <v>0</v>
          </cell>
          <cell r="ET57">
            <v>0</v>
          </cell>
          <cell r="EV57">
            <v>0</v>
          </cell>
          <cell r="EX57">
            <v>0</v>
          </cell>
          <cell r="EZ57">
            <v>0</v>
          </cell>
          <cell r="FB57">
            <v>0</v>
          </cell>
          <cell r="FD57">
            <v>0</v>
          </cell>
          <cell r="FF57">
            <v>0</v>
          </cell>
          <cell r="FH57">
            <v>0</v>
          </cell>
          <cell r="FJ57">
            <v>0</v>
          </cell>
          <cell r="FL57">
            <v>0</v>
          </cell>
          <cell r="FN57">
            <v>0</v>
          </cell>
          <cell r="FP57">
            <v>0</v>
          </cell>
          <cell r="FR57">
            <v>0</v>
          </cell>
          <cell r="FT57">
            <v>0</v>
          </cell>
          <cell r="FV57">
            <v>0</v>
          </cell>
          <cell r="GD57">
            <v>14</v>
          </cell>
          <cell r="GF57">
            <v>4</v>
          </cell>
          <cell r="GH57">
            <v>1</v>
          </cell>
          <cell r="GJ57">
            <v>7</v>
          </cell>
          <cell r="GM57">
            <v>0.01</v>
          </cell>
          <cell r="GN5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7" t="str">
            <v>二</v>
          </cell>
          <cell r="GQ57">
            <v>0</v>
          </cell>
          <cell r="GR57">
            <v>5.1528221655672057E-2</v>
          </cell>
          <cell r="GS57">
            <v>45748</v>
          </cell>
          <cell r="GT57">
            <v>0</v>
          </cell>
          <cell r="GW57" t="str">
            <v>（一）施工廠商施工前檢查事項辦理情形：█完成 □未完成 （二）其他工地安全衛生督導事項：</v>
          </cell>
          <cell r="GX57">
            <v>582250</v>
          </cell>
          <cell r="GY57">
            <v>0</v>
          </cell>
        </row>
        <row r="58">
          <cell r="A58">
            <v>45749</v>
          </cell>
          <cell r="B58" t="str">
            <v>三</v>
          </cell>
          <cell r="C58" t="str">
            <v>晴</v>
          </cell>
          <cell r="D58">
            <v>1</v>
          </cell>
          <cell r="F58">
            <v>52</v>
          </cell>
          <cell r="G58">
            <v>0</v>
          </cell>
          <cell r="H58">
            <v>0.67527000000000004</v>
          </cell>
          <cell r="I58">
            <v>0.73339883663328653</v>
          </cell>
          <cell r="N58">
            <v>1</v>
          </cell>
          <cell r="P58">
            <v>1</v>
          </cell>
          <cell r="R58">
            <v>672</v>
          </cell>
          <cell r="T58">
            <v>108</v>
          </cell>
          <cell r="V58">
            <v>661</v>
          </cell>
          <cell r="X58">
            <v>2</v>
          </cell>
          <cell r="Z58">
            <v>1</v>
          </cell>
          <cell r="AA58">
            <v>100</v>
          </cell>
          <cell r="AB58">
            <v>300</v>
          </cell>
          <cell r="AD58">
            <v>0</v>
          </cell>
          <cell r="AF58">
            <v>1</v>
          </cell>
          <cell r="AH58">
            <v>0</v>
          </cell>
          <cell r="AJ58">
            <v>0</v>
          </cell>
          <cell r="AL58">
            <v>0</v>
          </cell>
          <cell r="AN58">
            <v>0</v>
          </cell>
          <cell r="AP58">
            <v>0</v>
          </cell>
          <cell r="AR58">
            <v>0</v>
          </cell>
          <cell r="AT58">
            <v>0</v>
          </cell>
          <cell r="AV58">
            <v>0</v>
          </cell>
          <cell r="AX58">
            <v>0</v>
          </cell>
          <cell r="AZ58">
            <v>0</v>
          </cell>
          <cell r="BB58">
            <v>0</v>
          </cell>
          <cell r="BD58">
            <v>0</v>
          </cell>
          <cell r="BF58">
            <v>0</v>
          </cell>
          <cell r="BH58">
            <v>0</v>
          </cell>
          <cell r="BJ58">
            <v>0</v>
          </cell>
          <cell r="BL58">
            <v>0</v>
          </cell>
          <cell r="BN58">
            <v>0</v>
          </cell>
          <cell r="BP58">
            <v>0</v>
          </cell>
          <cell r="BR58">
            <v>0</v>
          </cell>
          <cell r="BT58">
            <v>0</v>
          </cell>
          <cell r="BV58">
            <v>0</v>
          </cell>
          <cell r="BX58">
            <v>0</v>
          </cell>
          <cell r="BZ58">
            <v>0</v>
          </cell>
          <cell r="CB58">
            <v>0</v>
          </cell>
          <cell r="CD58">
            <v>0</v>
          </cell>
          <cell r="CF58">
            <v>0</v>
          </cell>
          <cell r="CH58">
            <v>0</v>
          </cell>
          <cell r="CJ58">
            <v>0</v>
          </cell>
          <cell r="CL58">
            <v>0</v>
          </cell>
          <cell r="CN58">
            <v>0</v>
          </cell>
          <cell r="CP58">
            <v>0</v>
          </cell>
          <cell r="CR58">
            <v>0</v>
          </cell>
          <cell r="CT58">
            <v>0</v>
          </cell>
          <cell r="CV58">
            <v>0</v>
          </cell>
          <cell r="CX58">
            <v>0</v>
          </cell>
          <cell r="CZ58">
            <v>0</v>
          </cell>
          <cell r="DB58">
            <v>0</v>
          </cell>
          <cell r="DD58">
            <v>0</v>
          </cell>
          <cell r="DF58">
            <v>0</v>
          </cell>
          <cell r="DH58">
            <v>0</v>
          </cell>
          <cell r="DJ58">
            <v>0</v>
          </cell>
          <cell r="DL58">
            <v>0</v>
          </cell>
          <cell r="DN58">
            <v>0</v>
          </cell>
          <cell r="DP58">
            <v>0</v>
          </cell>
          <cell r="DR58">
            <v>0</v>
          </cell>
          <cell r="DT58">
            <v>0</v>
          </cell>
          <cell r="DV58">
            <v>0</v>
          </cell>
          <cell r="DX58">
            <v>0</v>
          </cell>
          <cell r="DZ58">
            <v>0</v>
          </cell>
          <cell r="EB58">
            <v>0</v>
          </cell>
          <cell r="ED58">
            <v>0</v>
          </cell>
          <cell r="EF58">
            <v>0</v>
          </cell>
          <cell r="EH58">
            <v>0</v>
          </cell>
          <cell r="EJ58">
            <v>0</v>
          </cell>
          <cell r="EL58">
            <v>0</v>
          </cell>
          <cell r="EN58">
            <v>0</v>
          </cell>
          <cell r="EP58">
            <v>0</v>
          </cell>
          <cell r="ER58">
            <v>0</v>
          </cell>
          <cell r="ET58">
            <v>0</v>
          </cell>
          <cell r="EV58">
            <v>0</v>
          </cell>
          <cell r="EX58">
            <v>0</v>
          </cell>
          <cell r="EZ58">
            <v>0</v>
          </cell>
          <cell r="FB58">
            <v>0</v>
          </cell>
          <cell r="FD58">
            <v>0</v>
          </cell>
          <cell r="FF58">
            <v>0</v>
          </cell>
          <cell r="FH58">
            <v>0</v>
          </cell>
          <cell r="FJ58">
            <v>0</v>
          </cell>
          <cell r="FL58">
            <v>0</v>
          </cell>
          <cell r="FN58">
            <v>0</v>
          </cell>
          <cell r="FP58">
            <v>0</v>
          </cell>
          <cell r="FR58">
            <v>0</v>
          </cell>
          <cell r="FT58">
            <v>0</v>
          </cell>
          <cell r="FV58">
            <v>0</v>
          </cell>
          <cell r="GD58">
            <v>14</v>
          </cell>
          <cell r="GF58">
            <v>4</v>
          </cell>
          <cell r="GH58">
            <v>1</v>
          </cell>
          <cell r="GJ58">
            <v>7</v>
          </cell>
          <cell r="GM58">
            <v>0.01</v>
          </cell>
          <cell r="GN5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8" t="str">
            <v>三</v>
          </cell>
          <cell r="GQ58">
            <v>0</v>
          </cell>
          <cell r="GR58">
            <v>5.1528221655672057E-2</v>
          </cell>
          <cell r="GS58">
            <v>45749</v>
          </cell>
          <cell r="GT58">
            <v>0</v>
          </cell>
          <cell r="GW58" t="str">
            <v>（一）施工廠商施工前檢查事項辦理情形：█完成 □未完成 （二）其他工地安全衛生督導事項：</v>
          </cell>
          <cell r="GX58">
            <v>626250</v>
          </cell>
          <cell r="GY58">
            <v>0</v>
          </cell>
        </row>
        <row r="59">
          <cell r="A59">
            <v>45750</v>
          </cell>
          <cell r="B59" t="str">
            <v>四</v>
          </cell>
          <cell r="C59" t="str">
            <v>晴</v>
          </cell>
          <cell r="D59">
            <v>1</v>
          </cell>
          <cell r="F59">
            <v>53</v>
          </cell>
          <cell r="G59">
            <v>0</v>
          </cell>
          <cell r="H59">
            <v>0.72016000000000002</v>
          </cell>
          <cell r="I59">
            <v>0.75916294746112256</v>
          </cell>
          <cell r="N59">
            <v>1</v>
          </cell>
          <cell r="P59">
            <v>1</v>
          </cell>
          <cell r="R59">
            <v>672</v>
          </cell>
          <cell r="T59">
            <v>108</v>
          </cell>
          <cell r="V59">
            <v>661</v>
          </cell>
          <cell r="X59">
            <v>2</v>
          </cell>
          <cell r="Z59">
            <v>1</v>
          </cell>
          <cell r="AA59">
            <v>50</v>
          </cell>
          <cell r="AB59">
            <v>350</v>
          </cell>
          <cell r="AD59">
            <v>0</v>
          </cell>
          <cell r="AF59">
            <v>1</v>
          </cell>
          <cell r="AH59">
            <v>0</v>
          </cell>
          <cell r="AJ59">
            <v>0</v>
          </cell>
          <cell r="AL59">
            <v>0</v>
          </cell>
          <cell r="AN59">
            <v>0</v>
          </cell>
          <cell r="AP59">
            <v>0</v>
          </cell>
          <cell r="AR59">
            <v>0</v>
          </cell>
          <cell r="AT59">
            <v>0</v>
          </cell>
          <cell r="AV59">
            <v>0</v>
          </cell>
          <cell r="AX59">
            <v>0</v>
          </cell>
          <cell r="AZ59">
            <v>0</v>
          </cell>
          <cell r="BB59">
            <v>0</v>
          </cell>
          <cell r="BD59">
            <v>0</v>
          </cell>
          <cell r="BF59">
            <v>0</v>
          </cell>
          <cell r="BH59">
            <v>0</v>
          </cell>
          <cell r="BJ59">
            <v>0</v>
          </cell>
          <cell r="BL59">
            <v>0</v>
          </cell>
          <cell r="BN59">
            <v>0</v>
          </cell>
          <cell r="BP59">
            <v>0</v>
          </cell>
          <cell r="BR59">
            <v>0</v>
          </cell>
          <cell r="BT59">
            <v>0</v>
          </cell>
          <cell r="BV59">
            <v>0</v>
          </cell>
          <cell r="BX59">
            <v>0</v>
          </cell>
          <cell r="BZ59">
            <v>0</v>
          </cell>
          <cell r="CB59">
            <v>0</v>
          </cell>
          <cell r="CD59">
            <v>0</v>
          </cell>
          <cell r="CF59">
            <v>0</v>
          </cell>
          <cell r="CH59">
            <v>0</v>
          </cell>
          <cell r="CJ59">
            <v>0</v>
          </cell>
          <cell r="CL59">
            <v>0</v>
          </cell>
          <cell r="CN59">
            <v>0</v>
          </cell>
          <cell r="CP59">
            <v>0</v>
          </cell>
          <cell r="CR59">
            <v>0</v>
          </cell>
          <cell r="CT59">
            <v>0</v>
          </cell>
          <cell r="CV59">
            <v>0</v>
          </cell>
          <cell r="CX59">
            <v>0</v>
          </cell>
          <cell r="CZ59">
            <v>0</v>
          </cell>
          <cell r="DB59">
            <v>0</v>
          </cell>
          <cell r="DD59">
            <v>0</v>
          </cell>
          <cell r="DF59">
            <v>0</v>
          </cell>
          <cell r="DH59">
            <v>0</v>
          </cell>
          <cell r="DJ59">
            <v>0</v>
          </cell>
          <cell r="DL59">
            <v>0</v>
          </cell>
          <cell r="DN59">
            <v>0</v>
          </cell>
          <cell r="DP59">
            <v>0</v>
          </cell>
          <cell r="DR59">
            <v>0</v>
          </cell>
          <cell r="DT59">
            <v>0</v>
          </cell>
          <cell r="DV59">
            <v>0</v>
          </cell>
          <cell r="DX59">
            <v>0</v>
          </cell>
          <cell r="DZ59">
            <v>0</v>
          </cell>
          <cell r="EB59">
            <v>0</v>
          </cell>
          <cell r="ED59">
            <v>0</v>
          </cell>
          <cell r="EF59">
            <v>0</v>
          </cell>
          <cell r="EH59">
            <v>0</v>
          </cell>
          <cell r="EJ59">
            <v>0</v>
          </cell>
          <cell r="EL59">
            <v>0</v>
          </cell>
          <cell r="EN59">
            <v>0</v>
          </cell>
          <cell r="EP59">
            <v>0</v>
          </cell>
          <cell r="ER59">
            <v>0</v>
          </cell>
          <cell r="ET59">
            <v>0</v>
          </cell>
          <cell r="EV59">
            <v>0</v>
          </cell>
          <cell r="EX59">
            <v>0</v>
          </cell>
          <cell r="EZ59">
            <v>0</v>
          </cell>
          <cell r="FB59">
            <v>0</v>
          </cell>
          <cell r="FD59">
            <v>0</v>
          </cell>
          <cell r="FF59">
            <v>0</v>
          </cell>
          <cell r="FH59">
            <v>0</v>
          </cell>
          <cell r="FJ59">
            <v>0</v>
          </cell>
          <cell r="FL59">
            <v>0</v>
          </cell>
          <cell r="FN59">
            <v>0</v>
          </cell>
          <cell r="FP59">
            <v>0</v>
          </cell>
          <cell r="FR59">
            <v>0</v>
          </cell>
          <cell r="FT59">
            <v>0</v>
          </cell>
          <cell r="FV59">
            <v>0</v>
          </cell>
          <cell r="GD59">
            <v>14</v>
          </cell>
          <cell r="GF59">
            <v>4</v>
          </cell>
          <cell r="GH59">
            <v>1</v>
          </cell>
          <cell r="GJ59">
            <v>7</v>
          </cell>
          <cell r="GM59">
            <v>0.01</v>
          </cell>
          <cell r="GN5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59" t="str">
            <v>四</v>
          </cell>
          <cell r="GQ59">
            <v>0</v>
          </cell>
          <cell r="GR59">
            <v>2.5764110827836029E-2</v>
          </cell>
          <cell r="GS59">
            <v>45750</v>
          </cell>
          <cell r="GT59">
            <v>0</v>
          </cell>
          <cell r="GW59" t="str">
            <v>（一）施工廠商施工前檢查事項辦理情形：█完成 □未完成 （二）其他工地安全衛生督導事項：</v>
          </cell>
          <cell r="GX59">
            <v>648250</v>
          </cell>
          <cell r="GY59">
            <v>0</v>
          </cell>
        </row>
        <row r="60">
          <cell r="A60">
            <v>45751</v>
          </cell>
          <cell r="B60" t="str">
            <v>五</v>
          </cell>
          <cell r="C60" t="str">
            <v>晴</v>
          </cell>
          <cell r="D60">
            <v>1</v>
          </cell>
          <cell r="F60">
            <v>54</v>
          </cell>
          <cell r="G60">
            <v>0</v>
          </cell>
          <cell r="H60">
            <v>0.76505000000000001</v>
          </cell>
          <cell r="I60">
            <v>0.78492705828895859</v>
          </cell>
          <cell r="N60">
            <v>1</v>
          </cell>
          <cell r="P60">
            <v>1</v>
          </cell>
          <cell r="R60">
            <v>672</v>
          </cell>
          <cell r="T60">
            <v>108</v>
          </cell>
          <cell r="V60">
            <v>661</v>
          </cell>
          <cell r="X60">
            <v>2</v>
          </cell>
          <cell r="Z60">
            <v>1</v>
          </cell>
          <cell r="AA60">
            <v>50</v>
          </cell>
          <cell r="AB60">
            <v>400</v>
          </cell>
          <cell r="AD60">
            <v>0</v>
          </cell>
          <cell r="AF60">
            <v>1</v>
          </cell>
          <cell r="AH60">
            <v>0</v>
          </cell>
          <cell r="AJ60">
            <v>0</v>
          </cell>
          <cell r="AL60">
            <v>0</v>
          </cell>
          <cell r="AN60">
            <v>0</v>
          </cell>
          <cell r="AP60">
            <v>0</v>
          </cell>
          <cell r="AR60">
            <v>0</v>
          </cell>
          <cell r="AT60">
            <v>0</v>
          </cell>
          <cell r="AV60">
            <v>0</v>
          </cell>
          <cell r="AX60">
            <v>0</v>
          </cell>
          <cell r="AZ60">
            <v>0</v>
          </cell>
          <cell r="BB60">
            <v>0</v>
          </cell>
          <cell r="BD60">
            <v>0</v>
          </cell>
          <cell r="BF60">
            <v>0</v>
          </cell>
          <cell r="BH60">
            <v>0</v>
          </cell>
          <cell r="BJ60">
            <v>0</v>
          </cell>
          <cell r="BL60">
            <v>0</v>
          </cell>
          <cell r="BN60">
            <v>0</v>
          </cell>
          <cell r="BP60">
            <v>0</v>
          </cell>
          <cell r="BR60">
            <v>0</v>
          </cell>
          <cell r="BT60">
            <v>0</v>
          </cell>
          <cell r="BV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0</v>
          </cell>
          <cell r="CH60">
            <v>0</v>
          </cell>
          <cell r="CJ60">
            <v>0</v>
          </cell>
          <cell r="CL60">
            <v>0</v>
          </cell>
          <cell r="CN60">
            <v>0</v>
          </cell>
          <cell r="CP60">
            <v>0</v>
          </cell>
          <cell r="CR60">
            <v>0</v>
          </cell>
          <cell r="CT60">
            <v>0</v>
          </cell>
          <cell r="CV60">
            <v>0</v>
          </cell>
          <cell r="CX60">
            <v>0</v>
          </cell>
          <cell r="CZ60">
            <v>0</v>
          </cell>
          <cell r="DB60">
            <v>0</v>
          </cell>
          <cell r="DD60">
            <v>0</v>
          </cell>
          <cell r="DF60">
            <v>0</v>
          </cell>
          <cell r="DH60">
            <v>0</v>
          </cell>
          <cell r="DJ60">
            <v>0</v>
          </cell>
          <cell r="DL60">
            <v>0</v>
          </cell>
          <cell r="DN60">
            <v>0</v>
          </cell>
          <cell r="DP60">
            <v>0</v>
          </cell>
          <cell r="DR60">
            <v>0</v>
          </cell>
          <cell r="DT60">
            <v>0</v>
          </cell>
          <cell r="DV60">
            <v>0</v>
          </cell>
          <cell r="DX60">
            <v>0</v>
          </cell>
          <cell r="DZ60">
            <v>0</v>
          </cell>
          <cell r="EB60">
            <v>0</v>
          </cell>
          <cell r="ED60">
            <v>0</v>
          </cell>
          <cell r="EF60">
            <v>0</v>
          </cell>
          <cell r="EH60">
            <v>0</v>
          </cell>
          <cell r="EJ60">
            <v>0</v>
          </cell>
          <cell r="EL60">
            <v>0</v>
          </cell>
          <cell r="EN60">
            <v>0</v>
          </cell>
          <cell r="EP60">
            <v>0</v>
          </cell>
          <cell r="ER60">
            <v>0</v>
          </cell>
          <cell r="ET60">
            <v>0</v>
          </cell>
          <cell r="EV60">
            <v>0</v>
          </cell>
          <cell r="EX60">
            <v>0</v>
          </cell>
          <cell r="EZ60">
            <v>0</v>
          </cell>
          <cell r="FB60">
            <v>0</v>
          </cell>
          <cell r="FD60">
            <v>0</v>
          </cell>
          <cell r="FF60">
            <v>0</v>
          </cell>
          <cell r="FH60">
            <v>0</v>
          </cell>
          <cell r="FJ60">
            <v>0</v>
          </cell>
          <cell r="FL60">
            <v>0</v>
          </cell>
          <cell r="FN60">
            <v>0</v>
          </cell>
          <cell r="FP60">
            <v>0</v>
          </cell>
          <cell r="FR60">
            <v>0</v>
          </cell>
          <cell r="FT60">
            <v>0</v>
          </cell>
          <cell r="FV60">
            <v>0</v>
          </cell>
          <cell r="GD60">
            <v>14</v>
          </cell>
          <cell r="GF60">
            <v>4</v>
          </cell>
          <cell r="GH60">
            <v>1</v>
          </cell>
          <cell r="GJ60">
            <v>7</v>
          </cell>
          <cell r="GM60">
            <v>0.01</v>
          </cell>
          <cell r="GN6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0" t="str">
            <v>五</v>
          </cell>
          <cell r="GQ60">
            <v>0</v>
          </cell>
          <cell r="GR60">
            <v>2.5764110827836029E-2</v>
          </cell>
          <cell r="GS60">
            <v>45751</v>
          </cell>
          <cell r="GT60">
            <v>0</v>
          </cell>
          <cell r="GW60" t="str">
            <v>（一）施工廠商施工前檢查事項辦理情形：█完成 □未完成 （二）其他工地安全衛生督導事項：</v>
          </cell>
          <cell r="GX60">
            <v>670250</v>
          </cell>
          <cell r="GY60">
            <v>0</v>
          </cell>
        </row>
        <row r="61">
          <cell r="A61">
            <v>45752</v>
          </cell>
          <cell r="B61" t="str">
            <v>六</v>
          </cell>
          <cell r="C61" t="str">
            <v>晴</v>
          </cell>
          <cell r="D61">
            <v>1</v>
          </cell>
          <cell r="F61">
            <v>55</v>
          </cell>
          <cell r="G61">
            <v>0</v>
          </cell>
          <cell r="H61">
            <v>0.80993999999999999</v>
          </cell>
          <cell r="I61">
            <v>0.81069116911679462</v>
          </cell>
          <cell r="N61">
            <v>1</v>
          </cell>
          <cell r="P61">
            <v>1</v>
          </cell>
          <cell r="R61">
            <v>672</v>
          </cell>
          <cell r="T61">
            <v>108</v>
          </cell>
          <cell r="V61">
            <v>661</v>
          </cell>
          <cell r="X61">
            <v>2</v>
          </cell>
          <cell r="Z61">
            <v>1</v>
          </cell>
          <cell r="AA61">
            <v>50</v>
          </cell>
          <cell r="AB61">
            <v>450</v>
          </cell>
          <cell r="AD61">
            <v>0</v>
          </cell>
          <cell r="AF61">
            <v>1</v>
          </cell>
          <cell r="AH61">
            <v>0</v>
          </cell>
          <cell r="AJ61">
            <v>0</v>
          </cell>
          <cell r="AL61">
            <v>0</v>
          </cell>
          <cell r="AN61">
            <v>0</v>
          </cell>
          <cell r="AP61">
            <v>0</v>
          </cell>
          <cell r="AR61">
            <v>0</v>
          </cell>
          <cell r="AT61">
            <v>0</v>
          </cell>
          <cell r="AV61">
            <v>0</v>
          </cell>
          <cell r="AX61">
            <v>0</v>
          </cell>
          <cell r="AZ61">
            <v>0</v>
          </cell>
          <cell r="BB61">
            <v>0</v>
          </cell>
          <cell r="BD61">
            <v>0</v>
          </cell>
          <cell r="BF61">
            <v>0</v>
          </cell>
          <cell r="BH61">
            <v>0</v>
          </cell>
          <cell r="BJ61">
            <v>0</v>
          </cell>
          <cell r="BL61">
            <v>0</v>
          </cell>
          <cell r="BN61">
            <v>0</v>
          </cell>
          <cell r="BP61">
            <v>0</v>
          </cell>
          <cell r="BR61">
            <v>0</v>
          </cell>
          <cell r="BT61">
            <v>0</v>
          </cell>
          <cell r="BV61">
            <v>0</v>
          </cell>
          <cell r="BX61">
            <v>0</v>
          </cell>
          <cell r="BZ61">
            <v>0</v>
          </cell>
          <cell r="CB61">
            <v>0</v>
          </cell>
          <cell r="CD61">
            <v>0</v>
          </cell>
          <cell r="CF61">
            <v>0</v>
          </cell>
          <cell r="CH61">
            <v>0</v>
          </cell>
          <cell r="CJ61">
            <v>0</v>
          </cell>
          <cell r="CL61">
            <v>0</v>
          </cell>
          <cell r="CN61">
            <v>0</v>
          </cell>
          <cell r="CP61">
            <v>0</v>
          </cell>
          <cell r="CR61">
            <v>0</v>
          </cell>
          <cell r="CT61">
            <v>0</v>
          </cell>
          <cell r="CV61">
            <v>0</v>
          </cell>
          <cell r="CX61">
            <v>0</v>
          </cell>
          <cell r="CZ61">
            <v>0</v>
          </cell>
          <cell r="DB61">
            <v>0</v>
          </cell>
          <cell r="DD61">
            <v>0</v>
          </cell>
          <cell r="DF61">
            <v>0</v>
          </cell>
          <cell r="DH61">
            <v>0</v>
          </cell>
          <cell r="DJ61">
            <v>0</v>
          </cell>
          <cell r="DL61">
            <v>0</v>
          </cell>
          <cell r="DN61">
            <v>0</v>
          </cell>
          <cell r="DP61">
            <v>0</v>
          </cell>
          <cell r="DR61">
            <v>0</v>
          </cell>
          <cell r="DT61">
            <v>0</v>
          </cell>
          <cell r="DV61">
            <v>0</v>
          </cell>
          <cell r="DX61">
            <v>0</v>
          </cell>
          <cell r="DZ61">
            <v>0</v>
          </cell>
          <cell r="EB61">
            <v>0</v>
          </cell>
          <cell r="ED61">
            <v>0</v>
          </cell>
          <cell r="EF61">
            <v>0</v>
          </cell>
          <cell r="EH61">
            <v>0</v>
          </cell>
          <cell r="EJ61">
            <v>0</v>
          </cell>
          <cell r="EL61">
            <v>0</v>
          </cell>
          <cell r="EN61">
            <v>0</v>
          </cell>
          <cell r="EP61">
            <v>0</v>
          </cell>
          <cell r="ER61">
            <v>0</v>
          </cell>
          <cell r="ET61">
            <v>0</v>
          </cell>
          <cell r="EV61">
            <v>0</v>
          </cell>
          <cell r="EX61">
            <v>0</v>
          </cell>
          <cell r="EZ61">
            <v>0</v>
          </cell>
          <cell r="FB61">
            <v>0</v>
          </cell>
          <cell r="FD61">
            <v>0</v>
          </cell>
          <cell r="FF61">
            <v>0</v>
          </cell>
          <cell r="FH61">
            <v>0</v>
          </cell>
          <cell r="FJ61">
            <v>0</v>
          </cell>
          <cell r="FL61">
            <v>0</v>
          </cell>
          <cell r="FN61">
            <v>0</v>
          </cell>
          <cell r="FP61">
            <v>0</v>
          </cell>
          <cell r="FR61">
            <v>0</v>
          </cell>
          <cell r="FT61">
            <v>0</v>
          </cell>
          <cell r="FV61">
            <v>0</v>
          </cell>
          <cell r="GD61">
            <v>14</v>
          </cell>
          <cell r="GF61">
            <v>4</v>
          </cell>
          <cell r="GH61">
            <v>1</v>
          </cell>
          <cell r="GJ61">
            <v>7</v>
          </cell>
          <cell r="GM61">
            <v>0.01</v>
          </cell>
          <cell r="GN6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1" t="str">
            <v>六</v>
          </cell>
          <cell r="GQ61">
            <v>0</v>
          </cell>
          <cell r="GR61">
            <v>2.5764110827836029E-2</v>
          </cell>
          <cell r="GS61">
            <v>45752</v>
          </cell>
          <cell r="GT61">
            <v>0</v>
          </cell>
          <cell r="GW61" t="str">
            <v>（一）施工廠商施工前檢查事項辦理情形：█完成 □未完成 （二）其他工地安全衛生督導事項：</v>
          </cell>
          <cell r="GX61">
            <v>692250</v>
          </cell>
          <cell r="GY61">
            <v>0</v>
          </cell>
        </row>
        <row r="62">
          <cell r="A62">
            <v>45753</v>
          </cell>
          <cell r="B62" t="str">
            <v>日</v>
          </cell>
          <cell r="C62" t="str">
            <v>晴</v>
          </cell>
          <cell r="D62">
            <v>1</v>
          </cell>
          <cell r="F62">
            <v>56</v>
          </cell>
          <cell r="G62">
            <v>0</v>
          </cell>
          <cell r="H62">
            <v>0.85326000000000002</v>
          </cell>
          <cell r="I62">
            <v>0.83645527994463054</v>
          </cell>
          <cell r="N62">
            <v>1</v>
          </cell>
          <cell r="P62">
            <v>1</v>
          </cell>
          <cell r="R62">
            <v>672</v>
          </cell>
          <cell r="T62">
            <v>108</v>
          </cell>
          <cell r="V62">
            <v>661</v>
          </cell>
          <cell r="X62">
            <v>2</v>
          </cell>
          <cell r="Z62">
            <v>1</v>
          </cell>
          <cell r="AA62">
            <v>50</v>
          </cell>
          <cell r="AB62">
            <v>500</v>
          </cell>
          <cell r="AD62">
            <v>0</v>
          </cell>
          <cell r="AF62">
            <v>1</v>
          </cell>
          <cell r="AH62">
            <v>0</v>
          </cell>
          <cell r="AJ62">
            <v>0</v>
          </cell>
          <cell r="AL62">
            <v>0</v>
          </cell>
          <cell r="AN62">
            <v>0</v>
          </cell>
          <cell r="AP62">
            <v>0</v>
          </cell>
          <cell r="AR62">
            <v>0</v>
          </cell>
          <cell r="AT62">
            <v>0</v>
          </cell>
          <cell r="AV62">
            <v>0</v>
          </cell>
          <cell r="AX62">
            <v>0</v>
          </cell>
          <cell r="AZ62">
            <v>0</v>
          </cell>
          <cell r="BB62">
            <v>0</v>
          </cell>
          <cell r="BD62">
            <v>0</v>
          </cell>
          <cell r="BF62">
            <v>0</v>
          </cell>
          <cell r="BH62">
            <v>0</v>
          </cell>
          <cell r="BJ62">
            <v>0</v>
          </cell>
          <cell r="BL62">
            <v>0</v>
          </cell>
          <cell r="BN62">
            <v>0</v>
          </cell>
          <cell r="BP62">
            <v>0</v>
          </cell>
          <cell r="BR62">
            <v>0</v>
          </cell>
          <cell r="BT62">
            <v>0</v>
          </cell>
          <cell r="BV62">
            <v>0</v>
          </cell>
          <cell r="BX62">
            <v>0</v>
          </cell>
          <cell r="BZ62">
            <v>0</v>
          </cell>
          <cell r="CB62">
            <v>0</v>
          </cell>
          <cell r="CD62">
            <v>0</v>
          </cell>
          <cell r="CF62">
            <v>0</v>
          </cell>
          <cell r="CH62">
            <v>0</v>
          </cell>
          <cell r="CJ62">
            <v>0</v>
          </cell>
          <cell r="CL62">
            <v>0</v>
          </cell>
          <cell r="CN62">
            <v>0</v>
          </cell>
          <cell r="CP62">
            <v>0</v>
          </cell>
          <cell r="CR62">
            <v>0</v>
          </cell>
          <cell r="CT62">
            <v>0</v>
          </cell>
          <cell r="CV62">
            <v>0</v>
          </cell>
          <cell r="CX62">
            <v>0</v>
          </cell>
          <cell r="CZ62">
            <v>0</v>
          </cell>
          <cell r="DB62">
            <v>0</v>
          </cell>
          <cell r="DD62">
            <v>0</v>
          </cell>
          <cell r="DF62">
            <v>0</v>
          </cell>
          <cell r="DH62">
            <v>0</v>
          </cell>
          <cell r="DJ62">
            <v>0</v>
          </cell>
          <cell r="DL62">
            <v>0</v>
          </cell>
          <cell r="DN62">
            <v>0</v>
          </cell>
          <cell r="DP62">
            <v>0</v>
          </cell>
          <cell r="DR62">
            <v>0</v>
          </cell>
          <cell r="DT62">
            <v>0</v>
          </cell>
          <cell r="DV62">
            <v>0</v>
          </cell>
          <cell r="DX62">
            <v>0</v>
          </cell>
          <cell r="DZ62">
            <v>0</v>
          </cell>
          <cell r="EB62">
            <v>0</v>
          </cell>
          <cell r="ED62">
            <v>0</v>
          </cell>
          <cell r="EF62">
            <v>0</v>
          </cell>
          <cell r="EH62">
            <v>0</v>
          </cell>
          <cell r="EJ62">
            <v>0</v>
          </cell>
          <cell r="EL62">
            <v>0</v>
          </cell>
          <cell r="EN62">
            <v>0</v>
          </cell>
          <cell r="EP62">
            <v>0</v>
          </cell>
          <cell r="ER62">
            <v>0</v>
          </cell>
          <cell r="ET62">
            <v>0</v>
          </cell>
          <cell r="EV62">
            <v>0</v>
          </cell>
          <cell r="EX62">
            <v>0</v>
          </cell>
          <cell r="EZ62">
            <v>0</v>
          </cell>
          <cell r="FB62">
            <v>0</v>
          </cell>
          <cell r="FD62">
            <v>0</v>
          </cell>
          <cell r="FF62">
            <v>0</v>
          </cell>
          <cell r="FH62">
            <v>0</v>
          </cell>
          <cell r="FJ62">
            <v>0</v>
          </cell>
          <cell r="FL62">
            <v>0</v>
          </cell>
          <cell r="FN62">
            <v>0</v>
          </cell>
          <cell r="FP62">
            <v>0</v>
          </cell>
          <cell r="FR62">
            <v>0</v>
          </cell>
          <cell r="FT62">
            <v>0</v>
          </cell>
          <cell r="FV62">
            <v>0</v>
          </cell>
          <cell r="GD62">
            <v>14</v>
          </cell>
          <cell r="GF62">
            <v>4</v>
          </cell>
          <cell r="GH62">
            <v>1</v>
          </cell>
          <cell r="GJ62">
            <v>7</v>
          </cell>
          <cell r="GM62">
            <v>0.01</v>
          </cell>
          <cell r="GN6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2" t="str">
            <v>日</v>
          </cell>
          <cell r="GQ62">
            <v>0</v>
          </cell>
          <cell r="GR62">
            <v>2.5764110827835918E-2</v>
          </cell>
          <cell r="GS62">
            <v>45753</v>
          </cell>
          <cell r="GT62">
            <v>0</v>
          </cell>
          <cell r="GW62" t="str">
            <v>（一）施工廠商施工前檢查事項辦理情形：█完成 □未完成 （二）其他工地安全衛生督導事項：</v>
          </cell>
          <cell r="GX62">
            <v>714250</v>
          </cell>
          <cell r="GY62">
            <v>0</v>
          </cell>
        </row>
        <row r="63">
          <cell r="A63">
            <v>45754</v>
          </cell>
          <cell r="B63" t="str">
            <v>一</v>
          </cell>
          <cell r="C63" t="str">
            <v>晴</v>
          </cell>
          <cell r="D63">
            <v>1</v>
          </cell>
          <cell r="F63">
            <v>57</v>
          </cell>
          <cell r="G63">
            <v>0</v>
          </cell>
          <cell r="H63">
            <v>0.89658000000000004</v>
          </cell>
          <cell r="I63">
            <v>0.86221939077246657</v>
          </cell>
          <cell r="N63">
            <v>1</v>
          </cell>
          <cell r="P63">
            <v>1</v>
          </cell>
          <cell r="R63">
            <v>672</v>
          </cell>
          <cell r="T63">
            <v>108</v>
          </cell>
          <cell r="V63">
            <v>661</v>
          </cell>
          <cell r="X63">
            <v>2</v>
          </cell>
          <cell r="Z63">
            <v>1</v>
          </cell>
          <cell r="AA63">
            <v>50</v>
          </cell>
          <cell r="AB63">
            <v>550</v>
          </cell>
          <cell r="AD63">
            <v>0</v>
          </cell>
          <cell r="AF63">
            <v>1</v>
          </cell>
          <cell r="AH63">
            <v>0</v>
          </cell>
          <cell r="AJ63">
            <v>0</v>
          </cell>
          <cell r="AL63">
            <v>0</v>
          </cell>
          <cell r="AN63">
            <v>0</v>
          </cell>
          <cell r="AP63">
            <v>0</v>
          </cell>
          <cell r="AR63">
            <v>0</v>
          </cell>
          <cell r="AT63">
            <v>0</v>
          </cell>
          <cell r="AV63">
            <v>0</v>
          </cell>
          <cell r="AX63">
            <v>0</v>
          </cell>
          <cell r="AZ63">
            <v>0</v>
          </cell>
          <cell r="BB63">
            <v>0</v>
          </cell>
          <cell r="BD63">
            <v>0</v>
          </cell>
          <cell r="BF63">
            <v>0</v>
          </cell>
          <cell r="BH63">
            <v>0</v>
          </cell>
          <cell r="BJ63">
            <v>0</v>
          </cell>
          <cell r="BL63">
            <v>0</v>
          </cell>
          <cell r="BN63">
            <v>0</v>
          </cell>
          <cell r="BP63">
            <v>0</v>
          </cell>
          <cell r="BR63">
            <v>0</v>
          </cell>
          <cell r="BT63">
            <v>0</v>
          </cell>
          <cell r="BV63">
            <v>0</v>
          </cell>
          <cell r="BX63">
            <v>0</v>
          </cell>
          <cell r="BZ63">
            <v>0</v>
          </cell>
          <cell r="CB63">
            <v>0</v>
          </cell>
          <cell r="CD63">
            <v>0</v>
          </cell>
          <cell r="CF63">
            <v>0</v>
          </cell>
          <cell r="CH63">
            <v>0</v>
          </cell>
          <cell r="CJ63">
            <v>0</v>
          </cell>
          <cell r="CL63">
            <v>0</v>
          </cell>
          <cell r="CN63">
            <v>0</v>
          </cell>
          <cell r="CP63">
            <v>0</v>
          </cell>
          <cell r="CR63">
            <v>0</v>
          </cell>
          <cell r="CT63">
            <v>0</v>
          </cell>
          <cell r="CV63">
            <v>0</v>
          </cell>
          <cell r="CX63">
            <v>0</v>
          </cell>
          <cell r="CZ63">
            <v>0</v>
          </cell>
          <cell r="DB63">
            <v>0</v>
          </cell>
          <cell r="DD63">
            <v>0</v>
          </cell>
          <cell r="DF63">
            <v>0</v>
          </cell>
          <cell r="DH63">
            <v>0</v>
          </cell>
          <cell r="DJ63">
            <v>0</v>
          </cell>
          <cell r="DL63">
            <v>0</v>
          </cell>
          <cell r="DN63">
            <v>0</v>
          </cell>
          <cell r="DP63">
            <v>0</v>
          </cell>
          <cell r="DR63">
            <v>0</v>
          </cell>
          <cell r="DT63">
            <v>0</v>
          </cell>
          <cell r="DV63">
            <v>0</v>
          </cell>
          <cell r="DX63">
            <v>0</v>
          </cell>
          <cell r="DZ63">
            <v>0</v>
          </cell>
          <cell r="EB63">
            <v>0</v>
          </cell>
          <cell r="ED63">
            <v>0</v>
          </cell>
          <cell r="EF63">
            <v>0</v>
          </cell>
          <cell r="EH63">
            <v>0</v>
          </cell>
          <cell r="EJ63">
            <v>0</v>
          </cell>
          <cell r="EL63">
            <v>0</v>
          </cell>
          <cell r="EN63">
            <v>0</v>
          </cell>
          <cell r="EP63">
            <v>0</v>
          </cell>
          <cell r="ER63">
            <v>0</v>
          </cell>
          <cell r="ET63">
            <v>0</v>
          </cell>
          <cell r="EV63">
            <v>0</v>
          </cell>
          <cell r="EX63">
            <v>0</v>
          </cell>
          <cell r="EZ63">
            <v>0</v>
          </cell>
          <cell r="FB63">
            <v>0</v>
          </cell>
          <cell r="FD63">
            <v>0</v>
          </cell>
          <cell r="FF63">
            <v>0</v>
          </cell>
          <cell r="FH63">
            <v>0</v>
          </cell>
          <cell r="FJ63">
            <v>0</v>
          </cell>
          <cell r="FL63">
            <v>0</v>
          </cell>
          <cell r="FN63">
            <v>0</v>
          </cell>
          <cell r="FP63">
            <v>0</v>
          </cell>
          <cell r="FR63">
            <v>0</v>
          </cell>
          <cell r="FT63">
            <v>0</v>
          </cell>
          <cell r="FV63">
            <v>0</v>
          </cell>
          <cell r="GD63">
            <v>14</v>
          </cell>
          <cell r="GF63">
            <v>4</v>
          </cell>
          <cell r="GH63">
            <v>1</v>
          </cell>
          <cell r="GJ63">
            <v>7</v>
          </cell>
          <cell r="GM63">
            <v>0.01</v>
          </cell>
          <cell r="GN6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3" t="str">
            <v>一</v>
          </cell>
          <cell r="GQ63">
            <v>0</v>
          </cell>
          <cell r="GR63">
            <v>2.5764110827836029E-2</v>
          </cell>
          <cell r="GS63">
            <v>45754</v>
          </cell>
          <cell r="GT63">
            <v>0</v>
          </cell>
          <cell r="GW63" t="str">
            <v>（一）施工廠商施工前檢查事項辦理情形：█完成 □未完成 （二）其他工地安全衛生督導事項：</v>
          </cell>
          <cell r="GX63">
            <v>736250</v>
          </cell>
          <cell r="GY63">
            <v>0</v>
          </cell>
        </row>
        <row r="64">
          <cell r="A64">
            <v>45755</v>
          </cell>
          <cell r="B64" t="str">
            <v>二</v>
          </cell>
          <cell r="C64" t="str">
            <v>晴</v>
          </cell>
          <cell r="D64">
            <v>1</v>
          </cell>
          <cell r="F64">
            <v>58</v>
          </cell>
          <cell r="G64">
            <v>0</v>
          </cell>
          <cell r="H64">
            <v>0.93989999999999996</v>
          </cell>
          <cell r="I64">
            <v>0.88798350160030259</v>
          </cell>
          <cell r="N64">
            <v>1</v>
          </cell>
          <cell r="P64">
            <v>1</v>
          </cell>
          <cell r="R64">
            <v>672</v>
          </cell>
          <cell r="T64">
            <v>108</v>
          </cell>
          <cell r="V64">
            <v>661</v>
          </cell>
          <cell r="X64">
            <v>2</v>
          </cell>
          <cell r="Z64">
            <v>1</v>
          </cell>
          <cell r="AA64">
            <v>50</v>
          </cell>
          <cell r="AB64">
            <v>600</v>
          </cell>
          <cell r="AD64">
            <v>0</v>
          </cell>
          <cell r="AF64">
            <v>1</v>
          </cell>
          <cell r="AH64">
            <v>0</v>
          </cell>
          <cell r="AJ64">
            <v>0</v>
          </cell>
          <cell r="AL64">
            <v>0</v>
          </cell>
          <cell r="AN64">
            <v>0</v>
          </cell>
          <cell r="AP64">
            <v>0</v>
          </cell>
          <cell r="AR64">
            <v>0</v>
          </cell>
          <cell r="AT64">
            <v>0</v>
          </cell>
          <cell r="AV64">
            <v>0</v>
          </cell>
          <cell r="AX64">
            <v>0</v>
          </cell>
          <cell r="AZ64">
            <v>0</v>
          </cell>
          <cell r="BB64">
            <v>0</v>
          </cell>
          <cell r="BD64">
            <v>0</v>
          </cell>
          <cell r="BF64">
            <v>0</v>
          </cell>
          <cell r="BH64">
            <v>0</v>
          </cell>
          <cell r="BJ64">
            <v>0</v>
          </cell>
          <cell r="BL64">
            <v>0</v>
          </cell>
          <cell r="BN64">
            <v>0</v>
          </cell>
          <cell r="BP64">
            <v>0</v>
          </cell>
          <cell r="BR64">
            <v>0</v>
          </cell>
          <cell r="BT64">
            <v>0</v>
          </cell>
          <cell r="BV64">
            <v>0</v>
          </cell>
          <cell r="BX64">
            <v>0</v>
          </cell>
          <cell r="BZ64">
            <v>0</v>
          </cell>
          <cell r="CB64">
            <v>0</v>
          </cell>
          <cell r="CD64">
            <v>0</v>
          </cell>
          <cell r="CF64">
            <v>0</v>
          </cell>
          <cell r="CH64">
            <v>0</v>
          </cell>
          <cell r="CJ64">
            <v>0</v>
          </cell>
          <cell r="CL64">
            <v>0</v>
          </cell>
          <cell r="CN64">
            <v>0</v>
          </cell>
          <cell r="CP64">
            <v>0</v>
          </cell>
          <cell r="CR64">
            <v>0</v>
          </cell>
          <cell r="CT64">
            <v>0</v>
          </cell>
          <cell r="CV64">
            <v>0</v>
          </cell>
          <cell r="CX64">
            <v>0</v>
          </cell>
          <cell r="CZ64">
            <v>0</v>
          </cell>
          <cell r="DB64">
            <v>0</v>
          </cell>
          <cell r="DD64">
            <v>0</v>
          </cell>
          <cell r="DF64">
            <v>0</v>
          </cell>
          <cell r="DH64">
            <v>0</v>
          </cell>
          <cell r="DJ64">
            <v>0</v>
          </cell>
          <cell r="DL64">
            <v>0</v>
          </cell>
          <cell r="DN64">
            <v>0</v>
          </cell>
          <cell r="DP64">
            <v>0</v>
          </cell>
          <cell r="DR64">
            <v>0</v>
          </cell>
          <cell r="DT64">
            <v>0</v>
          </cell>
          <cell r="DV64">
            <v>0</v>
          </cell>
          <cell r="DX64">
            <v>0</v>
          </cell>
          <cell r="DZ64">
            <v>0</v>
          </cell>
          <cell r="EB64">
            <v>0</v>
          </cell>
          <cell r="ED64">
            <v>0</v>
          </cell>
          <cell r="EF64">
            <v>0</v>
          </cell>
          <cell r="EH64">
            <v>0</v>
          </cell>
          <cell r="EJ64">
            <v>0</v>
          </cell>
          <cell r="EL64">
            <v>0</v>
          </cell>
          <cell r="EN64">
            <v>0</v>
          </cell>
          <cell r="EP64">
            <v>0</v>
          </cell>
          <cell r="ER64">
            <v>0</v>
          </cell>
          <cell r="ET64">
            <v>0</v>
          </cell>
          <cell r="EV64">
            <v>0</v>
          </cell>
          <cell r="EX64">
            <v>0</v>
          </cell>
          <cell r="EZ64">
            <v>0</v>
          </cell>
          <cell r="FB64">
            <v>0</v>
          </cell>
          <cell r="FD64">
            <v>0</v>
          </cell>
          <cell r="FF64">
            <v>0</v>
          </cell>
          <cell r="FH64">
            <v>0</v>
          </cell>
          <cell r="FJ64">
            <v>0</v>
          </cell>
          <cell r="FL64">
            <v>0</v>
          </cell>
          <cell r="FN64">
            <v>0</v>
          </cell>
          <cell r="FP64">
            <v>0</v>
          </cell>
          <cell r="FR64">
            <v>0</v>
          </cell>
          <cell r="FT64">
            <v>0</v>
          </cell>
          <cell r="FV64">
            <v>0</v>
          </cell>
          <cell r="GD64">
            <v>14</v>
          </cell>
          <cell r="GF64">
            <v>4</v>
          </cell>
          <cell r="GH64">
            <v>1</v>
          </cell>
          <cell r="GJ64">
            <v>7</v>
          </cell>
          <cell r="GM64">
            <v>0.01</v>
          </cell>
          <cell r="GN6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4" t="str">
            <v>二</v>
          </cell>
          <cell r="GQ64">
            <v>0</v>
          </cell>
          <cell r="GR64">
            <v>2.5764110827836029E-2</v>
          </cell>
          <cell r="GS64">
            <v>45755</v>
          </cell>
          <cell r="GT64">
            <v>0</v>
          </cell>
          <cell r="GW64" t="str">
            <v>（一）施工廠商施工前檢查事項辦理情形：█完成 □未完成 （二）其他工地安全衛生督導事項：</v>
          </cell>
          <cell r="GX64">
            <v>758250</v>
          </cell>
          <cell r="GY64">
            <v>0</v>
          </cell>
        </row>
        <row r="65">
          <cell r="A65">
            <v>45756</v>
          </cell>
          <cell r="B65" t="str">
            <v>三</v>
          </cell>
          <cell r="C65" t="str">
            <v>晴</v>
          </cell>
          <cell r="D65">
            <v>1</v>
          </cell>
          <cell r="F65">
            <v>59</v>
          </cell>
          <cell r="G65">
            <v>0</v>
          </cell>
          <cell r="H65">
            <v>0.97008000000000005</v>
          </cell>
          <cell r="I65">
            <v>0.91941571681026257</v>
          </cell>
          <cell r="N65">
            <v>1</v>
          </cell>
          <cell r="P65">
            <v>1</v>
          </cell>
          <cell r="R65">
            <v>672</v>
          </cell>
          <cell r="T65">
            <v>108</v>
          </cell>
          <cell r="V65">
            <v>661</v>
          </cell>
          <cell r="X65">
            <v>2</v>
          </cell>
          <cell r="Z65">
            <v>1</v>
          </cell>
          <cell r="AA65">
            <v>61</v>
          </cell>
          <cell r="AB65">
            <v>661</v>
          </cell>
          <cell r="AD65">
            <v>0</v>
          </cell>
          <cell r="AF65">
            <v>1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</v>
          </cell>
          <cell r="AV65">
            <v>0</v>
          </cell>
          <cell r="AX65">
            <v>0</v>
          </cell>
          <cell r="AZ65">
            <v>0</v>
          </cell>
          <cell r="BB65">
            <v>0</v>
          </cell>
          <cell r="BD65">
            <v>0</v>
          </cell>
          <cell r="BF65">
            <v>0</v>
          </cell>
          <cell r="BH65">
            <v>0</v>
          </cell>
          <cell r="BJ65">
            <v>0</v>
          </cell>
          <cell r="BL65">
            <v>0</v>
          </cell>
          <cell r="BN65">
            <v>0</v>
          </cell>
          <cell r="BP65">
            <v>0</v>
          </cell>
          <cell r="BR65">
            <v>0</v>
          </cell>
          <cell r="BT65">
            <v>0</v>
          </cell>
          <cell r="BV65">
            <v>0</v>
          </cell>
          <cell r="BX65">
            <v>0</v>
          </cell>
          <cell r="BZ65">
            <v>0</v>
          </cell>
          <cell r="CB65">
            <v>0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CZ65">
            <v>0</v>
          </cell>
          <cell r="DB65">
            <v>0</v>
          </cell>
          <cell r="DD65">
            <v>0</v>
          </cell>
          <cell r="DF65">
            <v>0</v>
          </cell>
          <cell r="DH65">
            <v>0</v>
          </cell>
          <cell r="DJ65">
            <v>0</v>
          </cell>
          <cell r="DL65">
            <v>0</v>
          </cell>
          <cell r="DN65">
            <v>0</v>
          </cell>
          <cell r="DP65">
            <v>0</v>
          </cell>
          <cell r="DR65">
            <v>0</v>
          </cell>
          <cell r="DT65">
            <v>0</v>
          </cell>
          <cell r="DV65">
            <v>0</v>
          </cell>
          <cell r="DX65">
            <v>0</v>
          </cell>
          <cell r="DZ65">
            <v>0</v>
          </cell>
          <cell r="EB65">
            <v>0</v>
          </cell>
          <cell r="ED65">
            <v>0</v>
          </cell>
          <cell r="EF65">
            <v>0</v>
          </cell>
          <cell r="EH65">
            <v>0</v>
          </cell>
          <cell r="EJ65">
            <v>0</v>
          </cell>
          <cell r="EL65">
            <v>0</v>
          </cell>
          <cell r="EN65">
            <v>0</v>
          </cell>
          <cell r="EP65">
            <v>0</v>
          </cell>
          <cell r="ER65">
            <v>0</v>
          </cell>
          <cell r="ET65">
            <v>0</v>
          </cell>
          <cell r="EV65">
            <v>0</v>
          </cell>
          <cell r="EX65">
            <v>0</v>
          </cell>
          <cell r="EZ65">
            <v>0</v>
          </cell>
          <cell r="FB65">
            <v>0</v>
          </cell>
          <cell r="FD65">
            <v>0</v>
          </cell>
          <cell r="FF65">
            <v>0</v>
          </cell>
          <cell r="FH65">
            <v>0</v>
          </cell>
          <cell r="FJ65">
            <v>0</v>
          </cell>
          <cell r="FL65">
            <v>0</v>
          </cell>
          <cell r="FN65">
            <v>0</v>
          </cell>
          <cell r="FP65">
            <v>0</v>
          </cell>
          <cell r="FR65">
            <v>0</v>
          </cell>
          <cell r="FT65">
            <v>0</v>
          </cell>
          <cell r="FV65">
            <v>0</v>
          </cell>
          <cell r="GD65">
            <v>14</v>
          </cell>
          <cell r="GF65">
            <v>4</v>
          </cell>
          <cell r="GH65">
            <v>1</v>
          </cell>
          <cell r="GJ65">
            <v>7</v>
          </cell>
          <cell r="GM65">
            <v>0.01</v>
          </cell>
          <cell r="GN6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5" t="str">
            <v>三</v>
          </cell>
          <cell r="GQ65">
            <v>0</v>
          </cell>
          <cell r="GR65">
            <v>3.1432215209959979E-2</v>
          </cell>
          <cell r="GS65">
            <v>45756</v>
          </cell>
          <cell r="GT65">
            <v>0</v>
          </cell>
          <cell r="GW65" t="str">
            <v>（一）施工廠商施工前檢查事項辦理情形：█完成 □未完成 （二）其他工地安全衛生督導事項：</v>
          </cell>
          <cell r="GX65">
            <v>785090</v>
          </cell>
          <cell r="GY65">
            <v>0</v>
          </cell>
        </row>
        <row r="66">
          <cell r="A66">
            <v>45757</v>
          </cell>
          <cell r="B66" t="str">
            <v>四</v>
          </cell>
          <cell r="C66" t="str">
            <v>晴</v>
          </cell>
          <cell r="D66">
            <v>1</v>
          </cell>
          <cell r="F66">
            <v>60</v>
          </cell>
          <cell r="G66">
            <v>0</v>
          </cell>
          <cell r="H66">
            <v>1</v>
          </cell>
          <cell r="I66">
            <v>1</v>
          </cell>
          <cell r="N66">
            <v>1</v>
          </cell>
          <cell r="P66">
            <v>1</v>
          </cell>
          <cell r="R66">
            <v>672</v>
          </cell>
          <cell r="T66">
            <v>108</v>
          </cell>
          <cell r="V66">
            <v>661</v>
          </cell>
          <cell r="X66">
            <v>2</v>
          </cell>
          <cell r="Z66">
            <v>1</v>
          </cell>
          <cell r="AB66">
            <v>661</v>
          </cell>
          <cell r="AC66">
            <v>2</v>
          </cell>
          <cell r="AD66">
            <v>2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L66">
            <v>0</v>
          </cell>
          <cell r="AN66">
            <v>0</v>
          </cell>
          <cell r="AP66">
            <v>0</v>
          </cell>
          <cell r="AR66">
            <v>0</v>
          </cell>
          <cell r="AT66">
            <v>0</v>
          </cell>
          <cell r="AV66">
            <v>0</v>
          </cell>
          <cell r="AX66">
            <v>0</v>
          </cell>
          <cell r="AZ66">
            <v>0</v>
          </cell>
          <cell r="BB66">
            <v>0</v>
          </cell>
          <cell r="BD66">
            <v>0</v>
          </cell>
          <cell r="BF66">
            <v>0</v>
          </cell>
          <cell r="BH66">
            <v>0</v>
          </cell>
          <cell r="BJ66">
            <v>0</v>
          </cell>
          <cell r="BL66">
            <v>0</v>
          </cell>
          <cell r="BN66">
            <v>0</v>
          </cell>
          <cell r="BP66">
            <v>0</v>
          </cell>
          <cell r="BR66">
            <v>0</v>
          </cell>
          <cell r="BT66">
            <v>0</v>
          </cell>
          <cell r="BV66">
            <v>0</v>
          </cell>
          <cell r="BX66">
            <v>0</v>
          </cell>
          <cell r="BZ66">
            <v>0</v>
          </cell>
          <cell r="CB66">
            <v>0</v>
          </cell>
          <cell r="CD66">
            <v>0</v>
          </cell>
          <cell r="CF66">
            <v>0</v>
          </cell>
          <cell r="CH66">
            <v>0</v>
          </cell>
          <cell r="CJ66">
            <v>0</v>
          </cell>
          <cell r="CL66">
            <v>0</v>
          </cell>
          <cell r="CN66">
            <v>0</v>
          </cell>
          <cell r="CP66">
            <v>0</v>
          </cell>
          <cell r="CR66">
            <v>0</v>
          </cell>
          <cell r="CT66">
            <v>0</v>
          </cell>
          <cell r="CV66">
            <v>0</v>
          </cell>
          <cell r="CX66">
            <v>0</v>
          </cell>
          <cell r="CZ66">
            <v>0</v>
          </cell>
          <cell r="DB66">
            <v>0</v>
          </cell>
          <cell r="DD66">
            <v>0</v>
          </cell>
          <cell r="DF66">
            <v>0</v>
          </cell>
          <cell r="DH66">
            <v>0</v>
          </cell>
          <cell r="DJ66">
            <v>0</v>
          </cell>
          <cell r="DL66">
            <v>0</v>
          </cell>
          <cell r="DN66">
            <v>0</v>
          </cell>
          <cell r="DP66">
            <v>0</v>
          </cell>
          <cell r="DR66">
            <v>0</v>
          </cell>
          <cell r="DT66">
            <v>0</v>
          </cell>
          <cell r="DV66">
            <v>0</v>
          </cell>
          <cell r="DX66">
            <v>0</v>
          </cell>
          <cell r="DZ66">
            <v>0</v>
          </cell>
          <cell r="EB66">
            <v>0</v>
          </cell>
          <cell r="ED66">
            <v>0</v>
          </cell>
          <cell r="EF66">
            <v>0</v>
          </cell>
          <cell r="EH66">
            <v>0</v>
          </cell>
          <cell r="EJ66">
            <v>0</v>
          </cell>
          <cell r="EL66">
            <v>0</v>
          </cell>
          <cell r="EN66">
            <v>0</v>
          </cell>
          <cell r="EP66">
            <v>0</v>
          </cell>
          <cell r="ER66">
            <v>0</v>
          </cell>
          <cell r="ET66">
            <v>0</v>
          </cell>
          <cell r="EV66">
            <v>0</v>
          </cell>
          <cell r="EX66">
            <v>0</v>
          </cell>
          <cell r="EZ66">
            <v>0</v>
          </cell>
          <cell r="FB66">
            <v>0</v>
          </cell>
          <cell r="FD66">
            <v>0</v>
          </cell>
          <cell r="FF66">
            <v>0</v>
          </cell>
          <cell r="FH66">
            <v>0</v>
          </cell>
          <cell r="FJ66">
            <v>0</v>
          </cell>
          <cell r="FL66">
            <v>0</v>
          </cell>
          <cell r="FN66">
            <v>0</v>
          </cell>
          <cell r="FP66">
            <v>0</v>
          </cell>
          <cell r="FR66">
            <v>0</v>
          </cell>
          <cell r="FT66">
            <v>0</v>
          </cell>
          <cell r="FV66">
            <v>0</v>
          </cell>
          <cell r="GD66">
            <v>14</v>
          </cell>
          <cell r="GF66">
            <v>4</v>
          </cell>
          <cell r="GH66">
            <v>1</v>
          </cell>
          <cell r="GJ66">
            <v>7</v>
          </cell>
          <cell r="GM66">
            <v>0.01</v>
          </cell>
          <cell r="GN6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6" t="str">
            <v>四</v>
          </cell>
          <cell r="GQ66">
            <v>0</v>
          </cell>
          <cell r="GR66">
            <v>8.0584283189737427E-2</v>
          </cell>
          <cell r="GS66">
            <v>45757</v>
          </cell>
          <cell r="GT66">
            <v>0</v>
          </cell>
          <cell r="GW66" t="str">
            <v>（一）施工廠商施工前檢查事項辦理情形：█完成 □未完成 （二）其他工地安全衛生督導事項：</v>
          </cell>
          <cell r="GX66">
            <v>853901</v>
          </cell>
          <cell r="GY66">
            <v>0</v>
          </cell>
        </row>
        <row r="67">
          <cell r="I67">
            <v>1</v>
          </cell>
          <cell r="N67">
            <v>1</v>
          </cell>
          <cell r="P67">
            <v>1</v>
          </cell>
          <cell r="R67">
            <v>672</v>
          </cell>
          <cell r="T67">
            <v>108</v>
          </cell>
          <cell r="V67">
            <v>661</v>
          </cell>
          <cell r="X67">
            <v>2</v>
          </cell>
          <cell r="Z67">
            <v>1</v>
          </cell>
          <cell r="AB67">
            <v>661</v>
          </cell>
          <cell r="AD67">
            <v>2</v>
          </cell>
          <cell r="AF67">
            <v>1</v>
          </cell>
          <cell r="AH67">
            <v>1</v>
          </cell>
          <cell r="AJ67">
            <v>1</v>
          </cell>
          <cell r="AL67">
            <v>0</v>
          </cell>
          <cell r="AN67">
            <v>0</v>
          </cell>
          <cell r="AP67">
            <v>0</v>
          </cell>
          <cell r="AR67">
            <v>0</v>
          </cell>
          <cell r="AT67">
            <v>0</v>
          </cell>
          <cell r="AV67">
            <v>0</v>
          </cell>
          <cell r="AX67">
            <v>0</v>
          </cell>
          <cell r="AZ67">
            <v>0</v>
          </cell>
          <cell r="BB67">
            <v>0</v>
          </cell>
          <cell r="BD67">
            <v>0</v>
          </cell>
          <cell r="BF67">
            <v>0</v>
          </cell>
          <cell r="BH67">
            <v>0</v>
          </cell>
          <cell r="BJ67">
            <v>0</v>
          </cell>
          <cell r="BL67">
            <v>0</v>
          </cell>
          <cell r="BN67">
            <v>0</v>
          </cell>
          <cell r="BP67">
            <v>0</v>
          </cell>
          <cell r="BR67">
            <v>0</v>
          </cell>
          <cell r="BT67">
            <v>0</v>
          </cell>
          <cell r="BV67">
            <v>0</v>
          </cell>
          <cell r="BX67">
            <v>0</v>
          </cell>
          <cell r="BZ67">
            <v>0</v>
          </cell>
          <cell r="CB67">
            <v>0</v>
          </cell>
          <cell r="CD67">
            <v>0</v>
          </cell>
          <cell r="CF67">
            <v>0</v>
          </cell>
          <cell r="CH67">
            <v>0</v>
          </cell>
          <cell r="CJ67">
            <v>0</v>
          </cell>
          <cell r="CL67">
            <v>0</v>
          </cell>
          <cell r="CN67">
            <v>0</v>
          </cell>
          <cell r="CP67">
            <v>0</v>
          </cell>
          <cell r="CR67">
            <v>0</v>
          </cell>
          <cell r="CT67">
            <v>0</v>
          </cell>
          <cell r="CV67">
            <v>0</v>
          </cell>
          <cell r="CX67">
            <v>0</v>
          </cell>
          <cell r="CZ67">
            <v>0</v>
          </cell>
          <cell r="DB67">
            <v>0</v>
          </cell>
          <cell r="DD67">
            <v>0</v>
          </cell>
          <cell r="DF67">
            <v>0</v>
          </cell>
          <cell r="DH67">
            <v>0</v>
          </cell>
          <cell r="DJ67">
            <v>0</v>
          </cell>
          <cell r="DL67">
            <v>0</v>
          </cell>
          <cell r="DN67">
            <v>0</v>
          </cell>
          <cell r="DP67">
            <v>0</v>
          </cell>
          <cell r="DR67">
            <v>0</v>
          </cell>
          <cell r="DT67">
            <v>0</v>
          </cell>
          <cell r="DV67">
            <v>0</v>
          </cell>
          <cell r="DX67">
            <v>0</v>
          </cell>
          <cell r="DZ67">
            <v>0</v>
          </cell>
          <cell r="EB67">
            <v>0</v>
          </cell>
          <cell r="ED67">
            <v>0</v>
          </cell>
          <cell r="EF67">
            <v>0</v>
          </cell>
          <cell r="EH67">
            <v>0</v>
          </cell>
          <cell r="EJ67">
            <v>0</v>
          </cell>
          <cell r="EL67">
            <v>0</v>
          </cell>
          <cell r="EN67">
            <v>0</v>
          </cell>
          <cell r="EP67">
            <v>0</v>
          </cell>
          <cell r="ER67">
            <v>0</v>
          </cell>
          <cell r="ET67">
            <v>0</v>
          </cell>
          <cell r="EV67">
            <v>0</v>
          </cell>
          <cell r="EX67">
            <v>0</v>
          </cell>
          <cell r="EZ67">
            <v>0</v>
          </cell>
          <cell r="FB67">
            <v>0</v>
          </cell>
          <cell r="FD67">
            <v>0</v>
          </cell>
          <cell r="FF67">
            <v>0</v>
          </cell>
          <cell r="FH67">
            <v>0</v>
          </cell>
          <cell r="FJ67">
            <v>0</v>
          </cell>
          <cell r="FL67">
            <v>0</v>
          </cell>
          <cell r="FN67">
            <v>0</v>
          </cell>
          <cell r="FP67">
            <v>0</v>
          </cell>
          <cell r="FR67">
            <v>0</v>
          </cell>
          <cell r="FT67">
            <v>0</v>
          </cell>
          <cell r="FV67">
            <v>0</v>
          </cell>
          <cell r="GD67">
            <v>14</v>
          </cell>
          <cell r="GF67">
            <v>4</v>
          </cell>
          <cell r="GH67">
            <v>1</v>
          </cell>
          <cell r="GJ67">
            <v>7</v>
          </cell>
          <cell r="GM67">
            <v>0.01</v>
          </cell>
          <cell r="GN6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W67" t="str">
            <v>（一）施工廠商施工前檢查事項辦理情形：█完成 □未完成 （二）其他工地安全衛生督導事項：</v>
          </cell>
          <cell r="GX67">
            <v>853901</v>
          </cell>
          <cell r="GY67">
            <v>0</v>
          </cell>
        </row>
        <row r="68">
          <cell r="I68">
            <v>1</v>
          </cell>
          <cell r="N68">
            <v>1</v>
          </cell>
          <cell r="P68">
            <v>1</v>
          </cell>
          <cell r="R68">
            <v>672</v>
          </cell>
          <cell r="T68">
            <v>108</v>
          </cell>
          <cell r="V68">
            <v>661</v>
          </cell>
          <cell r="X68">
            <v>2</v>
          </cell>
          <cell r="Z68">
            <v>1</v>
          </cell>
          <cell r="AB68">
            <v>661</v>
          </cell>
          <cell r="AD68">
            <v>2</v>
          </cell>
          <cell r="AF68">
            <v>1</v>
          </cell>
          <cell r="AH68">
            <v>1</v>
          </cell>
          <cell r="AJ68">
            <v>1</v>
          </cell>
          <cell r="AL68">
            <v>0</v>
          </cell>
          <cell r="AN68">
            <v>0</v>
          </cell>
          <cell r="AP68">
            <v>0</v>
          </cell>
          <cell r="AR68">
            <v>0</v>
          </cell>
          <cell r="AT68">
            <v>0</v>
          </cell>
          <cell r="AV68">
            <v>0</v>
          </cell>
          <cell r="AX68">
            <v>0</v>
          </cell>
          <cell r="AZ68">
            <v>0</v>
          </cell>
          <cell r="BB68">
            <v>0</v>
          </cell>
          <cell r="BD68">
            <v>0</v>
          </cell>
          <cell r="BF68">
            <v>0</v>
          </cell>
          <cell r="BH68">
            <v>0</v>
          </cell>
          <cell r="BJ68">
            <v>0</v>
          </cell>
          <cell r="BL68">
            <v>0</v>
          </cell>
          <cell r="BN68">
            <v>0</v>
          </cell>
          <cell r="BP68">
            <v>0</v>
          </cell>
          <cell r="BR68">
            <v>0</v>
          </cell>
          <cell r="BT68">
            <v>0</v>
          </cell>
          <cell r="BV68">
            <v>0</v>
          </cell>
          <cell r="BX68">
            <v>0</v>
          </cell>
          <cell r="BZ68">
            <v>0</v>
          </cell>
          <cell r="CB68">
            <v>0</v>
          </cell>
          <cell r="CD68">
            <v>0</v>
          </cell>
          <cell r="CF68">
            <v>0</v>
          </cell>
          <cell r="CH68">
            <v>0</v>
          </cell>
          <cell r="CJ68">
            <v>0</v>
          </cell>
          <cell r="CL68">
            <v>0</v>
          </cell>
          <cell r="CN68">
            <v>0</v>
          </cell>
          <cell r="CP68">
            <v>0</v>
          </cell>
          <cell r="CR68">
            <v>0</v>
          </cell>
          <cell r="CT68">
            <v>0</v>
          </cell>
          <cell r="CV68">
            <v>0</v>
          </cell>
          <cell r="CX68">
            <v>0</v>
          </cell>
          <cell r="CZ68">
            <v>0</v>
          </cell>
          <cell r="DB68">
            <v>0</v>
          </cell>
          <cell r="DD68">
            <v>0</v>
          </cell>
          <cell r="DF68">
            <v>0</v>
          </cell>
          <cell r="DH68">
            <v>0</v>
          </cell>
          <cell r="DJ68">
            <v>0</v>
          </cell>
          <cell r="DL68">
            <v>0</v>
          </cell>
          <cell r="DN68">
            <v>0</v>
          </cell>
          <cell r="DP68">
            <v>0</v>
          </cell>
          <cell r="DR68">
            <v>0</v>
          </cell>
          <cell r="DT68">
            <v>0</v>
          </cell>
          <cell r="DV68">
            <v>0</v>
          </cell>
          <cell r="DX68">
            <v>0</v>
          </cell>
          <cell r="DZ68">
            <v>0</v>
          </cell>
          <cell r="EB68">
            <v>0</v>
          </cell>
          <cell r="ED68">
            <v>0</v>
          </cell>
          <cell r="EF68">
            <v>0</v>
          </cell>
          <cell r="EH68">
            <v>0</v>
          </cell>
          <cell r="EJ68">
            <v>0</v>
          </cell>
          <cell r="EL68">
            <v>0</v>
          </cell>
          <cell r="EN68">
            <v>0</v>
          </cell>
          <cell r="EP68">
            <v>0</v>
          </cell>
          <cell r="ER68">
            <v>0</v>
          </cell>
          <cell r="ET68">
            <v>0</v>
          </cell>
          <cell r="EV68">
            <v>0</v>
          </cell>
          <cell r="EX68">
            <v>0</v>
          </cell>
          <cell r="EZ68">
            <v>0</v>
          </cell>
          <cell r="FB68">
            <v>0</v>
          </cell>
          <cell r="FD68">
            <v>0</v>
          </cell>
          <cell r="FF68">
            <v>0</v>
          </cell>
          <cell r="FH68">
            <v>0</v>
          </cell>
          <cell r="FJ68">
            <v>0</v>
          </cell>
          <cell r="FL68">
            <v>0</v>
          </cell>
          <cell r="FN68">
            <v>0</v>
          </cell>
          <cell r="FP68">
            <v>0</v>
          </cell>
          <cell r="FR68">
            <v>0</v>
          </cell>
          <cell r="FT68">
            <v>0</v>
          </cell>
          <cell r="FV68">
            <v>0</v>
          </cell>
          <cell r="GD68">
            <v>14</v>
          </cell>
          <cell r="GF68">
            <v>4</v>
          </cell>
          <cell r="GH68">
            <v>1</v>
          </cell>
          <cell r="GJ68">
            <v>7</v>
          </cell>
          <cell r="GM68">
            <v>0.01</v>
          </cell>
          <cell r="GN6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W68" t="str">
            <v>（一）施工廠商施工前檢查事項辦理情形：█完成 □未完成 （二）其他工地安全衛生督導事項：</v>
          </cell>
          <cell r="GX68">
            <v>853901</v>
          </cell>
          <cell r="GY68">
            <v>0</v>
          </cell>
        </row>
        <row r="69">
          <cell r="I69">
            <v>1</v>
          </cell>
          <cell r="N69">
            <v>1</v>
          </cell>
          <cell r="P69">
            <v>1</v>
          </cell>
          <cell r="R69">
            <v>672</v>
          </cell>
          <cell r="T69">
            <v>108</v>
          </cell>
          <cell r="V69">
            <v>661</v>
          </cell>
          <cell r="X69">
            <v>2</v>
          </cell>
          <cell r="Z69">
            <v>1</v>
          </cell>
          <cell r="AB69">
            <v>661</v>
          </cell>
          <cell r="AD69">
            <v>2</v>
          </cell>
          <cell r="AF69">
            <v>1</v>
          </cell>
          <cell r="AH69">
            <v>1</v>
          </cell>
          <cell r="AJ69">
            <v>1</v>
          </cell>
          <cell r="AL69">
            <v>0</v>
          </cell>
          <cell r="AN69">
            <v>0</v>
          </cell>
          <cell r="AP69">
            <v>0</v>
          </cell>
          <cell r="AR69">
            <v>0</v>
          </cell>
          <cell r="AT69">
            <v>0</v>
          </cell>
          <cell r="AV69">
            <v>0</v>
          </cell>
          <cell r="AX69">
            <v>0</v>
          </cell>
          <cell r="AZ69">
            <v>0</v>
          </cell>
          <cell r="BB69">
            <v>0</v>
          </cell>
          <cell r="BD69">
            <v>0</v>
          </cell>
          <cell r="BF69">
            <v>0</v>
          </cell>
          <cell r="BH69">
            <v>0</v>
          </cell>
          <cell r="BJ69">
            <v>0</v>
          </cell>
          <cell r="BL69">
            <v>0</v>
          </cell>
          <cell r="BN69">
            <v>0</v>
          </cell>
          <cell r="BP69">
            <v>0</v>
          </cell>
          <cell r="BR69">
            <v>0</v>
          </cell>
          <cell r="BT69">
            <v>0</v>
          </cell>
          <cell r="BV69">
            <v>0</v>
          </cell>
          <cell r="BX69">
            <v>0</v>
          </cell>
          <cell r="BZ69">
            <v>0</v>
          </cell>
          <cell r="CB69">
            <v>0</v>
          </cell>
          <cell r="CD69">
            <v>0</v>
          </cell>
          <cell r="CF69">
            <v>0</v>
          </cell>
          <cell r="CH69">
            <v>0</v>
          </cell>
          <cell r="CJ69">
            <v>0</v>
          </cell>
          <cell r="CL69">
            <v>0</v>
          </cell>
          <cell r="CN69">
            <v>0</v>
          </cell>
          <cell r="CP69">
            <v>0</v>
          </cell>
          <cell r="CR69">
            <v>0</v>
          </cell>
          <cell r="CT69">
            <v>0</v>
          </cell>
          <cell r="CV69">
            <v>0</v>
          </cell>
          <cell r="CX69">
            <v>0</v>
          </cell>
          <cell r="CZ69">
            <v>0</v>
          </cell>
          <cell r="DB69">
            <v>0</v>
          </cell>
          <cell r="DD69">
            <v>0</v>
          </cell>
          <cell r="DF69">
            <v>0</v>
          </cell>
          <cell r="DH69">
            <v>0</v>
          </cell>
          <cell r="DJ69">
            <v>0</v>
          </cell>
          <cell r="DL69">
            <v>0</v>
          </cell>
          <cell r="DN69">
            <v>0</v>
          </cell>
          <cell r="DP69">
            <v>0</v>
          </cell>
          <cell r="DR69">
            <v>0</v>
          </cell>
          <cell r="DT69">
            <v>0</v>
          </cell>
          <cell r="DV69">
            <v>0</v>
          </cell>
          <cell r="DX69">
            <v>0</v>
          </cell>
          <cell r="DZ69">
            <v>0</v>
          </cell>
          <cell r="EB69">
            <v>0</v>
          </cell>
          <cell r="ED69">
            <v>0</v>
          </cell>
          <cell r="EF69">
            <v>0</v>
          </cell>
          <cell r="EH69">
            <v>0</v>
          </cell>
          <cell r="EJ69">
            <v>0</v>
          </cell>
          <cell r="EL69">
            <v>0</v>
          </cell>
          <cell r="EN69">
            <v>0</v>
          </cell>
          <cell r="EP69">
            <v>0</v>
          </cell>
          <cell r="ER69">
            <v>0</v>
          </cell>
          <cell r="ET69">
            <v>0</v>
          </cell>
          <cell r="EV69">
            <v>0</v>
          </cell>
          <cell r="EX69">
            <v>0</v>
          </cell>
          <cell r="EZ69">
            <v>0</v>
          </cell>
          <cell r="FB69">
            <v>0</v>
          </cell>
          <cell r="FD69">
            <v>0</v>
          </cell>
          <cell r="FF69">
            <v>0</v>
          </cell>
          <cell r="FH69">
            <v>0</v>
          </cell>
          <cell r="FJ69">
            <v>0</v>
          </cell>
          <cell r="FL69">
            <v>0</v>
          </cell>
          <cell r="FN69">
            <v>0</v>
          </cell>
          <cell r="FP69">
            <v>0</v>
          </cell>
          <cell r="FR69">
            <v>0</v>
          </cell>
          <cell r="FT69">
            <v>0</v>
          </cell>
          <cell r="FV69">
            <v>0</v>
          </cell>
          <cell r="GD69">
            <v>14</v>
          </cell>
          <cell r="GF69">
            <v>4</v>
          </cell>
          <cell r="GH69">
            <v>1</v>
          </cell>
          <cell r="GJ69">
            <v>7</v>
          </cell>
          <cell r="GM69">
            <v>0.01</v>
          </cell>
          <cell r="GN6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W69" t="str">
            <v>（一）施工廠商施工前檢查事項辦理情形：█完成 □未完成 （二）其他工地安全衛生督導事項：</v>
          </cell>
          <cell r="GX69">
            <v>853901</v>
          </cell>
          <cell r="GY69">
            <v>0</v>
          </cell>
        </row>
        <row r="70">
          <cell r="I70">
            <v>1</v>
          </cell>
          <cell r="N70">
            <v>1</v>
          </cell>
          <cell r="P70">
            <v>1</v>
          </cell>
          <cell r="R70">
            <v>672</v>
          </cell>
          <cell r="T70">
            <v>108</v>
          </cell>
          <cell r="V70">
            <v>661</v>
          </cell>
          <cell r="X70">
            <v>2</v>
          </cell>
          <cell r="Z70">
            <v>1</v>
          </cell>
          <cell r="AB70">
            <v>661</v>
          </cell>
          <cell r="AD70">
            <v>2</v>
          </cell>
          <cell r="AF70">
            <v>1</v>
          </cell>
          <cell r="AH70">
            <v>1</v>
          </cell>
          <cell r="AJ70">
            <v>1</v>
          </cell>
          <cell r="AL70">
            <v>0</v>
          </cell>
          <cell r="AN70">
            <v>0</v>
          </cell>
          <cell r="AP70">
            <v>0</v>
          </cell>
          <cell r="AR70">
            <v>0</v>
          </cell>
          <cell r="AT70">
            <v>0</v>
          </cell>
          <cell r="AV70">
            <v>0</v>
          </cell>
          <cell r="AX70">
            <v>0</v>
          </cell>
          <cell r="AZ70">
            <v>0</v>
          </cell>
          <cell r="BB70">
            <v>0</v>
          </cell>
          <cell r="BD70">
            <v>0</v>
          </cell>
          <cell r="BF70">
            <v>0</v>
          </cell>
          <cell r="BH70">
            <v>0</v>
          </cell>
          <cell r="BJ70">
            <v>0</v>
          </cell>
          <cell r="BL70">
            <v>0</v>
          </cell>
          <cell r="BN70">
            <v>0</v>
          </cell>
          <cell r="BP70">
            <v>0</v>
          </cell>
          <cell r="BR70">
            <v>0</v>
          </cell>
          <cell r="BT70">
            <v>0</v>
          </cell>
          <cell r="BV70">
            <v>0</v>
          </cell>
          <cell r="BX70">
            <v>0</v>
          </cell>
          <cell r="BZ70">
            <v>0</v>
          </cell>
          <cell r="CB70">
            <v>0</v>
          </cell>
          <cell r="CD70">
            <v>0</v>
          </cell>
          <cell r="CF70">
            <v>0</v>
          </cell>
          <cell r="CH70">
            <v>0</v>
          </cell>
          <cell r="CJ70">
            <v>0</v>
          </cell>
          <cell r="CL70">
            <v>0</v>
          </cell>
          <cell r="CN70">
            <v>0</v>
          </cell>
          <cell r="CP70">
            <v>0</v>
          </cell>
          <cell r="CR70">
            <v>0</v>
          </cell>
          <cell r="CT70">
            <v>0</v>
          </cell>
          <cell r="CV70">
            <v>0</v>
          </cell>
          <cell r="CX70">
            <v>0</v>
          </cell>
          <cell r="CZ70">
            <v>0</v>
          </cell>
          <cell r="DB70">
            <v>0</v>
          </cell>
          <cell r="DD70">
            <v>0</v>
          </cell>
          <cell r="DF70">
            <v>0</v>
          </cell>
          <cell r="DH70">
            <v>0</v>
          </cell>
          <cell r="DJ70">
            <v>0</v>
          </cell>
          <cell r="DL70">
            <v>0</v>
          </cell>
          <cell r="DN70">
            <v>0</v>
          </cell>
          <cell r="DP70">
            <v>0</v>
          </cell>
          <cell r="DR70">
            <v>0</v>
          </cell>
          <cell r="DT70">
            <v>0</v>
          </cell>
          <cell r="DV70">
            <v>0</v>
          </cell>
          <cell r="DX70">
            <v>0</v>
          </cell>
          <cell r="DZ70">
            <v>0</v>
          </cell>
          <cell r="EB70">
            <v>0</v>
          </cell>
          <cell r="ED70">
            <v>0</v>
          </cell>
          <cell r="EF70">
            <v>0</v>
          </cell>
          <cell r="EH70">
            <v>0</v>
          </cell>
          <cell r="EJ70">
            <v>0</v>
          </cell>
          <cell r="EL70">
            <v>0</v>
          </cell>
          <cell r="EN70">
            <v>0</v>
          </cell>
          <cell r="EP70">
            <v>0</v>
          </cell>
          <cell r="ER70">
            <v>0</v>
          </cell>
          <cell r="ET70">
            <v>0</v>
          </cell>
          <cell r="EV70">
            <v>0</v>
          </cell>
          <cell r="EX70">
            <v>0</v>
          </cell>
          <cell r="EZ70">
            <v>0</v>
          </cell>
          <cell r="FB70">
            <v>0</v>
          </cell>
          <cell r="FD70">
            <v>0</v>
          </cell>
          <cell r="FF70">
            <v>0</v>
          </cell>
          <cell r="FH70">
            <v>0</v>
          </cell>
          <cell r="FJ70">
            <v>0</v>
          </cell>
          <cell r="FL70">
            <v>0</v>
          </cell>
          <cell r="FN70">
            <v>0</v>
          </cell>
          <cell r="FP70">
            <v>0</v>
          </cell>
          <cell r="FR70">
            <v>0</v>
          </cell>
          <cell r="FT70">
            <v>0</v>
          </cell>
          <cell r="FV70">
            <v>0</v>
          </cell>
          <cell r="GD70">
            <v>14</v>
          </cell>
          <cell r="GF70">
            <v>4</v>
          </cell>
          <cell r="GH70">
            <v>1</v>
          </cell>
          <cell r="GJ70">
            <v>7</v>
          </cell>
          <cell r="GM70">
            <v>0.01</v>
          </cell>
          <cell r="GN7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W70" t="str">
            <v>（一）施工廠商施工前檢查事項辦理情形：█完成 □未完成 （二）其他工地安全衛生督導事項：</v>
          </cell>
          <cell r="GX70">
            <v>853901</v>
          </cell>
          <cell r="GY70">
            <v>0</v>
          </cell>
        </row>
        <row r="71">
          <cell r="I71">
            <v>1</v>
          </cell>
          <cell r="N71">
            <v>1</v>
          </cell>
          <cell r="P71">
            <v>1</v>
          </cell>
          <cell r="R71">
            <v>672</v>
          </cell>
          <cell r="T71">
            <v>108</v>
          </cell>
          <cell r="V71">
            <v>661</v>
          </cell>
          <cell r="X71">
            <v>2</v>
          </cell>
          <cell r="Z71">
            <v>1</v>
          </cell>
          <cell r="AB71">
            <v>661</v>
          </cell>
          <cell r="AD71">
            <v>2</v>
          </cell>
          <cell r="AF71">
            <v>1</v>
          </cell>
          <cell r="AH71">
            <v>1</v>
          </cell>
          <cell r="AJ71">
            <v>1</v>
          </cell>
          <cell r="AL71">
            <v>0</v>
          </cell>
          <cell r="AN71">
            <v>0</v>
          </cell>
          <cell r="AP71">
            <v>0</v>
          </cell>
          <cell r="AR71">
            <v>0</v>
          </cell>
          <cell r="AT71">
            <v>0</v>
          </cell>
          <cell r="AV71">
            <v>0</v>
          </cell>
          <cell r="AX71">
            <v>0</v>
          </cell>
          <cell r="AZ71">
            <v>0</v>
          </cell>
          <cell r="BB71">
            <v>0</v>
          </cell>
          <cell r="BD71">
            <v>0</v>
          </cell>
          <cell r="BF71">
            <v>0</v>
          </cell>
          <cell r="BH71">
            <v>0</v>
          </cell>
          <cell r="BJ71">
            <v>0</v>
          </cell>
          <cell r="BL71">
            <v>0</v>
          </cell>
          <cell r="BN71">
            <v>0</v>
          </cell>
          <cell r="BP71">
            <v>0</v>
          </cell>
          <cell r="BR71">
            <v>0</v>
          </cell>
          <cell r="BT71">
            <v>0</v>
          </cell>
          <cell r="BV71">
            <v>0</v>
          </cell>
          <cell r="BX71">
            <v>0</v>
          </cell>
          <cell r="BZ71">
            <v>0</v>
          </cell>
          <cell r="CB71">
            <v>0</v>
          </cell>
          <cell r="CD71">
            <v>0</v>
          </cell>
          <cell r="CF71">
            <v>0</v>
          </cell>
          <cell r="CH71">
            <v>0</v>
          </cell>
          <cell r="CJ71">
            <v>0</v>
          </cell>
          <cell r="CL71">
            <v>0</v>
          </cell>
          <cell r="CN71">
            <v>0</v>
          </cell>
          <cell r="CP71">
            <v>0</v>
          </cell>
          <cell r="CR71">
            <v>0</v>
          </cell>
          <cell r="CT71">
            <v>0</v>
          </cell>
          <cell r="CV71">
            <v>0</v>
          </cell>
          <cell r="CX71">
            <v>0</v>
          </cell>
          <cell r="CZ71">
            <v>0</v>
          </cell>
          <cell r="DB71">
            <v>0</v>
          </cell>
          <cell r="DD71">
            <v>0</v>
          </cell>
          <cell r="DF71">
            <v>0</v>
          </cell>
          <cell r="DH71">
            <v>0</v>
          </cell>
          <cell r="DJ71">
            <v>0</v>
          </cell>
          <cell r="DL71">
            <v>0</v>
          </cell>
          <cell r="DN71">
            <v>0</v>
          </cell>
          <cell r="DP71">
            <v>0</v>
          </cell>
          <cell r="DR71">
            <v>0</v>
          </cell>
          <cell r="DT71">
            <v>0</v>
          </cell>
          <cell r="DV71">
            <v>0</v>
          </cell>
          <cell r="DX71">
            <v>0</v>
          </cell>
          <cell r="DZ71">
            <v>0</v>
          </cell>
          <cell r="EB71">
            <v>0</v>
          </cell>
          <cell r="ED71">
            <v>0</v>
          </cell>
          <cell r="EF71">
            <v>0</v>
          </cell>
          <cell r="EH71">
            <v>0</v>
          </cell>
          <cell r="EJ71">
            <v>0</v>
          </cell>
          <cell r="EL71">
            <v>0</v>
          </cell>
          <cell r="EN71">
            <v>0</v>
          </cell>
          <cell r="EP71">
            <v>0</v>
          </cell>
          <cell r="ER71">
            <v>0</v>
          </cell>
          <cell r="ET71">
            <v>0</v>
          </cell>
          <cell r="EV71">
            <v>0</v>
          </cell>
          <cell r="EX71">
            <v>0</v>
          </cell>
          <cell r="EZ71">
            <v>0</v>
          </cell>
          <cell r="FB71">
            <v>0</v>
          </cell>
          <cell r="FD71">
            <v>0</v>
          </cell>
          <cell r="FF71">
            <v>0</v>
          </cell>
          <cell r="FH71">
            <v>0</v>
          </cell>
          <cell r="FJ71">
            <v>0</v>
          </cell>
          <cell r="FL71">
            <v>0</v>
          </cell>
          <cell r="FN71">
            <v>0</v>
          </cell>
          <cell r="FP71">
            <v>0</v>
          </cell>
          <cell r="FR71">
            <v>0</v>
          </cell>
          <cell r="FT71">
            <v>0</v>
          </cell>
          <cell r="FV71">
            <v>0</v>
          </cell>
          <cell r="GD71">
            <v>14</v>
          </cell>
          <cell r="GF71">
            <v>4</v>
          </cell>
          <cell r="GH71">
            <v>1</v>
          </cell>
          <cell r="GJ71">
            <v>7</v>
          </cell>
          <cell r="GM71">
            <v>0.01</v>
          </cell>
          <cell r="GN7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W71" t="str">
            <v>（一）施工廠商施工前檢查事項辦理情形：█完成 □未完成 （二）其他工地安全衛生督導事項：</v>
          </cell>
          <cell r="GX71">
            <v>853901</v>
          </cell>
          <cell r="GY71">
            <v>0</v>
          </cell>
        </row>
        <row r="72">
          <cell r="I72">
            <v>1</v>
          </cell>
          <cell r="N72">
            <v>1</v>
          </cell>
          <cell r="P72">
            <v>1</v>
          </cell>
          <cell r="R72">
            <v>672</v>
          </cell>
          <cell r="T72">
            <v>108</v>
          </cell>
          <cell r="V72">
            <v>661</v>
          </cell>
          <cell r="X72">
            <v>2</v>
          </cell>
          <cell r="Z72">
            <v>1</v>
          </cell>
          <cell r="AB72">
            <v>661</v>
          </cell>
          <cell r="AD72">
            <v>2</v>
          </cell>
          <cell r="AF72">
            <v>1</v>
          </cell>
          <cell r="AH72">
            <v>1</v>
          </cell>
          <cell r="AJ72">
            <v>1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0</v>
          </cell>
          <cell r="AV72">
            <v>0</v>
          </cell>
          <cell r="AX72">
            <v>0</v>
          </cell>
          <cell r="AZ72">
            <v>0</v>
          </cell>
          <cell r="BB72">
            <v>0</v>
          </cell>
          <cell r="BD72">
            <v>0</v>
          </cell>
          <cell r="BF72">
            <v>0</v>
          </cell>
          <cell r="BH72">
            <v>0</v>
          </cell>
          <cell r="BJ72">
            <v>0</v>
          </cell>
          <cell r="BL72">
            <v>0</v>
          </cell>
          <cell r="BN72">
            <v>0</v>
          </cell>
          <cell r="BP72">
            <v>0</v>
          </cell>
          <cell r="BR72">
            <v>0</v>
          </cell>
          <cell r="BT72">
            <v>0</v>
          </cell>
          <cell r="BV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0</v>
          </cell>
          <cell r="CV72">
            <v>0</v>
          </cell>
          <cell r="CX72">
            <v>0</v>
          </cell>
          <cell r="CZ72">
            <v>0</v>
          </cell>
          <cell r="DB72">
            <v>0</v>
          </cell>
          <cell r="DD72">
            <v>0</v>
          </cell>
          <cell r="DF72">
            <v>0</v>
          </cell>
          <cell r="DH72">
            <v>0</v>
          </cell>
          <cell r="DJ72">
            <v>0</v>
          </cell>
          <cell r="DL72">
            <v>0</v>
          </cell>
          <cell r="DN72">
            <v>0</v>
          </cell>
          <cell r="DP72">
            <v>0</v>
          </cell>
          <cell r="DR72">
            <v>0</v>
          </cell>
          <cell r="DT72">
            <v>0</v>
          </cell>
          <cell r="DV72">
            <v>0</v>
          </cell>
          <cell r="DX72">
            <v>0</v>
          </cell>
          <cell r="DZ72">
            <v>0</v>
          </cell>
          <cell r="EB72">
            <v>0</v>
          </cell>
          <cell r="ED72">
            <v>0</v>
          </cell>
          <cell r="EF72">
            <v>0</v>
          </cell>
          <cell r="EH72">
            <v>0</v>
          </cell>
          <cell r="EJ72">
            <v>0</v>
          </cell>
          <cell r="EL72">
            <v>0</v>
          </cell>
          <cell r="EN72">
            <v>0</v>
          </cell>
          <cell r="EP72">
            <v>0</v>
          </cell>
          <cell r="ER72">
            <v>0</v>
          </cell>
          <cell r="ET72">
            <v>0</v>
          </cell>
          <cell r="EV72">
            <v>0</v>
          </cell>
          <cell r="EX72">
            <v>0</v>
          </cell>
          <cell r="EZ72">
            <v>0</v>
          </cell>
          <cell r="FB72">
            <v>0</v>
          </cell>
          <cell r="FD72">
            <v>0</v>
          </cell>
          <cell r="FF72">
            <v>0</v>
          </cell>
          <cell r="FH72">
            <v>0</v>
          </cell>
          <cell r="FJ72">
            <v>0</v>
          </cell>
          <cell r="FL72">
            <v>0</v>
          </cell>
          <cell r="FN72">
            <v>0</v>
          </cell>
          <cell r="FP72">
            <v>0</v>
          </cell>
          <cell r="FR72">
            <v>0</v>
          </cell>
          <cell r="FT72">
            <v>0</v>
          </cell>
          <cell r="FV72">
            <v>0</v>
          </cell>
          <cell r="GD72">
            <v>14</v>
          </cell>
          <cell r="GF72">
            <v>4</v>
          </cell>
          <cell r="GH72">
            <v>1</v>
          </cell>
          <cell r="GJ72">
            <v>7</v>
          </cell>
          <cell r="GM72">
            <v>0.01</v>
          </cell>
          <cell r="GN7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W72" t="str">
            <v>（一）施工廠商施工前檢查事項辦理情形：█完成 □未完成 （二）其他工地安全衛生督導事項：</v>
          </cell>
          <cell r="GX72">
            <v>853901</v>
          </cell>
          <cell r="GY72">
            <v>0</v>
          </cell>
        </row>
        <row r="73">
          <cell r="I73">
            <v>1</v>
          </cell>
          <cell r="N73">
            <v>1</v>
          </cell>
          <cell r="P73">
            <v>1</v>
          </cell>
          <cell r="R73">
            <v>672</v>
          </cell>
          <cell r="T73">
            <v>108</v>
          </cell>
          <cell r="V73">
            <v>661</v>
          </cell>
          <cell r="X73">
            <v>2</v>
          </cell>
          <cell r="Z73">
            <v>1</v>
          </cell>
          <cell r="AB73">
            <v>661</v>
          </cell>
          <cell r="AD73">
            <v>2</v>
          </cell>
          <cell r="AF73">
            <v>1</v>
          </cell>
          <cell r="AH73">
            <v>1</v>
          </cell>
          <cell r="AJ73">
            <v>1</v>
          </cell>
          <cell r="AL73">
            <v>0</v>
          </cell>
          <cell r="AN73">
            <v>0</v>
          </cell>
          <cell r="AP73">
            <v>0</v>
          </cell>
          <cell r="AR73">
            <v>0</v>
          </cell>
          <cell r="AT73">
            <v>0</v>
          </cell>
          <cell r="AV73">
            <v>0</v>
          </cell>
          <cell r="AX73">
            <v>0</v>
          </cell>
          <cell r="AZ73">
            <v>0</v>
          </cell>
          <cell r="BB73">
            <v>0</v>
          </cell>
          <cell r="BD73">
            <v>0</v>
          </cell>
          <cell r="BF73">
            <v>0</v>
          </cell>
          <cell r="BH73">
            <v>0</v>
          </cell>
          <cell r="BJ73">
            <v>0</v>
          </cell>
          <cell r="BL73">
            <v>0</v>
          </cell>
          <cell r="BN73">
            <v>0</v>
          </cell>
          <cell r="BP73">
            <v>0</v>
          </cell>
          <cell r="BR73">
            <v>0</v>
          </cell>
          <cell r="BT73">
            <v>0</v>
          </cell>
          <cell r="BV73">
            <v>0</v>
          </cell>
          <cell r="BX73">
            <v>0</v>
          </cell>
          <cell r="BZ73">
            <v>0</v>
          </cell>
          <cell r="CB73">
            <v>0</v>
          </cell>
          <cell r="CD73">
            <v>0</v>
          </cell>
          <cell r="CF73">
            <v>0</v>
          </cell>
          <cell r="CH73">
            <v>0</v>
          </cell>
          <cell r="CJ73">
            <v>0</v>
          </cell>
          <cell r="CL73">
            <v>0</v>
          </cell>
          <cell r="CN73">
            <v>0</v>
          </cell>
          <cell r="CP73">
            <v>0</v>
          </cell>
          <cell r="CR73">
            <v>0</v>
          </cell>
          <cell r="CT73">
            <v>0</v>
          </cell>
          <cell r="CV73">
            <v>0</v>
          </cell>
          <cell r="CX73">
            <v>0</v>
          </cell>
          <cell r="CZ73">
            <v>0</v>
          </cell>
          <cell r="DB73">
            <v>0</v>
          </cell>
          <cell r="DD73">
            <v>0</v>
          </cell>
          <cell r="DF73">
            <v>0</v>
          </cell>
          <cell r="DH73">
            <v>0</v>
          </cell>
          <cell r="DJ73">
            <v>0</v>
          </cell>
          <cell r="DL73">
            <v>0</v>
          </cell>
          <cell r="DN73">
            <v>0</v>
          </cell>
          <cell r="DP73">
            <v>0</v>
          </cell>
          <cell r="DR73">
            <v>0</v>
          </cell>
          <cell r="DT73">
            <v>0</v>
          </cell>
          <cell r="DV73">
            <v>0</v>
          </cell>
          <cell r="DX73">
            <v>0</v>
          </cell>
          <cell r="DZ73">
            <v>0</v>
          </cell>
          <cell r="EB73">
            <v>0</v>
          </cell>
          <cell r="ED73">
            <v>0</v>
          </cell>
          <cell r="EF73">
            <v>0</v>
          </cell>
          <cell r="EH73">
            <v>0</v>
          </cell>
          <cell r="EJ73">
            <v>0</v>
          </cell>
          <cell r="EL73">
            <v>0</v>
          </cell>
          <cell r="EN73">
            <v>0</v>
          </cell>
          <cell r="EP73">
            <v>0</v>
          </cell>
          <cell r="ER73">
            <v>0</v>
          </cell>
          <cell r="ET73">
            <v>0</v>
          </cell>
          <cell r="EV73">
            <v>0</v>
          </cell>
          <cell r="EX73">
            <v>0</v>
          </cell>
          <cell r="EZ73">
            <v>0</v>
          </cell>
          <cell r="FB73">
            <v>0</v>
          </cell>
          <cell r="FD73">
            <v>0</v>
          </cell>
          <cell r="FF73">
            <v>0</v>
          </cell>
          <cell r="FH73">
            <v>0</v>
          </cell>
          <cell r="FJ73">
            <v>0</v>
          </cell>
          <cell r="FL73">
            <v>0</v>
          </cell>
          <cell r="FN73">
            <v>0</v>
          </cell>
          <cell r="FP73">
            <v>0</v>
          </cell>
          <cell r="FR73">
            <v>0</v>
          </cell>
          <cell r="FT73">
            <v>0</v>
          </cell>
          <cell r="FV73">
            <v>0</v>
          </cell>
          <cell r="GD73">
            <v>14</v>
          </cell>
          <cell r="GF73">
            <v>4</v>
          </cell>
          <cell r="GH73">
            <v>1</v>
          </cell>
          <cell r="GJ73">
            <v>7</v>
          </cell>
          <cell r="GM73">
            <v>0.01</v>
          </cell>
          <cell r="GN7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W73" t="str">
            <v>（一）施工廠商施工前檢查事項辦理情形：█完成 □未完成 （二）其他工地安全衛生督導事項：</v>
          </cell>
          <cell r="GX73">
            <v>853901</v>
          </cell>
          <cell r="GY73">
            <v>0</v>
          </cell>
        </row>
        <row r="74">
          <cell r="I74">
            <v>1</v>
          </cell>
          <cell r="N74">
            <v>1</v>
          </cell>
          <cell r="P74">
            <v>1</v>
          </cell>
          <cell r="R74">
            <v>672</v>
          </cell>
          <cell r="T74">
            <v>108</v>
          </cell>
          <cell r="V74">
            <v>661</v>
          </cell>
          <cell r="X74">
            <v>2</v>
          </cell>
          <cell r="Z74">
            <v>1</v>
          </cell>
          <cell r="AB74">
            <v>661</v>
          </cell>
          <cell r="AD74">
            <v>2</v>
          </cell>
          <cell r="AF74">
            <v>1</v>
          </cell>
          <cell r="AH74">
            <v>1</v>
          </cell>
          <cell r="AJ74">
            <v>1</v>
          </cell>
          <cell r="AL74">
            <v>0</v>
          </cell>
          <cell r="AN74">
            <v>0</v>
          </cell>
          <cell r="AP74">
            <v>0</v>
          </cell>
          <cell r="AR74">
            <v>0</v>
          </cell>
          <cell r="AT74">
            <v>0</v>
          </cell>
          <cell r="AV74">
            <v>0</v>
          </cell>
          <cell r="AX74">
            <v>0</v>
          </cell>
          <cell r="AZ74">
            <v>0</v>
          </cell>
          <cell r="BB74">
            <v>0</v>
          </cell>
          <cell r="BD74">
            <v>0</v>
          </cell>
          <cell r="BF74">
            <v>0</v>
          </cell>
          <cell r="BH74">
            <v>0</v>
          </cell>
          <cell r="BJ74">
            <v>0</v>
          </cell>
          <cell r="BL74">
            <v>0</v>
          </cell>
          <cell r="BN74">
            <v>0</v>
          </cell>
          <cell r="BP74">
            <v>0</v>
          </cell>
          <cell r="BR74">
            <v>0</v>
          </cell>
          <cell r="BT74">
            <v>0</v>
          </cell>
          <cell r="BV74">
            <v>0</v>
          </cell>
          <cell r="BX74">
            <v>0</v>
          </cell>
          <cell r="BZ74">
            <v>0</v>
          </cell>
          <cell r="CB74">
            <v>0</v>
          </cell>
          <cell r="CD74">
            <v>0</v>
          </cell>
          <cell r="CF74">
            <v>0</v>
          </cell>
          <cell r="CH74">
            <v>0</v>
          </cell>
          <cell r="CJ74">
            <v>0</v>
          </cell>
          <cell r="CL74">
            <v>0</v>
          </cell>
          <cell r="CN74">
            <v>0</v>
          </cell>
          <cell r="CP74">
            <v>0</v>
          </cell>
          <cell r="CR74">
            <v>0</v>
          </cell>
          <cell r="CT74">
            <v>0</v>
          </cell>
          <cell r="CV74">
            <v>0</v>
          </cell>
          <cell r="CX74">
            <v>0</v>
          </cell>
          <cell r="CZ74">
            <v>0</v>
          </cell>
          <cell r="DB74">
            <v>0</v>
          </cell>
          <cell r="DD74">
            <v>0</v>
          </cell>
          <cell r="DF74">
            <v>0</v>
          </cell>
          <cell r="DH74">
            <v>0</v>
          </cell>
          <cell r="DJ74">
            <v>0</v>
          </cell>
          <cell r="DL74">
            <v>0</v>
          </cell>
          <cell r="DN74">
            <v>0</v>
          </cell>
          <cell r="DP74">
            <v>0</v>
          </cell>
          <cell r="DR74">
            <v>0</v>
          </cell>
          <cell r="DT74">
            <v>0</v>
          </cell>
          <cell r="DV74">
            <v>0</v>
          </cell>
          <cell r="DX74">
            <v>0</v>
          </cell>
          <cell r="DZ74">
            <v>0</v>
          </cell>
          <cell r="EB74">
            <v>0</v>
          </cell>
          <cell r="ED74">
            <v>0</v>
          </cell>
          <cell r="EF74">
            <v>0</v>
          </cell>
          <cell r="EH74">
            <v>0</v>
          </cell>
          <cell r="EJ74">
            <v>0</v>
          </cell>
          <cell r="EL74">
            <v>0</v>
          </cell>
          <cell r="EN74">
            <v>0</v>
          </cell>
          <cell r="EP74">
            <v>0</v>
          </cell>
          <cell r="ER74">
            <v>0</v>
          </cell>
          <cell r="ET74">
            <v>0</v>
          </cell>
          <cell r="EV74">
            <v>0</v>
          </cell>
          <cell r="EX74">
            <v>0</v>
          </cell>
          <cell r="EZ74">
            <v>0</v>
          </cell>
          <cell r="FB74">
            <v>0</v>
          </cell>
          <cell r="FD74">
            <v>0</v>
          </cell>
          <cell r="FF74">
            <v>0</v>
          </cell>
          <cell r="FH74">
            <v>0</v>
          </cell>
          <cell r="FJ74">
            <v>0</v>
          </cell>
          <cell r="FL74">
            <v>0</v>
          </cell>
          <cell r="FN74">
            <v>0</v>
          </cell>
          <cell r="FP74">
            <v>0</v>
          </cell>
          <cell r="FR74">
            <v>0</v>
          </cell>
          <cell r="FT74">
            <v>0</v>
          </cell>
          <cell r="FV74">
            <v>0</v>
          </cell>
          <cell r="GD74">
            <v>14</v>
          </cell>
          <cell r="GF74">
            <v>4</v>
          </cell>
          <cell r="GH74">
            <v>1</v>
          </cell>
          <cell r="GJ74">
            <v>7</v>
          </cell>
          <cell r="GM74">
            <v>0.01</v>
          </cell>
          <cell r="GN7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4">
            <v>0</v>
          </cell>
          <cell r="GQ74">
            <v>0</v>
          </cell>
          <cell r="GR74">
            <v>0</v>
          </cell>
          <cell r="GS74">
            <v>0</v>
          </cell>
          <cell r="GT74">
            <v>0</v>
          </cell>
          <cell r="GW74" t="str">
            <v>（一）施工廠商施工前檢查事項辦理情形：█完成 □未完成 （二）其他工地安全衛生督導事項：</v>
          </cell>
          <cell r="GX74">
            <v>853901</v>
          </cell>
          <cell r="GY74">
            <v>0</v>
          </cell>
        </row>
        <row r="75">
          <cell r="I75">
            <v>1</v>
          </cell>
          <cell r="N75">
            <v>1</v>
          </cell>
          <cell r="P75">
            <v>1</v>
          </cell>
          <cell r="R75">
            <v>672</v>
          </cell>
          <cell r="T75">
            <v>108</v>
          </cell>
          <cell r="V75">
            <v>661</v>
          </cell>
          <cell r="X75">
            <v>2</v>
          </cell>
          <cell r="Z75">
            <v>1</v>
          </cell>
          <cell r="AB75">
            <v>661</v>
          </cell>
          <cell r="AD75">
            <v>2</v>
          </cell>
          <cell r="AF75">
            <v>1</v>
          </cell>
          <cell r="AH75">
            <v>1</v>
          </cell>
          <cell r="AJ75">
            <v>1</v>
          </cell>
          <cell r="AL75">
            <v>0</v>
          </cell>
          <cell r="AN75">
            <v>0</v>
          </cell>
          <cell r="AP75">
            <v>0</v>
          </cell>
          <cell r="AR75">
            <v>0</v>
          </cell>
          <cell r="AT75">
            <v>0</v>
          </cell>
          <cell r="AV75">
            <v>0</v>
          </cell>
          <cell r="AX75">
            <v>0</v>
          </cell>
          <cell r="AZ75">
            <v>0</v>
          </cell>
          <cell r="BB75">
            <v>0</v>
          </cell>
          <cell r="BD75">
            <v>0</v>
          </cell>
          <cell r="BF75">
            <v>0</v>
          </cell>
          <cell r="BH75">
            <v>0</v>
          </cell>
          <cell r="BJ75">
            <v>0</v>
          </cell>
          <cell r="BL75">
            <v>0</v>
          </cell>
          <cell r="BN75">
            <v>0</v>
          </cell>
          <cell r="BP75">
            <v>0</v>
          </cell>
          <cell r="BR75">
            <v>0</v>
          </cell>
          <cell r="BT75">
            <v>0</v>
          </cell>
          <cell r="BV75">
            <v>0</v>
          </cell>
          <cell r="BX75">
            <v>0</v>
          </cell>
          <cell r="BZ75">
            <v>0</v>
          </cell>
          <cell r="CB75">
            <v>0</v>
          </cell>
          <cell r="CD75">
            <v>0</v>
          </cell>
          <cell r="CF75">
            <v>0</v>
          </cell>
          <cell r="CH75">
            <v>0</v>
          </cell>
          <cell r="CJ75">
            <v>0</v>
          </cell>
          <cell r="CL75">
            <v>0</v>
          </cell>
          <cell r="CN75">
            <v>0</v>
          </cell>
          <cell r="CP75">
            <v>0</v>
          </cell>
          <cell r="CR75">
            <v>0</v>
          </cell>
          <cell r="CT75">
            <v>0</v>
          </cell>
          <cell r="CV75">
            <v>0</v>
          </cell>
          <cell r="CX75">
            <v>0</v>
          </cell>
          <cell r="CZ75">
            <v>0</v>
          </cell>
          <cell r="DB75">
            <v>0</v>
          </cell>
          <cell r="DD75">
            <v>0</v>
          </cell>
          <cell r="DF75">
            <v>0</v>
          </cell>
          <cell r="DH75">
            <v>0</v>
          </cell>
          <cell r="DJ75">
            <v>0</v>
          </cell>
          <cell r="DL75">
            <v>0</v>
          </cell>
          <cell r="DN75">
            <v>0</v>
          </cell>
          <cell r="DP75">
            <v>0</v>
          </cell>
          <cell r="DR75">
            <v>0</v>
          </cell>
          <cell r="DT75">
            <v>0</v>
          </cell>
          <cell r="DV75">
            <v>0</v>
          </cell>
          <cell r="DX75">
            <v>0</v>
          </cell>
          <cell r="DZ75">
            <v>0</v>
          </cell>
          <cell r="EB75">
            <v>0</v>
          </cell>
          <cell r="ED75">
            <v>0</v>
          </cell>
          <cell r="EF75">
            <v>0</v>
          </cell>
          <cell r="EH75">
            <v>0</v>
          </cell>
          <cell r="EJ75">
            <v>0</v>
          </cell>
          <cell r="EL75">
            <v>0</v>
          </cell>
          <cell r="EN75">
            <v>0</v>
          </cell>
          <cell r="EP75">
            <v>0</v>
          </cell>
          <cell r="ER75">
            <v>0</v>
          </cell>
          <cell r="ET75">
            <v>0</v>
          </cell>
          <cell r="EV75">
            <v>0</v>
          </cell>
          <cell r="EX75">
            <v>0</v>
          </cell>
          <cell r="EZ75">
            <v>0</v>
          </cell>
          <cell r="FB75">
            <v>0</v>
          </cell>
          <cell r="FD75">
            <v>0</v>
          </cell>
          <cell r="FF75">
            <v>0</v>
          </cell>
          <cell r="FH75">
            <v>0</v>
          </cell>
          <cell r="FJ75">
            <v>0</v>
          </cell>
          <cell r="FL75">
            <v>0</v>
          </cell>
          <cell r="FN75">
            <v>0</v>
          </cell>
          <cell r="FP75">
            <v>0</v>
          </cell>
          <cell r="FR75">
            <v>0</v>
          </cell>
          <cell r="FT75">
            <v>0</v>
          </cell>
          <cell r="FV75">
            <v>0</v>
          </cell>
          <cell r="GD75">
            <v>14</v>
          </cell>
          <cell r="GF75">
            <v>4</v>
          </cell>
          <cell r="GH75">
            <v>1</v>
          </cell>
          <cell r="GJ75">
            <v>7</v>
          </cell>
          <cell r="GM75">
            <v>0.01</v>
          </cell>
          <cell r="GN7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5">
            <v>0</v>
          </cell>
          <cell r="GQ75">
            <v>0</v>
          </cell>
          <cell r="GR75">
            <v>0</v>
          </cell>
          <cell r="GS75">
            <v>0</v>
          </cell>
          <cell r="GT75">
            <v>0</v>
          </cell>
          <cell r="GW75" t="str">
            <v>（一）施工廠商施工前檢查事項辦理情形：█完成 □未完成 （二）其他工地安全衛生督導事項：</v>
          </cell>
          <cell r="GX75">
            <v>853901</v>
          </cell>
          <cell r="GY75">
            <v>0</v>
          </cell>
        </row>
        <row r="76">
          <cell r="I76">
            <v>1</v>
          </cell>
          <cell r="N76">
            <v>1</v>
          </cell>
          <cell r="P76">
            <v>1</v>
          </cell>
          <cell r="R76">
            <v>672</v>
          </cell>
          <cell r="T76">
            <v>108</v>
          </cell>
          <cell r="V76">
            <v>661</v>
          </cell>
          <cell r="X76">
            <v>2</v>
          </cell>
          <cell r="Z76">
            <v>1</v>
          </cell>
          <cell r="AB76">
            <v>661</v>
          </cell>
          <cell r="AD76">
            <v>2</v>
          </cell>
          <cell r="AF76">
            <v>1</v>
          </cell>
          <cell r="AH76">
            <v>1</v>
          </cell>
          <cell r="AJ76">
            <v>1</v>
          </cell>
          <cell r="AL76">
            <v>0</v>
          </cell>
          <cell r="AN76">
            <v>0</v>
          </cell>
          <cell r="AP76">
            <v>0</v>
          </cell>
          <cell r="AR76">
            <v>0</v>
          </cell>
          <cell r="AT76">
            <v>0</v>
          </cell>
          <cell r="AV76">
            <v>0</v>
          </cell>
          <cell r="AX76">
            <v>0</v>
          </cell>
          <cell r="AZ76">
            <v>0</v>
          </cell>
          <cell r="BB76">
            <v>0</v>
          </cell>
          <cell r="BD76">
            <v>0</v>
          </cell>
          <cell r="BF76">
            <v>0</v>
          </cell>
          <cell r="BH76">
            <v>0</v>
          </cell>
          <cell r="BJ76">
            <v>0</v>
          </cell>
          <cell r="BL76">
            <v>0</v>
          </cell>
          <cell r="BN76">
            <v>0</v>
          </cell>
          <cell r="BP76">
            <v>0</v>
          </cell>
          <cell r="BR76">
            <v>0</v>
          </cell>
          <cell r="BT76">
            <v>0</v>
          </cell>
          <cell r="BV76">
            <v>0</v>
          </cell>
          <cell r="BX76">
            <v>0</v>
          </cell>
          <cell r="BZ76">
            <v>0</v>
          </cell>
          <cell r="CB76">
            <v>0</v>
          </cell>
          <cell r="CD76">
            <v>0</v>
          </cell>
          <cell r="CF76">
            <v>0</v>
          </cell>
          <cell r="CH76">
            <v>0</v>
          </cell>
          <cell r="CJ76">
            <v>0</v>
          </cell>
          <cell r="CL76">
            <v>0</v>
          </cell>
          <cell r="CN76">
            <v>0</v>
          </cell>
          <cell r="CP76">
            <v>0</v>
          </cell>
          <cell r="CR76">
            <v>0</v>
          </cell>
          <cell r="CT76">
            <v>0</v>
          </cell>
          <cell r="CV76">
            <v>0</v>
          </cell>
          <cell r="CX76">
            <v>0</v>
          </cell>
          <cell r="CZ76">
            <v>0</v>
          </cell>
          <cell r="DB76">
            <v>0</v>
          </cell>
          <cell r="DD76">
            <v>0</v>
          </cell>
          <cell r="DF76">
            <v>0</v>
          </cell>
          <cell r="DH76">
            <v>0</v>
          </cell>
          <cell r="DJ76">
            <v>0</v>
          </cell>
          <cell r="DL76">
            <v>0</v>
          </cell>
          <cell r="DN76">
            <v>0</v>
          </cell>
          <cell r="DP76">
            <v>0</v>
          </cell>
          <cell r="DR76">
            <v>0</v>
          </cell>
          <cell r="DT76">
            <v>0</v>
          </cell>
          <cell r="DV76">
            <v>0</v>
          </cell>
          <cell r="DX76">
            <v>0</v>
          </cell>
          <cell r="DZ76">
            <v>0</v>
          </cell>
          <cell r="EB76">
            <v>0</v>
          </cell>
          <cell r="ED76">
            <v>0</v>
          </cell>
          <cell r="EF76">
            <v>0</v>
          </cell>
          <cell r="EH76">
            <v>0</v>
          </cell>
          <cell r="EJ76">
            <v>0</v>
          </cell>
          <cell r="EL76">
            <v>0</v>
          </cell>
          <cell r="EN76">
            <v>0</v>
          </cell>
          <cell r="EP76">
            <v>0</v>
          </cell>
          <cell r="ER76">
            <v>0</v>
          </cell>
          <cell r="ET76">
            <v>0</v>
          </cell>
          <cell r="EV76">
            <v>0</v>
          </cell>
          <cell r="EX76">
            <v>0</v>
          </cell>
          <cell r="EZ76">
            <v>0</v>
          </cell>
          <cell r="FB76">
            <v>0</v>
          </cell>
          <cell r="FD76">
            <v>0</v>
          </cell>
          <cell r="FF76">
            <v>0</v>
          </cell>
          <cell r="FH76">
            <v>0</v>
          </cell>
          <cell r="FJ76">
            <v>0</v>
          </cell>
          <cell r="FL76">
            <v>0</v>
          </cell>
          <cell r="FN76">
            <v>0</v>
          </cell>
          <cell r="FP76">
            <v>0</v>
          </cell>
          <cell r="FR76">
            <v>0</v>
          </cell>
          <cell r="FT76">
            <v>0</v>
          </cell>
          <cell r="FV76">
            <v>0</v>
          </cell>
          <cell r="GD76">
            <v>14</v>
          </cell>
          <cell r="GF76">
            <v>4</v>
          </cell>
          <cell r="GH76">
            <v>1</v>
          </cell>
          <cell r="GJ76">
            <v>7</v>
          </cell>
          <cell r="GM76">
            <v>0.01</v>
          </cell>
          <cell r="GN7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W76" t="str">
            <v>（一）施工廠商施工前檢查事項辦理情形：█完成 □未完成 （二）其他工地安全衛生督導事項：</v>
          </cell>
          <cell r="GX76">
            <v>853901</v>
          </cell>
          <cell r="GY76">
            <v>0</v>
          </cell>
        </row>
        <row r="77">
          <cell r="I77">
            <v>1</v>
          </cell>
          <cell r="N77">
            <v>1</v>
          </cell>
          <cell r="P77">
            <v>1</v>
          </cell>
          <cell r="R77">
            <v>672</v>
          </cell>
          <cell r="T77">
            <v>108</v>
          </cell>
          <cell r="V77">
            <v>661</v>
          </cell>
          <cell r="X77">
            <v>2</v>
          </cell>
          <cell r="Z77">
            <v>1</v>
          </cell>
          <cell r="AB77">
            <v>661</v>
          </cell>
          <cell r="AD77">
            <v>2</v>
          </cell>
          <cell r="AF77">
            <v>1</v>
          </cell>
          <cell r="AH77">
            <v>1</v>
          </cell>
          <cell r="AJ77">
            <v>1</v>
          </cell>
          <cell r="AL77">
            <v>0</v>
          </cell>
          <cell r="AN77">
            <v>0</v>
          </cell>
          <cell r="AP77">
            <v>0</v>
          </cell>
          <cell r="AR77">
            <v>0</v>
          </cell>
          <cell r="AT77">
            <v>0</v>
          </cell>
          <cell r="AV77">
            <v>0</v>
          </cell>
          <cell r="AX77">
            <v>0</v>
          </cell>
          <cell r="AZ77">
            <v>0</v>
          </cell>
          <cell r="BB77">
            <v>0</v>
          </cell>
          <cell r="BD77">
            <v>0</v>
          </cell>
          <cell r="BF77">
            <v>0</v>
          </cell>
          <cell r="BH77">
            <v>0</v>
          </cell>
          <cell r="BJ77">
            <v>0</v>
          </cell>
          <cell r="BL77">
            <v>0</v>
          </cell>
          <cell r="BN77">
            <v>0</v>
          </cell>
          <cell r="BP77">
            <v>0</v>
          </cell>
          <cell r="BR77">
            <v>0</v>
          </cell>
          <cell r="BT77">
            <v>0</v>
          </cell>
          <cell r="BV77">
            <v>0</v>
          </cell>
          <cell r="BX77">
            <v>0</v>
          </cell>
          <cell r="BZ77">
            <v>0</v>
          </cell>
          <cell r="CB77">
            <v>0</v>
          </cell>
          <cell r="CD77">
            <v>0</v>
          </cell>
          <cell r="CF77">
            <v>0</v>
          </cell>
          <cell r="CH77">
            <v>0</v>
          </cell>
          <cell r="CJ77">
            <v>0</v>
          </cell>
          <cell r="CL77">
            <v>0</v>
          </cell>
          <cell r="CN77">
            <v>0</v>
          </cell>
          <cell r="CP77">
            <v>0</v>
          </cell>
          <cell r="CR77">
            <v>0</v>
          </cell>
          <cell r="CT77">
            <v>0</v>
          </cell>
          <cell r="CV77">
            <v>0</v>
          </cell>
          <cell r="CX77">
            <v>0</v>
          </cell>
          <cell r="CZ77">
            <v>0</v>
          </cell>
          <cell r="DB77">
            <v>0</v>
          </cell>
          <cell r="DD77">
            <v>0</v>
          </cell>
          <cell r="DF77">
            <v>0</v>
          </cell>
          <cell r="DH77">
            <v>0</v>
          </cell>
          <cell r="DJ77">
            <v>0</v>
          </cell>
          <cell r="DL77">
            <v>0</v>
          </cell>
          <cell r="DN77">
            <v>0</v>
          </cell>
          <cell r="DP77">
            <v>0</v>
          </cell>
          <cell r="DR77">
            <v>0</v>
          </cell>
          <cell r="DT77">
            <v>0</v>
          </cell>
          <cell r="DV77">
            <v>0</v>
          </cell>
          <cell r="DX77">
            <v>0</v>
          </cell>
          <cell r="DZ77">
            <v>0</v>
          </cell>
          <cell r="EB77">
            <v>0</v>
          </cell>
          <cell r="ED77">
            <v>0</v>
          </cell>
          <cell r="EF77">
            <v>0</v>
          </cell>
          <cell r="EH77">
            <v>0</v>
          </cell>
          <cell r="EJ77">
            <v>0</v>
          </cell>
          <cell r="EL77">
            <v>0</v>
          </cell>
          <cell r="EN77">
            <v>0</v>
          </cell>
          <cell r="EP77">
            <v>0</v>
          </cell>
          <cell r="ER77">
            <v>0</v>
          </cell>
          <cell r="ET77">
            <v>0</v>
          </cell>
          <cell r="EV77">
            <v>0</v>
          </cell>
          <cell r="EX77">
            <v>0</v>
          </cell>
          <cell r="EZ77">
            <v>0</v>
          </cell>
          <cell r="FB77">
            <v>0</v>
          </cell>
          <cell r="FD77">
            <v>0</v>
          </cell>
          <cell r="FF77">
            <v>0</v>
          </cell>
          <cell r="FH77">
            <v>0</v>
          </cell>
          <cell r="FJ77">
            <v>0</v>
          </cell>
          <cell r="FL77">
            <v>0</v>
          </cell>
          <cell r="FN77">
            <v>0</v>
          </cell>
          <cell r="FP77">
            <v>0</v>
          </cell>
          <cell r="FR77">
            <v>0</v>
          </cell>
          <cell r="FT77">
            <v>0</v>
          </cell>
          <cell r="FV77">
            <v>0</v>
          </cell>
          <cell r="GD77">
            <v>14</v>
          </cell>
          <cell r="GF77">
            <v>4</v>
          </cell>
          <cell r="GH77">
            <v>1</v>
          </cell>
          <cell r="GJ77">
            <v>7</v>
          </cell>
          <cell r="GM77">
            <v>0.01</v>
          </cell>
          <cell r="GN7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W77" t="str">
            <v>（一）施工廠商施工前檢查事項辦理情形：█完成 □未完成 （二）其他工地安全衛生督導事項：</v>
          </cell>
          <cell r="GX77">
            <v>853901</v>
          </cell>
          <cell r="GY77">
            <v>0</v>
          </cell>
        </row>
        <row r="78">
          <cell r="I78">
            <v>1</v>
          </cell>
          <cell r="N78">
            <v>1</v>
          </cell>
          <cell r="P78">
            <v>1</v>
          </cell>
          <cell r="R78">
            <v>672</v>
          </cell>
          <cell r="T78">
            <v>108</v>
          </cell>
          <cell r="V78">
            <v>661</v>
          </cell>
          <cell r="X78">
            <v>2</v>
          </cell>
          <cell r="Z78">
            <v>1</v>
          </cell>
          <cell r="AB78">
            <v>661</v>
          </cell>
          <cell r="AD78">
            <v>2</v>
          </cell>
          <cell r="AF78">
            <v>1</v>
          </cell>
          <cell r="AH78">
            <v>1</v>
          </cell>
          <cell r="AJ78">
            <v>1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0</v>
          </cell>
          <cell r="AV78">
            <v>0</v>
          </cell>
          <cell r="AX78">
            <v>0</v>
          </cell>
          <cell r="AZ78">
            <v>0</v>
          </cell>
          <cell r="BB78">
            <v>0</v>
          </cell>
          <cell r="BD78">
            <v>0</v>
          </cell>
          <cell r="BF78">
            <v>0</v>
          </cell>
          <cell r="BH78">
            <v>0</v>
          </cell>
          <cell r="BJ78">
            <v>0</v>
          </cell>
          <cell r="BL78">
            <v>0</v>
          </cell>
          <cell r="BN78">
            <v>0</v>
          </cell>
          <cell r="BP78">
            <v>0</v>
          </cell>
          <cell r="BR78">
            <v>0</v>
          </cell>
          <cell r="BT78">
            <v>0</v>
          </cell>
          <cell r="BV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0</v>
          </cell>
          <cell r="CV78">
            <v>0</v>
          </cell>
          <cell r="CX78">
            <v>0</v>
          </cell>
          <cell r="CZ78">
            <v>0</v>
          </cell>
          <cell r="DB78">
            <v>0</v>
          </cell>
          <cell r="DD78">
            <v>0</v>
          </cell>
          <cell r="DF78">
            <v>0</v>
          </cell>
          <cell r="DH78">
            <v>0</v>
          </cell>
          <cell r="DJ78">
            <v>0</v>
          </cell>
          <cell r="DL78">
            <v>0</v>
          </cell>
          <cell r="DN78">
            <v>0</v>
          </cell>
          <cell r="DP78">
            <v>0</v>
          </cell>
          <cell r="DR78">
            <v>0</v>
          </cell>
          <cell r="DT78">
            <v>0</v>
          </cell>
          <cell r="DV78">
            <v>0</v>
          </cell>
          <cell r="DX78">
            <v>0</v>
          </cell>
          <cell r="DZ78">
            <v>0</v>
          </cell>
          <cell r="EB78">
            <v>0</v>
          </cell>
          <cell r="ED78">
            <v>0</v>
          </cell>
          <cell r="EF78">
            <v>0</v>
          </cell>
          <cell r="EH78">
            <v>0</v>
          </cell>
          <cell r="EJ78">
            <v>0</v>
          </cell>
          <cell r="EL78">
            <v>0</v>
          </cell>
          <cell r="EN78">
            <v>0</v>
          </cell>
          <cell r="EP78">
            <v>0</v>
          </cell>
          <cell r="ER78">
            <v>0</v>
          </cell>
          <cell r="ET78">
            <v>0</v>
          </cell>
          <cell r="EV78">
            <v>0</v>
          </cell>
          <cell r="EX78">
            <v>0</v>
          </cell>
          <cell r="EZ78">
            <v>0</v>
          </cell>
          <cell r="FB78">
            <v>0</v>
          </cell>
          <cell r="FD78">
            <v>0</v>
          </cell>
          <cell r="FF78">
            <v>0</v>
          </cell>
          <cell r="FH78">
            <v>0</v>
          </cell>
          <cell r="FJ78">
            <v>0</v>
          </cell>
          <cell r="FL78">
            <v>0</v>
          </cell>
          <cell r="FN78">
            <v>0</v>
          </cell>
          <cell r="FP78">
            <v>0</v>
          </cell>
          <cell r="FR78">
            <v>0</v>
          </cell>
          <cell r="FT78">
            <v>0</v>
          </cell>
          <cell r="FV78">
            <v>0</v>
          </cell>
          <cell r="GD78">
            <v>14</v>
          </cell>
          <cell r="GF78">
            <v>4</v>
          </cell>
          <cell r="GH78">
            <v>1</v>
          </cell>
          <cell r="GJ78">
            <v>7</v>
          </cell>
          <cell r="GM78">
            <v>0.01</v>
          </cell>
          <cell r="GN7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W78" t="str">
            <v>（一）施工廠商施工前檢查事項辦理情形：█完成 □未完成 （二）其他工地安全衛生督導事項：</v>
          </cell>
          <cell r="GX78">
            <v>853901</v>
          </cell>
          <cell r="GY78">
            <v>0</v>
          </cell>
        </row>
        <row r="79">
          <cell r="I79">
            <v>1</v>
          </cell>
          <cell r="N79">
            <v>1</v>
          </cell>
          <cell r="P79">
            <v>1</v>
          </cell>
          <cell r="R79">
            <v>672</v>
          </cell>
          <cell r="T79">
            <v>108</v>
          </cell>
          <cell r="V79">
            <v>661</v>
          </cell>
          <cell r="X79">
            <v>2</v>
          </cell>
          <cell r="Z79">
            <v>1</v>
          </cell>
          <cell r="AB79">
            <v>661</v>
          </cell>
          <cell r="AD79">
            <v>2</v>
          </cell>
          <cell r="AF79">
            <v>1</v>
          </cell>
          <cell r="AH79">
            <v>1</v>
          </cell>
          <cell r="AJ79">
            <v>1</v>
          </cell>
          <cell r="AL79">
            <v>0</v>
          </cell>
          <cell r="AN79">
            <v>0</v>
          </cell>
          <cell r="AP79">
            <v>0</v>
          </cell>
          <cell r="AR79">
            <v>0</v>
          </cell>
          <cell r="AT79">
            <v>0</v>
          </cell>
          <cell r="AV79">
            <v>0</v>
          </cell>
          <cell r="AX79">
            <v>0</v>
          </cell>
          <cell r="AZ79">
            <v>0</v>
          </cell>
          <cell r="BB79">
            <v>0</v>
          </cell>
          <cell r="BD79">
            <v>0</v>
          </cell>
          <cell r="BF79">
            <v>0</v>
          </cell>
          <cell r="BH79">
            <v>0</v>
          </cell>
          <cell r="BJ79">
            <v>0</v>
          </cell>
          <cell r="BL79">
            <v>0</v>
          </cell>
          <cell r="BN79">
            <v>0</v>
          </cell>
          <cell r="BP79">
            <v>0</v>
          </cell>
          <cell r="BR79">
            <v>0</v>
          </cell>
          <cell r="BT79">
            <v>0</v>
          </cell>
          <cell r="BV79">
            <v>0</v>
          </cell>
          <cell r="BX79">
            <v>0</v>
          </cell>
          <cell r="BZ79">
            <v>0</v>
          </cell>
          <cell r="CB79">
            <v>0</v>
          </cell>
          <cell r="CD79">
            <v>0</v>
          </cell>
          <cell r="CF79">
            <v>0</v>
          </cell>
          <cell r="CH79">
            <v>0</v>
          </cell>
          <cell r="CJ79">
            <v>0</v>
          </cell>
          <cell r="CL79">
            <v>0</v>
          </cell>
          <cell r="CN79">
            <v>0</v>
          </cell>
          <cell r="CP79">
            <v>0</v>
          </cell>
          <cell r="CR79">
            <v>0</v>
          </cell>
          <cell r="CT79">
            <v>0</v>
          </cell>
          <cell r="CV79">
            <v>0</v>
          </cell>
          <cell r="CX79">
            <v>0</v>
          </cell>
          <cell r="CZ79">
            <v>0</v>
          </cell>
          <cell r="DB79">
            <v>0</v>
          </cell>
          <cell r="DD79">
            <v>0</v>
          </cell>
          <cell r="DF79">
            <v>0</v>
          </cell>
          <cell r="DH79">
            <v>0</v>
          </cell>
          <cell r="DJ79">
            <v>0</v>
          </cell>
          <cell r="DL79">
            <v>0</v>
          </cell>
          <cell r="DN79">
            <v>0</v>
          </cell>
          <cell r="DP79">
            <v>0</v>
          </cell>
          <cell r="DR79">
            <v>0</v>
          </cell>
          <cell r="DT79">
            <v>0</v>
          </cell>
          <cell r="DV79">
            <v>0</v>
          </cell>
          <cell r="DX79">
            <v>0</v>
          </cell>
          <cell r="DZ79">
            <v>0</v>
          </cell>
          <cell r="EB79">
            <v>0</v>
          </cell>
          <cell r="ED79">
            <v>0</v>
          </cell>
          <cell r="EF79">
            <v>0</v>
          </cell>
          <cell r="EH79">
            <v>0</v>
          </cell>
          <cell r="EJ79">
            <v>0</v>
          </cell>
          <cell r="EL79">
            <v>0</v>
          </cell>
          <cell r="EN79">
            <v>0</v>
          </cell>
          <cell r="EP79">
            <v>0</v>
          </cell>
          <cell r="ER79">
            <v>0</v>
          </cell>
          <cell r="ET79">
            <v>0</v>
          </cell>
          <cell r="EV79">
            <v>0</v>
          </cell>
          <cell r="EX79">
            <v>0</v>
          </cell>
          <cell r="EZ79">
            <v>0</v>
          </cell>
          <cell r="FB79">
            <v>0</v>
          </cell>
          <cell r="FD79">
            <v>0</v>
          </cell>
          <cell r="FF79">
            <v>0</v>
          </cell>
          <cell r="FH79">
            <v>0</v>
          </cell>
          <cell r="FJ79">
            <v>0</v>
          </cell>
          <cell r="FL79">
            <v>0</v>
          </cell>
          <cell r="FN79">
            <v>0</v>
          </cell>
          <cell r="FP79">
            <v>0</v>
          </cell>
          <cell r="FR79">
            <v>0</v>
          </cell>
          <cell r="FT79">
            <v>0</v>
          </cell>
          <cell r="FV79">
            <v>0</v>
          </cell>
          <cell r="GD79">
            <v>14</v>
          </cell>
          <cell r="GF79">
            <v>4</v>
          </cell>
          <cell r="GH79">
            <v>1</v>
          </cell>
          <cell r="GJ79">
            <v>7</v>
          </cell>
          <cell r="GM79">
            <v>0.01</v>
          </cell>
          <cell r="GN7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W79" t="str">
            <v>（一）施工廠商施工前檢查事項辦理情形：█完成 □未完成 （二）其他工地安全衛生督導事項：</v>
          </cell>
          <cell r="GX79">
            <v>853901</v>
          </cell>
          <cell r="GY79">
            <v>0</v>
          </cell>
        </row>
        <row r="80">
          <cell r="I80">
            <v>1</v>
          </cell>
          <cell r="N80">
            <v>1</v>
          </cell>
          <cell r="P80">
            <v>1</v>
          </cell>
          <cell r="R80">
            <v>672</v>
          </cell>
          <cell r="T80">
            <v>108</v>
          </cell>
          <cell r="V80">
            <v>661</v>
          </cell>
          <cell r="X80">
            <v>2</v>
          </cell>
          <cell r="Z80">
            <v>1</v>
          </cell>
          <cell r="AB80">
            <v>661</v>
          </cell>
          <cell r="AD80">
            <v>2</v>
          </cell>
          <cell r="AF80">
            <v>1</v>
          </cell>
          <cell r="AH80">
            <v>1</v>
          </cell>
          <cell r="AJ80">
            <v>1</v>
          </cell>
          <cell r="AL80">
            <v>0</v>
          </cell>
          <cell r="AN80">
            <v>0</v>
          </cell>
          <cell r="AP80">
            <v>0</v>
          </cell>
          <cell r="AR80">
            <v>0</v>
          </cell>
          <cell r="AT80">
            <v>0</v>
          </cell>
          <cell r="AV80">
            <v>0</v>
          </cell>
          <cell r="AX80">
            <v>0</v>
          </cell>
          <cell r="AZ80">
            <v>0</v>
          </cell>
          <cell r="BB80">
            <v>0</v>
          </cell>
          <cell r="BD80">
            <v>0</v>
          </cell>
          <cell r="BF80">
            <v>0</v>
          </cell>
          <cell r="BH80">
            <v>0</v>
          </cell>
          <cell r="BJ80">
            <v>0</v>
          </cell>
          <cell r="BL80">
            <v>0</v>
          </cell>
          <cell r="BN80">
            <v>0</v>
          </cell>
          <cell r="BP80">
            <v>0</v>
          </cell>
          <cell r="BR80">
            <v>0</v>
          </cell>
          <cell r="BT80">
            <v>0</v>
          </cell>
          <cell r="BV80">
            <v>0</v>
          </cell>
          <cell r="BX80">
            <v>0</v>
          </cell>
          <cell r="BZ80">
            <v>0</v>
          </cell>
          <cell r="CB80">
            <v>0</v>
          </cell>
          <cell r="CD80">
            <v>0</v>
          </cell>
          <cell r="CF80">
            <v>0</v>
          </cell>
          <cell r="CH80">
            <v>0</v>
          </cell>
          <cell r="CJ80">
            <v>0</v>
          </cell>
          <cell r="CL80">
            <v>0</v>
          </cell>
          <cell r="CN80">
            <v>0</v>
          </cell>
          <cell r="CP80">
            <v>0</v>
          </cell>
          <cell r="CR80">
            <v>0</v>
          </cell>
          <cell r="CT80">
            <v>0</v>
          </cell>
          <cell r="CV80">
            <v>0</v>
          </cell>
          <cell r="CX80">
            <v>0</v>
          </cell>
          <cell r="CZ80">
            <v>0</v>
          </cell>
          <cell r="DB80">
            <v>0</v>
          </cell>
          <cell r="DD80">
            <v>0</v>
          </cell>
          <cell r="DF80">
            <v>0</v>
          </cell>
          <cell r="DH80">
            <v>0</v>
          </cell>
          <cell r="DJ80">
            <v>0</v>
          </cell>
          <cell r="DL80">
            <v>0</v>
          </cell>
          <cell r="DN80">
            <v>0</v>
          </cell>
          <cell r="DP80">
            <v>0</v>
          </cell>
          <cell r="DR80">
            <v>0</v>
          </cell>
          <cell r="DT80">
            <v>0</v>
          </cell>
          <cell r="DV80">
            <v>0</v>
          </cell>
          <cell r="DX80">
            <v>0</v>
          </cell>
          <cell r="DZ80">
            <v>0</v>
          </cell>
          <cell r="EB80">
            <v>0</v>
          </cell>
          <cell r="ED80">
            <v>0</v>
          </cell>
          <cell r="EF80">
            <v>0</v>
          </cell>
          <cell r="EH80">
            <v>0</v>
          </cell>
          <cell r="EJ80">
            <v>0</v>
          </cell>
          <cell r="EL80">
            <v>0</v>
          </cell>
          <cell r="EN80">
            <v>0</v>
          </cell>
          <cell r="EP80">
            <v>0</v>
          </cell>
          <cell r="ER80">
            <v>0</v>
          </cell>
          <cell r="ET80">
            <v>0</v>
          </cell>
          <cell r="EV80">
            <v>0</v>
          </cell>
          <cell r="EX80">
            <v>0</v>
          </cell>
          <cell r="EZ80">
            <v>0</v>
          </cell>
          <cell r="FB80">
            <v>0</v>
          </cell>
          <cell r="FD80">
            <v>0</v>
          </cell>
          <cell r="FF80">
            <v>0</v>
          </cell>
          <cell r="FH80">
            <v>0</v>
          </cell>
          <cell r="FJ80">
            <v>0</v>
          </cell>
          <cell r="FL80">
            <v>0</v>
          </cell>
          <cell r="FN80">
            <v>0</v>
          </cell>
          <cell r="FP80">
            <v>0</v>
          </cell>
          <cell r="FR80">
            <v>0</v>
          </cell>
          <cell r="FT80">
            <v>0</v>
          </cell>
          <cell r="FV80">
            <v>0</v>
          </cell>
          <cell r="GD80">
            <v>14</v>
          </cell>
          <cell r="GF80">
            <v>4</v>
          </cell>
          <cell r="GH80">
            <v>1</v>
          </cell>
          <cell r="GJ80">
            <v>7</v>
          </cell>
          <cell r="GM80">
            <v>0.01</v>
          </cell>
          <cell r="GN8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W80" t="str">
            <v>（一）施工廠商施工前檢查事項辦理情形：█完成 □未完成 （二）其他工地安全衛生督導事項：</v>
          </cell>
          <cell r="GX80">
            <v>853901</v>
          </cell>
          <cell r="GY80">
            <v>0</v>
          </cell>
        </row>
        <row r="81">
          <cell r="I81">
            <v>1</v>
          </cell>
          <cell r="N81">
            <v>1</v>
          </cell>
          <cell r="P81">
            <v>1</v>
          </cell>
          <cell r="R81">
            <v>672</v>
          </cell>
          <cell r="T81">
            <v>108</v>
          </cell>
          <cell r="V81">
            <v>661</v>
          </cell>
          <cell r="X81">
            <v>2</v>
          </cell>
          <cell r="Z81">
            <v>1</v>
          </cell>
          <cell r="AB81">
            <v>661</v>
          </cell>
          <cell r="AD81">
            <v>2</v>
          </cell>
          <cell r="AF81">
            <v>1</v>
          </cell>
          <cell r="AH81">
            <v>1</v>
          </cell>
          <cell r="AJ81">
            <v>1</v>
          </cell>
          <cell r="AL81">
            <v>0</v>
          </cell>
          <cell r="AN81">
            <v>0</v>
          </cell>
          <cell r="AP81">
            <v>0</v>
          </cell>
          <cell r="AR81">
            <v>0</v>
          </cell>
          <cell r="AT81">
            <v>0</v>
          </cell>
          <cell r="AV81">
            <v>0</v>
          </cell>
          <cell r="AX81">
            <v>0</v>
          </cell>
          <cell r="AZ81">
            <v>0</v>
          </cell>
          <cell r="BB81">
            <v>0</v>
          </cell>
          <cell r="BD81">
            <v>0</v>
          </cell>
          <cell r="BF81">
            <v>0</v>
          </cell>
          <cell r="BH81">
            <v>0</v>
          </cell>
          <cell r="BJ81">
            <v>0</v>
          </cell>
          <cell r="BL81">
            <v>0</v>
          </cell>
          <cell r="BN81">
            <v>0</v>
          </cell>
          <cell r="BP81">
            <v>0</v>
          </cell>
          <cell r="BR81">
            <v>0</v>
          </cell>
          <cell r="BT81">
            <v>0</v>
          </cell>
          <cell r="BV81">
            <v>0</v>
          </cell>
          <cell r="BX81">
            <v>0</v>
          </cell>
          <cell r="BZ81">
            <v>0</v>
          </cell>
          <cell r="CB81">
            <v>0</v>
          </cell>
          <cell r="CD81">
            <v>0</v>
          </cell>
          <cell r="CF81">
            <v>0</v>
          </cell>
          <cell r="CH81">
            <v>0</v>
          </cell>
          <cell r="CJ81">
            <v>0</v>
          </cell>
          <cell r="CL81">
            <v>0</v>
          </cell>
          <cell r="CN81">
            <v>0</v>
          </cell>
          <cell r="CP81">
            <v>0</v>
          </cell>
          <cell r="CR81">
            <v>0</v>
          </cell>
          <cell r="CT81">
            <v>0</v>
          </cell>
          <cell r="CV81">
            <v>0</v>
          </cell>
          <cell r="CX81">
            <v>0</v>
          </cell>
          <cell r="CZ81">
            <v>0</v>
          </cell>
          <cell r="DB81">
            <v>0</v>
          </cell>
          <cell r="DD81">
            <v>0</v>
          </cell>
          <cell r="DF81">
            <v>0</v>
          </cell>
          <cell r="DH81">
            <v>0</v>
          </cell>
          <cell r="DJ81">
            <v>0</v>
          </cell>
          <cell r="DL81">
            <v>0</v>
          </cell>
          <cell r="DN81">
            <v>0</v>
          </cell>
          <cell r="DP81">
            <v>0</v>
          </cell>
          <cell r="DR81">
            <v>0</v>
          </cell>
          <cell r="DT81">
            <v>0</v>
          </cell>
          <cell r="DV81">
            <v>0</v>
          </cell>
          <cell r="DX81">
            <v>0</v>
          </cell>
          <cell r="DZ81">
            <v>0</v>
          </cell>
          <cell r="EB81">
            <v>0</v>
          </cell>
          <cell r="ED81">
            <v>0</v>
          </cell>
          <cell r="EF81">
            <v>0</v>
          </cell>
          <cell r="EH81">
            <v>0</v>
          </cell>
          <cell r="EJ81">
            <v>0</v>
          </cell>
          <cell r="EL81">
            <v>0</v>
          </cell>
          <cell r="EN81">
            <v>0</v>
          </cell>
          <cell r="EP81">
            <v>0</v>
          </cell>
          <cell r="ER81">
            <v>0</v>
          </cell>
          <cell r="ET81">
            <v>0</v>
          </cell>
          <cell r="EV81">
            <v>0</v>
          </cell>
          <cell r="EX81">
            <v>0</v>
          </cell>
          <cell r="EZ81">
            <v>0</v>
          </cell>
          <cell r="FB81">
            <v>0</v>
          </cell>
          <cell r="FD81">
            <v>0</v>
          </cell>
          <cell r="FF81">
            <v>0</v>
          </cell>
          <cell r="FH81">
            <v>0</v>
          </cell>
          <cell r="FJ81">
            <v>0</v>
          </cell>
          <cell r="FL81">
            <v>0</v>
          </cell>
          <cell r="FN81">
            <v>0</v>
          </cell>
          <cell r="FP81">
            <v>0</v>
          </cell>
          <cell r="FR81">
            <v>0</v>
          </cell>
          <cell r="FT81">
            <v>0</v>
          </cell>
          <cell r="FV81">
            <v>0</v>
          </cell>
          <cell r="GD81">
            <v>14</v>
          </cell>
          <cell r="GF81">
            <v>4</v>
          </cell>
          <cell r="GH81">
            <v>1</v>
          </cell>
          <cell r="GJ81">
            <v>7</v>
          </cell>
          <cell r="GM81">
            <v>0.01</v>
          </cell>
          <cell r="GN8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W81" t="str">
            <v>（一）施工廠商施工前檢查事項辦理情形：█完成 □未完成 （二）其他工地安全衛生督導事項：</v>
          </cell>
          <cell r="GX81">
            <v>853901</v>
          </cell>
          <cell r="GY81">
            <v>0</v>
          </cell>
        </row>
        <row r="82">
          <cell r="I82">
            <v>1</v>
          </cell>
          <cell r="N82">
            <v>1</v>
          </cell>
          <cell r="P82">
            <v>1</v>
          </cell>
          <cell r="R82">
            <v>672</v>
          </cell>
          <cell r="T82">
            <v>108</v>
          </cell>
          <cell r="V82">
            <v>661</v>
          </cell>
          <cell r="X82">
            <v>2</v>
          </cell>
          <cell r="Z82">
            <v>1</v>
          </cell>
          <cell r="AB82">
            <v>661</v>
          </cell>
          <cell r="AD82">
            <v>2</v>
          </cell>
          <cell r="AF82">
            <v>1</v>
          </cell>
          <cell r="AH82">
            <v>1</v>
          </cell>
          <cell r="AJ82">
            <v>1</v>
          </cell>
          <cell r="AL82">
            <v>0</v>
          </cell>
          <cell r="AN82">
            <v>0</v>
          </cell>
          <cell r="AP82">
            <v>0</v>
          </cell>
          <cell r="AR82">
            <v>0</v>
          </cell>
          <cell r="AT82">
            <v>0</v>
          </cell>
          <cell r="AV82">
            <v>0</v>
          </cell>
          <cell r="AX82">
            <v>0</v>
          </cell>
          <cell r="AZ82">
            <v>0</v>
          </cell>
          <cell r="BB82">
            <v>0</v>
          </cell>
          <cell r="BD82">
            <v>0</v>
          </cell>
          <cell r="BF82">
            <v>0</v>
          </cell>
          <cell r="BH82">
            <v>0</v>
          </cell>
          <cell r="BJ82">
            <v>0</v>
          </cell>
          <cell r="BL82">
            <v>0</v>
          </cell>
          <cell r="BN82">
            <v>0</v>
          </cell>
          <cell r="BP82">
            <v>0</v>
          </cell>
          <cell r="BR82">
            <v>0</v>
          </cell>
          <cell r="BT82">
            <v>0</v>
          </cell>
          <cell r="BV82">
            <v>0</v>
          </cell>
          <cell r="BX82">
            <v>0</v>
          </cell>
          <cell r="BZ82">
            <v>0</v>
          </cell>
          <cell r="CB82">
            <v>0</v>
          </cell>
          <cell r="CD82">
            <v>0</v>
          </cell>
          <cell r="CF82">
            <v>0</v>
          </cell>
          <cell r="CH82">
            <v>0</v>
          </cell>
          <cell r="CJ82">
            <v>0</v>
          </cell>
          <cell r="CL82">
            <v>0</v>
          </cell>
          <cell r="CN82">
            <v>0</v>
          </cell>
          <cell r="CP82">
            <v>0</v>
          </cell>
          <cell r="CR82">
            <v>0</v>
          </cell>
          <cell r="CT82">
            <v>0</v>
          </cell>
          <cell r="CV82">
            <v>0</v>
          </cell>
          <cell r="CX82">
            <v>0</v>
          </cell>
          <cell r="CZ82">
            <v>0</v>
          </cell>
          <cell r="DB82">
            <v>0</v>
          </cell>
          <cell r="DD82">
            <v>0</v>
          </cell>
          <cell r="DF82">
            <v>0</v>
          </cell>
          <cell r="DH82">
            <v>0</v>
          </cell>
          <cell r="DJ82">
            <v>0</v>
          </cell>
          <cell r="DL82">
            <v>0</v>
          </cell>
          <cell r="DN82">
            <v>0</v>
          </cell>
          <cell r="DP82">
            <v>0</v>
          </cell>
          <cell r="DR82">
            <v>0</v>
          </cell>
          <cell r="DT82">
            <v>0</v>
          </cell>
          <cell r="DV82">
            <v>0</v>
          </cell>
          <cell r="DX82">
            <v>0</v>
          </cell>
          <cell r="DZ82">
            <v>0</v>
          </cell>
          <cell r="EB82">
            <v>0</v>
          </cell>
          <cell r="ED82">
            <v>0</v>
          </cell>
          <cell r="EF82">
            <v>0</v>
          </cell>
          <cell r="EH82">
            <v>0</v>
          </cell>
          <cell r="EJ82">
            <v>0</v>
          </cell>
          <cell r="EL82">
            <v>0</v>
          </cell>
          <cell r="EN82">
            <v>0</v>
          </cell>
          <cell r="EP82">
            <v>0</v>
          </cell>
          <cell r="ER82">
            <v>0</v>
          </cell>
          <cell r="ET82">
            <v>0</v>
          </cell>
          <cell r="EV82">
            <v>0</v>
          </cell>
          <cell r="EX82">
            <v>0</v>
          </cell>
          <cell r="EZ82">
            <v>0</v>
          </cell>
          <cell r="FB82">
            <v>0</v>
          </cell>
          <cell r="FD82">
            <v>0</v>
          </cell>
          <cell r="FF82">
            <v>0</v>
          </cell>
          <cell r="FH82">
            <v>0</v>
          </cell>
          <cell r="FJ82">
            <v>0</v>
          </cell>
          <cell r="FL82">
            <v>0</v>
          </cell>
          <cell r="FN82">
            <v>0</v>
          </cell>
          <cell r="FP82">
            <v>0</v>
          </cell>
          <cell r="FR82">
            <v>0</v>
          </cell>
          <cell r="FT82">
            <v>0</v>
          </cell>
          <cell r="FV82">
            <v>0</v>
          </cell>
          <cell r="GD82">
            <v>14</v>
          </cell>
          <cell r="GF82">
            <v>4</v>
          </cell>
          <cell r="GH82">
            <v>1</v>
          </cell>
          <cell r="GJ82">
            <v>7</v>
          </cell>
          <cell r="GM82">
            <v>0.01</v>
          </cell>
          <cell r="GN8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W82" t="str">
            <v>（一）施工廠商施工前檢查事項辦理情形：█完成 □未完成 （二）其他工地安全衛生督導事項：</v>
          </cell>
          <cell r="GX82">
            <v>853901</v>
          </cell>
          <cell r="GY82">
            <v>0</v>
          </cell>
        </row>
        <row r="83">
          <cell r="I83">
            <v>1</v>
          </cell>
          <cell r="N83">
            <v>1</v>
          </cell>
          <cell r="P83">
            <v>1</v>
          </cell>
          <cell r="R83">
            <v>672</v>
          </cell>
          <cell r="T83">
            <v>108</v>
          </cell>
          <cell r="V83">
            <v>661</v>
          </cell>
          <cell r="X83">
            <v>2</v>
          </cell>
          <cell r="Z83">
            <v>1</v>
          </cell>
          <cell r="AB83">
            <v>661</v>
          </cell>
          <cell r="AD83">
            <v>2</v>
          </cell>
          <cell r="AF83">
            <v>1</v>
          </cell>
          <cell r="AH83">
            <v>1</v>
          </cell>
          <cell r="AJ83">
            <v>1</v>
          </cell>
          <cell r="AL83">
            <v>0</v>
          </cell>
          <cell r="AN83">
            <v>0</v>
          </cell>
          <cell r="AP83">
            <v>0</v>
          </cell>
          <cell r="AR83">
            <v>0</v>
          </cell>
          <cell r="AT83">
            <v>0</v>
          </cell>
          <cell r="AV83">
            <v>0</v>
          </cell>
          <cell r="AX83">
            <v>0</v>
          </cell>
          <cell r="AZ83">
            <v>0</v>
          </cell>
          <cell r="BB83">
            <v>0</v>
          </cell>
          <cell r="BD83">
            <v>0</v>
          </cell>
          <cell r="BF83">
            <v>0</v>
          </cell>
          <cell r="BH83">
            <v>0</v>
          </cell>
          <cell r="BJ83">
            <v>0</v>
          </cell>
          <cell r="BL83">
            <v>0</v>
          </cell>
          <cell r="BN83">
            <v>0</v>
          </cell>
          <cell r="BP83">
            <v>0</v>
          </cell>
          <cell r="BR83">
            <v>0</v>
          </cell>
          <cell r="BT83">
            <v>0</v>
          </cell>
          <cell r="BV83">
            <v>0</v>
          </cell>
          <cell r="BX83">
            <v>0</v>
          </cell>
          <cell r="BZ83">
            <v>0</v>
          </cell>
          <cell r="CB83">
            <v>0</v>
          </cell>
          <cell r="CD83">
            <v>0</v>
          </cell>
          <cell r="CF83">
            <v>0</v>
          </cell>
          <cell r="CH83">
            <v>0</v>
          </cell>
          <cell r="CJ83">
            <v>0</v>
          </cell>
          <cell r="CL83">
            <v>0</v>
          </cell>
          <cell r="CN83">
            <v>0</v>
          </cell>
          <cell r="CP83">
            <v>0</v>
          </cell>
          <cell r="CR83">
            <v>0</v>
          </cell>
          <cell r="CT83">
            <v>0</v>
          </cell>
          <cell r="CV83">
            <v>0</v>
          </cell>
          <cell r="CX83">
            <v>0</v>
          </cell>
          <cell r="CZ83">
            <v>0</v>
          </cell>
          <cell r="DB83">
            <v>0</v>
          </cell>
          <cell r="DD83">
            <v>0</v>
          </cell>
          <cell r="DF83">
            <v>0</v>
          </cell>
          <cell r="DH83">
            <v>0</v>
          </cell>
          <cell r="DJ83">
            <v>0</v>
          </cell>
          <cell r="DL83">
            <v>0</v>
          </cell>
          <cell r="DN83">
            <v>0</v>
          </cell>
          <cell r="DP83">
            <v>0</v>
          </cell>
          <cell r="DR83">
            <v>0</v>
          </cell>
          <cell r="DT83">
            <v>0</v>
          </cell>
          <cell r="DV83">
            <v>0</v>
          </cell>
          <cell r="DX83">
            <v>0</v>
          </cell>
          <cell r="DZ83">
            <v>0</v>
          </cell>
          <cell r="EB83">
            <v>0</v>
          </cell>
          <cell r="ED83">
            <v>0</v>
          </cell>
          <cell r="EF83">
            <v>0</v>
          </cell>
          <cell r="EH83">
            <v>0</v>
          </cell>
          <cell r="EJ83">
            <v>0</v>
          </cell>
          <cell r="EL83">
            <v>0</v>
          </cell>
          <cell r="EN83">
            <v>0</v>
          </cell>
          <cell r="EP83">
            <v>0</v>
          </cell>
          <cell r="ER83">
            <v>0</v>
          </cell>
          <cell r="ET83">
            <v>0</v>
          </cell>
          <cell r="EV83">
            <v>0</v>
          </cell>
          <cell r="EX83">
            <v>0</v>
          </cell>
          <cell r="EZ83">
            <v>0</v>
          </cell>
          <cell r="FB83">
            <v>0</v>
          </cell>
          <cell r="FD83">
            <v>0</v>
          </cell>
          <cell r="FF83">
            <v>0</v>
          </cell>
          <cell r="FH83">
            <v>0</v>
          </cell>
          <cell r="FJ83">
            <v>0</v>
          </cell>
          <cell r="FL83">
            <v>0</v>
          </cell>
          <cell r="FN83">
            <v>0</v>
          </cell>
          <cell r="FP83">
            <v>0</v>
          </cell>
          <cell r="FR83">
            <v>0</v>
          </cell>
          <cell r="FT83">
            <v>0</v>
          </cell>
          <cell r="FV83">
            <v>0</v>
          </cell>
          <cell r="GD83">
            <v>14</v>
          </cell>
          <cell r="GF83">
            <v>4</v>
          </cell>
          <cell r="GH83">
            <v>1</v>
          </cell>
          <cell r="GJ83">
            <v>7</v>
          </cell>
          <cell r="GM83">
            <v>0.01</v>
          </cell>
          <cell r="GN8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W83" t="str">
            <v>（一）施工廠商施工前檢查事項辦理情形：█完成 □未完成 （二）其他工地安全衛生督導事項：</v>
          </cell>
          <cell r="GX83">
            <v>853901</v>
          </cell>
          <cell r="GY83">
            <v>0</v>
          </cell>
        </row>
        <row r="84">
          <cell r="I84">
            <v>1</v>
          </cell>
          <cell r="N84">
            <v>1</v>
          </cell>
          <cell r="P84">
            <v>1</v>
          </cell>
          <cell r="R84">
            <v>672</v>
          </cell>
          <cell r="T84">
            <v>108</v>
          </cell>
          <cell r="V84">
            <v>661</v>
          </cell>
          <cell r="X84">
            <v>2</v>
          </cell>
          <cell r="Z84">
            <v>1</v>
          </cell>
          <cell r="AB84">
            <v>661</v>
          </cell>
          <cell r="AD84">
            <v>2</v>
          </cell>
          <cell r="AF84">
            <v>1</v>
          </cell>
          <cell r="AH84">
            <v>1</v>
          </cell>
          <cell r="AJ84">
            <v>1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0</v>
          </cell>
          <cell r="AV84">
            <v>0</v>
          </cell>
          <cell r="AX84">
            <v>0</v>
          </cell>
          <cell r="AZ84">
            <v>0</v>
          </cell>
          <cell r="BB84">
            <v>0</v>
          </cell>
          <cell r="BD84">
            <v>0</v>
          </cell>
          <cell r="BF84">
            <v>0</v>
          </cell>
          <cell r="BH84">
            <v>0</v>
          </cell>
          <cell r="BJ84">
            <v>0</v>
          </cell>
          <cell r="BL84">
            <v>0</v>
          </cell>
          <cell r="BN84">
            <v>0</v>
          </cell>
          <cell r="BP84">
            <v>0</v>
          </cell>
          <cell r="BR84">
            <v>0</v>
          </cell>
          <cell r="BT84">
            <v>0</v>
          </cell>
          <cell r="BV84">
            <v>0</v>
          </cell>
          <cell r="BX84">
            <v>0</v>
          </cell>
          <cell r="BZ84">
            <v>0</v>
          </cell>
          <cell r="CB84">
            <v>0</v>
          </cell>
          <cell r="CD84">
            <v>0</v>
          </cell>
          <cell r="CF84">
            <v>0</v>
          </cell>
          <cell r="CH84">
            <v>0</v>
          </cell>
          <cell r="CJ84">
            <v>0</v>
          </cell>
          <cell r="CL84">
            <v>0</v>
          </cell>
          <cell r="CN84">
            <v>0</v>
          </cell>
          <cell r="CP84">
            <v>0</v>
          </cell>
          <cell r="CR84">
            <v>0</v>
          </cell>
          <cell r="CT84">
            <v>0</v>
          </cell>
          <cell r="CV84">
            <v>0</v>
          </cell>
          <cell r="CX84">
            <v>0</v>
          </cell>
          <cell r="CZ84">
            <v>0</v>
          </cell>
          <cell r="DB84">
            <v>0</v>
          </cell>
          <cell r="DD84">
            <v>0</v>
          </cell>
          <cell r="DF84">
            <v>0</v>
          </cell>
          <cell r="DH84">
            <v>0</v>
          </cell>
          <cell r="DJ84">
            <v>0</v>
          </cell>
          <cell r="DL84">
            <v>0</v>
          </cell>
          <cell r="DN84">
            <v>0</v>
          </cell>
          <cell r="DP84">
            <v>0</v>
          </cell>
          <cell r="DR84">
            <v>0</v>
          </cell>
          <cell r="DT84">
            <v>0</v>
          </cell>
          <cell r="DV84">
            <v>0</v>
          </cell>
          <cell r="DX84">
            <v>0</v>
          </cell>
          <cell r="DZ84">
            <v>0</v>
          </cell>
          <cell r="EB84">
            <v>0</v>
          </cell>
          <cell r="ED84">
            <v>0</v>
          </cell>
          <cell r="EF84">
            <v>0</v>
          </cell>
          <cell r="EH84">
            <v>0</v>
          </cell>
          <cell r="EJ84">
            <v>0</v>
          </cell>
          <cell r="EL84">
            <v>0</v>
          </cell>
          <cell r="EN84">
            <v>0</v>
          </cell>
          <cell r="EP84">
            <v>0</v>
          </cell>
          <cell r="ER84">
            <v>0</v>
          </cell>
          <cell r="ET84">
            <v>0</v>
          </cell>
          <cell r="EV84">
            <v>0</v>
          </cell>
          <cell r="EX84">
            <v>0</v>
          </cell>
          <cell r="EZ84">
            <v>0</v>
          </cell>
          <cell r="FB84">
            <v>0</v>
          </cell>
          <cell r="FD84">
            <v>0</v>
          </cell>
          <cell r="FF84">
            <v>0</v>
          </cell>
          <cell r="FH84">
            <v>0</v>
          </cell>
          <cell r="FJ84">
            <v>0</v>
          </cell>
          <cell r="FL84">
            <v>0</v>
          </cell>
          <cell r="FN84">
            <v>0</v>
          </cell>
          <cell r="FP84">
            <v>0</v>
          </cell>
          <cell r="FR84">
            <v>0</v>
          </cell>
          <cell r="FT84">
            <v>0</v>
          </cell>
          <cell r="FV84">
            <v>0</v>
          </cell>
          <cell r="GD84">
            <v>14</v>
          </cell>
          <cell r="GF84">
            <v>4</v>
          </cell>
          <cell r="GH84">
            <v>1</v>
          </cell>
          <cell r="GJ84">
            <v>7</v>
          </cell>
          <cell r="GM84">
            <v>0.01</v>
          </cell>
          <cell r="GN8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W84" t="str">
            <v>（一）施工廠商施工前檢查事項辦理情形：█完成 □未完成 （二）其他工地安全衛生督導事項：</v>
          </cell>
          <cell r="GX84">
            <v>853901</v>
          </cell>
          <cell r="GY84">
            <v>0</v>
          </cell>
        </row>
        <row r="85">
          <cell r="I85">
            <v>1</v>
          </cell>
          <cell r="N85">
            <v>1</v>
          </cell>
          <cell r="P85">
            <v>1</v>
          </cell>
          <cell r="R85">
            <v>672</v>
          </cell>
          <cell r="T85">
            <v>108</v>
          </cell>
          <cell r="V85">
            <v>661</v>
          </cell>
          <cell r="X85">
            <v>2</v>
          </cell>
          <cell r="Z85">
            <v>1</v>
          </cell>
          <cell r="AB85">
            <v>661</v>
          </cell>
          <cell r="AD85">
            <v>2</v>
          </cell>
          <cell r="AF85">
            <v>1</v>
          </cell>
          <cell r="AH85">
            <v>1</v>
          </cell>
          <cell r="AJ85">
            <v>1</v>
          </cell>
          <cell r="AL85">
            <v>0</v>
          </cell>
          <cell r="AN85">
            <v>0</v>
          </cell>
          <cell r="AP85">
            <v>0</v>
          </cell>
          <cell r="AR85">
            <v>0</v>
          </cell>
          <cell r="AT85">
            <v>0</v>
          </cell>
          <cell r="AV85">
            <v>0</v>
          </cell>
          <cell r="AX85">
            <v>0</v>
          </cell>
          <cell r="AZ85">
            <v>0</v>
          </cell>
          <cell r="BB85">
            <v>0</v>
          </cell>
          <cell r="BD85">
            <v>0</v>
          </cell>
          <cell r="BF85">
            <v>0</v>
          </cell>
          <cell r="BH85">
            <v>0</v>
          </cell>
          <cell r="BJ85">
            <v>0</v>
          </cell>
          <cell r="BL85">
            <v>0</v>
          </cell>
          <cell r="BN85">
            <v>0</v>
          </cell>
          <cell r="BP85">
            <v>0</v>
          </cell>
          <cell r="BR85">
            <v>0</v>
          </cell>
          <cell r="BT85">
            <v>0</v>
          </cell>
          <cell r="BV85">
            <v>0</v>
          </cell>
          <cell r="BX85">
            <v>0</v>
          </cell>
          <cell r="BZ85">
            <v>0</v>
          </cell>
          <cell r="CB85">
            <v>0</v>
          </cell>
          <cell r="CD85">
            <v>0</v>
          </cell>
          <cell r="CF85">
            <v>0</v>
          </cell>
          <cell r="CH85">
            <v>0</v>
          </cell>
          <cell r="CJ85">
            <v>0</v>
          </cell>
          <cell r="CL85">
            <v>0</v>
          </cell>
          <cell r="CN85">
            <v>0</v>
          </cell>
          <cell r="CP85">
            <v>0</v>
          </cell>
          <cell r="CR85">
            <v>0</v>
          </cell>
          <cell r="CT85">
            <v>0</v>
          </cell>
          <cell r="CV85">
            <v>0</v>
          </cell>
          <cell r="CX85">
            <v>0</v>
          </cell>
          <cell r="CZ85">
            <v>0</v>
          </cell>
          <cell r="DB85">
            <v>0</v>
          </cell>
          <cell r="DD85">
            <v>0</v>
          </cell>
          <cell r="DF85">
            <v>0</v>
          </cell>
          <cell r="DH85">
            <v>0</v>
          </cell>
          <cell r="DJ85">
            <v>0</v>
          </cell>
          <cell r="DL85">
            <v>0</v>
          </cell>
          <cell r="DN85">
            <v>0</v>
          </cell>
          <cell r="DP85">
            <v>0</v>
          </cell>
          <cell r="DR85">
            <v>0</v>
          </cell>
          <cell r="DT85">
            <v>0</v>
          </cell>
          <cell r="DV85">
            <v>0</v>
          </cell>
          <cell r="DX85">
            <v>0</v>
          </cell>
          <cell r="DZ85">
            <v>0</v>
          </cell>
          <cell r="EB85">
            <v>0</v>
          </cell>
          <cell r="ED85">
            <v>0</v>
          </cell>
          <cell r="EF85">
            <v>0</v>
          </cell>
          <cell r="EH85">
            <v>0</v>
          </cell>
          <cell r="EJ85">
            <v>0</v>
          </cell>
          <cell r="EL85">
            <v>0</v>
          </cell>
          <cell r="EN85">
            <v>0</v>
          </cell>
          <cell r="EP85">
            <v>0</v>
          </cell>
          <cell r="ER85">
            <v>0</v>
          </cell>
          <cell r="ET85">
            <v>0</v>
          </cell>
          <cell r="EV85">
            <v>0</v>
          </cell>
          <cell r="EX85">
            <v>0</v>
          </cell>
          <cell r="EZ85">
            <v>0</v>
          </cell>
          <cell r="FB85">
            <v>0</v>
          </cell>
          <cell r="FD85">
            <v>0</v>
          </cell>
          <cell r="FF85">
            <v>0</v>
          </cell>
          <cell r="FH85">
            <v>0</v>
          </cell>
          <cell r="FJ85">
            <v>0</v>
          </cell>
          <cell r="FL85">
            <v>0</v>
          </cell>
          <cell r="FN85">
            <v>0</v>
          </cell>
          <cell r="FP85">
            <v>0</v>
          </cell>
          <cell r="FR85">
            <v>0</v>
          </cell>
          <cell r="FT85">
            <v>0</v>
          </cell>
          <cell r="FV85">
            <v>0</v>
          </cell>
          <cell r="GD85">
            <v>14</v>
          </cell>
          <cell r="GF85">
            <v>4</v>
          </cell>
          <cell r="GH85">
            <v>1</v>
          </cell>
          <cell r="GJ85">
            <v>7</v>
          </cell>
          <cell r="GM85">
            <v>0.01</v>
          </cell>
          <cell r="GN8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W85" t="str">
            <v>（一）施工廠商施工前檢查事項辦理情形：█完成 □未完成 （二）其他工地安全衛生督導事項：</v>
          </cell>
          <cell r="GX85">
            <v>853901</v>
          </cell>
          <cell r="GY85">
            <v>0</v>
          </cell>
        </row>
        <row r="86">
          <cell r="I86">
            <v>1</v>
          </cell>
          <cell r="N86">
            <v>1</v>
          </cell>
          <cell r="P86">
            <v>1</v>
          </cell>
          <cell r="R86">
            <v>672</v>
          </cell>
          <cell r="T86">
            <v>108</v>
          </cell>
          <cell r="V86">
            <v>661</v>
          </cell>
          <cell r="X86">
            <v>2</v>
          </cell>
          <cell r="Z86">
            <v>1</v>
          </cell>
          <cell r="AB86">
            <v>661</v>
          </cell>
          <cell r="AD86">
            <v>2</v>
          </cell>
          <cell r="AF86">
            <v>1</v>
          </cell>
          <cell r="AH86">
            <v>1</v>
          </cell>
          <cell r="AJ86">
            <v>1</v>
          </cell>
          <cell r="AL86">
            <v>0</v>
          </cell>
          <cell r="AN86">
            <v>0</v>
          </cell>
          <cell r="AP86">
            <v>0</v>
          </cell>
          <cell r="AR86">
            <v>0</v>
          </cell>
          <cell r="AT86">
            <v>0</v>
          </cell>
          <cell r="AV86">
            <v>0</v>
          </cell>
          <cell r="AX86">
            <v>0</v>
          </cell>
          <cell r="AZ86">
            <v>0</v>
          </cell>
          <cell r="BB86">
            <v>0</v>
          </cell>
          <cell r="BD86">
            <v>0</v>
          </cell>
          <cell r="BF86">
            <v>0</v>
          </cell>
          <cell r="BH86">
            <v>0</v>
          </cell>
          <cell r="BJ86">
            <v>0</v>
          </cell>
          <cell r="BL86">
            <v>0</v>
          </cell>
          <cell r="BN86">
            <v>0</v>
          </cell>
          <cell r="BP86">
            <v>0</v>
          </cell>
          <cell r="BR86">
            <v>0</v>
          </cell>
          <cell r="BT86">
            <v>0</v>
          </cell>
          <cell r="BV86">
            <v>0</v>
          </cell>
          <cell r="BX86">
            <v>0</v>
          </cell>
          <cell r="BZ86">
            <v>0</v>
          </cell>
          <cell r="CB86">
            <v>0</v>
          </cell>
          <cell r="CD86">
            <v>0</v>
          </cell>
          <cell r="CF86">
            <v>0</v>
          </cell>
          <cell r="CH86">
            <v>0</v>
          </cell>
          <cell r="CJ86">
            <v>0</v>
          </cell>
          <cell r="CL86">
            <v>0</v>
          </cell>
          <cell r="CN86">
            <v>0</v>
          </cell>
          <cell r="CP86">
            <v>0</v>
          </cell>
          <cell r="CR86">
            <v>0</v>
          </cell>
          <cell r="CT86">
            <v>0</v>
          </cell>
          <cell r="CV86">
            <v>0</v>
          </cell>
          <cell r="CX86">
            <v>0</v>
          </cell>
          <cell r="CZ86">
            <v>0</v>
          </cell>
          <cell r="DB86">
            <v>0</v>
          </cell>
          <cell r="DD86">
            <v>0</v>
          </cell>
          <cell r="DF86">
            <v>0</v>
          </cell>
          <cell r="DH86">
            <v>0</v>
          </cell>
          <cell r="DJ86">
            <v>0</v>
          </cell>
          <cell r="DL86">
            <v>0</v>
          </cell>
          <cell r="DN86">
            <v>0</v>
          </cell>
          <cell r="DP86">
            <v>0</v>
          </cell>
          <cell r="DR86">
            <v>0</v>
          </cell>
          <cell r="DT86">
            <v>0</v>
          </cell>
          <cell r="DV86">
            <v>0</v>
          </cell>
          <cell r="DX86">
            <v>0</v>
          </cell>
          <cell r="DZ86">
            <v>0</v>
          </cell>
          <cell r="EB86">
            <v>0</v>
          </cell>
          <cell r="ED86">
            <v>0</v>
          </cell>
          <cell r="EF86">
            <v>0</v>
          </cell>
          <cell r="EH86">
            <v>0</v>
          </cell>
          <cell r="EJ86">
            <v>0</v>
          </cell>
          <cell r="EL86">
            <v>0</v>
          </cell>
          <cell r="EN86">
            <v>0</v>
          </cell>
          <cell r="EP86">
            <v>0</v>
          </cell>
          <cell r="ER86">
            <v>0</v>
          </cell>
          <cell r="ET86">
            <v>0</v>
          </cell>
          <cell r="EV86">
            <v>0</v>
          </cell>
          <cell r="EX86">
            <v>0</v>
          </cell>
          <cell r="EZ86">
            <v>0</v>
          </cell>
          <cell r="FB86">
            <v>0</v>
          </cell>
          <cell r="FD86">
            <v>0</v>
          </cell>
          <cell r="FF86">
            <v>0</v>
          </cell>
          <cell r="FH86">
            <v>0</v>
          </cell>
          <cell r="FJ86">
            <v>0</v>
          </cell>
          <cell r="FL86">
            <v>0</v>
          </cell>
          <cell r="FN86">
            <v>0</v>
          </cell>
          <cell r="FP86">
            <v>0</v>
          </cell>
          <cell r="FR86">
            <v>0</v>
          </cell>
          <cell r="FT86">
            <v>0</v>
          </cell>
          <cell r="FV86">
            <v>0</v>
          </cell>
          <cell r="GD86">
            <v>14</v>
          </cell>
          <cell r="GF86">
            <v>4</v>
          </cell>
          <cell r="GH86">
            <v>1</v>
          </cell>
          <cell r="GJ86">
            <v>7</v>
          </cell>
          <cell r="GM86">
            <v>0.01</v>
          </cell>
          <cell r="GN8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W86" t="str">
            <v>（一）施工廠商施工前檢查事項辦理情形：█完成 □未完成 （二）其他工地安全衛生督導事項：</v>
          </cell>
          <cell r="GX86">
            <v>853901</v>
          </cell>
          <cell r="GY86">
            <v>0</v>
          </cell>
        </row>
        <row r="87">
          <cell r="I87">
            <v>1</v>
          </cell>
          <cell r="N87">
            <v>1</v>
          </cell>
          <cell r="P87">
            <v>1</v>
          </cell>
          <cell r="R87">
            <v>672</v>
          </cell>
          <cell r="T87">
            <v>108</v>
          </cell>
          <cell r="V87">
            <v>661</v>
          </cell>
          <cell r="X87">
            <v>2</v>
          </cell>
          <cell r="Z87">
            <v>1</v>
          </cell>
          <cell r="AB87">
            <v>661</v>
          </cell>
          <cell r="AD87">
            <v>2</v>
          </cell>
          <cell r="AF87">
            <v>1</v>
          </cell>
          <cell r="AH87">
            <v>1</v>
          </cell>
          <cell r="AJ87">
            <v>1</v>
          </cell>
          <cell r="AL87">
            <v>0</v>
          </cell>
          <cell r="AN87">
            <v>0</v>
          </cell>
          <cell r="AP87">
            <v>0</v>
          </cell>
          <cell r="AR87">
            <v>0</v>
          </cell>
          <cell r="AT87">
            <v>0</v>
          </cell>
          <cell r="AV87">
            <v>0</v>
          </cell>
          <cell r="AX87">
            <v>0</v>
          </cell>
          <cell r="AZ87">
            <v>0</v>
          </cell>
          <cell r="BB87">
            <v>0</v>
          </cell>
          <cell r="BD87">
            <v>0</v>
          </cell>
          <cell r="BF87">
            <v>0</v>
          </cell>
          <cell r="BH87">
            <v>0</v>
          </cell>
          <cell r="BJ87">
            <v>0</v>
          </cell>
          <cell r="BL87">
            <v>0</v>
          </cell>
          <cell r="BN87">
            <v>0</v>
          </cell>
          <cell r="BP87">
            <v>0</v>
          </cell>
          <cell r="BR87">
            <v>0</v>
          </cell>
          <cell r="BT87">
            <v>0</v>
          </cell>
          <cell r="BV87">
            <v>0</v>
          </cell>
          <cell r="BX87">
            <v>0</v>
          </cell>
          <cell r="BZ87">
            <v>0</v>
          </cell>
          <cell r="CB87">
            <v>0</v>
          </cell>
          <cell r="CD87">
            <v>0</v>
          </cell>
          <cell r="CF87">
            <v>0</v>
          </cell>
          <cell r="CH87">
            <v>0</v>
          </cell>
          <cell r="CJ87">
            <v>0</v>
          </cell>
          <cell r="CL87">
            <v>0</v>
          </cell>
          <cell r="CN87">
            <v>0</v>
          </cell>
          <cell r="CP87">
            <v>0</v>
          </cell>
          <cell r="CR87">
            <v>0</v>
          </cell>
          <cell r="CT87">
            <v>0</v>
          </cell>
          <cell r="CV87">
            <v>0</v>
          </cell>
          <cell r="CX87">
            <v>0</v>
          </cell>
          <cell r="CZ87">
            <v>0</v>
          </cell>
          <cell r="DB87">
            <v>0</v>
          </cell>
          <cell r="DD87">
            <v>0</v>
          </cell>
          <cell r="DF87">
            <v>0</v>
          </cell>
          <cell r="DH87">
            <v>0</v>
          </cell>
          <cell r="DJ87">
            <v>0</v>
          </cell>
          <cell r="DL87">
            <v>0</v>
          </cell>
          <cell r="DN87">
            <v>0</v>
          </cell>
          <cell r="DP87">
            <v>0</v>
          </cell>
          <cell r="DR87">
            <v>0</v>
          </cell>
          <cell r="DT87">
            <v>0</v>
          </cell>
          <cell r="DV87">
            <v>0</v>
          </cell>
          <cell r="DX87">
            <v>0</v>
          </cell>
          <cell r="DZ87">
            <v>0</v>
          </cell>
          <cell r="EB87">
            <v>0</v>
          </cell>
          <cell r="ED87">
            <v>0</v>
          </cell>
          <cell r="EF87">
            <v>0</v>
          </cell>
          <cell r="EH87">
            <v>0</v>
          </cell>
          <cell r="EJ87">
            <v>0</v>
          </cell>
          <cell r="EL87">
            <v>0</v>
          </cell>
          <cell r="EN87">
            <v>0</v>
          </cell>
          <cell r="EP87">
            <v>0</v>
          </cell>
          <cell r="ER87">
            <v>0</v>
          </cell>
          <cell r="ET87">
            <v>0</v>
          </cell>
          <cell r="EV87">
            <v>0</v>
          </cell>
          <cell r="EX87">
            <v>0</v>
          </cell>
          <cell r="EZ87">
            <v>0</v>
          </cell>
          <cell r="FB87">
            <v>0</v>
          </cell>
          <cell r="FD87">
            <v>0</v>
          </cell>
          <cell r="FF87">
            <v>0</v>
          </cell>
          <cell r="FH87">
            <v>0</v>
          </cell>
          <cell r="FJ87">
            <v>0</v>
          </cell>
          <cell r="FL87">
            <v>0</v>
          </cell>
          <cell r="FN87">
            <v>0</v>
          </cell>
          <cell r="FP87">
            <v>0</v>
          </cell>
          <cell r="FR87">
            <v>0</v>
          </cell>
          <cell r="FT87">
            <v>0</v>
          </cell>
          <cell r="FV87">
            <v>0</v>
          </cell>
          <cell r="GD87">
            <v>14</v>
          </cell>
          <cell r="GF87">
            <v>4</v>
          </cell>
          <cell r="GH87">
            <v>1</v>
          </cell>
          <cell r="GJ87">
            <v>7</v>
          </cell>
          <cell r="GM87">
            <v>0.01</v>
          </cell>
          <cell r="GN8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W87" t="str">
            <v>（一）施工廠商施工前檢查事項辦理情形：█完成 □未完成 （二）其他工地安全衛生督導事項：</v>
          </cell>
          <cell r="GX87">
            <v>853901</v>
          </cell>
          <cell r="GY87">
            <v>0</v>
          </cell>
        </row>
        <row r="88">
          <cell r="I88">
            <v>1</v>
          </cell>
          <cell r="N88">
            <v>1</v>
          </cell>
          <cell r="P88">
            <v>1</v>
          </cell>
          <cell r="R88">
            <v>672</v>
          </cell>
          <cell r="T88">
            <v>108</v>
          </cell>
          <cell r="V88">
            <v>661</v>
          </cell>
          <cell r="X88">
            <v>2</v>
          </cell>
          <cell r="Z88">
            <v>1</v>
          </cell>
          <cell r="AB88">
            <v>661</v>
          </cell>
          <cell r="AD88">
            <v>2</v>
          </cell>
          <cell r="AF88">
            <v>1</v>
          </cell>
          <cell r="AH88">
            <v>1</v>
          </cell>
          <cell r="AJ88">
            <v>1</v>
          </cell>
          <cell r="AL88">
            <v>0</v>
          </cell>
          <cell r="AN88">
            <v>0</v>
          </cell>
          <cell r="AP88">
            <v>0</v>
          </cell>
          <cell r="AR88">
            <v>0</v>
          </cell>
          <cell r="AT88">
            <v>0</v>
          </cell>
          <cell r="AV88">
            <v>0</v>
          </cell>
          <cell r="AX88">
            <v>0</v>
          </cell>
          <cell r="AZ88">
            <v>0</v>
          </cell>
          <cell r="BB88">
            <v>0</v>
          </cell>
          <cell r="BD88">
            <v>0</v>
          </cell>
          <cell r="BF88">
            <v>0</v>
          </cell>
          <cell r="BH88">
            <v>0</v>
          </cell>
          <cell r="BJ88">
            <v>0</v>
          </cell>
          <cell r="BL88">
            <v>0</v>
          </cell>
          <cell r="BN88">
            <v>0</v>
          </cell>
          <cell r="BP88">
            <v>0</v>
          </cell>
          <cell r="BR88">
            <v>0</v>
          </cell>
          <cell r="BT88">
            <v>0</v>
          </cell>
          <cell r="BV88">
            <v>0</v>
          </cell>
          <cell r="BX88">
            <v>0</v>
          </cell>
          <cell r="BZ88">
            <v>0</v>
          </cell>
          <cell r="CB88">
            <v>0</v>
          </cell>
          <cell r="CD88">
            <v>0</v>
          </cell>
          <cell r="CF88">
            <v>0</v>
          </cell>
          <cell r="CH88">
            <v>0</v>
          </cell>
          <cell r="CJ88">
            <v>0</v>
          </cell>
          <cell r="CL88">
            <v>0</v>
          </cell>
          <cell r="CN88">
            <v>0</v>
          </cell>
          <cell r="CP88">
            <v>0</v>
          </cell>
          <cell r="CR88">
            <v>0</v>
          </cell>
          <cell r="CT88">
            <v>0</v>
          </cell>
          <cell r="CV88">
            <v>0</v>
          </cell>
          <cell r="CX88">
            <v>0</v>
          </cell>
          <cell r="CZ88">
            <v>0</v>
          </cell>
          <cell r="DB88">
            <v>0</v>
          </cell>
          <cell r="DD88">
            <v>0</v>
          </cell>
          <cell r="DF88">
            <v>0</v>
          </cell>
          <cell r="DH88">
            <v>0</v>
          </cell>
          <cell r="DJ88">
            <v>0</v>
          </cell>
          <cell r="DL88">
            <v>0</v>
          </cell>
          <cell r="DN88">
            <v>0</v>
          </cell>
          <cell r="DP88">
            <v>0</v>
          </cell>
          <cell r="DR88">
            <v>0</v>
          </cell>
          <cell r="DT88">
            <v>0</v>
          </cell>
          <cell r="DV88">
            <v>0</v>
          </cell>
          <cell r="DX88">
            <v>0</v>
          </cell>
          <cell r="DZ88">
            <v>0</v>
          </cell>
          <cell r="EB88">
            <v>0</v>
          </cell>
          <cell r="ED88">
            <v>0</v>
          </cell>
          <cell r="EF88">
            <v>0</v>
          </cell>
          <cell r="EH88">
            <v>0</v>
          </cell>
          <cell r="EJ88">
            <v>0</v>
          </cell>
          <cell r="EL88">
            <v>0</v>
          </cell>
          <cell r="EN88">
            <v>0</v>
          </cell>
          <cell r="EP88">
            <v>0</v>
          </cell>
          <cell r="ER88">
            <v>0</v>
          </cell>
          <cell r="ET88">
            <v>0</v>
          </cell>
          <cell r="EV88">
            <v>0</v>
          </cell>
          <cell r="EX88">
            <v>0</v>
          </cell>
          <cell r="EZ88">
            <v>0</v>
          </cell>
          <cell r="FB88">
            <v>0</v>
          </cell>
          <cell r="FD88">
            <v>0</v>
          </cell>
          <cell r="FF88">
            <v>0</v>
          </cell>
          <cell r="FH88">
            <v>0</v>
          </cell>
          <cell r="FJ88">
            <v>0</v>
          </cell>
          <cell r="FL88">
            <v>0</v>
          </cell>
          <cell r="FN88">
            <v>0</v>
          </cell>
          <cell r="FP88">
            <v>0</v>
          </cell>
          <cell r="FR88">
            <v>0</v>
          </cell>
          <cell r="FT88">
            <v>0</v>
          </cell>
          <cell r="FV88">
            <v>0</v>
          </cell>
          <cell r="GD88">
            <v>14</v>
          </cell>
          <cell r="GF88">
            <v>4</v>
          </cell>
          <cell r="GH88">
            <v>1</v>
          </cell>
          <cell r="GJ88">
            <v>7</v>
          </cell>
          <cell r="GM88">
            <v>0.01</v>
          </cell>
          <cell r="GN8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W88" t="str">
            <v>（一）施工廠商施工前檢查事項辦理情形：█完成 □未完成 （二）其他工地安全衛生督導事項：</v>
          </cell>
          <cell r="GX88">
            <v>853901</v>
          </cell>
          <cell r="GY88">
            <v>0</v>
          </cell>
        </row>
        <row r="89">
          <cell r="I89">
            <v>1</v>
          </cell>
          <cell r="N89">
            <v>1</v>
          </cell>
          <cell r="P89">
            <v>1</v>
          </cell>
          <cell r="R89">
            <v>672</v>
          </cell>
          <cell r="T89">
            <v>108</v>
          </cell>
          <cell r="V89">
            <v>661</v>
          </cell>
          <cell r="X89">
            <v>2</v>
          </cell>
          <cell r="Z89">
            <v>1</v>
          </cell>
          <cell r="AB89">
            <v>661</v>
          </cell>
          <cell r="AD89">
            <v>2</v>
          </cell>
          <cell r="AF89">
            <v>1</v>
          </cell>
          <cell r="AH89">
            <v>1</v>
          </cell>
          <cell r="AJ89">
            <v>1</v>
          </cell>
          <cell r="AL89">
            <v>0</v>
          </cell>
          <cell r="AN89">
            <v>0</v>
          </cell>
          <cell r="AP89">
            <v>0</v>
          </cell>
          <cell r="AR89">
            <v>0</v>
          </cell>
          <cell r="AT89">
            <v>0</v>
          </cell>
          <cell r="AV89">
            <v>0</v>
          </cell>
          <cell r="AX89">
            <v>0</v>
          </cell>
          <cell r="AZ89">
            <v>0</v>
          </cell>
          <cell r="BB89">
            <v>0</v>
          </cell>
          <cell r="BD89">
            <v>0</v>
          </cell>
          <cell r="BF89">
            <v>0</v>
          </cell>
          <cell r="BH89">
            <v>0</v>
          </cell>
          <cell r="BJ89">
            <v>0</v>
          </cell>
          <cell r="BL89">
            <v>0</v>
          </cell>
          <cell r="BN89">
            <v>0</v>
          </cell>
          <cell r="BP89">
            <v>0</v>
          </cell>
          <cell r="BR89">
            <v>0</v>
          </cell>
          <cell r="BT89">
            <v>0</v>
          </cell>
          <cell r="BV89">
            <v>0</v>
          </cell>
          <cell r="BX89">
            <v>0</v>
          </cell>
          <cell r="BZ89">
            <v>0</v>
          </cell>
          <cell r="CB89">
            <v>0</v>
          </cell>
          <cell r="CD89">
            <v>0</v>
          </cell>
          <cell r="CF89">
            <v>0</v>
          </cell>
          <cell r="CH89">
            <v>0</v>
          </cell>
          <cell r="CJ89">
            <v>0</v>
          </cell>
          <cell r="CL89">
            <v>0</v>
          </cell>
          <cell r="CN89">
            <v>0</v>
          </cell>
          <cell r="CP89">
            <v>0</v>
          </cell>
          <cell r="CR89">
            <v>0</v>
          </cell>
          <cell r="CT89">
            <v>0</v>
          </cell>
          <cell r="CV89">
            <v>0</v>
          </cell>
          <cell r="CX89">
            <v>0</v>
          </cell>
          <cell r="CZ89">
            <v>0</v>
          </cell>
          <cell r="DB89">
            <v>0</v>
          </cell>
          <cell r="DD89">
            <v>0</v>
          </cell>
          <cell r="DF89">
            <v>0</v>
          </cell>
          <cell r="DH89">
            <v>0</v>
          </cell>
          <cell r="DJ89">
            <v>0</v>
          </cell>
          <cell r="DL89">
            <v>0</v>
          </cell>
          <cell r="DN89">
            <v>0</v>
          </cell>
          <cell r="DP89">
            <v>0</v>
          </cell>
          <cell r="DR89">
            <v>0</v>
          </cell>
          <cell r="DT89">
            <v>0</v>
          </cell>
          <cell r="DV89">
            <v>0</v>
          </cell>
          <cell r="DX89">
            <v>0</v>
          </cell>
          <cell r="DZ89">
            <v>0</v>
          </cell>
          <cell r="EB89">
            <v>0</v>
          </cell>
          <cell r="ED89">
            <v>0</v>
          </cell>
          <cell r="EF89">
            <v>0</v>
          </cell>
          <cell r="EH89">
            <v>0</v>
          </cell>
          <cell r="EJ89">
            <v>0</v>
          </cell>
          <cell r="EL89">
            <v>0</v>
          </cell>
          <cell r="EN89">
            <v>0</v>
          </cell>
          <cell r="EP89">
            <v>0</v>
          </cell>
          <cell r="ER89">
            <v>0</v>
          </cell>
          <cell r="ET89">
            <v>0</v>
          </cell>
          <cell r="EV89">
            <v>0</v>
          </cell>
          <cell r="EX89">
            <v>0</v>
          </cell>
          <cell r="EZ89">
            <v>0</v>
          </cell>
          <cell r="FB89">
            <v>0</v>
          </cell>
          <cell r="FD89">
            <v>0</v>
          </cell>
          <cell r="FF89">
            <v>0</v>
          </cell>
          <cell r="FH89">
            <v>0</v>
          </cell>
          <cell r="FJ89">
            <v>0</v>
          </cell>
          <cell r="FL89">
            <v>0</v>
          </cell>
          <cell r="FN89">
            <v>0</v>
          </cell>
          <cell r="FP89">
            <v>0</v>
          </cell>
          <cell r="FR89">
            <v>0</v>
          </cell>
          <cell r="FT89">
            <v>0</v>
          </cell>
          <cell r="FV89">
            <v>0</v>
          </cell>
          <cell r="GD89">
            <v>14</v>
          </cell>
          <cell r="GF89">
            <v>4</v>
          </cell>
          <cell r="GH89">
            <v>1</v>
          </cell>
          <cell r="GJ89">
            <v>7</v>
          </cell>
          <cell r="GM89">
            <v>0.01</v>
          </cell>
          <cell r="GN8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W89" t="str">
            <v>（一）施工廠商施工前檢查事項辦理情形：█完成 □未完成 （二）其他工地安全衛生督導事項：</v>
          </cell>
          <cell r="GX89">
            <v>853901</v>
          </cell>
          <cell r="GY89">
            <v>0</v>
          </cell>
        </row>
        <row r="90">
          <cell r="I90">
            <v>1</v>
          </cell>
          <cell r="N90">
            <v>1</v>
          </cell>
          <cell r="P90">
            <v>1</v>
          </cell>
          <cell r="R90">
            <v>672</v>
          </cell>
          <cell r="T90">
            <v>108</v>
          </cell>
          <cell r="V90">
            <v>661</v>
          </cell>
          <cell r="X90">
            <v>2</v>
          </cell>
          <cell r="Z90">
            <v>1</v>
          </cell>
          <cell r="AB90">
            <v>661</v>
          </cell>
          <cell r="AD90">
            <v>2</v>
          </cell>
          <cell r="AF90">
            <v>1</v>
          </cell>
          <cell r="AH90">
            <v>1</v>
          </cell>
          <cell r="AJ90">
            <v>1</v>
          </cell>
          <cell r="AL90">
            <v>0</v>
          </cell>
          <cell r="AN90">
            <v>0</v>
          </cell>
          <cell r="AP90">
            <v>0</v>
          </cell>
          <cell r="AR90">
            <v>0</v>
          </cell>
          <cell r="AT90">
            <v>0</v>
          </cell>
          <cell r="AV90">
            <v>0</v>
          </cell>
          <cell r="AX90">
            <v>0</v>
          </cell>
          <cell r="AZ90">
            <v>0</v>
          </cell>
          <cell r="BB90">
            <v>0</v>
          </cell>
          <cell r="BD90">
            <v>0</v>
          </cell>
          <cell r="BF90">
            <v>0</v>
          </cell>
          <cell r="BH90">
            <v>0</v>
          </cell>
          <cell r="BJ90">
            <v>0</v>
          </cell>
          <cell r="BL90">
            <v>0</v>
          </cell>
          <cell r="BN90">
            <v>0</v>
          </cell>
          <cell r="BP90">
            <v>0</v>
          </cell>
          <cell r="BR90">
            <v>0</v>
          </cell>
          <cell r="BT90">
            <v>0</v>
          </cell>
          <cell r="BV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0</v>
          </cell>
          <cell r="CH90">
            <v>0</v>
          </cell>
          <cell r="CJ90">
            <v>0</v>
          </cell>
          <cell r="CL90">
            <v>0</v>
          </cell>
          <cell r="CN90">
            <v>0</v>
          </cell>
          <cell r="CP90">
            <v>0</v>
          </cell>
          <cell r="CR90">
            <v>0</v>
          </cell>
          <cell r="CT90">
            <v>0</v>
          </cell>
          <cell r="CV90">
            <v>0</v>
          </cell>
          <cell r="CX90">
            <v>0</v>
          </cell>
          <cell r="CZ90">
            <v>0</v>
          </cell>
          <cell r="DB90">
            <v>0</v>
          </cell>
          <cell r="DD90">
            <v>0</v>
          </cell>
          <cell r="DF90">
            <v>0</v>
          </cell>
          <cell r="DH90">
            <v>0</v>
          </cell>
          <cell r="DJ90">
            <v>0</v>
          </cell>
          <cell r="DL90">
            <v>0</v>
          </cell>
          <cell r="DN90">
            <v>0</v>
          </cell>
          <cell r="DP90">
            <v>0</v>
          </cell>
          <cell r="DR90">
            <v>0</v>
          </cell>
          <cell r="DT90">
            <v>0</v>
          </cell>
          <cell r="DV90">
            <v>0</v>
          </cell>
          <cell r="DX90">
            <v>0</v>
          </cell>
          <cell r="DZ90">
            <v>0</v>
          </cell>
          <cell r="EB90">
            <v>0</v>
          </cell>
          <cell r="ED90">
            <v>0</v>
          </cell>
          <cell r="EF90">
            <v>0</v>
          </cell>
          <cell r="EH90">
            <v>0</v>
          </cell>
          <cell r="EJ90">
            <v>0</v>
          </cell>
          <cell r="EL90">
            <v>0</v>
          </cell>
          <cell r="EN90">
            <v>0</v>
          </cell>
          <cell r="EP90">
            <v>0</v>
          </cell>
          <cell r="ER90">
            <v>0</v>
          </cell>
          <cell r="ET90">
            <v>0</v>
          </cell>
          <cell r="EV90">
            <v>0</v>
          </cell>
          <cell r="EX90">
            <v>0</v>
          </cell>
          <cell r="EZ90">
            <v>0</v>
          </cell>
          <cell r="FB90">
            <v>0</v>
          </cell>
          <cell r="FD90">
            <v>0</v>
          </cell>
          <cell r="FF90">
            <v>0</v>
          </cell>
          <cell r="FH90">
            <v>0</v>
          </cell>
          <cell r="FJ90">
            <v>0</v>
          </cell>
          <cell r="FL90">
            <v>0</v>
          </cell>
          <cell r="FN90">
            <v>0</v>
          </cell>
          <cell r="FP90">
            <v>0</v>
          </cell>
          <cell r="FR90">
            <v>0</v>
          </cell>
          <cell r="FT90">
            <v>0</v>
          </cell>
          <cell r="FV90">
            <v>0</v>
          </cell>
          <cell r="GD90">
            <v>14</v>
          </cell>
          <cell r="GF90">
            <v>4</v>
          </cell>
          <cell r="GH90">
            <v>1</v>
          </cell>
          <cell r="GJ90">
            <v>7</v>
          </cell>
          <cell r="GM90">
            <v>0.01</v>
          </cell>
          <cell r="GN9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W90" t="str">
            <v>（一）施工廠商施工前檢查事項辦理情形：█完成 □未完成 （二）其他工地安全衛生督導事項：</v>
          </cell>
          <cell r="GX90">
            <v>853901</v>
          </cell>
          <cell r="GY90">
            <v>0</v>
          </cell>
        </row>
        <row r="91">
          <cell r="I91">
            <v>1</v>
          </cell>
          <cell r="N91">
            <v>1</v>
          </cell>
          <cell r="P91">
            <v>1</v>
          </cell>
          <cell r="R91">
            <v>672</v>
          </cell>
          <cell r="T91">
            <v>108</v>
          </cell>
          <cell r="V91">
            <v>661</v>
          </cell>
          <cell r="X91">
            <v>2</v>
          </cell>
          <cell r="Z91">
            <v>1</v>
          </cell>
          <cell r="AB91">
            <v>661</v>
          </cell>
          <cell r="AD91">
            <v>2</v>
          </cell>
          <cell r="AF91">
            <v>1</v>
          </cell>
          <cell r="AH91">
            <v>1</v>
          </cell>
          <cell r="AJ91">
            <v>1</v>
          </cell>
          <cell r="AL91">
            <v>0</v>
          </cell>
          <cell r="AN91">
            <v>0</v>
          </cell>
          <cell r="AP91">
            <v>0</v>
          </cell>
          <cell r="AR91">
            <v>0</v>
          </cell>
          <cell r="AT91">
            <v>0</v>
          </cell>
          <cell r="AV91">
            <v>0</v>
          </cell>
          <cell r="AX91">
            <v>0</v>
          </cell>
          <cell r="AZ91">
            <v>0</v>
          </cell>
          <cell r="BB91">
            <v>0</v>
          </cell>
          <cell r="BD91">
            <v>0</v>
          </cell>
          <cell r="BF91">
            <v>0</v>
          </cell>
          <cell r="BH91">
            <v>0</v>
          </cell>
          <cell r="BJ91">
            <v>0</v>
          </cell>
          <cell r="BL91">
            <v>0</v>
          </cell>
          <cell r="BN91">
            <v>0</v>
          </cell>
          <cell r="BP91">
            <v>0</v>
          </cell>
          <cell r="BR91">
            <v>0</v>
          </cell>
          <cell r="BT91">
            <v>0</v>
          </cell>
          <cell r="BV91">
            <v>0</v>
          </cell>
          <cell r="BX91">
            <v>0</v>
          </cell>
          <cell r="BZ91">
            <v>0</v>
          </cell>
          <cell r="CB91">
            <v>0</v>
          </cell>
          <cell r="CD91">
            <v>0</v>
          </cell>
          <cell r="CF91">
            <v>0</v>
          </cell>
          <cell r="CH91">
            <v>0</v>
          </cell>
          <cell r="CJ91">
            <v>0</v>
          </cell>
          <cell r="CL91">
            <v>0</v>
          </cell>
          <cell r="CN91">
            <v>0</v>
          </cell>
          <cell r="CP91">
            <v>0</v>
          </cell>
          <cell r="CR91">
            <v>0</v>
          </cell>
          <cell r="CT91">
            <v>0</v>
          </cell>
          <cell r="CV91">
            <v>0</v>
          </cell>
          <cell r="CX91">
            <v>0</v>
          </cell>
          <cell r="CZ91">
            <v>0</v>
          </cell>
          <cell r="DB91">
            <v>0</v>
          </cell>
          <cell r="DD91">
            <v>0</v>
          </cell>
          <cell r="DF91">
            <v>0</v>
          </cell>
          <cell r="DH91">
            <v>0</v>
          </cell>
          <cell r="DJ91">
            <v>0</v>
          </cell>
          <cell r="DL91">
            <v>0</v>
          </cell>
          <cell r="DN91">
            <v>0</v>
          </cell>
          <cell r="DP91">
            <v>0</v>
          </cell>
          <cell r="DR91">
            <v>0</v>
          </cell>
          <cell r="DT91">
            <v>0</v>
          </cell>
          <cell r="DV91">
            <v>0</v>
          </cell>
          <cell r="DX91">
            <v>0</v>
          </cell>
          <cell r="DZ91">
            <v>0</v>
          </cell>
          <cell r="EB91">
            <v>0</v>
          </cell>
          <cell r="ED91">
            <v>0</v>
          </cell>
          <cell r="EF91">
            <v>0</v>
          </cell>
          <cell r="EH91">
            <v>0</v>
          </cell>
          <cell r="EJ91">
            <v>0</v>
          </cell>
          <cell r="EL91">
            <v>0</v>
          </cell>
          <cell r="EN91">
            <v>0</v>
          </cell>
          <cell r="EP91">
            <v>0</v>
          </cell>
          <cell r="ER91">
            <v>0</v>
          </cell>
          <cell r="ET91">
            <v>0</v>
          </cell>
          <cell r="EV91">
            <v>0</v>
          </cell>
          <cell r="EX91">
            <v>0</v>
          </cell>
          <cell r="EZ91">
            <v>0</v>
          </cell>
          <cell r="FB91">
            <v>0</v>
          </cell>
          <cell r="FD91">
            <v>0</v>
          </cell>
          <cell r="FF91">
            <v>0</v>
          </cell>
          <cell r="FH91">
            <v>0</v>
          </cell>
          <cell r="FJ91">
            <v>0</v>
          </cell>
          <cell r="FL91">
            <v>0</v>
          </cell>
          <cell r="FN91">
            <v>0</v>
          </cell>
          <cell r="FP91">
            <v>0</v>
          </cell>
          <cell r="FR91">
            <v>0</v>
          </cell>
          <cell r="FT91">
            <v>0</v>
          </cell>
          <cell r="FV91">
            <v>0</v>
          </cell>
          <cell r="GD91">
            <v>14</v>
          </cell>
          <cell r="GF91">
            <v>4</v>
          </cell>
          <cell r="GH91">
            <v>1</v>
          </cell>
          <cell r="GJ91">
            <v>7</v>
          </cell>
          <cell r="GM91">
            <v>0.01</v>
          </cell>
          <cell r="GN9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W91" t="str">
            <v>（一）施工廠商施工前檢查事項辦理情形：█完成 □未完成 （二）其他工地安全衛生督導事項：</v>
          </cell>
          <cell r="GX91">
            <v>853901</v>
          </cell>
          <cell r="GY91">
            <v>0</v>
          </cell>
        </row>
        <row r="92">
          <cell r="I92">
            <v>1</v>
          </cell>
          <cell r="N92">
            <v>1</v>
          </cell>
          <cell r="P92">
            <v>1</v>
          </cell>
          <cell r="R92">
            <v>672</v>
          </cell>
          <cell r="T92">
            <v>108</v>
          </cell>
          <cell r="V92">
            <v>661</v>
          </cell>
          <cell r="X92">
            <v>2</v>
          </cell>
          <cell r="Z92">
            <v>1</v>
          </cell>
          <cell r="AB92">
            <v>661</v>
          </cell>
          <cell r="AD92">
            <v>2</v>
          </cell>
          <cell r="AF92">
            <v>1</v>
          </cell>
          <cell r="AH92">
            <v>1</v>
          </cell>
          <cell r="AJ92">
            <v>1</v>
          </cell>
          <cell r="AL92">
            <v>0</v>
          </cell>
          <cell r="AN92">
            <v>0</v>
          </cell>
          <cell r="AP92">
            <v>0</v>
          </cell>
          <cell r="AR92">
            <v>0</v>
          </cell>
          <cell r="AT92">
            <v>0</v>
          </cell>
          <cell r="AV92">
            <v>0</v>
          </cell>
          <cell r="AX92">
            <v>0</v>
          </cell>
          <cell r="AZ92">
            <v>0</v>
          </cell>
          <cell r="BB92">
            <v>0</v>
          </cell>
          <cell r="BD92">
            <v>0</v>
          </cell>
          <cell r="BF92">
            <v>0</v>
          </cell>
          <cell r="BH92">
            <v>0</v>
          </cell>
          <cell r="BJ92">
            <v>0</v>
          </cell>
          <cell r="BL92">
            <v>0</v>
          </cell>
          <cell r="BN92">
            <v>0</v>
          </cell>
          <cell r="BP92">
            <v>0</v>
          </cell>
          <cell r="BR92">
            <v>0</v>
          </cell>
          <cell r="BT92">
            <v>0</v>
          </cell>
          <cell r="BV92">
            <v>0</v>
          </cell>
          <cell r="BX92">
            <v>0</v>
          </cell>
          <cell r="BZ92">
            <v>0</v>
          </cell>
          <cell r="CB92">
            <v>0</v>
          </cell>
          <cell r="CD92">
            <v>0</v>
          </cell>
          <cell r="CF92">
            <v>0</v>
          </cell>
          <cell r="CH92">
            <v>0</v>
          </cell>
          <cell r="CJ92">
            <v>0</v>
          </cell>
          <cell r="CL92">
            <v>0</v>
          </cell>
          <cell r="CN92">
            <v>0</v>
          </cell>
          <cell r="CP92">
            <v>0</v>
          </cell>
          <cell r="CR92">
            <v>0</v>
          </cell>
          <cell r="CT92">
            <v>0</v>
          </cell>
          <cell r="CV92">
            <v>0</v>
          </cell>
          <cell r="CX92">
            <v>0</v>
          </cell>
          <cell r="CZ92">
            <v>0</v>
          </cell>
          <cell r="DB92">
            <v>0</v>
          </cell>
          <cell r="DD92">
            <v>0</v>
          </cell>
          <cell r="DF92">
            <v>0</v>
          </cell>
          <cell r="DH92">
            <v>0</v>
          </cell>
          <cell r="DJ92">
            <v>0</v>
          </cell>
          <cell r="DL92">
            <v>0</v>
          </cell>
          <cell r="DN92">
            <v>0</v>
          </cell>
          <cell r="DP92">
            <v>0</v>
          </cell>
          <cell r="DR92">
            <v>0</v>
          </cell>
          <cell r="DT92">
            <v>0</v>
          </cell>
          <cell r="DV92">
            <v>0</v>
          </cell>
          <cell r="DX92">
            <v>0</v>
          </cell>
          <cell r="DZ92">
            <v>0</v>
          </cell>
          <cell r="EB92">
            <v>0</v>
          </cell>
          <cell r="ED92">
            <v>0</v>
          </cell>
          <cell r="EF92">
            <v>0</v>
          </cell>
          <cell r="EH92">
            <v>0</v>
          </cell>
          <cell r="EJ92">
            <v>0</v>
          </cell>
          <cell r="EL92">
            <v>0</v>
          </cell>
          <cell r="EN92">
            <v>0</v>
          </cell>
          <cell r="EP92">
            <v>0</v>
          </cell>
          <cell r="ER92">
            <v>0</v>
          </cell>
          <cell r="ET92">
            <v>0</v>
          </cell>
          <cell r="EV92">
            <v>0</v>
          </cell>
          <cell r="EX92">
            <v>0</v>
          </cell>
          <cell r="EZ92">
            <v>0</v>
          </cell>
          <cell r="FB92">
            <v>0</v>
          </cell>
          <cell r="FD92">
            <v>0</v>
          </cell>
          <cell r="FF92">
            <v>0</v>
          </cell>
          <cell r="FH92">
            <v>0</v>
          </cell>
          <cell r="FJ92">
            <v>0</v>
          </cell>
          <cell r="FL92">
            <v>0</v>
          </cell>
          <cell r="FN92">
            <v>0</v>
          </cell>
          <cell r="FP92">
            <v>0</v>
          </cell>
          <cell r="FR92">
            <v>0</v>
          </cell>
          <cell r="FT92">
            <v>0</v>
          </cell>
          <cell r="FV92">
            <v>0</v>
          </cell>
          <cell r="GD92">
            <v>14</v>
          </cell>
          <cell r="GF92">
            <v>4</v>
          </cell>
          <cell r="GH92">
            <v>1</v>
          </cell>
          <cell r="GJ92">
            <v>7</v>
          </cell>
          <cell r="GM92">
            <v>0.01</v>
          </cell>
          <cell r="GN9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W92" t="str">
            <v>（一）施工廠商施工前檢查事項辦理情形：█完成 □未完成 （二）其他工地安全衛生督導事項：</v>
          </cell>
          <cell r="GX92">
            <v>853901</v>
          </cell>
          <cell r="GY92">
            <v>0</v>
          </cell>
        </row>
        <row r="93">
          <cell r="I93">
            <v>1</v>
          </cell>
          <cell r="N93">
            <v>1</v>
          </cell>
          <cell r="P93">
            <v>1</v>
          </cell>
          <cell r="R93">
            <v>672</v>
          </cell>
          <cell r="T93">
            <v>108</v>
          </cell>
          <cell r="V93">
            <v>661</v>
          </cell>
          <cell r="X93">
            <v>2</v>
          </cell>
          <cell r="Z93">
            <v>1</v>
          </cell>
          <cell r="AB93">
            <v>661</v>
          </cell>
          <cell r="AD93">
            <v>2</v>
          </cell>
          <cell r="AF93">
            <v>1</v>
          </cell>
          <cell r="AH93">
            <v>1</v>
          </cell>
          <cell r="AJ93">
            <v>1</v>
          </cell>
          <cell r="AL93">
            <v>0</v>
          </cell>
          <cell r="AN93">
            <v>0</v>
          </cell>
          <cell r="AP93">
            <v>0</v>
          </cell>
          <cell r="AR93">
            <v>0</v>
          </cell>
          <cell r="AT93">
            <v>0</v>
          </cell>
          <cell r="AV93">
            <v>0</v>
          </cell>
          <cell r="AX93">
            <v>0</v>
          </cell>
          <cell r="AZ93">
            <v>0</v>
          </cell>
          <cell r="BB93">
            <v>0</v>
          </cell>
          <cell r="BD93">
            <v>0</v>
          </cell>
          <cell r="BF93">
            <v>0</v>
          </cell>
          <cell r="BH93">
            <v>0</v>
          </cell>
          <cell r="BJ93">
            <v>0</v>
          </cell>
          <cell r="BL93">
            <v>0</v>
          </cell>
          <cell r="BN93">
            <v>0</v>
          </cell>
          <cell r="BP93">
            <v>0</v>
          </cell>
          <cell r="BR93">
            <v>0</v>
          </cell>
          <cell r="BT93">
            <v>0</v>
          </cell>
          <cell r="BV93">
            <v>0</v>
          </cell>
          <cell r="BX93">
            <v>0</v>
          </cell>
          <cell r="BZ93">
            <v>0</v>
          </cell>
          <cell r="CB93">
            <v>0</v>
          </cell>
          <cell r="CD93">
            <v>0</v>
          </cell>
          <cell r="CF93">
            <v>0</v>
          </cell>
          <cell r="CH93">
            <v>0</v>
          </cell>
          <cell r="CJ93">
            <v>0</v>
          </cell>
          <cell r="CL93">
            <v>0</v>
          </cell>
          <cell r="CN93">
            <v>0</v>
          </cell>
          <cell r="CP93">
            <v>0</v>
          </cell>
          <cell r="CR93">
            <v>0</v>
          </cell>
          <cell r="CT93">
            <v>0</v>
          </cell>
          <cell r="CV93">
            <v>0</v>
          </cell>
          <cell r="CX93">
            <v>0</v>
          </cell>
          <cell r="CZ93">
            <v>0</v>
          </cell>
          <cell r="DB93">
            <v>0</v>
          </cell>
          <cell r="DD93">
            <v>0</v>
          </cell>
          <cell r="DF93">
            <v>0</v>
          </cell>
          <cell r="DH93">
            <v>0</v>
          </cell>
          <cell r="DJ93">
            <v>0</v>
          </cell>
          <cell r="DL93">
            <v>0</v>
          </cell>
          <cell r="DN93">
            <v>0</v>
          </cell>
          <cell r="DP93">
            <v>0</v>
          </cell>
          <cell r="DR93">
            <v>0</v>
          </cell>
          <cell r="DT93">
            <v>0</v>
          </cell>
          <cell r="DV93">
            <v>0</v>
          </cell>
          <cell r="DX93">
            <v>0</v>
          </cell>
          <cell r="DZ93">
            <v>0</v>
          </cell>
          <cell r="EB93">
            <v>0</v>
          </cell>
          <cell r="ED93">
            <v>0</v>
          </cell>
          <cell r="EF93">
            <v>0</v>
          </cell>
          <cell r="EH93">
            <v>0</v>
          </cell>
          <cell r="EJ93">
            <v>0</v>
          </cell>
          <cell r="EL93">
            <v>0</v>
          </cell>
          <cell r="EN93">
            <v>0</v>
          </cell>
          <cell r="EP93">
            <v>0</v>
          </cell>
          <cell r="ER93">
            <v>0</v>
          </cell>
          <cell r="ET93">
            <v>0</v>
          </cell>
          <cell r="EV93">
            <v>0</v>
          </cell>
          <cell r="EX93">
            <v>0</v>
          </cell>
          <cell r="EZ93">
            <v>0</v>
          </cell>
          <cell r="FB93">
            <v>0</v>
          </cell>
          <cell r="FD93">
            <v>0</v>
          </cell>
          <cell r="FF93">
            <v>0</v>
          </cell>
          <cell r="FH93">
            <v>0</v>
          </cell>
          <cell r="FJ93">
            <v>0</v>
          </cell>
          <cell r="FL93">
            <v>0</v>
          </cell>
          <cell r="FN93">
            <v>0</v>
          </cell>
          <cell r="FP93">
            <v>0</v>
          </cell>
          <cell r="FR93">
            <v>0</v>
          </cell>
          <cell r="FT93">
            <v>0</v>
          </cell>
          <cell r="FV93">
            <v>0</v>
          </cell>
          <cell r="GD93">
            <v>14</v>
          </cell>
          <cell r="GF93">
            <v>4</v>
          </cell>
          <cell r="GH93">
            <v>1</v>
          </cell>
          <cell r="GJ93">
            <v>7</v>
          </cell>
          <cell r="GM93">
            <v>0.01</v>
          </cell>
          <cell r="GN9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W93" t="str">
            <v>（一）施工廠商施工前檢查事項辦理情形：█完成 □未完成 （二）其他工地安全衛生督導事項：</v>
          </cell>
          <cell r="GX93">
            <v>853901</v>
          </cell>
          <cell r="GY93">
            <v>0</v>
          </cell>
        </row>
        <row r="94">
          <cell r="I94">
            <v>1</v>
          </cell>
          <cell r="N94">
            <v>1</v>
          </cell>
          <cell r="P94">
            <v>1</v>
          </cell>
          <cell r="R94">
            <v>672</v>
          </cell>
          <cell r="T94">
            <v>108</v>
          </cell>
          <cell r="V94">
            <v>661</v>
          </cell>
          <cell r="X94">
            <v>2</v>
          </cell>
          <cell r="Z94">
            <v>1</v>
          </cell>
          <cell r="AB94">
            <v>661</v>
          </cell>
          <cell r="AD94">
            <v>2</v>
          </cell>
          <cell r="AF94">
            <v>1</v>
          </cell>
          <cell r="AH94">
            <v>1</v>
          </cell>
          <cell r="AJ94">
            <v>1</v>
          </cell>
          <cell r="AL94">
            <v>0</v>
          </cell>
          <cell r="AN94">
            <v>0</v>
          </cell>
          <cell r="AP94">
            <v>0</v>
          </cell>
          <cell r="AR94">
            <v>0</v>
          </cell>
          <cell r="AT94">
            <v>0</v>
          </cell>
          <cell r="AV94">
            <v>0</v>
          </cell>
          <cell r="AX94">
            <v>0</v>
          </cell>
          <cell r="AZ94">
            <v>0</v>
          </cell>
          <cell r="BB94">
            <v>0</v>
          </cell>
          <cell r="BD94">
            <v>0</v>
          </cell>
          <cell r="BF94">
            <v>0</v>
          </cell>
          <cell r="BH94">
            <v>0</v>
          </cell>
          <cell r="BJ94">
            <v>0</v>
          </cell>
          <cell r="BL94">
            <v>0</v>
          </cell>
          <cell r="BN94">
            <v>0</v>
          </cell>
          <cell r="BP94">
            <v>0</v>
          </cell>
          <cell r="BR94">
            <v>0</v>
          </cell>
          <cell r="BT94">
            <v>0</v>
          </cell>
          <cell r="BV94">
            <v>0</v>
          </cell>
          <cell r="BX94">
            <v>0</v>
          </cell>
          <cell r="BZ94">
            <v>0</v>
          </cell>
          <cell r="CB94">
            <v>0</v>
          </cell>
          <cell r="CD94">
            <v>0</v>
          </cell>
          <cell r="CF94">
            <v>0</v>
          </cell>
          <cell r="CH94">
            <v>0</v>
          </cell>
          <cell r="CJ94">
            <v>0</v>
          </cell>
          <cell r="CL94">
            <v>0</v>
          </cell>
          <cell r="CN94">
            <v>0</v>
          </cell>
          <cell r="CP94">
            <v>0</v>
          </cell>
          <cell r="CR94">
            <v>0</v>
          </cell>
          <cell r="CT94">
            <v>0</v>
          </cell>
          <cell r="CV94">
            <v>0</v>
          </cell>
          <cell r="CX94">
            <v>0</v>
          </cell>
          <cell r="CZ94">
            <v>0</v>
          </cell>
          <cell r="DB94">
            <v>0</v>
          </cell>
          <cell r="DD94">
            <v>0</v>
          </cell>
          <cell r="DF94">
            <v>0</v>
          </cell>
          <cell r="DH94">
            <v>0</v>
          </cell>
          <cell r="DJ94">
            <v>0</v>
          </cell>
          <cell r="DL94">
            <v>0</v>
          </cell>
          <cell r="DN94">
            <v>0</v>
          </cell>
          <cell r="DP94">
            <v>0</v>
          </cell>
          <cell r="DR94">
            <v>0</v>
          </cell>
          <cell r="DT94">
            <v>0</v>
          </cell>
          <cell r="DV94">
            <v>0</v>
          </cell>
          <cell r="DX94">
            <v>0</v>
          </cell>
          <cell r="DZ94">
            <v>0</v>
          </cell>
          <cell r="EB94">
            <v>0</v>
          </cell>
          <cell r="ED94">
            <v>0</v>
          </cell>
          <cell r="EF94">
            <v>0</v>
          </cell>
          <cell r="EH94">
            <v>0</v>
          </cell>
          <cell r="EJ94">
            <v>0</v>
          </cell>
          <cell r="EL94">
            <v>0</v>
          </cell>
          <cell r="EN94">
            <v>0</v>
          </cell>
          <cell r="EP94">
            <v>0</v>
          </cell>
          <cell r="ER94">
            <v>0</v>
          </cell>
          <cell r="ET94">
            <v>0</v>
          </cell>
          <cell r="EV94">
            <v>0</v>
          </cell>
          <cell r="EX94">
            <v>0</v>
          </cell>
          <cell r="EZ94">
            <v>0</v>
          </cell>
          <cell r="FB94">
            <v>0</v>
          </cell>
          <cell r="FD94">
            <v>0</v>
          </cell>
          <cell r="FF94">
            <v>0</v>
          </cell>
          <cell r="FH94">
            <v>0</v>
          </cell>
          <cell r="FJ94">
            <v>0</v>
          </cell>
          <cell r="FL94">
            <v>0</v>
          </cell>
          <cell r="FN94">
            <v>0</v>
          </cell>
          <cell r="FP94">
            <v>0</v>
          </cell>
          <cell r="FR94">
            <v>0</v>
          </cell>
          <cell r="FT94">
            <v>0</v>
          </cell>
          <cell r="FV94">
            <v>0</v>
          </cell>
          <cell r="GD94">
            <v>14</v>
          </cell>
          <cell r="GF94">
            <v>4</v>
          </cell>
          <cell r="GH94">
            <v>1</v>
          </cell>
          <cell r="GJ94">
            <v>7</v>
          </cell>
          <cell r="GM94">
            <v>0.01</v>
          </cell>
          <cell r="GN9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W94" t="str">
            <v>（一）施工廠商施工前檢查事項辦理情形：█完成 □未完成 （二）其他工地安全衛生督導事項：</v>
          </cell>
          <cell r="GX94">
            <v>853901</v>
          </cell>
          <cell r="GY94">
            <v>0</v>
          </cell>
        </row>
        <row r="95">
          <cell r="I95">
            <v>1</v>
          </cell>
          <cell r="N95">
            <v>1</v>
          </cell>
          <cell r="P95">
            <v>1</v>
          </cell>
          <cell r="R95">
            <v>672</v>
          </cell>
          <cell r="T95">
            <v>108</v>
          </cell>
          <cell r="V95">
            <v>661</v>
          </cell>
          <cell r="X95">
            <v>2</v>
          </cell>
          <cell r="Z95">
            <v>1</v>
          </cell>
          <cell r="AB95">
            <v>661</v>
          </cell>
          <cell r="AD95">
            <v>2</v>
          </cell>
          <cell r="AF95">
            <v>1</v>
          </cell>
          <cell r="AH95">
            <v>1</v>
          </cell>
          <cell r="AJ95">
            <v>1</v>
          </cell>
          <cell r="AL95">
            <v>0</v>
          </cell>
          <cell r="AN95">
            <v>0</v>
          </cell>
          <cell r="AP95">
            <v>0</v>
          </cell>
          <cell r="AR95">
            <v>0</v>
          </cell>
          <cell r="AT95">
            <v>0</v>
          </cell>
          <cell r="AV95">
            <v>0</v>
          </cell>
          <cell r="AX95">
            <v>0</v>
          </cell>
          <cell r="AZ95">
            <v>0</v>
          </cell>
          <cell r="BB95">
            <v>0</v>
          </cell>
          <cell r="BD95">
            <v>0</v>
          </cell>
          <cell r="BF95">
            <v>0</v>
          </cell>
          <cell r="BH95">
            <v>0</v>
          </cell>
          <cell r="BJ95">
            <v>0</v>
          </cell>
          <cell r="BL95">
            <v>0</v>
          </cell>
          <cell r="BN95">
            <v>0</v>
          </cell>
          <cell r="BP95">
            <v>0</v>
          </cell>
          <cell r="BR95">
            <v>0</v>
          </cell>
          <cell r="BT95">
            <v>0</v>
          </cell>
          <cell r="BV95">
            <v>0</v>
          </cell>
          <cell r="BX95">
            <v>0</v>
          </cell>
          <cell r="BZ95">
            <v>0</v>
          </cell>
          <cell r="CB95">
            <v>0</v>
          </cell>
          <cell r="CD95">
            <v>0</v>
          </cell>
          <cell r="CF95">
            <v>0</v>
          </cell>
          <cell r="CH95">
            <v>0</v>
          </cell>
          <cell r="CJ95">
            <v>0</v>
          </cell>
          <cell r="CL95">
            <v>0</v>
          </cell>
          <cell r="CN95">
            <v>0</v>
          </cell>
          <cell r="CP95">
            <v>0</v>
          </cell>
          <cell r="CR95">
            <v>0</v>
          </cell>
          <cell r="CT95">
            <v>0</v>
          </cell>
          <cell r="CV95">
            <v>0</v>
          </cell>
          <cell r="CX95">
            <v>0</v>
          </cell>
          <cell r="CZ95">
            <v>0</v>
          </cell>
          <cell r="DB95">
            <v>0</v>
          </cell>
          <cell r="DD95">
            <v>0</v>
          </cell>
          <cell r="DF95">
            <v>0</v>
          </cell>
          <cell r="DH95">
            <v>0</v>
          </cell>
          <cell r="DJ95">
            <v>0</v>
          </cell>
          <cell r="DL95">
            <v>0</v>
          </cell>
          <cell r="DN95">
            <v>0</v>
          </cell>
          <cell r="DP95">
            <v>0</v>
          </cell>
          <cell r="DR95">
            <v>0</v>
          </cell>
          <cell r="DT95">
            <v>0</v>
          </cell>
          <cell r="DV95">
            <v>0</v>
          </cell>
          <cell r="DX95">
            <v>0</v>
          </cell>
          <cell r="DZ95">
            <v>0</v>
          </cell>
          <cell r="EB95">
            <v>0</v>
          </cell>
          <cell r="ED95">
            <v>0</v>
          </cell>
          <cell r="EF95">
            <v>0</v>
          </cell>
          <cell r="EH95">
            <v>0</v>
          </cell>
          <cell r="EJ95">
            <v>0</v>
          </cell>
          <cell r="EL95">
            <v>0</v>
          </cell>
          <cell r="EN95">
            <v>0</v>
          </cell>
          <cell r="EP95">
            <v>0</v>
          </cell>
          <cell r="ER95">
            <v>0</v>
          </cell>
          <cell r="ET95">
            <v>0</v>
          </cell>
          <cell r="EV95">
            <v>0</v>
          </cell>
          <cell r="EX95">
            <v>0</v>
          </cell>
          <cell r="EZ95">
            <v>0</v>
          </cell>
          <cell r="FB95">
            <v>0</v>
          </cell>
          <cell r="FD95">
            <v>0</v>
          </cell>
          <cell r="FF95">
            <v>0</v>
          </cell>
          <cell r="FH95">
            <v>0</v>
          </cell>
          <cell r="FJ95">
            <v>0</v>
          </cell>
          <cell r="FL95">
            <v>0</v>
          </cell>
          <cell r="FN95">
            <v>0</v>
          </cell>
          <cell r="FP95">
            <v>0</v>
          </cell>
          <cell r="FR95">
            <v>0</v>
          </cell>
          <cell r="FT95">
            <v>0</v>
          </cell>
          <cell r="FV95">
            <v>0</v>
          </cell>
          <cell r="GD95">
            <v>14</v>
          </cell>
          <cell r="GF95">
            <v>4</v>
          </cell>
          <cell r="GH95">
            <v>1</v>
          </cell>
          <cell r="GJ95">
            <v>7</v>
          </cell>
          <cell r="GM95">
            <v>0.01</v>
          </cell>
          <cell r="GN9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W95" t="str">
            <v>（一）施工廠商施工前檢查事項辦理情形：█完成 □未完成 （二）其他工地安全衛生督導事項：</v>
          </cell>
          <cell r="GX95">
            <v>853901</v>
          </cell>
          <cell r="GY95">
            <v>0</v>
          </cell>
        </row>
        <row r="96">
          <cell r="I96">
            <v>1</v>
          </cell>
          <cell r="N96">
            <v>1</v>
          </cell>
          <cell r="P96">
            <v>1</v>
          </cell>
          <cell r="R96">
            <v>672</v>
          </cell>
          <cell r="T96">
            <v>108</v>
          </cell>
          <cell r="V96">
            <v>661</v>
          </cell>
          <cell r="X96">
            <v>2</v>
          </cell>
          <cell r="Z96">
            <v>1</v>
          </cell>
          <cell r="AB96">
            <v>661</v>
          </cell>
          <cell r="AD96">
            <v>2</v>
          </cell>
          <cell r="AF96">
            <v>1</v>
          </cell>
          <cell r="AH96">
            <v>1</v>
          </cell>
          <cell r="AJ96">
            <v>1</v>
          </cell>
          <cell r="AL96">
            <v>0</v>
          </cell>
          <cell r="AN96">
            <v>0</v>
          </cell>
          <cell r="AP96">
            <v>0</v>
          </cell>
          <cell r="AR96">
            <v>0</v>
          </cell>
          <cell r="AT96">
            <v>0</v>
          </cell>
          <cell r="AV96">
            <v>0</v>
          </cell>
          <cell r="AX96">
            <v>0</v>
          </cell>
          <cell r="AZ96">
            <v>0</v>
          </cell>
          <cell r="BB96">
            <v>0</v>
          </cell>
          <cell r="BD96">
            <v>0</v>
          </cell>
          <cell r="BF96">
            <v>0</v>
          </cell>
          <cell r="BH96">
            <v>0</v>
          </cell>
          <cell r="BJ96">
            <v>0</v>
          </cell>
          <cell r="BL96">
            <v>0</v>
          </cell>
          <cell r="BN96">
            <v>0</v>
          </cell>
          <cell r="BP96">
            <v>0</v>
          </cell>
          <cell r="BR96">
            <v>0</v>
          </cell>
          <cell r="BT96">
            <v>0</v>
          </cell>
          <cell r="BV96">
            <v>0</v>
          </cell>
          <cell r="BX96">
            <v>0</v>
          </cell>
          <cell r="BZ96">
            <v>0</v>
          </cell>
          <cell r="CB96">
            <v>0</v>
          </cell>
          <cell r="CD96">
            <v>0</v>
          </cell>
          <cell r="CF96">
            <v>0</v>
          </cell>
          <cell r="CH96">
            <v>0</v>
          </cell>
          <cell r="CJ96">
            <v>0</v>
          </cell>
          <cell r="CL96">
            <v>0</v>
          </cell>
          <cell r="CN96">
            <v>0</v>
          </cell>
          <cell r="CP96">
            <v>0</v>
          </cell>
          <cell r="CR96">
            <v>0</v>
          </cell>
          <cell r="CT96">
            <v>0</v>
          </cell>
          <cell r="CV96">
            <v>0</v>
          </cell>
          <cell r="CX96">
            <v>0</v>
          </cell>
          <cell r="CZ96">
            <v>0</v>
          </cell>
          <cell r="DB96">
            <v>0</v>
          </cell>
          <cell r="DD96">
            <v>0</v>
          </cell>
          <cell r="DF96">
            <v>0</v>
          </cell>
          <cell r="DH96">
            <v>0</v>
          </cell>
          <cell r="DJ96">
            <v>0</v>
          </cell>
          <cell r="DL96">
            <v>0</v>
          </cell>
          <cell r="DN96">
            <v>0</v>
          </cell>
          <cell r="DP96">
            <v>0</v>
          </cell>
          <cell r="DR96">
            <v>0</v>
          </cell>
          <cell r="DT96">
            <v>0</v>
          </cell>
          <cell r="DV96">
            <v>0</v>
          </cell>
          <cell r="DX96">
            <v>0</v>
          </cell>
          <cell r="DZ96">
            <v>0</v>
          </cell>
          <cell r="EB96">
            <v>0</v>
          </cell>
          <cell r="ED96">
            <v>0</v>
          </cell>
          <cell r="EF96">
            <v>0</v>
          </cell>
          <cell r="EH96">
            <v>0</v>
          </cell>
          <cell r="EJ96">
            <v>0</v>
          </cell>
          <cell r="EL96">
            <v>0</v>
          </cell>
          <cell r="EN96">
            <v>0</v>
          </cell>
          <cell r="EP96">
            <v>0</v>
          </cell>
          <cell r="ER96">
            <v>0</v>
          </cell>
          <cell r="ET96">
            <v>0</v>
          </cell>
          <cell r="EV96">
            <v>0</v>
          </cell>
          <cell r="EX96">
            <v>0</v>
          </cell>
          <cell r="EZ96">
            <v>0</v>
          </cell>
          <cell r="FB96">
            <v>0</v>
          </cell>
          <cell r="FD96">
            <v>0</v>
          </cell>
          <cell r="FF96">
            <v>0</v>
          </cell>
          <cell r="FH96">
            <v>0</v>
          </cell>
          <cell r="FJ96">
            <v>0</v>
          </cell>
          <cell r="FL96">
            <v>0</v>
          </cell>
          <cell r="FN96">
            <v>0</v>
          </cell>
          <cell r="FP96">
            <v>0</v>
          </cell>
          <cell r="FR96">
            <v>0</v>
          </cell>
          <cell r="FT96">
            <v>0</v>
          </cell>
          <cell r="FV96">
            <v>0</v>
          </cell>
          <cell r="GD96">
            <v>14</v>
          </cell>
          <cell r="GF96">
            <v>4</v>
          </cell>
          <cell r="GH96">
            <v>1</v>
          </cell>
          <cell r="GJ96">
            <v>7</v>
          </cell>
          <cell r="GM96">
            <v>0.01</v>
          </cell>
          <cell r="GN9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W96" t="str">
            <v>（一）施工廠商施工前檢查事項辦理情形：█完成 □未完成 （二）其他工地安全衛生督導事項：</v>
          </cell>
          <cell r="GX96">
            <v>853901</v>
          </cell>
          <cell r="GY96">
            <v>0</v>
          </cell>
        </row>
        <row r="97">
          <cell r="I97">
            <v>1</v>
          </cell>
          <cell r="N97">
            <v>1</v>
          </cell>
          <cell r="P97">
            <v>1</v>
          </cell>
          <cell r="R97">
            <v>672</v>
          </cell>
          <cell r="T97">
            <v>108</v>
          </cell>
          <cell r="V97">
            <v>661</v>
          </cell>
          <cell r="X97">
            <v>2</v>
          </cell>
          <cell r="Z97">
            <v>1</v>
          </cell>
          <cell r="AB97">
            <v>661</v>
          </cell>
          <cell r="AD97">
            <v>2</v>
          </cell>
          <cell r="AF97">
            <v>1</v>
          </cell>
          <cell r="AH97">
            <v>1</v>
          </cell>
          <cell r="AJ97">
            <v>1</v>
          </cell>
          <cell r="AL97">
            <v>0</v>
          </cell>
          <cell r="AN97">
            <v>0</v>
          </cell>
          <cell r="AP97">
            <v>0</v>
          </cell>
          <cell r="AR97">
            <v>0</v>
          </cell>
          <cell r="AT97">
            <v>0</v>
          </cell>
          <cell r="AV97">
            <v>0</v>
          </cell>
          <cell r="AX97">
            <v>0</v>
          </cell>
          <cell r="AZ97">
            <v>0</v>
          </cell>
          <cell r="BB97">
            <v>0</v>
          </cell>
          <cell r="BD97">
            <v>0</v>
          </cell>
          <cell r="BF97">
            <v>0</v>
          </cell>
          <cell r="BH97">
            <v>0</v>
          </cell>
          <cell r="BJ97">
            <v>0</v>
          </cell>
          <cell r="BL97">
            <v>0</v>
          </cell>
          <cell r="BN97">
            <v>0</v>
          </cell>
          <cell r="BP97">
            <v>0</v>
          </cell>
          <cell r="BR97">
            <v>0</v>
          </cell>
          <cell r="BT97">
            <v>0</v>
          </cell>
          <cell r="BV97">
            <v>0</v>
          </cell>
          <cell r="BX97">
            <v>0</v>
          </cell>
          <cell r="BZ97">
            <v>0</v>
          </cell>
          <cell r="CB97">
            <v>0</v>
          </cell>
          <cell r="CD97">
            <v>0</v>
          </cell>
          <cell r="CF97">
            <v>0</v>
          </cell>
          <cell r="CH97">
            <v>0</v>
          </cell>
          <cell r="CJ97">
            <v>0</v>
          </cell>
          <cell r="CL97">
            <v>0</v>
          </cell>
          <cell r="CN97">
            <v>0</v>
          </cell>
          <cell r="CP97">
            <v>0</v>
          </cell>
          <cell r="CR97">
            <v>0</v>
          </cell>
          <cell r="CT97">
            <v>0</v>
          </cell>
          <cell r="CV97">
            <v>0</v>
          </cell>
          <cell r="CX97">
            <v>0</v>
          </cell>
          <cell r="CZ97">
            <v>0</v>
          </cell>
          <cell r="DB97">
            <v>0</v>
          </cell>
          <cell r="DD97">
            <v>0</v>
          </cell>
          <cell r="DF97">
            <v>0</v>
          </cell>
          <cell r="DH97">
            <v>0</v>
          </cell>
          <cell r="DJ97">
            <v>0</v>
          </cell>
          <cell r="DL97">
            <v>0</v>
          </cell>
          <cell r="DN97">
            <v>0</v>
          </cell>
          <cell r="DP97">
            <v>0</v>
          </cell>
          <cell r="DR97">
            <v>0</v>
          </cell>
          <cell r="DT97">
            <v>0</v>
          </cell>
          <cell r="DV97">
            <v>0</v>
          </cell>
          <cell r="DX97">
            <v>0</v>
          </cell>
          <cell r="DZ97">
            <v>0</v>
          </cell>
          <cell r="EB97">
            <v>0</v>
          </cell>
          <cell r="ED97">
            <v>0</v>
          </cell>
          <cell r="EF97">
            <v>0</v>
          </cell>
          <cell r="EH97">
            <v>0</v>
          </cell>
          <cell r="EJ97">
            <v>0</v>
          </cell>
          <cell r="EL97">
            <v>0</v>
          </cell>
          <cell r="EN97">
            <v>0</v>
          </cell>
          <cell r="EP97">
            <v>0</v>
          </cell>
          <cell r="ER97">
            <v>0</v>
          </cell>
          <cell r="ET97">
            <v>0</v>
          </cell>
          <cell r="EV97">
            <v>0</v>
          </cell>
          <cell r="EX97">
            <v>0</v>
          </cell>
          <cell r="EZ97">
            <v>0</v>
          </cell>
          <cell r="FB97">
            <v>0</v>
          </cell>
          <cell r="FD97">
            <v>0</v>
          </cell>
          <cell r="FF97">
            <v>0</v>
          </cell>
          <cell r="FH97">
            <v>0</v>
          </cell>
          <cell r="FJ97">
            <v>0</v>
          </cell>
          <cell r="FL97">
            <v>0</v>
          </cell>
          <cell r="FN97">
            <v>0</v>
          </cell>
          <cell r="FP97">
            <v>0</v>
          </cell>
          <cell r="FR97">
            <v>0</v>
          </cell>
          <cell r="FT97">
            <v>0</v>
          </cell>
          <cell r="FV97">
            <v>0</v>
          </cell>
          <cell r="GD97">
            <v>14</v>
          </cell>
          <cell r="GF97">
            <v>4</v>
          </cell>
          <cell r="GH97">
            <v>1</v>
          </cell>
          <cell r="GJ97">
            <v>7</v>
          </cell>
          <cell r="GM97">
            <v>0.01</v>
          </cell>
          <cell r="GN9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W97" t="str">
            <v>（一）施工廠商施工前檢查事項辦理情形：█完成 □未完成 （二）其他工地安全衛生督導事項：</v>
          </cell>
          <cell r="GX97">
            <v>853901</v>
          </cell>
          <cell r="GY97">
            <v>0</v>
          </cell>
        </row>
        <row r="98">
          <cell r="I98">
            <v>1</v>
          </cell>
          <cell r="N98">
            <v>1</v>
          </cell>
          <cell r="P98">
            <v>1</v>
          </cell>
          <cell r="R98">
            <v>672</v>
          </cell>
          <cell r="T98">
            <v>108</v>
          </cell>
          <cell r="V98">
            <v>661</v>
          </cell>
          <cell r="X98">
            <v>2</v>
          </cell>
          <cell r="Z98">
            <v>1</v>
          </cell>
          <cell r="AB98">
            <v>661</v>
          </cell>
          <cell r="AD98">
            <v>2</v>
          </cell>
          <cell r="AF98">
            <v>1</v>
          </cell>
          <cell r="AH98">
            <v>1</v>
          </cell>
          <cell r="AJ98">
            <v>1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0</v>
          </cell>
          <cell r="AV98">
            <v>0</v>
          </cell>
          <cell r="AX98">
            <v>0</v>
          </cell>
          <cell r="AZ98">
            <v>0</v>
          </cell>
          <cell r="BB98">
            <v>0</v>
          </cell>
          <cell r="BD98">
            <v>0</v>
          </cell>
          <cell r="BF98">
            <v>0</v>
          </cell>
          <cell r="BH98">
            <v>0</v>
          </cell>
          <cell r="BJ98">
            <v>0</v>
          </cell>
          <cell r="BL98">
            <v>0</v>
          </cell>
          <cell r="BN98">
            <v>0</v>
          </cell>
          <cell r="BP98">
            <v>0</v>
          </cell>
          <cell r="BR98">
            <v>0</v>
          </cell>
          <cell r="BT98">
            <v>0</v>
          </cell>
          <cell r="BV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0</v>
          </cell>
          <cell r="CV98">
            <v>0</v>
          </cell>
          <cell r="CX98">
            <v>0</v>
          </cell>
          <cell r="CZ98">
            <v>0</v>
          </cell>
          <cell r="DB98">
            <v>0</v>
          </cell>
          <cell r="DD98">
            <v>0</v>
          </cell>
          <cell r="DF98">
            <v>0</v>
          </cell>
          <cell r="DH98">
            <v>0</v>
          </cell>
          <cell r="DJ98">
            <v>0</v>
          </cell>
          <cell r="DL98">
            <v>0</v>
          </cell>
          <cell r="DN98">
            <v>0</v>
          </cell>
          <cell r="DP98">
            <v>0</v>
          </cell>
          <cell r="DR98">
            <v>0</v>
          </cell>
          <cell r="DT98">
            <v>0</v>
          </cell>
          <cell r="DV98">
            <v>0</v>
          </cell>
          <cell r="DX98">
            <v>0</v>
          </cell>
          <cell r="DZ98">
            <v>0</v>
          </cell>
          <cell r="EB98">
            <v>0</v>
          </cell>
          <cell r="ED98">
            <v>0</v>
          </cell>
          <cell r="EF98">
            <v>0</v>
          </cell>
          <cell r="EH98">
            <v>0</v>
          </cell>
          <cell r="EJ98">
            <v>0</v>
          </cell>
          <cell r="EL98">
            <v>0</v>
          </cell>
          <cell r="EN98">
            <v>0</v>
          </cell>
          <cell r="EP98">
            <v>0</v>
          </cell>
          <cell r="ER98">
            <v>0</v>
          </cell>
          <cell r="ET98">
            <v>0</v>
          </cell>
          <cell r="EV98">
            <v>0</v>
          </cell>
          <cell r="EX98">
            <v>0</v>
          </cell>
          <cell r="EZ98">
            <v>0</v>
          </cell>
          <cell r="FB98">
            <v>0</v>
          </cell>
          <cell r="FD98">
            <v>0</v>
          </cell>
          <cell r="FF98">
            <v>0</v>
          </cell>
          <cell r="FH98">
            <v>0</v>
          </cell>
          <cell r="FJ98">
            <v>0</v>
          </cell>
          <cell r="FL98">
            <v>0</v>
          </cell>
          <cell r="FN98">
            <v>0</v>
          </cell>
          <cell r="FP98">
            <v>0</v>
          </cell>
          <cell r="FR98">
            <v>0</v>
          </cell>
          <cell r="FT98">
            <v>0</v>
          </cell>
          <cell r="FV98">
            <v>0</v>
          </cell>
          <cell r="GD98">
            <v>14</v>
          </cell>
          <cell r="GF98">
            <v>4</v>
          </cell>
          <cell r="GH98">
            <v>1</v>
          </cell>
          <cell r="GJ98">
            <v>7</v>
          </cell>
          <cell r="GM98">
            <v>0.01</v>
          </cell>
          <cell r="GN9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W98" t="str">
            <v>（一）施工廠商施工前檢查事項辦理情形：█完成 □未完成 （二）其他工地安全衛生督導事項：</v>
          </cell>
          <cell r="GX98">
            <v>853901</v>
          </cell>
          <cell r="GY98">
            <v>0</v>
          </cell>
        </row>
        <row r="99">
          <cell r="I99">
            <v>1</v>
          </cell>
          <cell r="N99">
            <v>1</v>
          </cell>
          <cell r="P99">
            <v>1</v>
          </cell>
          <cell r="R99">
            <v>672</v>
          </cell>
          <cell r="T99">
            <v>108</v>
          </cell>
          <cell r="V99">
            <v>661</v>
          </cell>
          <cell r="X99">
            <v>2</v>
          </cell>
          <cell r="Z99">
            <v>1</v>
          </cell>
          <cell r="AB99">
            <v>661</v>
          </cell>
          <cell r="AD99">
            <v>2</v>
          </cell>
          <cell r="AF99">
            <v>1</v>
          </cell>
          <cell r="AH99">
            <v>1</v>
          </cell>
          <cell r="AJ99">
            <v>1</v>
          </cell>
          <cell r="AL99">
            <v>0</v>
          </cell>
          <cell r="AN99">
            <v>0</v>
          </cell>
          <cell r="AP99">
            <v>0</v>
          </cell>
          <cell r="AR99">
            <v>0</v>
          </cell>
          <cell r="AT99">
            <v>0</v>
          </cell>
          <cell r="AV99">
            <v>0</v>
          </cell>
          <cell r="AX99">
            <v>0</v>
          </cell>
          <cell r="AZ99">
            <v>0</v>
          </cell>
          <cell r="BB99">
            <v>0</v>
          </cell>
          <cell r="BD99">
            <v>0</v>
          </cell>
          <cell r="BF99">
            <v>0</v>
          </cell>
          <cell r="BH99">
            <v>0</v>
          </cell>
          <cell r="BJ99">
            <v>0</v>
          </cell>
          <cell r="BL99">
            <v>0</v>
          </cell>
          <cell r="BN99">
            <v>0</v>
          </cell>
          <cell r="BP99">
            <v>0</v>
          </cell>
          <cell r="BR99">
            <v>0</v>
          </cell>
          <cell r="BT99">
            <v>0</v>
          </cell>
          <cell r="BV99">
            <v>0</v>
          </cell>
          <cell r="BX99">
            <v>0</v>
          </cell>
          <cell r="BZ99">
            <v>0</v>
          </cell>
          <cell r="CB99">
            <v>0</v>
          </cell>
          <cell r="CD99">
            <v>0</v>
          </cell>
          <cell r="CF99">
            <v>0</v>
          </cell>
          <cell r="CH99">
            <v>0</v>
          </cell>
          <cell r="CJ99">
            <v>0</v>
          </cell>
          <cell r="CL99">
            <v>0</v>
          </cell>
          <cell r="CN99">
            <v>0</v>
          </cell>
          <cell r="CP99">
            <v>0</v>
          </cell>
          <cell r="CR99">
            <v>0</v>
          </cell>
          <cell r="CT99">
            <v>0</v>
          </cell>
          <cell r="CV99">
            <v>0</v>
          </cell>
          <cell r="CX99">
            <v>0</v>
          </cell>
          <cell r="CZ99">
            <v>0</v>
          </cell>
          <cell r="DB99">
            <v>0</v>
          </cell>
          <cell r="DD99">
            <v>0</v>
          </cell>
          <cell r="DF99">
            <v>0</v>
          </cell>
          <cell r="DH99">
            <v>0</v>
          </cell>
          <cell r="DJ99">
            <v>0</v>
          </cell>
          <cell r="DL99">
            <v>0</v>
          </cell>
          <cell r="DN99">
            <v>0</v>
          </cell>
          <cell r="DP99">
            <v>0</v>
          </cell>
          <cell r="DR99">
            <v>0</v>
          </cell>
          <cell r="DT99">
            <v>0</v>
          </cell>
          <cell r="DV99">
            <v>0</v>
          </cell>
          <cell r="DX99">
            <v>0</v>
          </cell>
          <cell r="DZ99">
            <v>0</v>
          </cell>
          <cell r="EB99">
            <v>0</v>
          </cell>
          <cell r="ED99">
            <v>0</v>
          </cell>
          <cell r="EF99">
            <v>0</v>
          </cell>
          <cell r="EH99">
            <v>0</v>
          </cell>
          <cell r="EJ99">
            <v>0</v>
          </cell>
          <cell r="EL99">
            <v>0</v>
          </cell>
          <cell r="EN99">
            <v>0</v>
          </cell>
          <cell r="EP99">
            <v>0</v>
          </cell>
          <cell r="ER99">
            <v>0</v>
          </cell>
          <cell r="ET99">
            <v>0</v>
          </cell>
          <cell r="EV99">
            <v>0</v>
          </cell>
          <cell r="EX99">
            <v>0</v>
          </cell>
          <cell r="EZ99">
            <v>0</v>
          </cell>
          <cell r="FB99">
            <v>0</v>
          </cell>
          <cell r="FD99">
            <v>0</v>
          </cell>
          <cell r="FF99">
            <v>0</v>
          </cell>
          <cell r="FH99">
            <v>0</v>
          </cell>
          <cell r="FJ99">
            <v>0</v>
          </cell>
          <cell r="FL99">
            <v>0</v>
          </cell>
          <cell r="FN99">
            <v>0</v>
          </cell>
          <cell r="FP99">
            <v>0</v>
          </cell>
          <cell r="FR99">
            <v>0</v>
          </cell>
          <cell r="FT99">
            <v>0</v>
          </cell>
          <cell r="FV99">
            <v>0</v>
          </cell>
          <cell r="GD99">
            <v>14</v>
          </cell>
          <cell r="GF99">
            <v>4</v>
          </cell>
          <cell r="GH99">
            <v>1</v>
          </cell>
          <cell r="GJ99">
            <v>7</v>
          </cell>
          <cell r="GM99">
            <v>0.01</v>
          </cell>
          <cell r="GN9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99">
            <v>0</v>
          </cell>
          <cell r="GQ99" t="e">
            <v>#REF!</v>
          </cell>
          <cell r="GR99">
            <v>0</v>
          </cell>
          <cell r="GS99">
            <v>0</v>
          </cell>
          <cell r="GT99">
            <v>0</v>
          </cell>
          <cell r="GW99" t="str">
            <v>（一）施工廠商施工前檢查事項辦理情形：█完成 □未完成 （二）其他工地安全衛生督導事項：</v>
          </cell>
          <cell r="GX99">
            <v>853901</v>
          </cell>
          <cell r="GY99">
            <v>0</v>
          </cell>
        </row>
        <row r="100">
          <cell r="I100">
            <v>1</v>
          </cell>
          <cell r="N100">
            <v>1</v>
          </cell>
          <cell r="P100">
            <v>1</v>
          </cell>
          <cell r="R100">
            <v>672</v>
          </cell>
          <cell r="T100">
            <v>108</v>
          </cell>
          <cell r="V100">
            <v>661</v>
          </cell>
          <cell r="X100">
            <v>2</v>
          </cell>
          <cell r="Z100">
            <v>1</v>
          </cell>
          <cell r="AB100">
            <v>661</v>
          </cell>
          <cell r="AD100">
            <v>2</v>
          </cell>
          <cell r="AF100">
            <v>1</v>
          </cell>
          <cell r="AH100">
            <v>1</v>
          </cell>
          <cell r="AJ100">
            <v>1</v>
          </cell>
          <cell r="AL100">
            <v>0</v>
          </cell>
          <cell r="AN100">
            <v>0</v>
          </cell>
          <cell r="AP100">
            <v>0</v>
          </cell>
          <cell r="AR100">
            <v>0</v>
          </cell>
          <cell r="AT100">
            <v>0</v>
          </cell>
          <cell r="AV100">
            <v>0</v>
          </cell>
          <cell r="AX100">
            <v>0</v>
          </cell>
          <cell r="AZ100">
            <v>0</v>
          </cell>
          <cell r="BB100">
            <v>0</v>
          </cell>
          <cell r="BD100">
            <v>0</v>
          </cell>
          <cell r="BF100">
            <v>0</v>
          </cell>
          <cell r="BH100">
            <v>0</v>
          </cell>
          <cell r="BJ100">
            <v>0</v>
          </cell>
          <cell r="BL100">
            <v>0</v>
          </cell>
          <cell r="BN100">
            <v>0</v>
          </cell>
          <cell r="BP100">
            <v>0</v>
          </cell>
          <cell r="BR100">
            <v>0</v>
          </cell>
          <cell r="BT100">
            <v>0</v>
          </cell>
          <cell r="BV100">
            <v>0</v>
          </cell>
          <cell r="BX100">
            <v>0</v>
          </cell>
          <cell r="BZ100">
            <v>0</v>
          </cell>
          <cell r="CB100">
            <v>0</v>
          </cell>
          <cell r="CD100">
            <v>0</v>
          </cell>
          <cell r="CF100">
            <v>0</v>
          </cell>
          <cell r="CH100">
            <v>0</v>
          </cell>
          <cell r="CJ100">
            <v>0</v>
          </cell>
          <cell r="CL100">
            <v>0</v>
          </cell>
          <cell r="CN100">
            <v>0</v>
          </cell>
          <cell r="CP100">
            <v>0</v>
          </cell>
          <cell r="CR100">
            <v>0</v>
          </cell>
          <cell r="CT100">
            <v>0</v>
          </cell>
          <cell r="CV100">
            <v>0</v>
          </cell>
          <cell r="CX100">
            <v>0</v>
          </cell>
          <cell r="CZ100">
            <v>0</v>
          </cell>
          <cell r="DB100">
            <v>0</v>
          </cell>
          <cell r="DD100">
            <v>0</v>
          </cell>
          <cell r="DF100">
            <v>0</v>
          </cell>
          <cell r="DH100">
            <v>0</v>
          </cell>
          <cell r="DJ100">
            <v>0</v>
          </cell>
          <cell r="DL100">
            <v>0</v>
          </cell>
          <cell r="DN100">
            <v>0</v>
          </cell>
          <cell r="DP100">
            <v>0</v>
          </cell>
          <cell r="DR100">
            <v>0</v>
          </cell>
          <cell r="DT100">
            <v>0</v>
          </cell>
          <cell r="DV100">
            <v>0</v>
          </cell>
          <cell r="DX100">
            <v>0</v>
          </cell>
          <cell r="DZ100">
            <v>0</v>
          </cell>
          <cell r="EB100">
            <v>0</v>
          </cell>
          <cell r="ED100">
            <v>0</v>
          </cell>
          <cell r="EF100">
            <v>0</v>
          </cell>
          <cell r="EH100">
            <v>0</v>
          </cell>
          <cell r="EJ100">
            <v>0</v>
          </cell>
          <cell r="EL100">
            <v>0</v>
          </cell>
          <cell r="EN100">
            <v>0</v>
          </cell>
          <cell r="EP100">
            <v>0</v>
          </cell>
          <cell r="ER100">
            <v>0</v>
          </cell>
          <cell r="ET100">
            <v>0</v>
          </cell>
          <cell r="EV100">
            <v>0</v>
          </cell>
          <cell r="EX100">
            <v>0</v>
          </cell>
          <cell r="EZ100">
            <v>0</v>
          </cell>
          <cell r="FB100">
            <v>0</v>
          </cell>
          <cell r="FD100">
            <v>0</v>
          </cell>
          <cell r="FF100">
            <v>0</v>
          </cell>
          <cell r="FH100">
            <v>0</v>
          </cell>
          <cell r="FJ100">
            <v>0</v>
          </cell>
          <cell r="FL100">
            <v>0</v>
          </cell>
          <cell r="FN100">
            <v>0</v>
          </cell>
          <cell r="FP100">
            <v>0</v>
          </cell>
          <cell r="FR100">
            <v>0</v>
          </cell>
          <cell r="FT100">
            <v>0</v>
          </cell>
          <cell r="FV100">
            <v>0</v>
          </cell>
          <cell r="GD100">
            <v>14</v>
          </cell>
          <cell r="GF100">
            <v>4</v>
          </cell>
          <cell r="GH100">
            <v>1</v>
          </cell>
          <cell r="GJ100">
            <v>7</v>
          </cell>
          <cell r="GM100">
            <v>0.01</v>
          </cell>
          <cell r="GN10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0">
            <v>0</v>
          </cell>
          <cell r="GQ100" t="e">
            <v>#REF!</v>
          </cell>
          <cell r="GR100">
            <v>0</v>
          </cell>
          <cell r="GS100">
            <v>0</v>
          </cell>
          <cell r="GT100">
            <v>0</v>
          </cell>
          <cell r="GW100" t="str">
            <v>（一）施工廠商施工前檢查事項辦理情形：█完成 □未完成 （二）其他工地安全衛生督導事項：</v>
          </cell>
          <cell r="GX100">
            <v>853901</v>
          </cell>
          <cell r="GY100">
            <v>0</v>
          </cell>
        </row>
        <row r="101">
          <cell r="I101">
            <v>1</v>
          </cell>
          <cell r="N101">
            <v>1</v>
          </cell>
          <cell r="P101">
            <v>1</v>
          </cell>
          <cell r="R101">
            <v>672</v>
          </cell>
          <cell r="T101">
            <v>108</v>
          </cell>
          <cell r="V101">
            <v>661</v>
          </cell>
          <cell r="X101">
            <v>2</v>
          </cell>
          <cell r="Z101">
            <v>1</v>
          </cell>
          <cell r="AB101">
            <v>661</v>
          </cell>
          <cell r="AD101">
            <v>2</v>
          </cell>
          <cell r="AF101">
            <v>1</v>
          </cell>
          <cell r="AH101">
            <v>1</v>
          </cell>
          <cell r="AJ101">
            <v>1</v>
          </cell>
          <cell r="AL101">
            <v>0</v>
          </cell>
          <cell r="AN101">
            <v>0</v>
          </cell>
          <cell r="AP101">
            <v>0</v>
          </cell>
          <cell r="AR101">
            <v>0</v>
          </cell>
          <cell r="AT101">
            <v>0</v>
          </cell>
          <cell r="AV101">
            <v>0</v>
          </cell>
          <cell r="AX101">
            <v>0</v>
          </cell>
          <cell r="AZ101">
            <v>0</v>
          </cell>
          <cell r="BB101">
            <v>0</v>
          </cell>
          <cell r="BD101">
            <v>0</v>
          </cell>
          <cell r="BF101">
            <v>0</v>
          </cell>
          <cell r="BH101">
            <v>0</v>
          </cell>
          <cell r="BJ101">
            <v>0</v>
          </cell>
          <cell r="BL101">
            <v>0</v>
          </cell>
          <cell r="BN101">
            <v>0</v>
          </cell>
          <cell r="BP101">
            <v>0</v>
          </cell>
          <cell r="BR101">
            <v>0</v>
          </cell>
          <cell r="BT101">
            <v>0</v>
          </cell>
          <cell r="BV101">
            <v>0</v>
          </cell>
          <cell r="BX101">
            <v>0</v>
          </cell>
          <cell r="BZ101">
            <v>0</v>
          </cell>
          <cell r="CB101">
            <v>0</v>
          </cell>
          <cell r="CD101">
            <v>0</v>
          </cell>
          <cell r="CF101">
            <v>0</v>
          </cell>
          <cell r="CH101">
            <v>0</v>
          </cell>
          <cell r="CJ101">
            <v>0</v>
          </cell>
          <cell r="CL101">
            <v>0</v>
          </cell>
          <cell r="CN101">
            <v>0</v>
          </cell>
          <cell r="CP101">
            <v>0</v>
          </cell>
          <cell r="CR101">
            <v>0</v>
          </cell>
          <cell r="CT101">
            <v>0</v>
          </cell>
          <cell r="CV101">
            <v>0</v>
          </cell>
          <cell r="CX101">
            <v>0</v>
          </cell>
          <cell r="CZ101">
            <v>0</v>
          </cell>
          <cell r="DB101">
            <v>0</v>
          </cell>
          <cell r="DD101">
            <v>0</v>
          </cell>
          <cell r="DF101">
            <v>0</v>
          </cell>
          <cell r="DH101">
            <v>0</v>
          </cell>
          <cell r="DJ101">
            <v>0</v>
          </cell>
          <cell r="DL101">
            <v>0</v>
          </cell>
          <cell r="DN101">
            <v>0</v>
          </cell>
          <cell r="DP101">
            <v>0</v>
          </cell>
          <cell r="DR101">
            <v>0</v>
          </cell>
          <cell r="DT101">
            <v>0</v>
          </cell>
          <cell r="DV101">
            <v>0</v>
          </cell>
          <cell r="DX101">
            <v>0</v>
          </cell>
          <cell r="DZ101">
            <v>0</v>
          </cell>
          <cell r="EB101">
            <v>0</v>
          </cell>
          <cell r="ED101">
            <v>0</v>
          </cell>
          <cell r="EF101">
            <v>0</v>
          </cell>
          <cell r="EH101">
            <v>0</v>
          </cell>
          <cell r="EJ101">
            <v>0</v>
          </cell>
          <cell r="EL101">
            <v>0</v>
          </cell>
          <cell r="EN101">
            <v>0</v>
          </cell>
          <cell r="EP101">
            <v>0</v>
          </cell>
          <cell r="ER101">
            <v>0</v>
          </cell>
          <cell r="ET101">
            <v>0</v>
          </cell>
          <cell r="EV101">
            <v>0</v>
          </cell>
          <cell r="EX101">
            <v>0</v>
          </cell>
          <cell r="EZ101">
            <v>0</v>
          </cell>
          <cell r="FB101">
            <v>0</v>
          </cell>
          <cell r="FD101">
            <v>0</v>
          </cell>
          <cell r="FF101">
            <v>0</v>
          </cell>
          <cell r="FH101">
            <v>0</v>
          </cell>
          <cell r="FJ101">
            <v>0</v>
          </cell>
          <cell r="FL101">
            <v>0</v>
          </cell>
          <cell r="FN101">
            <v>0</v>
          </cell>
          <cell r="FP101">
            <v>0</v>
          </cell>
          <cell r="FR101">
            <v>0</v>
          </cell>
          <cell r="FT101">
            <v>0</v>
          </cell>
          <cell r="FV101">
            <v>0</v>
          </cell>
          <cell r="GD101">
            <v>14</v>
          </cell>
          <cell r="GF101">
            <v>4</v>
          </cell>
          <cell r="GH101">
            <v>1</v>
          </cell>
          <cell r="GJ101">
            <v>7</v>
          </cell>
          <cell r="GM101">
            <v>0.01</v>
          </cell>
          <cell r="GN10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W101" t="str">
            <v>（一）施工廠商施工前檢查事項辦理情形：█完成 □未完成 （二）其他工地安全衛生督導事項：</v>
          </cell>
          <cell r="GX101">
            <v>853901</v>
          </cell>
          <cell r="GY101">
            <v>0</v>
          </cell>
        </row>
        <row r="102">
          <cell r="I102">
            <v>1</v>
          </cell>
          <cell r="N102">
            <v>1</v>
          </cell>
          <cell r="P102">
            <v>1</v>
          </cell>
          <cell r="R102">
            <v>672</v>
          </cell>
          <cell r="T102">
            <v>108</v>
          </cell>
          <cell r="V102">
            <v>661</v>
          </cell>
          <cell r="X102">
            <v>2</v>
          </cell>
          <cell r="Z102">
            <v>1</v>
          </cell>
          <cell r="AB102">
            <v>661</v>
          </cell>
          <cell r="AD102">
            <v>2</v>
          </cell>
          <cell r="AF102">
            <v>1</v>
          </cell>
          <cell r="AH102">
            <v>1</v>
          </cell>
          <cell r="AJ102">
            <v>1</v>
          </cell>
          <cell r="AL102">
            <v>0</v>
          </cell>
          <cell r="AN102">
            <v>0</v>
          </cell>
          <cell r="AP102">
            <v>0</v>
          </cell>
          <cell r="AR102">
            <v>0</v>
          </cell>
          <cell r="AT102">
            <v>0</v>
          </cell>
          <cell r="AV102">
            <v>0</v>
          </cell>
          <cell r="AX102">
            <v>0</v>
          </cell>
          <cell r="AZ102">
            <v>0</v>
          </cell>
          <cell r="BB102">
            <v>0</v>
          </cell>
          <cell r="BD102">
            <v>0</v>
          </cell>
          <cell r="BF102">
            <v>0</v>
          </cell>
          <cell r="BH102">
            <v>0</v>
          </cell>
          <cell r="BJ102">
            <v>0</v>
          </cell>
          <cell r="BL102">
            <v>0</v>
          </cell>
          <cell r="BN102">
            <v>0</v>
          </cell>
          <cell r="BP102">
            <v>0</v>
          </cell>
          <cell r="BR102">
            <v>0</v>
          </cell>
          <cell r="BT102">
            <v>0</v>
          </cell>
          <cell r="BV102">
            <v>0</v>
          </cell>
          <cell r="BX102">
            <v>0</v>
          </cell>
          <cell r="BZ102">
            <v>0</v>
          </cell>
          <cell r="CB102">
            <v>0</v>
          </cell>
          <cell r="CD102">
            <v>0</v>
          </cell>
          <cell r="CF102">
            <v>0</v>
          </cell>
          <cell r="CH102">
            <v>0</v>
          </cell>
          <cell r="CJ102">
            <v>0</v>
          </cell>
          <cell r="CL102">
            <v>0</v>
          </cell>
          <cell r="CN102">
            <v>0</v>
          </cell>
          <cell r="CP102">
            <v>0</v>
          </cell>
          <cell r="CR102">
            <v>0</v>
          </cell>
          <cell r="CT102">
            <v>0</v>
          </cell>
          <cell r="CV102">
            <v>0</v>
          </cell>
          <cell r="CX102">
            <v>0</v>
          </cell>
          <cell r="CZ102">
            <v>0</v>
          </cell>
          <cell r="DB102">
            <v>0</v>
          </cell>
          <cell r="DD102">
            <v>0</v>
          </cell>
          <cell r="DF102">
            <v>0</v>
          </cell>
          <cell r="DH102">
            <v>0</v>
          </cell>
          <cell r="DJ102">
            <v>0</v>
          </cell>
          <cell r="DL102">
            <v>0</v>
          </cell>
          <cell r="DN102">
            <v>0</v>
          </cell>
          <cell r="DP102">
            <v>0</v>
          </cell>
          <cell r="DR102">
            <v>0</v>
          </cell>
          <cell r="DT102">
            <v>0</v>
          </cell>
          <cell r="DV102">
            <v>0</v>
          </cell>
          <cell r="DX102">
            <v>0</v>
          </cell>
          <cell r="DZ102">
            <v>0</v>
          </cell>
          <cell r="EB102">
            <v>0</v>
          </cell>
          <cell r="ED102">
            <v>0</v>
          </cell>
          <cell r="EF102">
            <v>0</v>
          </cell>
          <cell r="EH102">
            <v>0</v>
          </cell>
          <cell r="EJ102">
            <v>0</v>
          </cell>
          <cell r="EL102">
            <v>0</v>
          </cell>
          <cell r="EN102">
            <v>0</v>
          </cell>
          <cell r="EP102">
            <v>0</v>
          </cell>
          <cell r="ER102">
            <v>0</v>
          </cell>
          <cell r="ET102">
            <v>0</v>
          </cell>
          <cell r="EV102">
            <v>0</v>
          </cell>
          <cell r="EX102">
            <v>0</v>
          </cell>
          <cell r="EZ102">
            <v>0</v>
          </cell>
          <cell r="FB102">
            <v>0</v>
          </cell>
          <cell r="FD102">
            <v>0</v>
          </cell>
          <cell r="FF102">
            <v>0</v>
          </cell>
          <cell r="FH102">
            <v>0</v>
          </cell>
          <cell r="FJ102">
            <v>0</v>
          </cell>
          <cell r="FL102">
            <v>0</v>
          </cell>
          <cell r="FN102">
            <v>0</v>
          </cell>
          <cell r="FP102">
            <v>0</v>
          </cell>
          <cell r="FR102">
            <v>0</v>
          </cell>
          <cell r="FT102">
            <v>0</v>
          </cell>
          <cell r="FV102">
            <v>0</v>
          </cell>
          <cell r="GD102">
            <v>14</v>
          </cell>
          <cell r="GF102">
            <v>4</v>
          </cell>
          <cell r="GH102">
            <v>1</v>
          </cell>
          <cell r="GJ102">
            <v>7</v>
          </cell>
          <cell r="GM102">
            <v>0.01</v>
          </cell>
          <cell r="GN10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W102" t="str">
            <v>（一）施工廠商施工前檢查事項辦理情形：█完成 □未完成 （二）其他工地安全衛生督導事項：</v>
          </cell>
          <cell r="GX102">
            <v>853901</v>
          </cell>
          <cell r="GY102">
            <v>0</v>
          </cell>
        </row>
        <row r="103">
          <cell r="I103">
            <v>1</v>
          </cell>
          <cell r="N103">
            <v>1</v>
          </cell>
          <cell r="P103">
            <v>1</v>
          </cell>
          <cell r="R103">
            <v>672</v>
          </cell>
          <cell r="T103">
            <v>108</v>
          </cell>
          <cell r="V103">
            <v>661</v>
          </cell>
          <cell r="X103">
            <v>2</v>
          </cell>
          <cell r="Z103">
            <v>1</v>
          </cell>
          <cell r="AB103">
            <v>661</v>
          </cell>
          <cell r="AD103">
            <v>2</v>
          </cell>
          <cell r="AF103">
            <v>1</v>
          </cell>
          <cell r="AH103">
            <v>1</v>
          </cell>
          <cell r="AJ103">
            <v>1</v>
          </cell>
          <cell r="AL103">
            <v>0</v>
          </cell>
          <cell r="AN103">
            <v>0</v>
          </cell>
          <cell r="AP103">
            <v>0</v>
          </cell>
          <cell r="AR103">
            <v>0</v>
          </cell>
          <cell r="AT103">
            <v>0</v>
          </cell>
          <cell r="AV103">
            <v>0</v>
          </cell>
          <cell r="AX103">
            <v>0</v>
          </cell>
          <cell r="AZ103">
            <v>0</v>
          </cell>
          <cell r="BB103">
            <v>0</v>
          </cell>
          <cell r="BD103">
            <v>0</v>
          </cell>
          <cell r="BF103">
            <v>0</v>
          </cell>
          <cell r="BH103">
            <v>0</v>
          </cell>
          <cell r="BJ103">
            <v>0</v>
          </cell>
          <cell r="BL103">
            <v>0</v>
          </cell>
          <cell r="BN103">
            <v>0</v>
          </cell>
          <cell r="BP103">
            <v>0</v>
          </cell>
          <cell r="BR103">
            <v>0</v>
          </cell>
          <cell r="BT103">
            <v>0</v>
          </cell>
          <cell r="BV103">
            <v>0</v>
          </cell>
          <cell r="BX103">
            <v>0</v>
          </cell>
          <cell r="BZ103">
            <v>0</v>
          </cell>
          <cell r="CB103">
            <v>0</v>
          </cell>
          <cell r="CD103">
            <v>0</v>
          </cell>
          <cell r="CF103">
            <v>0</v>
          </cell>
          <cell r="CH103">
            <v>0</v>
          </cell>
          <cell r="CJ103">
            <v>0</v>
          </cell>
          <cell r="CL103">
            <v>0</v>
          </cell>
          <cell r="CN103">
            <v>0</v>
          </cell>
          <cell r="CP103">
            <v>0</v>
          </cell>
          <cell r="CR103">
            <v>0</v>
          </cell>
          <cell r="CT103">
            <v>0</v>
          </cell>
          <cell r="CV103">
            <v>0</v>
          </cell>
          <cell r="CX103">
            <v>0</v>
          </cell>
          <cell r="CZ103">
            <v>0</v>
          </cell>
          <cell r="DB103">
            <v>0</v>
          </cell>
          <cell r="DD103">
            <v>0</v>
          </cell>
          <cell r="DF103">
            <v>0</v>
          </cell>
          <cell r="DH103">
            <v>0</v>
          </cell>
          <cell r="DJ103">
            <v>0</v>
          </cell>
          <cell r="DL103">
            <v>0</v>
          </cell>
          <cell r="DN103">
            <v>0</v>
          </cell>
          <cell r="DP103">
            <v>0</v>
          </cell>
          <cell r="DR103">
            <v>0</v>
          </cell>
          <cell r="DT103">
            <v>0</v>
          </cell>
          <cell r="DV103">
            <v>0</v>
          </cell>
          <cell r="DX103">
            <v>0</v>
          </cell>
          <cell r="DZ103">
            <v>0</v>
          </cell>
          <cell r="EB103">
            <v>0</v>
          </cell>
          <cell r="ED103">
            <v>0</v>
          </cell>
          <cell r="EF103">
            <v>0</v>
          </cell>
          <cell r="EH103">
            <v>0</v>
          </cell>
          <cell r="EJ103">
            <v>0</v>
          </cell>
          <cell r="EL103">
            <v>0</v>
          </cell>
          <cell r="EN103">
            <v>0</v>
          </cell>
          <cell r="EP103">
            <v>0</v>
          </cell>
          <cell r="ER103">
            <v>0</v>
          </cell>
          <cell r="ET103">
            <v>0</v>
          </cell>
          <cell r="EV103">
            <v>0</v>
          </cell>
          <cell r="EX103">
            <v>0</v>
          </cell>
          <cell r="EZ103">
            <v>0</v>
          </cell>
          <cell r="FB103">
            <v>0</v>
          </cell>
          <cell r="FD103">
            <v>0</v>
          </cell>
          <cell r="FF103">
            <v>0</v>
          </cell>
          <cell r="FH103">
            <v>0</v>
          </cell>
          <cell r="FJ103">
            <v>0</v>
          </cell>
          <cell r="FL103">
            <v>0</v>
          </cell>
          <cell r="FN103">
            <v>0</v>
          </cell>
          <cell r="FP103">
            <v>0</v>
          </cell>
          <cell r="FR103">
            <v>0</v>
          </cell>
          <cell r="FT103">
            <v>0</v>
          </cell>
          <cell r="FV103">
            <v>0</v>
          </cell>
          <cell r="GD103">
            <v>14</v>
          </cell>
          <cell r="GF103">
            <v>4</v>
          </cell>
          <cell r="GH103">
            <v>1</v>
          </cell>
          <cell r="GJ103">
            <v>7</v>
          </cell>
          <cell r="GM103">
            <v>0.01</v>
          </cell>
          <cell r="GN10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W103" t="str">
            <v>（一）施工廠商施工前檢查事項辦理情形：█完成 □未完成 （二）其他工地安全衛生督導事項：</v>
          </cell>
          <cell r="GX103">
            <v>853901</v>
          </cell>
          <cell r="GY103">
            <v>0</v>
          </cell>
        </row>
        <row r="104">
          <cell r="I104">
            <v>1</v>
          </cell>
          <cell r="N104">
            <v>1</v>
          </cell>
          <cell r="P104">
            <v>1</v>
          </cell>
          <cell r="R104">
            <v>672</v>
          </cell>
          <cell r="T104">
            <v>108</v>
          </cell>
          <cell r="V104">
            <v>661</v>
          </cell>
          <cell r="X104">
            <v>2</v>
          </cell>
          <cell r="Z104">
            <v>1</v>
          </cell>
          <cell r="AB104">
            <v>661</v>
          </cell>
          <cell r="AD104">
            <v>2</v>
          </cell>
          <cell r="AF104">
            <v>1</v>
          </cell>
          <cell r="AH104">
            <v>1</v>
          </cell>
          <cell r="AJ104">
            <v>1</v>
          </cell>
          <cell r="AL104">
            <v>0</v>
          </cell>
          <cell r="AN104">
            <v>0</v>
          </cell>
          <cell r="AP104">
            <v>0</v>
          </cell>
          <cell r="AR104">
            <v>0</v>
          </cell>
          <cell r="AT104">
            <v>0</v>
          </cell>
          <cell r="AV104">
            <v>0</v>
          </cell>
          <cell r="AX104">
            <v>0</v>
          </cell>
          <cell r="AZ104">
            <v>0</v>
          </cell>
          <cell r="BB104">
            <v>0</v>
          </cell>
          <cell r="BD104">
            <v>0</v>
          </cell>
          <cell r="BF104">
            <v>0</v>
          </cell>
          <cell r="BH104">
            <v>0</v>
          </cell>
          <cell r="BJ104">
            <v>0</v>
          </cell>
          <cell r="BL104">
            <v>0</v>
          </cell>
          <cell r="BN104">
            <v>0</v>
          </cell>
          <cell r="BP104">
            <v>0</v>
          </cell>
          <cell r="BR104">
            <v>0</v>
          </cell>
          <cell r="BT104">
            <v>0</v>
          </cell>
          <cell r="BV104">
            <v>0</v>
          </cell>
          <cell r="BX104">
            <v>0</v>
          </cell>
          <cell r="BZ104">
            <v>0</v>
          </cell>
          <cell r="CB104">
            <v>0</v>
          </cell>
          <cell r="CD104">
            <v>0</v>
          </cell>
          <cell r="CF104">
            <v>0</v>
          </cell>
          <cell r="CH104">
            <v>0</v>
          </cell>
          <cell r="CJ104">
            <v>0</v>
          </cell>
          <cell r="CL104">
            <v>0</v>
          </cell>
          <cell r="CN104">
            <v>0</v>
          </cell>
          <cell r="CP104">
            <v>0</v>
          </cell>
          <cell r="CR104">
            <v>0</v>
          </cell>
          <cell r="CT104">
            <v>0</v>
          </cell>
          <cell r="CV104">
            <v>0</v>
          </cell>
          <cell r="CX104">
            <v>0</v>
          </cell>
          <cell r="CZ104">
            <v>0</v>
          </cell>
          <cell r="DB104">
            <v>0</v>
          </cell>
          <cell r="DD104">
            <v>0</v>
          </cell>
          <cell r="DF104">
            <v>0</v>
          </cell>
          <cell r="DH104">
            <v>0</v>
          </cell>
          <cell r="DJ104">
            <v>0</v>
          </cell>
          <cell r="DL104">
            <v>0</v>
          </cell>
          <cell r="DN104">
            <v>0</v>
          </cell>
          <cell r="DP104">
            <v>0</v>
          </cell>
          <cell r="DR104">
            <v>0</v>
          </cell>
          <cell r="DT104">
            <v>0</v>
          </cell>
          <cell r="DV104">
            <v>0</v>
          </cell>
          <cell r="DX104">
            <v>0</v>
          </cell>
          <cell r="DZ104">
            <v>0</v>
          </cell>
          <cell r="EB104">
            <v>0</v>
          </cell>
          <cell r="ED104">
            <v>0</v>
          </cell>
          <cell r="EF104">
            <v>0</v>
          </cell>
          <cell r="EH104">
            <v>0</v>
          </cell>
          <cell r="EJ104">
            <v>0</v>
          </cell>
          <cell r="EL104">
            <v>0</v>
          </cell>
          <cell r="EN104">
            <v>0</v>
          </cell>
          <cell r="EP104">
            <v>0</v>
          </cell>
          <cell r="ER104">
            <v>0</v>
          </cell>
          <cell r="ET104">
            <v>0</v>
          </cell>
          <cell r="EV104">
            <v>0</v>
          </cell>
          <cell r="EX104">
            <v>0</v>
          </cell>
          <cell r="EZ104">
            <v>0</v>
          </cell>
          <cell r="FB104">
            <v>0</v>
          </cell>
          <cell r="FD104">
            <v>0</v>
          </cell>
          <cell r="FF104">
            <v>0</v>
          </cell>
          <cell r="FH104">
            <v>0</v>
          </cell>
          <cell r="FJ104">
            <v>0</v>
          </cell>
          <cell r="FL104">
            <v>0</v>
          </cell>
          <cell r="FN104">
            <v>0</v>
          </cell>
          <cell r="FP104">
            <v>0</v>
          </cell>
          <cell r="FR104">
            <v>0</v>
          </cell>
          <cell r="FT104">
            <v>0</v>
          </cell>
          <cell r="FV104">
            <v>0</v>
          </cell>
          <cell r="GD104">
            <v>14</v>
          </cell>
          <cell r="GF104">
            <v>4</v>
          </cell>
          <cell r="GH104">
            <v>1</v>
          </cell>
          <cell r="GJ104">
            <v>7</v>
          </cell>
          <cell r="GM104">
            <v>0.01</v>
          </cell>
          <cell r="GN10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W104" t="str">
            <v>（一）施工廠商施工前檢查事項辦理情形：█完成 □未完成 （二）其他工地安全衛生督導事項：</v>
          </cell>
          <cell r="GX104">
            <v>853901</v>
          </cell>
          <cell r="GY104">
            <v>0</v>
          </cell>
        </row>
        <row r="105">
          <cell r="I105">
            <v>1</v>
          </cell>
          <cell r="N105">
            <v>1</v>
          </cell>
          <cell r="P105">
            <v>1</v>
          </cell>
          <cell r="R105">
            <v>672</v>
          </cell>
          <cell r="T105">
            <v>108</v>
          </cell>
          <cell r="V105">
            <v>661</v>
          </cell>
          <cell r="X105">
            <v>2</v>
          </cell>
          <cell r="Z105">
            <v>1</v>
          </cell>
          <cell r="AB105">
            <v>661</v>
          </cell>
          <cell r="AD105">
            <v>2</v>
          </cell>
          <cell r="AF105">
            <v>1</v>
          </cell>
          <cell r="AH105">
            <v>1</v>
          </cell>
          <cell r="AJ105">
            <v>1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0</v>
          </cell>
          <cell r="AV105">
            <v>0</v>
          </cell>
          <cell r="AX105">
            <v>0</v>
          </cell>
          <cell r="AZ105">
            <v>0</v>
          </cell>
          <cell r="BB105">
            <v>0</v>
          </cell>
          <cell r="BD105">
            <v>0</v>
          </cell>
          <cell r="BF105">
            <v>0</v>
          </cell>
          <cell r="BH105">
            <v>0</v>
          </cell>
          <cell r="BJ105">
            <v>0</v>
          </cell>
          <cell r="BL105">
            <v>0</v>
          </cell>
          <cell r="BN105">
            <v>0</v>
          </cell>
          <cell r="BP105">
            <v>0</v>
          </cell>
          <cell r="BR105">
            <v>0</v>
          </cell>
          <cell r="BT105">
            <v>0</v>
          </cell>
          <cell r="BV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0</v>
          </cell>
          <cell r="CV105">
            <v>0</v>
          </cell>
          <cell r="CX105">
            <v>0</v>
          </cell>
          <cell r="CZ105">
            <v>0</v>
          </cell>
          <cell r="DB105">
            <v>0</v>
          </cell>
          <cell r="DD105">
            <v>0</v>
          </cell>
          <cell r="DF105">
            <v>0</v>
          </cell>
          <cell r="DH105">
            <v>0</v>
          </cell>
          <cell r="DJ105">
            <v>0</v>
          </cell>
          <cell r="DL105">
            <v>0</v>
          </cell>
          <cell r="DN105">
            <v>0</v>
          </cell>
          <cell r="DP105">
            <v>0</v>
          </cell>
          <cell r="DR105">
            <v>0</v>
          </cell>
          <cell r="DT105">
            <v>0</v>
          </cell>
          <cell r="DV105">
            <v>0</v>
          </cell>
          <cell r="DX105">
            <v>0</v>
          </cell>
          <cell r="DZ105">
            <v>0</v>
          </cell>
          <cell r="EB105">
            <v>0</v>
          </cell>
          <cell r="ED105">
            <v>0</v>
          </cell>
          <cell r="EF105">
            <v>0</v>
          </cell>
          <cell r="EH105">
            <v>0</v>
          </cell>
          <cell r="EJ105">
            <v>0</v>
          </cell>
          <cell r="EL105">
            <v>0</v>
          </cell>
          <cell r="EN105">
            <v>0</v>
          </cell>
          <cell r="EP105">
            <v>0</v>
          </cell>
          <cell r="ER105">
            <v>0</v>
          </cell>
          <cell r="ET105">
            <v>0</v>
          </cell>
          <cell r="EV105">
            <v>0</v>
          </cell>
          <cell r="EX105">
            <v>0</v>
          </cell>
          <cell r="EZ105">
            <v>0</v>
          </cell>
          <cell r="FB105">
            <v>0</v>
          </cell>
          <cell r="FD105">
            <v>0</v>
          </cell>
          <cell r="FF105">
            <v>0</v>
          </cell>
          <cell r="FH105">
            <v>0</v>
          </cell>
          <cell r="FJ105">
            <v>0</v>
          </cell>
          <cell r="FL105">
            <v>0</v>
          </cell>
          <cell r="FN105">
            <v>0</v>
          </cell>
          <cell r="FP105">
            <v>0</v>
          </cell>
          <cell r="FR105">
            <v>0</v>
          </cell>
          <cell r="FT105">
            <v>0</v>
          </cell>
          <cell r="FV105">
            <v>0</v>
          </cell>
          <cell r="GD105">
            <v>14</v>
          </cell>
          <cell r="GF105">
            <v>4</v>
          </cell>
          <cell r="GH105">
            <v>1</v>
          </cell>
          <cell r="GJ105">
            <v>7</v>
          </cell>
          <cell r="GM105">
            <v>0.01</v>
          </cell>
          <cell r="GN10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W105" t="str">
            <v>（一）施工廠商施工前檢查事項辦理情形：█完成 □未完成 （二）其他工地安全衛生督導事項：</v>
          </cell>
          <cell r="GX105">
            <v>853901</v>
          </cell>
          <cell r="GY105">
            <v>0</v>
          </cell>
        </row>
        <row r="106">
          <cell r="I106">
            <v>1</v>
          </cell>
          <cell r="N106">
            <v>1</v>
          </cell>
          <cell r="P106">
            <v>1</v>
          </cell>
          <cell r="R106">
            <v>672</v>
          </cell>
          <cell r="T106">
            <v>108</v>
          </cell>
          <cell r="V106">
            <v>661</v>
          </cell>
          <cell r="X106">
            <v>2</v>
          </cell>
          <cell r="Z106">
            <v>1</v>
          </cell>
          <cell r="AB106">
            <v>661</v>
          </cell>
          <cell r="AD106">
            <v>2</v>
          </cell>
          <cell r="AF106">
            <v>1</v>
          </cell>
          <cell r="AH106">
            <v>1</v>
          </cell>
          <cell r="AJ106">
            <v>1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0</v>
          </cell>
          <cell r="AV106">
            <v>0</v>
          </cell>
          <cell r="AX106">
            <v>0</v>
          </cell>
          <cell r="AZ106">
            <v>0</v>
          </cell>
          <cell r="BB106">
            <v>0</v>
          </cell>
          <cell r="BD106">
            <v>0</v>
          </cell>
          <cell r="BF106">
            <v>0</v>
          </cell>
          <cell r="BH106">
            <v>0</v>
          </cell>
          <cell r="BJ106">
            <v>0</v>
          </cell>
          <cell r="BL106">
            <v>0</v>
          </cell>
          <cell r="BN106">
            <v>0</v>
          </cell>
          <cell r="BP106">
            <v>0</v>
          </cell>
          <cell r="BR106">
            <v>0</v>
          </cell>
          <cell r="BT106">
            <v>0</v>
          </cell>
          <cell r="BV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0</v>
          </cell>
          <cell r="CV106">
            <v>0</v>
          </cell>
          <cell r="CX106">
            <v>0</v>
          </cell>
          <cell r="CZ106">
            <v>0</v>
          </cell>
          <cell r="DB106">
            <v>0</v>
          </cell>
          <cell r="DD106">
            <v>0</v>
          </cell>
          <cell r="DF106">
            <v>0</v>
          </cell>
          <cell r="DH106">
            <v>0</v>
          </cell>
          <cell r="DJ106">
            <v>0</v>
          </cell>
          <cell r="DL106">
            <v>0</v>
          </cell>
          <cell r="DN106">
            <v>0</v>
          </cell>
          <cell r="DP106">
            <v>0</v>
          </cell>
          <cell r="DR106">
            <v>0</v>
          </cell>
          <cell r="DT106">
            <v>0</v>
          </cell>
          <cell r="DV106">
            <v>0</v>
          </cell>
          <cell r="DX106">
            <v>0</v>
          </cell>
          <cell r="DZ106">
            <v>0</v>
          </cell>
          <cell r="EB106">
            <v>0</v>
          </cell>
          <cell r="ED106">
            <v>0</v>
          </cell>
          <cell r="EF106">
            <v>0</v>
          </cell>
          <cell r="EH106">
            <v>0</v>
          </cell>
          <cell r="EJ106">
            <v>0</v>
          </cell>
          <cell r="EL106">
            <v>0</v>
          </cell>
          <cell r="EN106">
            <v>0</v>
          </cell>
          <cell r="EP106">
            <v>0</v>
          </cell>
          <cell r="ER106">
            <v>0</v>
          </cell>
          <cell r="ET106">
            <v>0</v>
          </cell>
          <cell r="EV106">
            <v>0</v>
          </cell>
          <cell r="EX106">
            <v>0</v>
          </cell>
          <cell r="EZ106">
            <v>0</v>
          </cell>
          <cell r="FB106">
            <v>0</v>
          </cell>
          <cell r="FD106">
            <v>0</v>
          </cell>
          <cell r="FF106">
            <v>0</v>
          </cell>
          <cell r="FH106">
            <v>0</v>
          </cell>
          <cell r="FJ106">
            <v>0</v>
          </cell>
          <cell r="FL106">
            <v>0</v>
          </cell>
          <cell r="FN106">
            <v>0</v>
          </cell>
          <cell r="FP106">
            <v>0</v>
          </cell>
          <cell r="FR106">
            <v>0</v>
          </cell>
          <cell r="FT106">
            <v>0</v>
          </cell>
          <cell r="FV106">
            <v>0</v>
          </cell>
          <cell r="GD106">
            <v>14</v>
          </cell>
          <cell r="GF106">
            <v>4</v>
          </cell>
          <cell r="GH106">
            <v>1</v>
          </cell>
          <cell r="GJ106">
            <v>7</v>
          </cell>
          <cell r="GM106">
            <v>0.01</v>
          </cell>
          <cell r="GN10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W106" t="str">
            <v>（一）施工廠商施工前檢查事項辦理情形：█完成 □未完成 （二）其他工地安全衛生督導事項：</v>
          </cell>
          <cell r="GX106">
            <v>853901</v>
          </cell>
          <cell r="GY106">
            <v>0</v>
          </cell>
        </row>
        <row r="107">
          <cell r="I107">
            <v>1</v>
          </cell>
          <cell r="N107">
            <v>1</v>
          </cell>
          <cell r="P107">
            <v>1</v>
          </cell>
          <cell r="R107">
            <v>672</v>
          </cell>
          <cell r="T107">
            <v>108</v>
          </cell>
          <cell r="V107">
            <v>661</v>
          </cell>
          <cell r="X107">
            <v>2</v>
          </cell>
          <cell r="Z107">
            <v>1</v>
          </cell>
          <cell r="AB107">
            <v>661</v>
          </cell>
          <cell r="AD107">
            <v>2</v>
          </cell>
          <cell r="AF107">
            <v>1</v>
          </cell>
          <cell r="AH107">
            <v>1</v>
          </cell>
          <cell r="AJ107">
            <v>1</v>
          </cell>
          <cell r="AL107">
            <v>0</v>
          </cell>
          <cell r="AN107">
            <v>0</v>
          </cell>
          <cell r="AP107">
            <v>0</v>
          </cell>
          <cell r="AR107">
            <v>0</v>
          </cell>
          <cell r="AT107">
            <v>0</v>
          </cell>
          <cell r="AV107">
            <v>0</v>
          </cell>
          <cell r="AX107">
            <v>0</v>
          </cell>
          <cell r="AZ107">
            <v>0</v>
          </cell>
          <cell r="BB107">
            <v>0</v>
          </cell>
          <cell r="BD107">
            <v>0</v>
          </cell>
          <cell r="BF107">
            <v>0</v>
          </cell>
          <cell r="BH107">
            <v>0</v>
          </cell>
          <cell r="BJ107">
            <v>0</v>
          </cell>
          <cell r="BL107">
            <v>0</v>
          </cell>
          <cell r="BN107">
            <v>0</v>
          </cell>
          <cell r="BP107">
            <v>0</v>
          </cell>
          <cell r="BR107">
            <v>0</v>
          </cell>
          <cell r="BT107">
            <v>0</v>
          </cell>
          <cell r="BV107">
            <v>0</v>
          </cell>
          <cell r="BX107">
            <v>0</v>
          </cell>
          <cell r="BZ107">
            <v>0</v>
          </cell>
          <cell r="CB107">
            <v>0</v>
          </cell>
          <cell r="CD107">
            <v>0</v>
          </cell>
          <cell r="CF107">
            <v>0</v>
          </cell>
          <cell r="CH107">
            <v>0</v>
          </cell>
          <cell r="CJ107">
            <v>0</v>
          </cell>
          <cell r="CL107">
            <v>0</v>
          </cell>
          <cell r="CN107">
            <v>0</v>
          </cell>
          <cell r="CP107">
            <v>0</v>
          </cell>
          <cell r="CR107">
            <v>0</v>
          </cell>
          <cell r="CT107">
            <v>0</v>
          </cell>
          <cell r="CV107">
            <v>0</v>
          </cell>
          <cell r="CX107">
            <v>0</v>
          </cell>
          <cell r="CZ107">
            <v>0</v>
          </cell>
          <cell r="DB107">
            <v>0</v>
          </cell>
          <cell r="DD107">
            <v>0</v>
          </cell>
          <cell r="DF107">
            <v>0</v>
          </cell>
          <cell r="DH107">
            <v>0</v>
          </cell>
          <cell r="DJ107">
            <v>0</v>
          </cell>
          <cell r="DL107">
            <v>0</v>
          </cell>
          <cell r="DN107">
            <v>0</v>
          </cell>
          <cell r="DP107">
            <v>0</v>
          </cell>
          <cell r="DR107">
            <v>0</v>
          </cell>
          <cell r="DT107">
            <v>0</v>
          </cell>
          <cell r="DV107">
            <v>0</v>
          </cell>
          <cell r="DX107">
            <v>0</v>
          </cell>
          <cell r="DZ107">
            <v>0</v>
          </cell>
          <cell r="EB107">
            <v>0</v>
          </cell>
          <cell r="ED107">
            <v>0</v>
          </cell>
          <cell r="EF107">
            <v>0</v>
          </cell>
          <cell r="EH107">
            <v>0</v>
          </cell>
          <cell r="EJ107">
            <v>0</v>
          </cell>
          <cell r="EL107">
            <v>0</v>
          </cell>
          <cell r="EN107">
            <v>0</v>
          </cell>
          <cell r="EP107">
            <v>0</v>
          </cell>
          <cell r="ER107">
            <v>0</v>
          </cell>
          <cell r="ET107">
            <v>0</v>
          </cell>
          <cell r="EV107">
            <v>0</v>
          </cell>
          <cell r="EX107">
            <v>0</v>
          </cell>
          <cell r="EZ107">
            <v>0</v>
          </cell>
          <cell r="FB107">
            <v>0</v>
          </cell>
          <cell r="FD107">
            <v>0</v>
          </cell>
          <cell r="FF107">
            <v>0</v>
          </cell>
          <cell r="FH107">
            <v>0</v>
          </cell>
          <cell r="FJ107">
            <v>0</v>
          </cell>
          <cell r="FL107">
            <v>0</v>
          </cell>
          <cell r="FN107">
            <v>0</v>
          </cell>
          <cell r="FP107">
            <v>0</v>
          </cell>
          <cell r="FR107">
            <v>0</v>
          </cell>
          <cell r="FT107">
            <v>0</v>
          </cell>
          <cell r="FV107">
            <v>0</v>
          </cell>
          <cell r="GD107">
            <v>14</v>
          </cell>
          <cell r="GF107">
            <v>4</v>
          </cell>
          <cell r="GH107">
            <v>1</v>
          </cell>
          <cell r="GJ107">
            <v>7</v>
          </cell>
          <cell r="GM107">
            <v>0.01</v>
          </cell>
          <cell r="GN10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7">
            <v>0</v>
          </cell>
          <cell r="GQ107" t="e">
            <v>#REF!</v>
          </cell>
          <cell r="GR107">
            <v>0</v>
          </cell>
          <cell r="GS107">
            <v>0</v>
          </cell>
          <cell r="GT107">
            <v>0</v>
          </cell>
          <cell r="GW107" t="str">
            <v>（一）施工廠商施工前檢查事項辦理情形：█完成 □未完成 （二）其他工地安全衛生督導事項：</v>
          </cell>
          <cell r="GX107">
            <v>853901</v>
          </cell>
          <cell r="GY107">
            <v>0</v>
          </cell>
        </row>
        <row r="108">
          <cell r="I108">
            <v>1</v>
          </cell>
          <cell r="N108">
            <v>1</v>
          </cell>
          <cell r="P108">
            <v>1</v>
          </cell>
          <cell r="R108">
            <v>672</v>
          </cell>
          <cell r="T108">
            <v>108</v>
          </cell>
          <cell r="V108">
            <v>661</v>
          </cell>
          <cell r="X108">
            <v>2</v>
          </cell>
          <cell r="Z108">
            <v>1</v>
          </cell>
          <cell r="AB108">
            <v>661</v>
          </cell>
          <cell r="AD108">
            <v>2</v>
          </cell>
          <cell r="AF108">
            <v>1</v>
          </cell>
          <cell r="AH108">
            <v>1</v>
          </cell>
          <cell r="AJ108">
            <v>1</v>
          </cell>
          <cell r="AL108">
            <v>0</v>
          </cell>
          <cell r="AN108">
            <v>0</v>
          </cell>
          <cell r="AP108">
            <v>0</v>
          </cell>
          <cell r="AR108">
            <v>0</v>
          </cell>
          <cell r="AT108">
            <v>0</v>
          </cell>
          <cell r="AV108">
            <v>0</v>
          </cell>
          <cell r="AX108">
            <v>0</v>
          </cell>
          <cell r="AZ108">
            <v>0</v>
          </cell>
          <cell r="BB108">
            <v>0</v>
          </cell>
          <cell r="BD108">
            <v>0</v>
          </cell>
          <cell r="BF108">
            <v>0</v>
          </cell>
          <cell r="BH108">
            <v>0</v>
          </cell>
          <cell r="BJ108">
            <v>0</v>
          </cell>
          <cell r="BL108">
            <v>0</v>
          </cell>
          <cell r="BN108">
            <v>0</v>
          </cell>
          <cell r="BP108">
            <v>0</v>
          </cell>
          <cell r="BR108">
            <v>0</v>
          </cell>
          <cell r="BT108">
            <v>0</v>
          </cell>
          <cell r="BV108">
            <v>0</v>
          </cell>
          <cell r="BX108">
            <v>0</v>
          </cell>
          <cell r="BZ108">
            <v>0</v>
          </cell>
          <cell r="CB108">
            <v>0</v>
          </cell>
          <cell r="CD108">
            <v>0</v>
          </cell>
          <cell r="CF108">
            <v>0</v>
          </cell>
          <cell r="CH108">
            <v>0</v>
          </cell>
          <cell r="CJ108">
            <v>0</v>
          </cell>
          <cell r="CL108">
            <v>0</v>
          </cell>
          <cell r="CN108">
            <v>0</v>
          </cell>
          <cell r="CP108">
            <v>0</v>
          </cell>
          <cell r="CR108">
            <v>0</v>
          </cell>
          <cell r="CT108">
            <v>0</v>
          </cell>
          <cell r="CV108">
            <v>0</v>
          </cell>
          <cell r="CX108">
            <v>0</v>
          </cell>
          <cell r="CZ108">
            <v>0</v>
          </cell>
          <cell r="DB108">
            <v>0</v>
          </cell>
          <cell r="DD108">
            <v>0</v>
          </cell>
          <cell r="DF108">
            <v>0</v>
          </cell>
          <cell r="DH108">
            <v>0</v>
          </cell>
          <cell r="DJ108">
            <v>0</v>
          </cell>
          <cell r="DL108">
            <v>0</v>
          </cell>
          <cell r="DN108">
            <v>0</v>
          </cell>
          <cell r="DP108">
            <v>0</v>
          </cell>
          <cell r="DR108">
            <v>0</v>
          </cell>
          <cell r="DT108">
            <v>0</v>
          </cell>
          <cell r="DV108">
            <v>0</v>
          </cell>
          <cell r="DX108">
            <v>0</v>
          </cell>
          <cell r="DZ108">
            <v>0</v>
          </cell>
          <cell r="EB108">
            <v>0</v>
          </cell>
          <cell r="ED108">
            <v>0</v>
          </cell>
          <cell r="EF108">
            <v>0</v>
          </cell>
          <cell r="EH108">
            <v>0</v>
          </cell>
          <cell r="EJ108">
            <v>0</v>
          </cell>
          <cell r="EL108">
            <v>0</v>
          </cell>
          <cell r="EN108">
            <v>0</v>
          </cell>
          <cell r="EP108">
            <v>0</v>
          </cell>
          <cell r="ER108">
            <v>0</v>
          </cell>
          <cell r="ET108">
            <v>0</v>
          </cell>
          <cell r="EV108">
            <v>0</v>
          </cell>
          <cell r="EX108">
            <v>0</v>
          </cell>
          <cell r="EZ108">
            <v>0</v>
          </cell>
          <cell r="FB108">
            <v>0</v>
          </cell>
          <cell r="FD108">
            <v>0</v>
          </cell>
          <cell r="FF108">
            <v>0</v>
          </cell>
          <cell r="FH108">
            <v>0</v>
          </cell>
          <cell r="FJ108">
            <v>0</v>
          </cell>
          <cell r="FL108">
            <v>0</v>
          </cell>
          <cell r="FN108">
            <v>0</v>
          </cell>
          <cell r="FP108">
            <v>0</v>
          </cell>
          <cell r="FR108">
            <v>0</v>
          </cell>
          <cell r="FT108">
            <v>0</v>
          </cell>
          <cell r="FV108">
            <v>0</v>
          </cell>
          <cell r="GD108">
            <v>14</v>
          </cell>
          <cell r="GF108">
            <v>4</v>
          </cell>
          <cell r="GH108">
            <v>1</v>
          </cell>
          <cell r="GJ108">
            <v>7</v>
          </cell>
          <cell r="GM108">
            <v>0.01</v>
          </cell>
          <cell r="GN10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8">
            <v>0</v>
          </cell>
          <cell r="GQ108" t="e">
            <v>#REF!</v>
          </cell>
          <cell r="GR108">
            <v>0</v>
          </cell>
          <cell r="GS108">
            <v>0</v>
          </cell>
          <cell r="GT108">
            <v>0</v>
          </cell>
          <cell r="GW108" t="str">
            <v>（一）施工廠商施工前檢查事項辦理情形：█完成 □未完成 （二）其他工地安全衛生督導事項：</v>
          </cell>
          <cell r="GX108">
            <v>853901</v>
          </cell>
          <cell r="GY108">
            <v>0</v>
          </cell>
        </row>
        <row r="109">
          <cell r="I109">
            <v>1</v>
          </cell>
          <cell r="N109">
            <v>1</v>
          </cell>
          <cell r="P109">
            <v>1</v>
          </cell>
          <cell r="R109">
            <v>672</v>
          </cell>
          <cell r="T109">
            <v>108</v>
          </cell>
          <cell r="V109">
            <v>661</v>
          </cell>
          <cell r="X109">
            <v>2</v>
          </cell>
          <cell r="Z109">
            <v>1</v>
          </cell>
          <cell r="AB109">
            <v>661</v>
          </cell>
          <cell r="AD109">
            <v>2</v>
          </cell>
          <cell r="AF109">
            <v>1</v>
          </cell>
          <cell r="AH109">
            <v>1</v>
          </cell>
          <cell r="AJ109">
            <v>1</v>
          </cell>
          <cell r="AL109">
            <v>0</v>
          </cell>
          <cell r="AN109">
            <v>0</v>
          </cell>
          <cell r="AP109">
            <v>0</v>
          </cell>
          <cell r="AR109">
            <v>0</v>
          </cell>
          <cell r="AT109">
            <v>0</v>
          </cell>
          <cell r="AV109">
            <v>0</v>
          </cell>
          <cell r="AX109">
            <v>0</v>
          </cell>
          <cell r="AZ109">
            <v>0</v>
          </cell>
          <cell r="BB109">
            <v>0</v>
          </cell>
          <cell r="BD109">
            <v>0</v>
          </cell>
          <cell r="BF109">
            <v>0</v>
          </cell>
          <cell r="BH109">
            <v>0</v>
          </cell>
          <cell r="BJ109">
            <v>0</v>
          </cell>
          <cell r="BL109">
            <v>0</v>
          </cell>
          <cell r="BN109">
            <v>0</v>
          </cell>
          <cell r="BP109">
            <v>0</v>
          </cell>
          <cell r="BR109">
            <v>0</v>
          </cell>
          <cell r="BT109">
            <v>0</v>
          </cell>
          <cell r="BV109">
            <v>0</v>
          </cell>
          <cell r="BX109">
            <v>0</v>
          </cell>
          <cell r="BZ109">
            <v>0</v>
          </cell>
          <cell r="CB109">
            <v>0</v>
          </cell>
          <cell r="CD109">
            <v>0</v>
          </cell>
          <cell r="CF109">
            <v>0</v>
          </cell>
          <cell r="CH109">
            <v>0</v>
          </cell>
          <cell r="CJ109">
            <v>0</v>
          </cell>
          <cell r="CL109">
            <v>0</v>
          </cell>
          <cell r="CN109">
            <v>0</v>
          </cell>
          <cell r="CP109">
            <v>0</v>
          </cell>
          <cell r="CR109">
            <v>0</v>
          </cell>
          <cell r="CT109">
            <v>0</v>
          </cell>
          <cell r="CV109">
            <v>0</v>
          </cell>
          <cell r="CX109">
            <v>0</v>
          </cell>
          <cell r="CZ109">
            <v>0</v>
          </cell>
          <cell r="DB109">
            <v>0</v>
          </cell>
          <cell r="DD109">
            <v>0</v>
          </cell>
          <cell r="DF109">
            <v>0</v>
          </cell>
          <cell r="DH109">
            <v>0</v>
          </cell>
          <cell r="DJ109">
            <v>0</v>
          </cell>
          <cell r="DL109">
            <v>0</v>
          </cell>
          <cell r="DN109">
            <v>0</v>
          </cell>
          <cell r="DP109">
            <v>0</v>
          </cell>
          <cell r="DR109">
            <v>0</v>
          </cell>
          <cell r="DT109">
            <v>0</v>
          </cell>
          <cell r="DV109">
            <v>0</v>
          </cell>
          <cell r="DX109">
            <v>0</v>
          </cell>
          <cell r="DZ109">
            <v>0</v>
          </cell>
          <cell r="EB109">
            <v>0</v>
          </cell>
          <cell r="ED109">
            <v>0</v>
          </cell>
          <cell r="EF109">
            <v>0</v>
          </cell>
          <cell r="EH109">
            <v>0</v>
          </cell>
          <cell r="EJ109">
            <v>0</v>
          </cell>
          <cell r="EL109">
            <v>0</v>
          </cell>
          <cell r="EN109">
            <v>0</v>
          </cell>
          <cell r="EP109">
            <v>0</v>
          </cell>
          <cell r="ER109">
            <v>0</v>
          </cell>
          <cell r="ET109">
            <v>0</v>
          </cell>
          <cell r="EV109">
            <v>0</v>
          </cell>
          <cell r="EX109">
            <v>0</v>
          </cell>
          <cell r="EZ109">
            <v>0</v>
          </cell>
          <cell r="FB109">
            <v>0</v>
          </cell>
          <cell r="FD109">
            <v>0</v>
          </cell>
          <cell r="FF109">
            <v>0</v>
          </cell>
          <cell r="FH109">
            <v>0</v>
          </cell>
          <cell r="FJ109">
            <v>0</v>
          </cell>
          <cell r="FL109">
            <v>0</v>
          </cell>
          <cell r="FN109">
            <v>0</v>
          </cell>
          <cell r="FP109">
            <v>0</v>
          </cell>
          <cell r="FR109">
            <v>0</v>
          </cell>
          <cell r="FT109">
            <v>0</v>
          </cell>
          <cell r="FV109">
            <v>0</v>
          </cell>
          <cell r="GD109">
            <v>14</v>
          </cell>
          <cell r="GF109">
            <v>4</v>
          </cell>
          <cell r="GH109">
            <v>1</v>
          </cell>
          <cell r="GJ109">
            <v>7</v>
          </cell>
          <cell r="GM109">
            <v>0.01</v>
          </cell>
          <cell r="GN10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09">
            <v>0</v>
          </cell>
          <cell r="GQ109" t="e">
            <v>#REF!</v>
          </cell>
          <cell r="GR109">
            <v>0</v>
          </cell>
          <cell r="GS109">
            <v>0</v>
          </cell>
          <cell r="GT109">
            <v>0</v>
          </cell>
          <cell r="GW109" t="str">
            <v>（一）施工廠商施工前檢查事項辦理情形：█完成 □未完成 （二）其他工地安全衛生督導事項：</v>
          </cell>
          <cell r="GX109">
            <v>853901</v>
          </cell>
          <cell r="GY109">
            <v>0</v>
          </cell>
        </row>
        <row r="110">
          <cell r="I110">
            <v>1</v>
          </cell>
          <cell r="N110">
            <v>1</v>
          </cell>
          <cell r="P110">
            <v>1</v>
          </cell>
          <cell r="R110">
            <v>672</v>
          </cell>
          <cell r="T110">
            <v>108</v>
          </cell>
          <cell r="V110">
            <v>661</v>
          </cell>
          <cell r="X110">
            <v>2</v>
          </cell>
          <cell r="Z110">
            <v>1</v>
          </cell>
          <cell r="AB110">
            <v>661</v>
          </cell>
          <cell r="AD110">
            <v>2</v>
          </cell>
          <cell r="AF110">
            <v>1</v>
          </cell>
          <cell r="AH110">
            <v>1</v>
          </cell>
          <cell r="AJ110">
            <v>1</v>
          </cell>
          <cell r="AL110">
            <v>0</v>
          </cell>
          <cell r="AN110">
            <v>0</v>
          </cell>
          <cell r="AP110">
            <v>0</v>
          </cell>
          <cell r="AR110">
            <v>0</v>
          </cell>
          <cell r="AT110">
            <v>0</v>
          </cell>
          <cell r="AV110">
            <v>0</v>
          </cell>
          <cell r="AX110">
            <v>0</v>
          </cell>
          <cell r="AZ110">
            <v>0</v>
          </cell>
          <cell r="BB110">
            <v>0</v>
          </cell>
          <cell r="BD110">
            <v>0</v>
          </cell>
          <cell r="BF110">
            <v>0</v>
          </cell>
          <cell r="BH110">
            <v>0</v>
          </cell>
          <cell r="BJ110">
            <v>0</v>
          </cell>
          <cell r="BL110">
            <v>0</v>
          </cell>
          <cell r="BN110">
            <v>0</v>
          </cell>
          <cell r="BP110">
            <v>0</v>
          </cell>
          <cell r="BR110">
            <v>0</v>
          </cell>
          <cell r="BT110">
            <v>0</v>
          </cell>
          <cell r="BV110">
            <v>0</v>
          </cell>
          <cell r="BX110">
            <v>0</v>
          </cell>
          <cell r="BZ110">
            <v>0</v>
          </cell>
          <cell r="CB110">
            <v>0</v>
          </cell>
          <cell r="CD110">
            <v>0</v>
          </cell>
          <cell r="CF110">
            <v>0</v>
          </cell>
          <cell r="CH110">
            <v>0</v>
          </cell>
          <cell r="CJ110">
            <v>0</v>
          </cell>
          <cell r="CL110">
            <v>0</v>
          </cell>
          <cell r="CN110">
            <v>0</v>
          </cell>
          <cell r="CP110">
            <v>0</v>
          </cell>
          <cell r="CR110">
            <v>0</v>
          </cell>
          <cell r="CT110">
            <v>0</v>
          </cell>
          <cell r="CV110">
            <v>0</v>
          </cell>
          <cell r="CX110">
            <v>0</v>
          </cell>
          <cell r="CZ110">
            <v>0</v>
          </cell>
          <cell r="DB110">
            <v>0</v>
          </cell>
          <cell r="DD110">
            <v>0</v>
          </cell>
          <cell r="DF110">
            <v>0</v>
          </cell>
          <cell r="DH110">
            <v>0</v>
          </cell>
          <cell r="DJ110">
            <v>0</v>
          </cell>
          <cell r="DL110">
            <v>0</v>
          </cell>
          <cell r="DN110">
            <v>0</v>
          </cell>
          <cell r="DP110">
            <v>0</v>
          </cell>
          <cell r="DR110">
            <v>0</v>
          </cell>
          <cell r="DT110">
            <v>0</v>
          </cell>
          <cell r="DV110">
            <v>0</v>
          </cell>
          <cell r="DX110">
            <v>0</v>
          </cell>
          <cell r="DZ110">
            <v>0</v>
          </cell>
          <cell r="EB110">
            <v>0</v>
          </cell>
          <cell r="ED110">
            <v>0</v>
          </cell>
          <cell r="EF110">
            <v>0</v>
          </cell>
          <cell r="EH110">
            <v>0</v>
          </cell>
          <cell r="EJ110">
            <v>0</v>
          </cell>
          <cell r="EL110">
            <v>0</v>
          </cell>
          <cell r="EN110">
            <v>0</v>
          </cell>
          <cell r="EP110">
            <v>0</v>
          </cell>
          <cell r="ER110">
            <v>0</v>
          </cell>
          <cell r="ET110">
            <v>0</v>
          </cell>
          <cell r="EV110">
            <v>0</v>
          </cell>
          <cell r="EX110">
            <v>0</v>
          </cell>
          <cell r="EZ110">
            <v>0</v>
          </cell>
          <cell r="FB110">
            <v>0</v>
          </cell>
          <cell r="FD110">
            <v>0</v>
          </cell>
          <cell r="FF110">
            <v>0</v>
          </cell>
          <cell r="FH110">
            <v>0</v>
          </cell>
          <cell r="FJ110">
            <v>0</v>
          </cell>
          <cell r="FL110">
            <v>0</v>
          </cell>
          <cell r="FN110">
            <v>0</v>
          </cell>
          <cell r="FP110">
            <v>0</v>
          </cell>
          <cell r="FR110">
            <v>0</v>
          </cell>
          <cell r="FT110">
            <v>0</v>
          </cell>
          <cell r="FV110">
            <v>0</v>
          </cell>
          <cell r="GD110">
            <v>14</v>
          </cell>
          <cell r="GF110">
            <v>4</v>
          </cell>
          <cell r="GH110">
            <v>1</v>
          </cell>
          <cell r="GJ110">
            <v>7</v>
          </cell>
          <cell r="GM110">
            <v>0.01</v>
          </cell>
          <cell r="GN11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0">
            <v>0</v>
          </cell>
          <cell r="GQ110" t="e">
            <v>#REF!</v>
          </cell>
          <cell r="GR110">
            <v>0</v>
          </cell>
          <cell r="GS110">
            <v>0</v>
          </cell>
          <cell r="GT110">
            <v>0</v>
          </cell>
          <cell r="GW110" t="str">
            <v>（一）施工廠商施工前檢查事項辦理情形：█完成 □未完成 （二）其他工地安全衛生督導事項：</v>
          </cell>
          <cell r="GX110">
            <v>853901</v>
          </cell>
          <cell r="GY110">
            <v>0</v>
          </cell>
        </row>
        <row r="111">
          <cell r="I111">
            <v>1</v>
          </cell>
          <cell r="N111">
            <v>1</v>
          </cell>
          <cell r="P111">
            <v>1</v>
          </cell>
          <cell r="R111">
            <v>672</v>
          </cell>
          <cell r="T111">
            <v>108</v>
          </cell>
          <cell r="V111">
            <v>661</v>
          </cell>
          <cell r="X111">
            <v>2</v>
          </cell>
          <cell r="Z111">
            <v>1</v>
          </cell>
          <cell r="AB111">
            <v>661</v>
          </cell>
          <cell r="AD111">
            <v>2</v>
          </cell>
          <cell r="AF111">
            <v>1</v>
          </cell>
          <cell r="AH111">
            <v>1</v>
          </cell>
          <cell r="AJ111">
            <v>1</v>
          </cell>
          <cell r="AL111">
            <v>0</v>
          </cell>
          <cell r="AN111">
            <v>0</v>
          </cell>
          <cell r="AP111">
            <v>0</v>
          </cell>
          <cell r="AR111">
            <v>0</v>
          </cell>
          <cell r="AT111">
            <v>0</v>
          </cell>
          <cell r="AV111">
            <v>0</v>
          </cell>
          <cell r="AX111">
            <v>0</v>
          </cell>
          <cell r="AZ111">
            <v>0</v>
          </cell>
          <cell r="BB111">
            <v>0</v>
          </cell>
          <cell r="BD111">
            <v>0</v>
          </cell>
          <cell r="BF111">
            <v>0</v>
          </cell>
          <cell r="BH111">
            <v>0</v>
          </cell>
          <cell r="BJ111">
            <v>0</v>
          </cell>
          <cell r="BL111">
            <v>0</v>
          </cell>
          <cell r="BN111">
            <v>0</v>
          </cell>
          <cell r="BP111">
            <v>0</v>
          </cell>
          <cell r="BR111">
            <v>0</v>
          </cell>
          <cell r="BT111">
            <v>0</v>
          </cell>
          <cell r="BV111">
            <v>0</v>
          </cell>
          <cell r="BX111">
            <v>0</v>
          </cell>
          <cell r="BZ111">
            <v>0</v>
          </cell>
          <cell r="CB111">
            <v>0</v>
          </cell>
          <cell r="CD111">
            <v>0</v>
          </cell>
          <cell r="CF111">
            <v>0</v>
          </cell>
          <cell r="CH111">
            <v>0</v>
          </cell>
          <cell r="CJ111">
            <v>0</v>
          </cell>
          <cell r="CL111">
            <v>0</v>
          </cell>
          <cell r="CN111">
            <v>0</v>
          </cell>
          <cell r="CP111">
            <v>0</v>
          </cell>
          <cell r="CR111">
            <v>0</v>
          </cell>
          <cell r="CT111">
            <v>0</v>
          </cell>
          <cell r="CV111">
            <v>0</v>
          </cell>
          <cell r="CX111">
            <v>0</v>
          </cell>
          <cell r="CZ111">
            <v>0</v>
          </cell>
          <cell r="DB111">
            <v>0</v>
          </cell>
          <cell r="DD111">
            <v>0</v>
          </cell>
          <cell r="DF111">
            <v>0</v>
          </cell>
          <cell r="DH111">
            <v>0</v>
          </cell>
          <cell r="DJ111">
            <v>0</v>
          </cell>
          <cell r="DL111">
            <v>0</v>
          </cell>
          <cell r="DN111">
            <v>0</v>
          </cell>
          <cell r="DP111">
            <v>0</v>
          </cell>
          <cell r="DR111">
            <v>0</v>
          </cell>
          <cell r="DT111">
            <v>0</v>
          </cell>
          <cell r="DV111">
            <v>0</v>
          </cell>
          <cell r="DX111">
            <v>0</v>
          </cell>
          <cell r="DZ111">
            <v>0</v>
          </cell>
          <cell r="EB111">
            <v>0</v>
          </cell>
          <cell r="ED111">
            <v>0</v>
          </cell>
          <cell r="EF111">
            <v>0</v>
          </cell>
          <cell r="EH111">
            <v>0</v>
          </cell>
          <cell r="EJ111">
            <v>0</v>
          </cell>
          <cell r="EL111">
            <v>0</v>
          </cell>
          <cell r="EN111">
            <v>0</v>
          </cell>
          <cell r="EP111">
            <v>0</v>
          </cell>
          <cell r="ER111">
            <v>0</v>
          </cell>
          <cell r="ET111">
            <v>0</v>
          </cell>
          <cell r="EV111">
            <v>0</v>
          </cell>
          <cell r="EX111">
            <v>0</v>
          </cell>
          <cell r="EZ111">
            <v>0</v>
          </cell>
          <cell r="FB111">
            <v>0</v>
          </cell>
          <cell r="FD111">
            <v>0</v>
          </cell>
          <cell r="FF111">
            <v>0</v>
          </cell>
          <cell r="FH111">
            <v>0</v>
          </cell>
          <cell r="FJ111">
            <v>0</v>
          </cell>
          <cell r="FL111">
            <v>0</v>
          </cell>
          <cell r="FN111">
            <v>0</v>
          </cell>
          <cell r="FP111">
            <v>0</v>
          </cell>
          <cell r="FR111">
            <v>0</v>
          </cell>
          <cell r="FT111">
            <v>0</v>
          </cell>
          <cell r="FV111">
            <v>0</v>
          </cell>
          <cell r="GD111">
            <v>14</v>
          </cell>
          <cell r="GF111">
            <v>4</v>
          </cell>
          <cell r="GH111">
            <v>1</v>
          </cell>
          <cell r="GJ111">
            <v>7</v>
          </cell>
          <cell r="GM111">
            <v>0.01</v>
          </cell>
          <cell r="GN11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1">
            <v>0</v>
          </cell>
          <cell r="GQ111" t="e">
            <v>#REF!</v>
          </cell>
          <cell r="GR111">
            <v>0</v>
          </cell>
          <cell r="GS111">
            <v>0</v>
          </cell>
          <cell r="GT111">
            <v>0</v>
          </cell>
          <cell r="GW111" t="str">
            <v>（一）施工廠商施工前檢查事項辦理情形：█完成 □未完成 （二）其他工地安全衛生督導事項：</v>
          </cell>
          <cell r="GX111">
            <v>853901</v>
          </cell>
          <cell r="GY111">
            <v>0</v>
          </cell>
        </row>
        <row r="112">
          <cell r="I112">
            <v>1</v>
          </cell>
          <cell r="N112">
            <v>1</v>
          </cell>
          <cell r="P112">
            <v>1</v>
          </cell>
          <cell r="R112">
            <v>672</v>
          </cell>
          <cell r="T112">
            <v>108</v>
          </cell>
          <cell r="V112">
            <v>661</v>
          </cell>
          <cell r="X112">
            <v>2</v>
          </cell>
          <cell r="Z112">
            <v>1</v>
          </cell>
          <cell r="AB112">
            <v>661</v>
          </cell>
          <cell r="AD112">
            <v>2</v>
          </cell>
          <cell r="AF112">
            <v>1</v>
          </cell>
          <cell r="AH112">
            <v>1</v>
          </cell>
          <cell r="AJ112">
            <v>1</v>
          </cell>
          <cell r="AL112">
            <v>0</v>
          </cell>
          <cell r="AN112">
            <v>0</v>
          </cell>
          <cell r="AP112">
            <v>0</v>
          </cell>
          <cell r="AR112">
            <v>0</v>
          </cell>
          <cell r="AT112">
            <v>0</v>
          </cell>
          <cell r="AV112">
            <v>0</v>
          </cell>
          <cell r="AX112">
            <v>0</v>
          </cell>
          <cell r="AZ112">
            <v>0</v>
          </cell>
          <cell r="BB112">
            <v>0</v>
          </cell>
          <cell r="BD112">
            <v>0</v>
          </cell>
          <cell r="BF112">
            <v>0</v>
          </cell>
          <cell r="BH112">
            <v>0</v>
          </cell>
          <cell r="BJ112">
            <v>0</v>
          </cell>
          <cell r="BL112">
            <v>0</v>
          </cell>
          <cell r="BN112">
            <v>0</v>
          </cell>
          <cell r="BP112">
            <v>0</v>
          </cell>
          <cell r="BR112">
            <v>0</v>
          </cell>
          <cell r="BT112">
            <v>0</v>
          </cell>
          <cell r="BV112">
            <v>0</v>
          </cell>
          <cell r="BX112">
            <v>0</v>
          </cell>
          <cell r="BZ112">
            <v>0</v>
          </cell>
          <cell r="CB112">
            <v>0</v>
          </cell>
          <cell r="CD112">
            <v>0</v>
          </cell>
          <cell r="CF112">
            <v>0</v>
          </cell>
          <cell r="CH112">
            <v>0</v>
          </cell>
          <cell r="CJ112">
            <v>0</v>
          </cell>
          <cell r="CL112">
            <v>0</v>
          </cell>
          <cell r="CN112">
            <v>0</v>
          </cell>
          <cell r="CP112">
            <v>0</v>
          </cell>
          <cell r="CR112">
            <v>0</v>
          </cell>
          <cell r="CT112">
            <v>0</v>
          </cell>
          <cell r="CV112">
            <v>0</v>
          </cell>
          <cell r="CX112">
            <v>0</v>
          </cell>
          <cell r="CZ112">
            <v>0</v>
          </cell>
          <cell r="DB112">
            <v>0</v>
          </cell>
          <cell r="DD112">
            <v>0</v>
          </cell>
          <cell r="DF112">
            <v>0</v>
          </cell>
          <cell r="DH112">
            <v>0</v>
          </cell>
          <cell r="DJ112">
            <v>0</v>
          </cell>
          <cell r="DL112">
            <v>0</v>
          </cell>
          <cell r="DN112">
            <v>0</v>
          </cell>
          <cell r="DP112">
            <v>0</v>
          </cell>
          <cell r="DR112">
            <v>0</v>
          </cell>
          <cell r="DT112">
            <v>0</v>
          </cell>
          <cell r="DV112">
            <v>0</v>
          </cell>
          <cell r="DX112">
            <v>0</v>
          </cell>
          <cell r="DZ112">
            <v>0</v>
          </cell>
          <cell r="EB112">
            <v>0</v>
          </cell>
          <cell r="ED112">
            <v>0</v>
          </cell>
          <cell r="EF112">
            <v>0</v>
          </cell>
          <cell r="EH112">
            <v>0</v>
          </cell>
          <cell r="EJ112">
            <v>0</v>
          </cell>
          <cell r="EL112">
            <v>0</v>
          </cell>
          <cell r="EN112">
            <v>0</v>
          </cell>
          <cell r="EP112">
            <v>0</v>
          </cell>
          <cell r="ER112">
            <v>0</v>
          </cell>
          <cell r="ET112">
            <v>0</v>
          </cell>
          <cell r="EV112">
            <v>0</v>
          </cell>
          <cell r="EX112">
            <v>0</v>
          </cell>
          <cell r="EZ112">
            <v>0</v>
          </cell>
          <cell r="FB112">
            <v>0</v>
          </cell>
          <cell r="FD112">
            <v>0</v>
          </cell>
          <cell r="FF112">
            <v>0</v>
          </cell>
          <cell r="FH112">
            <v>0</v>
          </cell>
          <cell r="FJ112">
            <v>0</v>
          </cell>
          <cell r="FL112">
            <v>0</v>
          </cell>
          <cell r="FN112">
            <v>0</v>
          </cell>
          <cell r="FP112">
            <v>0</v>
          </cell>
          <cell r="FR112">
            <v>0</v>
          </cell>
          <cell r="FT112">
            <v>0</v>
          </cell>
          <cell r="FV112">
            <v>0</v>
          </cell>
          <cell r="GD112">
            <v>14</v>
          </cell>
          <cell r="GF112">
            <v>4</v>
          </cell>
          <cell r="GH112">
            <v>1</v>
          </cell>
          <cell r="GJ112">
            <v>7</v>
          </cell>
          <cell r="GM112">
            <v>0.01</v>
          </cell>
          <cell r="GN11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2">
            <v>0</v>
          </cell>
          <cell r="GQ112" t="e">
            <v>#REF!</v>
          </cell>
          <cell r="GR112">
            <v>0</v>
          </cell>
          <cell r="GS112">
            <v>0</v>
          </cell>
          <cell r="GT112">
            <v>0</v>
          </cell>
          <cell r="GW112" t="str">
            <v>（一）施工廠商施工前檢查事項辦理情形：█完成 □未完成 （二）其他工地安全衛生督導事項：</v>
          </cell>
          <cell r="GX112">
            <v>853901</v>
          </cell>
          <cell r="GY112">
            <v>0</v>
          </cell>
        </row>
        <row r="113">
          <cell r="I113">
            <v>1</v>
          </cell>
          <cell r="N113">
            <v>1</v>
          </cell>
          <cell r="P113">
            <v>1</v>
          </cell>
          <cell r="R113">
            <v>672</v>
          </cell>
          <cell r="T113">
            <v>108</v>
          </cell>
          <cell r="V113">
            <v>661</v>
          </cell>
          <cell r="X113">
            <v>2</v>
          </cell>
          <cell r="Z113">
            <v>1</v>
          </cell>
          <cell r="AB113">
            <v>661</v>
          </cell>
          <cell r="AD113">
            <v>2</v>
          </cell>
          <cell r="AF113">
            <v>1</v>
          </cell>
          <cell r="AH113">
            <v>1</v>
          </cell>
          <cell r="AJ113">
            <v>1</v>
          </cell>
          <cell r="AL113">
            <v>0</v>
          </cell>
          <cell r="AN113">
            <v>0</v>
          </cell>
          <cell r="AP113">
            <v>0</v>
          </cell>
          <cell r="AR113">
            <v>0</v>
          </cell>
          <cell r="AT113">
            <v>0</v>
          </cell>
          <cell r="AV113">
            <v>0</v>
          </cell>
          <cell r="AX113">
            <v>0</v>
          </cell>
          <cell r="AZ113">
            <v>0</v>
          </cell>
          <cell r="BB113">
            <v>0</v>
          </cell>
          <cell r="BD113">
            <v>0</v>
          </cell>
          <cell r="BF113">
            <v>0</v>
          </cell>
          <cell r="BH113">
            <v>0</v>
          </cell>
          <cell r="BJ113">
            <v>0</v>
          </cell>
          <cell r="BL113">
            <v>0</v>
          </cell>
          <cell r="BN113">
            <v>0</v>
          </cell>
          <cell r="BP113">
            <v>0</v>
          </cell>
          <cell r="BR113">
            <v>0</v>
          </cell>
          <cell r="BT113">
            <v>0</v>
          </cell>
          <cell r="BV113">
            <v>0</v>
          </cell>
          <cell r="BX113">
            <v>0</v>
          </cell>
          <cell r="BZ113">
            <v>0</v>
          </cell>
          <cell r="CB113">
            <v>0</v>
          </cell>
          <cell r="CD113">
            <v>0</v>
          </cell>
          <cell r="CF113">
            <v>0</v>
          </cell>
          <cell r="CH113">
            <v>0</v>
          </cell>
          <cell r="CJ113">
            <v>0</v>
          </cell>
          <cell r="CL113">
            <v>0</v>
          </cell>
          <cell r="CN113">
            <v>0</v>
          </cell>
          <cell r="CP113">
            <v>0</v>
          </cell>
          <cell r="CR113">
            <v>0</v>
          </cell>
          <cell r="CT113">
            <v>0</v>
          </cell>
          <cell r="CV113">
            <v>0</v>
          </cell>
          <cell r="CX113">
            <v>0</v>
          </cell>
          <cell r="CZ113">
            <v>0</v>
          </cell>
          <cell r="DB113">
            <v>0</v>
          </cell>
          <cell r="DD113">
            <v>0</v>
          </cell>
          <cell r="DF113">
            <v>0</v>
          </cell>
          <cell r="DH113">
            <v>0</v>
          </cell>
          <cell r="DJ113">
            <v>0</v>
          </cell>
          <cell r="DL113">
            <v>0</v>
          </cell>
          <cell r="DN113">
            <v>0</v>
          </cell>
          <cell r="DP113">
            <v>0</v>
          </cell>
          <cell r="DR113">
            <v>0</v>
          </cell>
          <cell r="DT113">
            <v>0</v>
          </cell>
          <cell r="DV113">
            <v>0</v>
          </cell>
          <cell r="DX113">
            <v>0</v>
          </cell>
          <cell r="DZ113">
            <v>0</v>
          </cell>
          <cell r="EB113">
            <v>0</v>
          </cell>
          <cell r="ED113">
            <v>0</v>
          </cell>
          <cell r="EF113">
            <v>0</v>
          </cell>
          <cell r="EH113">
            <v>0</v>
          </cell>
          <cell r="EJ113">
            <v>0</v>
          </cell>
          <cell r="EL113">
            <v>0</v>
          </cell>
          <cell r="EN113">
            <v>0</v>
          </cell>
          <cell r="EP113">
            <v>0</v>
          </cell>
          <cell r="ER113">
            <v>0</v>
          </cell>
          <cell r="ET113">
            <v>0</v>
          </cell>
          <cell r="EV113">
            <v>0</v>
          </cell>
          <cell r="EX113">
            <v>0</v>
          </cell>
          <cell r="EZ113">
            <v>0</v>
          </cell>
          <cell r="FB113">
            <v>0</v>
          </cell>
          <cell r="FD113">
            <v>0</v>
          </cell>
          <cell r="FF113">
            <v>0</v>
          </cell>
          <cell r="FH113">
            <v>0</v>
          </cell>
          <cell r="FJ113">
            <v>0</v>
          </cell>
          <cell r="FL113">
            <v>0</v>
          </cell>
          <cell r="FN113">
            <v>0</v>
          </cell>
          <cell r="FP113">
            <v>0</v>
          </cell>
          <cell r="FR113">
            <v>0</v>
          </cell>
          <cell r="FT113">
            <v>0</v>
          </cell>
          <cell r="FV113">
            <v>0</v>
          </cell>
          <cell r="GD113">
            <v>14</v>
          </cell>
          <cell r="GF113">
            <v>4</v>
          </cell>
          <cell r="GH113">
            <v>1</v>
          </cell>
          <cell r="GJ113">
            <v>7</v>
          </cell>
          <cell r="GM113">
            <v>0.01</v>
          </cell>
          <cell r="GN11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3">
            <v>0</v>
          </cell>
          <cell r="GQ113" t="e">
            <v>#REF!</v>
          </cell>
          <cell r="GR113">
            <v>0</v>
          </cell>
          <cell r="GS113">
            <v>0</v>
          </cell>
          <cell r="GT113">
            <v>0</v>
          </cell>
          <cell r="GW113" t="str">
            <v>（一）施工廠商施工前檢查事項辦理情形：█完成 □未完成 （二）其他工地安全衛生督導事項：</v>
          </cell>
          <cell r="GX113">
            <v>853901</v>
          </cell>
          <cell r="GY113">
            <v>0</v>
          </cell>
        </row>
        <row r="114">
          <cell r="I114">
            <v>1</v>
          </cell>
          <cell r="N114">
            <v>1</v>
          </cell>
          <cell r="P114">
            <v>1</v>
          </cell>
          <cell r="R114">
            <v>672</v>
          </cell>
          <cell r="T114">
            <v>108</v>
          </cell>
          <cell r="V114">
            <v>661</v>
          </cell>
          <cell r="X114">
            <v>2</v>
          </cell>
          <cell r="Z114">
            <v>1</v>
          </cell>
          <cell r="AB114">
            <v>661</v>
          </cell>
          <cell r="AD114">
            <v>2</v>
          </cell>
          <cell r="AF114">
            <v>1</v>
          </cell>
          <cell r="AH114">
            <v>1</v>
          </cell>
          <cell r="AJ114">
            <v>1</v>
          </cell>
          <cell r="AL114">
            <v>0</v>
          </cell>
          <cell r="AN114">
            <v>0</v>
          </cell>
          <cell r="AP114">
            <v>0</v>
          </cell>
          <cell r="AR114">
            <v>0</v>
          </cell>
          <cell r="AT114">
            <v>0</v>
          </cell>
          <cell r="AV114">
            <v>0</v>
          </cell>
          <cell r="AX114">
            <v>0</v>
          </cell>
          <cell r="AZ114">
            <v>0</v>
          </cell>
          <cell r="BB114">
            <v>0</v>
          </cell>
          <cell r="BD114">
            <v>0</v>
          </cell>
          <cell r="BF114">
            <v>0</v>
          </cell>
          <cell r="BH114">
            <v>0</v>
          </cell>
          <cell r="BJ114">
            <v>0</v>
          </cell>
          <cell r="BL114">
            <v>0</v>
          </cell>
          <cell r="BN114">
            <v>0</v>
          </cell>
          <cell r="BP114">
            <v>0</v>
          </cell>
          <cell r="BR114">
            <v>0</v>
          </cell>
          <cell r="BT114">
            <v>0</v>
          </cell>
          <cell r="BV114">
            <v>0</v>
          </cell>
          <cell r="BX114">
            <v>0</v>
          </cell>
          <cell r="BZ114">
            <v>0</v>
          </cell>
          <cell r="CB114">
            <v>0</v>
          </cell>
          <cell r="CD114">
            <v>0</v>
          </cell>
          <cell r="CF114">
            <v>0</v>
          </cell>
          <cell r="CH114">
            <v>0</v>
          </cell>
          <cell r="CJ114">
            <v>0</v>
          </cell>
          <cell r="CL114">
            <v>0</v>
          </cell>
          <cell r="CN114">
            <v>0</v>
          </cell>
          <cell r="CP114">
            <v>0</v>
          </cell>
          <cell r="CR114">
            <v>0</v>
          </cell>
          <cell r="CT114">
            <v>0</v>
          </cell>
          <cell r="CV114">
            <v>0</v>
          </cell>
          <cell r="CX114">
            <v>0</v>
          </cell>
          <cell r="CZ114">
            <v>0</v>
          </cell>
          <cell r="DB114">
            <v>0</v>
          </cell>
          <cell r="DD114">
            <v>0</v>
          </cell>
          <cell r="DF114">
            <v>0</v>
          </cell>
          <cell r="DH114">
            <v>0</v>
          </cell>
          <cell r="DJ114">
            <v>0</v>
          </cell>
          <cell r="DL114">
            <v>0</v>
          </cell>
          <cell r="DN114">
            <v>0</v>
          </cell>
          <cell r="DP114">
            <v>0</v>
          </cell>
          <cell r="DR114">
            <v>0</v>
          </cell>
          <cell r="DT114">
            <v>0</v>
          </cell>
          <cell r="DV114">
            <v>0</v>
          </cell>
          <cell r="DX114">
            <v>0</v>
          </cell>
          <cell r="DZ114">
            <v>0</v>
          </cell>
          <cell r="EB114">
            <v>0</v>
          </cell>
          <cell r="ED114">
            <v>0</v>
          </cell>
          <cell r="EF114">
            <v>0</v>
          </cell>
          <cell r="EH114">
            <v>0</v>
          </cell>
          <cell r="EJ114">
            <v>0</v>
          </cell>
          <cell r="EL114">
            <v>0</v>
          </cell>
          <cell r="EN114">
            <v>0</v>
          </cell>
          <cell r="EP114">
            <v>0</v>
          </cell>
          <cell r="ER114">
            <v>0</v>
          </cell>
          <cell r="ET114">
            <v>0</v>
          </cell>
          <cell r="EV114">
            <v>0</v>
          </cell>
          <cell r="EX114">
            <v>0</v>
          </cell>
          <cell r="EZ114">
            <v>0</v>
          </cell>
          <cell r="FB114">
            <v>0</v>
          </cell>
          <cell r="FD114">
            <v>0</v>
          </cell>
          <cell r="FF114">
            <v>0</v>
          </cell>
          <cell r="FH114">
            <v>0</v>
          </cell>
          <cell r="FJ114">
            <v>0</v>
          </cell>
          <cell r="FL114">
            <v>0</v>
          </cell>
          <cell r="FN114">
            <v>0</v>
          </cell>
          <cell r="FP114">
            <v>0</v>
          </cell>
          <cell r="FR114">
            <v>0</v>
          </cell>
          <cell r="FT114">
            <v>0</v>
          </cell>
          <cell r="FV114">
            <v>0</v>
          </cell>
          <cell r="GD114">
            <v>14</v>
          </cell>
          <cell r="GF114">
            <v>4</v>
          </cell>
          <cell r="GH114">
            <v>1</v>
          </cell>
          <cell r="GJ114">
            <v>7</v>
          </cell>
          <cell r="GM114">
            <v>0.01</v>
          </cell>
          <cell r="GN11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4">
            <v>0</v>
          </cell>
          <cell r="GQ114" t="e">
            <v>#REF!</v>
          </cell>
          <cell r="GR114">
            <v>0</v>
          </cell>
          <cell r="GS114">
            <v>0</v>
          </cell>
          <cell r="GT114">
            <v>0</v>
          </cell>
          <cell r="GW114" t="str">
            <v>（一）施工廠商施工前檢查事項辦理情形：█完成 □未完成 （二）其他工地安全衛生督導事項：</v>
          </cell>
          <cell r="GX114">
            <v>853901</v>
          </cell>
          <cell r="GY114">
            <v>0</v>
          </cell>
        </row>
        <row r="115">
          <cell r="I115">
            <v>1</v>
          </cell>
          <cell r="N115">
            <v>1</v>
          </cell>
          <cell r="P115">
            <v>1</v>
          </cell>
          <cell r="R115">
            <v>672</v>
          </cell>
          <cell r="T115">
            <v>108</v>
          </cell>
          <cell r="V115">
            <v>661</v>
          </cell>
          <cell r="X115">
            <v>2</v>
          </cell>
          <cell r="Z115">
            <v>1</v>
          </cell>
          <cell r="AB115">
            <v>661</v>
          </cell>
          <cell r="AD115">
            <v>2</v>
          </cell>
          <cell r="AF115">
            <v>1</v>
          </cell>
          <cell r="AH115">
            <v>1</v>
          </cell>
          <cell r="AJ115">
            <v>1</v>
          </cell>
          <cell r="AL115">
            <v>0</v>
          </cell>
          <cell r="AN115">
            <v>0</v>
          </cell>
          <cell r="AP115">
            <v>0</v>
          </cell>
          <cell r="AR115">
            <v>0</v>
          </cell>
          <cell r="AT115">
            <v>0</v>
          </cell>
          <cell r="AV115">
            <v>0</v>
          </cell>
          <cell r="AX115">
            <v>0</v>
          </cell>
          <cell r="AZ115">
            <v>0</v>
          </cell>
          <cell r="BB115">
            <v>0</v>
          </cell>
          <cell r="BD115">
            <v>0</v>
          </cell>
          <cell r="BF115">
            <v>0</v>
          </cell>
          <cell r="BH115">
            <v>0</v>
          </cell>
          <cell r="BJ115">
            <v>0</v>
          </cell>
          <cell r="BL115">
            <v>0</v>
          </cell>
          <cell r="BN115">
            <v>0</v>
          </cell>
          <cell r="BP115">
            <v>0</v>
          </cell>
          <cell r="BR115">
            <v>0</v>
          </cell>
          <cell r="BT115">
            <v>0</v>
          </cell>
          <cell r="BV115">
            <v>0</v>
          </cell>
          <cell r="BX115">
            <v>0</v>
          </cell>
          <cell r="BZ115">
            <v>0</v>
          </cell>
          <cell r="CB115">
            <v>0</v>
          </cell>
          <cell r="CD115">
            <v>0</v>
          </cell>
          <cell r="CF115">
            <v>0</v>
          </cell>
          <cell r="CH115">
            <v>0</v>
          </cell>
          <cell r="CJ115">
            <v>0</v>
          </cell>
          <cell r="CL115">
            <v>0</v>
          </cell>
          <cell r="CN115">
            <v>0</v>
          </cell>
          <cell r="CP115">
            <v>0</v>
          </cell>
          <cell r="CR115">
            <v>0</v>
          </cell>
          <cell r="CT115">
            <v>0</v>
          </cell>
          <cell r="CV115">
            <v>0</v>
          </cell>
          <cell r="CX115">
            <v>0</v>
          </cell>
          <cell r="CZ115">
            <v>0</v>
          </cell>
          <cell r="DB115">
            <v>0</v>
          </cell>
          <cell r="DD115">
            <v>0</v>
          </cell>
          <cell r="DF115">
            <v>0</v>
          </cell>
          <cell r="DH115">
            <v>0</v>
          </cell>
          <cell r="DJ115">
            <v>0</v>
          </cell>
          <cell r="DL115">
            <v>0</v>
          </cell>
          <cell r="DN115">
            <v>0</v>
          </cell>
          <cell r="DP115">
            <v>0</v>
          </cell>
          <cell r="DR115">
            <v>0</v>
          </cell>
          <cell r="DT115">
            <v>0</v>
          </cell>
          <cell r="DV115">
            <v>0</v>
          </cell>
          <cell r="DX115">
            <v>0</v>
          </cell>
          <cell r="DZ115">
            <v>0</v>
          </cell>
          <cell r="EB115">
            <v>0</v>
          </cell>
          <cell r="ED115">
            <v>0</v>
          </cell>
          <cell r="EF115">
            <v>0</v>
          </cell>
          <cell r="EH115">
            <v>0</v>
          </cell>
          <cell r="EJ115">
            <v>0</v>
          </cell>
          <cell r="EL115">
            <v>0</v>
          </cell>
          <cell r="EN115">
            <v>0</v>
          </cell>
          <cell r="EP115">
            <v>0</v>
          </cell>
          <cell r="ER115">
            <v>0</v>
          </cell>
          <cell r="ET115">
            <v>0</v>
          </cell>
          <cell r="EV115">
            <v>0</v>
          </cell>
          <cell r="EX115">
            <v>0</v>
          </cell>
          <cell r="EZ115">
            <v>0</v>
          </cell>
          <cell r="FB115">
            <v>0</v>
          </cell>
          <cell r="FD115">
            <v>0</v>
          </cell>
          <cell r="FF115">
            <v>0</v>
          </cell>
          <cell r="FH115">
            <v>0</v>
          </cell>
          <cell r="FJ115">
            <v>0</v>
          </cell>
          <cell r="FL115">
            <v>0</v>
          </cell>
          <cell r="FN115">
            <v>0</v>
          </cell>
          <cell r="FP115">
            <v>0</v>
          </cell>
          <cell r="FR115">
            <v>0</v>
          </cell>
          <cell r="FT115">
            <v>0</v>
          </cell>
          <cell r="FV115">
            <v>0</v>
          </cell>
          <cell r="GD115">
            <v>14</v>
          </cell>
          <cell r="GF115">
            <v>4</v>
          </cell>
          <cell r="GH115">
            <v>1</v>
          </cell>
          <cell r="GJ115">
            <v>7</v>
          </cell>
          <cell r="GM115">
            <v>0.01</v>
          </cell>
          <cell r="GN11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W115" t="str">
            <v>（一）施工廠商施工前檢查事項辦理情形：█完成 □未完成 （二）其他工地安全衛生督導事項：</v>
          </cell>
          <cell r="GX115">
            <v>853901</v>
          </cell>
          <cell r="GY115">
            <v>0</v>
          </cell>
        </row>
        <row r="116">
          <cell r="I116">
            <v>1</v>
          </cell>
          <cell r="N116">
            <v>1</v>
          </cell>
          <cell r="P116">
            <v>1</v>
          </cell>
          <cell r="R116">
            <v>672</v>
          </cell>
          <cell r="T116">
            <v>108</v>
          </cell>
          <cell r="V116">
            <v>661</v>
          </cell>
          <cell r="X116">
            <v>2</v>
          </cell>
          <cell r="Z116">
            <v>1</v>
          </cell>
          <cell r="AB116">
            <v>661</v>
          </cell>
          <cell r="AD116">
            <v>2</v>
          </cell>
          <cell r="AF116">
            <v>1</v>
          </cell>
          <cell r="AH116">
            <v>1</v>
          </cell>
          <cell r="AJ116">
            <v>1</v>
          </cell>
          <cell r="AL116">
            <v>0</v>
          </cell>
          <cell r="AN116">
            <v>0</v>
          </cell>
          <cell r="AP116">
            <v>0</v>
          </cell>
          <cell r="AR116">
            <v>0</v>
          </cell>
          <cell r="AT116">
            <v>0</v>
          </cell>
          <cell r="AV116">
            <v>0</v>
          </cell>
          <cell r="AX116">
            <v>0</v>
          </cell>
          <cell r="AZ116">
            <v>0</v>
          </cell>
          <cell r="BB116">
            <v>0</v>
          </cell>
          <cell r="BD116">
            <v>0</v>
          </cell>
          <cell r="BF116">
            <v>0</v>
          </cell>
          <cell r="BH116">
            <v>0</v>
          </cell>
          <cell r="BJ116">
            <v>0</v>
          </cell>
          <cell r="BL116">
            <v>0</v>
          </cell>
          <cell r="BN116">
            <v>0</v>
          </cell>
          <cell r="BP116">
            <v>0</v>
          </cell>
          <cell r="BR116">
            <v>0</v>
          </cell>
          <cell r="BT116">
            <v>0</v>
          </cell>
          <cell r="BV116">
            <v>0</v>
          </cell>
          <cell r="BX116">
            <v>0</v>
          </cell>
          <cell r="BZ116">
            <v>0</v>
          </cell>
          <cell r="CB116">
            <v>0</v>
          </cell>
          <cell r="CD116">
            <v>0</v>
          </cell>
          <cell r="CF116">
            <v>0</v>
          </cell>
          <cell r="CH116">
            <v>0</v>
          </cell>
          <cell r="CJ116">
            <v>0</v>
          </cell>
          <cell r="CL116">
            <v>0</v>
          </cell>
          <cell r="CN116">
            <v>0</v>
          </cell>
          <cell r="CP116">
            <v>0</v>
          </cell>
          <cell r="CR116">
            <v>0</v>
          </cell>
          <cell r="CT116">
            <v>0</v>
          </cell>
          <cell r="CV116">
            <v>0</v>
          </cell>
          <cell r="CX116">
            <v>0</v>
          </cell>
          <cell r="CZ116">
            <v>0</v>
          </cell>
          <cell r="DB116">
            <v>0</v>
          </cell>
          <cell r="DD116">
            <v>0</v>
          </cell>
          <cell r="DF116">
            <v>0</v>
          </cell>
          <cell r="DH116">
            <v>0</v>
          </cell>
          <cell r="DJ116">
            <v>0</v>
          </cell>
          <cell r="DL116">
            <v>0</v>
          </cell>
          <cell r="DN116">
            <v>0</v>
          </cell>
          <cell r="DP116">
            <v>0</v>
          </cell>
          <cell r="DR116">
            <v>0</v>
          </cell>
          <cell r="DT116">
            <v>0</v>
          </cell>
          <cell r="DV116">
            <v>0</v>
          </cell>
          <cell r="DX116">
            <v>0</v>
          </cell>
          <cell r="DZ116">
            <v>0</v>
          </cell>
          <cell r="EB116">
            <v>0</v>
          </cell>
          <cell r="ED116">
            <v>0</v>
          </cell>
          <cell r="EF116">
            <v>0</v>
          </cell>
          <cell r="EH116">
            <v>0</v>
          </cell>
          <cell r="EJ116">
            <v>0</v>
          </cell>
          <cell r="EL116">
            <v>0</v>
          </cell>
          <cell r="EN116">
            <v>0</v>
          </cell>
          <cell r="EP116">
            <v>0</v>
          </cell>
          <cell r="ER116">
            <v>0</v>
          </cell>
          <cell r="ET116">
            <v>0</v>
          </cell>
          <cell r="EV116">
            <v>0</v>
          </cell>
          <cell r="EX116">
            <v>0</v>
          </cell>
          <cell r="EZ116">
            <v>0</v>
          </cell>
          <cell r="FB116">
            <v>0</v>
          </cell>
          <cell r="FD116">
            <v>0</v>
          </cell>
          <cell r="FF116">
            <v>0</v>
          </cell>
          <cell r="FH116">
            <v>0</v>
          </cell>
          <cell r="FJ116">
            <v>0</v>
          </cell>
          <cell r="FL116">
            <v>0</v>
          </cell>
          <cell r="FN116">
            <v>0</v>
          </cell>
          <cell r="FP116">
            <v>0</v>
          </cell>
          <cell r="FR116">
            <v>0</v>
          </cell>
          <cell r="FT116">
            <v>0</v>
          </cell>
          <cell r="FV116">
            <v>0</v>
          </cell>
          <cell r="GD116">
            <v>14</v>
          </cell>
          <cell r="GF116">
            <v>4</v>
          </cell>
          <cell r="GH116">
            <v>1</v>
          </cell>
          <cell r="GJ116">
            <v>7</v>
          </cell>
          <cell r="GM116">
            <v>0.01</v>
          </cell>
          <cell r="GN11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W116" t="str">
            <v>（一）施工廠商施工前檢查事項辦理情形：█完成 □未完成 （二）其他工地安全衛生督導事項：</v>
          </cell>
          <cell r="GX116">
            <v>853901</v>
          </cell>
          <cell r="GY116">
            <v>0</v>
          </cell>
        </row>
        <row r="117">
          <cell r="I117">
            <v>1</v>
          </cell>
          <cell r="N117">
            <v>1</v>
          </cell>
          <cell r="P117">
            <v>1</v>
          </cell>
          <cell r="R117">
            <v>672</v>
          </cell>
          <cell r="T117">
            <v>108</v>
          </cell>
          <cell r="V117">
            <v>661</v>
          </cell>
          <cell r="X117">
            <v>2</v>
          </cell>
          <cell r="Z117">
            <v>1</v>
          </cell>
          <cell r="AB117">
            <v>661</v>
          </cell>
          <cell r="AD117">
            <v>2</v>
          </cell>
          <cell r="AF117">
            <v>1</v>
          </cell>
          <cell r="AH117">
            <v>1</v>
          </cell>
          <cell r="AJ117">
            <v>1</v>
          </cell>
          <cell r="AL117">
            <v>0</v>
          </cell>
          <cell r="AN117">
            <v>0</v>
          </cell>
          <cell r="AP117">
            <v>0</v>
          </cell>
          <cell r="AR117">
            <v>0</v>
          </cell>
          <cell r="AT117">
            <v>0</v>
          </cell>
          <cell r="AV117">
            <v>0</v>
          </cell>
          <cell r="AX117">
            <v>0</v>
          </cell>
          <cell r="AZ117">
            <v>0</v>
          </cell>
          <cell r="BB117">
            <v>0</v>
          </cell>
          <cell r="BD117">
            <v>0</v>
          </cell>
          <cell r="BF117">
            <v>0</v>
          </cell>
          <cell r="BH117">
            <v>0</v>
          </cell>
          <cell r="BJ117">
            <v>0</v>
          </cell>
          <cell r="BL117">
            <v>0</v>
          </cell>
          <cell r="BN117">
            <v>0</v>
          </cell>
          <cell r="BP117">
            <v>0</v>
          </cell>
          <cell r="BR117">
            <v>0</v>
          </cell>
          <cell r="BT117">
            <v>0</v>
          </cell>
          <cell r="BV117">
            <v>0</v>
          </cell>
          <cell r="BX117">
            <v>0</v>
          </cell>
          <cell r="BZ117">
            <v>0</v>
          </cell>
          <cell r="CB117">
            <v>0</v>
          </cell>
          <cell r="CD117">
            <v>0</v>
          </cell>
          <cell r="CF117">
            <v>0</v>
          </cell>
          <cell r="CH117">
            <v>0</v>
          </cell>
          <cell r="CJ117">
            <v>0</v>
          </cell>
          <cell r="CL117">
            <v>0</v>
          </cell>
          <cell r="CN117">
            <v>0</v>
          </cell>
          <cell r="CP117">
            <v>0</v>
          </cell>
          <cell r="CR117">
            <v>0</v>
          </cell>
          <cell r="CT117">
            <v>0</v>
          </cell>
          <cell r="CV117">
            <v>0</v>
          </cell>
          <cell r="CX117">
            <v>0</v>
          </cell>
          <cell r="CZ117">
            <v>0</v>
          </cell>
          <cell r="DB117">
            <v>0</v>
          </cell>
          <cell r="DD117">
            <v>0</v>
          </cell>
          <cell r="DF117">
            <v>0</v>
          </cell>
          <cell r="DH117">
            <v>0</v>
          </cell>
          <cell r="DJ117">
            <v>0</v>
          </cell>
          <cell r="DL117">
            <v>0</v>
          </cell>
          <cell r="DN117">
            <v>0</v>
          </cell>
          <cell r="DP117">
            <v>0</v>
          </cell>
          <cell r="DR117">
            <v>0</v>
          </cell>
          <cell r="DT117">
            <v>0</v>
          </cell>
          <cell r="DV117">
            <v>0</v>
          </cell>
          <cell r="DX117">
            <v>0</v>
          </cell>
          <cell r="DZ117">
            <v>0</v>
          </cell>
          <cell r="EB117">
            <v>0</v>
          </cell>
          <cell r="ED117">
            <v>0</v>
          </cell>
          <cell r="EF117">
            <v>0</v>
          </cell>
          <cell r="EH117">
            <v>0</v>
          </cell>
          <cell r="EJ117">
            <v>0</v>
          </cell>
          <cell r="EL117">
            <v>0</v>
          </cell>
          <cell r="EN117">
            <v>0</v>
          </cell>
          <cell r="EP117">
            <v>0</v>
          </cell>
          <cell r="ER117">
            <v>0</v>
          </cell>
          <cell r="ET117">
            <v>0</v>
          </cell>
          <cell r="EV117">
            <v>0</v>
          </cell>
          <cell r="EX117">
            <v>0</v>
          </cell>
          <cell r="EZ117">
            <v>0</v>
          </cell>
          <cell r="FB117">
            <v>0</v>
          </cell>
          <cell r="FD117">
            <v>0</v>
          </cell>
          <cell r="FF117">
            <v>0</v>
          </cell>
          <cell r="FH117">
            <v>0</v>
          </cell>
          <cell r="FJ117">
            <v>0</v>
          </cell>
          <cell r="FL117">
            <v>0</v>
          </cell>
          <cell r="FN117">
            <v>0</v>
          </cell>
          <cell r="FP117">
            <v>0</v>
          </cell>
          <cell r="FR117">
            <v>0</v>
          </cell>
          <cell r="FT117">
            <v>0</v>
          </cell>
          <cell r="FV117">
            <v>0</v>
          </cell>
          <cell r="GD117">
            <v>14</v>
          </cell>
          <cell r="GF117">
            <v>4</v>
          </cell>
          <cell r="GH117">
            <v>1</v>
          </cell>
          <cell r="GJ117">
            <v>7</v>
          </cell>
          <cell r="GM117">
            <v>0.01</v>
          </cell>
          <cell r="GN11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W117" t="str">
            <v>（一）施工廠商施工前檢查事項辦理情形：█完成 □未完成 （二）其他工地安全衛生督導事項：</v>
          </cell>
          <cell r="GX117">
            <v>853901</v>
          </cell>
          <cell r="GY117">
            <v>0</v>
          </cell>
        </row>
        <row r="118">
          <cell r="I118">
            <v>1</v>
          </cell>
          <cell r="N118">
            <v>1</v>
          </cell>
          <cell r="P118">
            <v>1</v>
          </cell>
          <cell r="R118">
            <v>672</v>
          </cell>
          <cell r="T118">
            <v>108</v>
          </cell>
          <cell r="V118">
            <v>661</v>
          </cell>
          <cell r="X118">
            <v>2</v>
          </cell>
          <cell r="Z118">
            <v>1</v>
          </cell>
          <cell r="AB118">
            <v>661</v>
          </cell>
          <cell r="AD118">
            <v>2</v>
          </cell>
          <cell r="AF118">
            <v>1</v>
          </cell>
          <cell r="AH118">
            <v>1</v>
          </cell>
          <cell r="AJ118">
            <v>1</v>
          </cell>
          <cell r="AL118">
            <v>0</v>
          </cell>
          <cell r="AN118">
            <v>0</v>
          </cell>
          <cell r="AP118">
            <v>0</v>
          </cell>
          <cell r="AR118">
            <v>0</v>
          </cell>
          <cell r="AT118">
            <v>0</v>
          </cell>
          <cell r="AV118">
            <v>0</v>
          </cell>
          <cell r="AX118">
            <v>0</v>
          </cell>
          <cell r="AZ118">
            <v>0</v>
          </cell>
          <cell r="BB118">
            <v>0</v>
          </cell>
          <cell r="BD118">
            <v>0</v>
          </cell>
          <cell r="BF118">
            <v>0</v>
          </cell>
          <cell r="BH118">
            <v>0</v>
          </cell>
          <cell r="BJ118">
            <v>0</v>
          </cell>
          <cell r="BL118">
            <v>0</v>
          </cell>
          <cell r="BN118">
            <v>0</v>
          </cell>
          <cell r="BP118">
            <v>0</v>
          </cell>
          <cell r="BR118">
            <v>0</v>
          </cell>
          <cell r="BT118">
            <v>0</v>
          </cell>
          <cell r="BV118">
            <v>0</v>
          </cell>
          <cell r="BX118">
            <v>0</v>
          </cell>
          <cell r="BZ118">
            <v>0</v>
          </cell>
          <cell r="CB118">
            <v>0</v>
          </cell>
          <cell r="CD118">
            <v>0</v>
          </cell>
          <cell r="CF118">
            <v>0</v>
          </cell>
          <cell r="CH118">
            <v>0</v>
          </cell>
          <cell r="CJ118">
            <v>0</v>
          </cell>
          <cell r="CL118">
            <v>0</v>
          </cell>
          <cell r="CN118">
            <v>0</v>
          </cell>
          <cell r="CP118">
            <v>0</v>
          </cell>
          <cell r="CR118">
            <v>0</v>
          </cell>
          <cell r="CT118">
            <v>0</v>
          </cell>
          <cell r="CV118">
            <v>0</v>
          </cell>
          <cell r="CX118">
            <v>0</v>
          </cell>
          <cell r="CZ118">
            <v>0</v>
          </cell>
          <cell r="DB118">
            <v>0</v>
          </cell>
          <cell r="DD118">
            <v>0</v>
          </cell>
          <cell r="DF118">
            <v>0</v>
          </cell>
          <cell r="DH118">
            <v>0</v>
          </cell>
          <cell r="DJ118">
            <v>0</v>
          </cell>
          <cell r="DL118">
            <v>0</v>
          </cell>
          <cell r="DN118">
            <v>0</v>
          </cell>
          <cell r="DP118">
            <v>0</v>
          </cell>
          <cell r="DR118">
            <v>0</v>
          </cell>
          <cell r="DT118">
            <v>0</v>
          </cell>
          <cell r="DV118">
            <v>0</v>
          </cell>
          <cell r="DX118">
            <v>0</v>
          </cell>
          <cell r="DZ118">
            <v>0</v>
          </cell>
          <cell r="EB118">
            <v>0</v>
          </cell>
          <cell r="ED118">
            <v>0</v>
          </cell>
          <cell r="EF118">
            <v>0</v>
          </cell>
          <cell r="EH118">
            <v>0</v>
          </cell>
          <cell r="EJ118">
            <v>0</v>
          </cell>
          <cell r="EL118">
            <v>0</v>
          </cell>
          <cell r="EN118">
            <v>0</v>
          </cell>
          <cell r="EP118">
            <v>0</v>
          </cell>
          <cell r="ER118">
            <v>0</v>
          </cell>
          <cell r="ET118">
            <v>0</v>
          </cell>
          <cell r="EV118">
            <v>0</v>
          </cell>
          <cell r="EX118">
            <v>0</v>
          </cell>
          <cell r="EZ118">
            <v>0</v>
          </cell>
          <cell r="FB118">
            <v>0</v>
          </cell>
          <cell r="FD118">
            <v>0</v>
          </cell>
          <cell r="FF118">
            <v>0</v>
          </cell>
          <cell r="FH118">
            <v>0</v>
          </cell>
          <cell r="FJ118">
            <v>0</v>
          </cell>
          <cell r="FL118">
            <v>0</v>
          </cell>
          <cell r="FN118">
            <v>0</v>
          </cell>
          <cell r="FP118">
            <v>0</v>
          </cell>
          <cell r="FR118">
            <v>0</v>
          </cell>
          <cell r="FT118">
            <v>0</v>
          </cell>
          <cell r="FV118">
            <v>0</v>
          </cell>
          <cell r="GD118">
            <v>14</v>
          </cell>
          <cell r="GF118">
            <v>4</v>
          </cell>
          <cell r="GH118">
            <v>1</v>
          </cell>
          <cell r="GJ118">
            <v>7</v>
          </cell>
          <cell r="GM118">
            <v>0.01</v>
          </cell>
          <cell r="GN11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W118" t="str">
            <v>（一）施工廠商施工前檢查事項辦理情形：█完成 □未完成 （二）其他工地安全衛生督導事項：</v>
          </cell>
          <cell r="GX118">
            <v>853901</v>
          </cell>
          <cell r="GY118">
            <v>0</v>
          </cell>
        </row>
        <row r="119">
          <cell r="I119">
            <v>1</v>
          </cell>
          <cell r="N119">
            <v>1</v>
          </cell>
          <cell r="P119">
            <v>1</v>
          </cell>
          <cell r="R119">
            <v>672</v>
          </cell>
          <cell r="T119">
            <v>108</v>
          </cell>
          <cell r="V119">
            <v>661</v>
          </cell>
          <cell r="X119">
            <v>2</v>
          </cell>
          <cell r="Z119">
            <v>1</v>
          </cell>
          <cell r="AB119">
            <v>661</v>
          </cell>
          <cell r="AD119">
            <v>2</v>
          </cell>
          <cell r="AF119">
            <v>1</v>
          </cell>
          <cell r="AH119">
            <v>1</v>
          </cell>
          <cell r="AJ119">
            <v>1</v>
          </cell>
          <cell r="AL119">
            <v>0</v>
          </cell>
          <cell r="AN119">
            <v>0</v>
          </cell>
          <cell r="AP119">
            <v>0</v>
          </cell>
          <cell r="AR119">
            <v>0</v>
          </cell>
          <cell r="AT119">
            <v>0</v>
          </cell>
          <cell r="AV119">
            <v>0</v>
          </cell>
          <cell r="AX119">
            <v>0</v>
          </cell>
          <cell r="AZ119">
            <v>0</v>
          </cell>
          <cell r="BB119">
            <v>0</v>
          </cell>
          <cell r="BD119">
            <v>0</v>
          </cell>
          <cell r="BF119">
            <v>0</v>
          </cell>
          <cell r="BH119">
            <v>0</v>
          </cell>
          <cell r="BJ119">
            <v>0</v>
          </cell>
          <cell r="BL119">
            <v>0</v>
          </cell>
          <cell r="BN119">
            <v>0</v>
          </cell>
          <cell r="BP119">
            <v>0</v>
          </cell>
          <cell r="BR119">
            <v>0</v>
          </cell>
          <cell r="BT119">
            <v>0</v>
          </cell>
          <cell r="BV119">
            <v>0</v>
          </cell>
          <cell r="BX119">
            <v>0</v>
          </cell>
          <cell r="BZ119">
            <v>0</v>
          </cell>
          <cell r="CB119">
            <v>0</v>
          </cell>
          <cell r="CD119">
            <v>0</v>
          </cell>
          <cell r="CF119">
            <v>0</v>
          </cell>
          <cell r="CH119">
            <v>0</v>
          </cell>
          <cell r="CJ119">
            <v>0</v>
          </cell>
          <cell r="CL119">
            <v>0</v>
          </cell>
          <cell r="CN119">
            <v>0</v>
          </cell>
          <cell r="CP119">
            <v>0</v>
          </cell>
          <cell r="CR119">
            <v>0</v>
          </cell>
          <cell r="CT119">
            <v>0</v>
          </cell>
          <cell r="CV119">
            <v>0</v>
          </cell>
          <cell r="CX119">
            <v>0</v>
          </cell>
          <cell r="CZ119">
            <v>0</v>
          </cell>
          <cell r="DB119">
            <v>0</v>
          </cell>
          <cell r="DD119">
            <v>0</v>
          </cell>
          <cell r="DF119">
            <v>0</v>
          </cell>
          <cell r="DH119">
            <v>0</v>
          </cell>
          <cell r="DJ119">
            <v>0</v>
          </cell>
          <cell r="DL119">
            <v>0</v>
          </cell>
          <cell r="DN119">
            <v>0</v>
          </cell>
          <cell r="DP119">
            <v>0</v>
          </cell>
          <cell r="DR119">
            <v>0</v>
          </cell>
          <cell r="DT119">
            <v>0</v>
          </cell>
          <cell r="DV119">
            <v>0</v>
          </cell>
          <cell r="DX119">
            <v>0</v>
          </cell>
          <cell r="DZ119">
            <v>0</v>
          </cell>
          <cell r="EB119">
            <v>0</v>
          </cell>
          <cell r="ED119">
            <v>0</v>
          </cell>
          <cell r="EF119">
            <v>0</v>
          </cell>
          <cell r="EH119">
            <v>0</v>
          </cell>
          <cell r="EJ119">
            <v>0</v>
          </cell>
          <cell r="EL119">
            <v>0</v>
          </cell>
          <cell r="EN119">
            <v>0</v>
          </cell>
          <cell r="EP119">
            <v>0</v>
          </cell>
          <cell r="ER119">
            <v>0</v>
          </cell>
          <cell r="ET119">
            <v>0</v>
          </cell>
          <cell r="EV119">
            <v>0</v>
          </cell>
          <cell r="EX119">
            <v>0</v>
          </cell>
          <cell r="EZ119">
            <v>0</v>
          </cell>
          <cell r="FB119">
            <v>0</v>
          </cell>
          <cell r="FD119">
            <v>0</v>
          </cell>
          <cell r="FF119">
            <v>0</v>
          </cell>
          <cell r="FH119">
            <v>0</v>
          </cell>
          <cell r="FJ119">
            <v>0</v>
          </cell>
          <cell r="FL119">
            <v>0</v>
          </cell>
          <cell r="FN119">
            <v>0</v>
          </cell>
          <cell r="FP119">
            <v>0</v>
          </cell>
          <cell r="FR119">
            <v>0</v>
          </cell>
          <cell r="FT119">
            <v>0</v>
          </cell>
          <cell r="FV119">
            <v>0</v>
          </cell>
          <cell r="GD119">
            <v>14</v>
          </cell>
          <cell r="GF119">
            <v>4</v>
          </cell>
          <cell r="GH119">
            <v>1</v>
          </cell>
          <cell r="GJ119">
            <v>7</v>
          </cell>
          <cell r="GM119">
            <v>0.01</v>
          </cell>
          <cell r="GN11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W119" t="str">
            <v>（一）施工廠商施工前檢查事項辦理情形：█完成 □未完成 （二）其他工地安全衛生督導事項：</v>
          </cell>
          <cell r="GX119">
            <v>853901</v>
          </cell>
          <cell r="GY119">
            <v>0</v>
          </cell>
        </row>
        <row r="120">
          <cell r="I120">
            <v>1</v>
          </cell>
          <cell r="N120">
            <v>1</v>
          </cell>
          <cell r="P120">
            <v>1</v>
          </cell>
          <cell r="R120">
            <v>672</v>
          </cell>
          <cell r="T120">
            <v>108</v>
          </cell>
          <cell r="V120">
            <v>661</v>
          </cell>
          <cell r="X120">
            <v>2</v>
          </cell>
          <cell r="Z120">
            <v>1</v>
          </cell>
          <cell r="AB120">
            <v>661</v>
          </cell>
          <cell r="AD120">
            <v>2</v>
          </cell>
          <cell r="AF120">
            <v>1</v>
          </cell>
          <cell r="AH120">
            <v>1</v>
          </cell>
          <cell r="AJ120">
            <v>1</v>
          </cell>
          <cell r="AL120">
            <v>0</v>
          </cell>
          <cell r="AN120">
            <v>0</v>
          </cell>
          <cell r="AP120">
            <v>0</v>
          </cell>
          <cell r="AR120">
            <v>0</v>
          </cell>
          <cell r="AT120">
            <v>0</v>
          </cell>
          <cell r="AV120">
            <v>0</v>
          </cell>
          <cell r="AX120">
            <v>0</v>
          </cell>
          <cell r="AZ120">
            <v>0</v>
          </cell>
          <cell r="BB120">
            <v>0</v>
          </cell>
          <cell r="BD120">
            <v>0</v>
          </cell>
          <cell r="BF120">
            <v>0</v>
          </cell>
          <cell r="BH120">
            <v>0</v>
          </cell>
          <cell r="BJ120">
            <v>0</v>
          </cell>
          <cell r="BL120">
            <v>0</v>
          </cell>
          <cell r="BN120">
            <v>0</v>
          </cell>
          <cell r="BP120">
            <v>0</v>
          </cell>
          <cell r="BR120">
            <v>0</v>
          </cell>
          <cell r="BT120">
            <v>0</v>
          </cell>
          <cell r="BV120">
            <v>0</v>
          </cell>
          <cell r="BX120">
            <v>0</v>
          </cell>
          <cell r="BZ120">
            <v>0</v>
          </cell>
          <cell r="CB120">
            <v>0</v>
          </cell>
          <cell r="CD120">
            <v>0</v>
          </cell>
          <cell r="CF120">
            <v>0</v>
          </cell>
          <cell r="CH120">
            <v>0</v>
          </cell>
          <cell r="CJ120">
            <v>0</v>
          </cell>
          <cell r="CL120">
            <v>0</v>
          </cell>
          <cell r="CN120">
            <v>0</v>
          </cell>
          <cell r="CP120">
            <v>0</v>
          </cell>
          <cell r="CR120">
            <v>0</v>
          </cell>
          <cell r="CT120">
            <v>0</v>
          </cell>
          <cell r="CV120">
            <v>0</v>
          </cell>
          <cell r="CX120">
            <v>0</v>
          </cell>
          <cell r="CZ120">
            <v>0</v>
          </cell>
          <cell r="DB120">
            <v>0</v>
          </cell>
          <cell r="DD120">
            <v>0</v>
          </cell>
          <cell r="DF120">
            <v>0</v>
          </cell>
          <cell r="DH120">
            <v>0</v>
          </cell>
          <cell r="DJ120">
            <v>0</v>
          </cell>
          <cell r="DL120">
            <v>0</v>
          </cell>
          <cell r="DN120">
            <v>0</v>
          </cell>
          <cell r="DP120">
            <v>0</v>
          </cell>
          <cell r="DR120">
            <v>0</v>
          </cell>
          <cell r="DT120">
            <v>0</v>
          </cell>
          <cell r="DV120">
            <v>0</v>
          </cell>
          <cell r="DX120">
            <v>0</v>
          </cell>
          <cell r="DZ120">
            <v>0</v>
          </cell>
          <cell r="EB120">
            <v>0</v>
          </cell>
          <cell r="ED120">
            <v>0</v>
          </cell>
          <cell r="EF120">
            <v>0</v>
          </cell>
          <cell r="EH120">
            <v>0</v>
          </cell>
          <cell r="EJ120">
            <v>0</v>
          </cell>
          <cell r="EL120">
            <v>0</v>
          </cell>
          <cell r="EN120">
            <v>0</v>
          </cell>
          <cell r="EP120">
            <v>0</v>
          </cell>
          <cell r="ER120">
            <v>0</v>
          </cell>
          <cell r="ET120">
            <v>0</v>
          </cell>
          <cell r="EV120">
            <v>0</v>
          </cell>
          <cell r="EX120">
            <v>0</v>
          </cell>
          <cell r="EZ120">
            <v>0</v>
          </cell>
          <cell r="FB120">
            <v>0</v>
          </cell>
          <cell r="FD120">
            <v>0</v>
          </cell>
          <cell r="FF120">
            <v>0</v>
          </cell>
          <cell r="FH120">
            <v>0</v>
          </cell>
          <cell r="FJ120">
            <v>0</v>
          </cell>
          <cell r="FL120">
            <v>0</v>
          </cell>
          <cell r="FN120">
            <v>0</v>
          </cell>
          <cell r="FP120">
            <v>0</v>
          </cell>
          <cell r="FR120">
            <v>0</v>
          </cell>
          <cell r="FT120">
            <v>0</v>
          </cell>
          <cell r="FV120">
            <v>0</v>
          </cell>
          <cell r="GD120">
            <v>14</v>
          </cell>
          <cell r="GF120">
            <v>4</v>
          </cell>
          <cell r="GH120">
            <v>1</v>
          </cell>
          <cell r="GJ120">
            <v>7</v>
          </cell>
          <cell r="GM120">
            <v>0.01</v>
          </cell>
          <cell r="GN12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W120" t="str">
            <v>（一）施工廠商施工前檢查事項辦理情形：█完成 □未完成 （二）其他工地安全衛生督導事項：</v>
          </cell>
          <cell r="GX120">
            <v>853901</v>
          </cell>
          <cell r="GY120">
            <v>0</v>
          </cell>
        </row>
        <row r="121">
          <cell r="I121">
            <v>1</v>
          </cell>
          <cell r="N121">
            <v>1</v>
          </cell>
          <cell r="P121">
            <v>1</v>
          </cell>
          <cell r="R121">
            <v>672</v>
          </cell>
          <cell r="T121">
            <v>108</v>
          </cell>
          <cell r="V121">
            <v>661</v>
          </cell>
          <cell r="X121">
            <v>2</v>
          </cell>
          <cell r="Z121">
            <v>1</v>
          </cell>
          <cell r="AB121">
            <v>661</v>
          </cell>
          <cell r="AD121">
            <v>2</v>
          </cell>
          <cell r="AF121">
            <v>1</v>
          </cell>
          <cell r="AH121">
            <v>1</v>
          </cell>
          <cell r="AJ121">
            <v>1</v>
          </cell>
          <cell r="AL121">
            <v>0</v>
          </cell>
          <cell r="AN121">
            <v>0</v>
          </cell>
          <cell r="AP121">
            <v>0</v>
          </cell>
          <cell r="AR121">
            <v>0</v>
          </cell>
          <cell r="AT121">
            <v>0</v>
          </cell>
          <cell r="AV121">
            <v>0</v>
          </cell>
          <cell r="AX121">
            <v>0</v>
          </cell>
          <cell r="AZ121">
            <v>0</v>
          </cell>
          <cell r="BB121">
            <v>0</v>
          </cell>
          <cell r="BD121">
            <v>0</v>
          </cell>
          <cell r="BF121">
            <v>0</v>
          </cell>
          <cell r="BH121">
            <v>0</v>
          </cell>
          <cell r="BJ121">
            <v>0</v>
          </cell>
          <cell r="BL121">
            <v>0</v>
          </cell>
          <cell r="BN121">
            <v>0</v>
          </cell>
          <cell r="BP121">
            <v>0</v>
          </cell>
          <cell r="BR121">
            <v>0</v>
          </cell>
          <cell r="BT121">
            <v>0</v>
          </cell>
          <cell r="BV121">
            <v>0</v>
          </cell>
          <cell r="BX121">
            <v>0</v>
          </cell>
          <cell r="BZ121">
            <v>0</v>
          </cell>
          <cell r="CB121">
            <v>0</v>
          </cell>
          <cell r="CD121">
            <v>0</v>
          </cell>
          <cell r="CF121">
            <v>0</v>
          </cell>
          <cell r="CH121">
            <v>0</v>
          </cell>
          <cell r="CJ121">
            <v>0</v>
          </cell>
          <cell r="CL121">
            <v>0</v>
          </cell>
          <cell r="CN121">
            <v>0</v>
          </cell>
          <cell r="CP121">
            <v>0</v>
          </cell>
          <cell r="CR121">
            <v>0</v>
          </cell>
          <cell r="CT121">
            <v>0</v>
          </cell>
          <cell r="CV121">
            <v>0</v>
          </cell>
          <cell r="CX121">
            <v>0</v>
          </cell>
          <cell r="CZ121">
            <v>0</v>
          </cell>
          <cell r="DB121">
            <v>0</v>
          </cell>
          <cell r="DD121">
            <v>0</v>
          </cell>
          <cell r="DF121">
            <v>0</v>
          </cell>
          <cell r="DH121">
            <v>0</v>
          </cell>
          <cell r="DJ121">
            <v>0</v>
          </cell>
          <cell r="DL121">
            <v>0</v>
          </cell>
          <cell r="DN121">
            <v>0</v>
          </cell>
          <cell r="DP121">
            <v>0</v>
          </cell>
          <cell r="DR121">
            <v>0</v>
          </cell>
          <cell r="DT121">
            <v>0</v>
          </cell>
          <cell r="DV121">
            <v>0</v>
          </cell>
          <cell r="DX121">
            <v>0</v>
          </cell>
          <cell r="DZ121">
            <v>0</v>
          </cell>
          <cell r="EB121">
            <v>0</v>
          </cell>
          <cell r="ED121">
            <v>0</v>
          </cell>
          <cell r="EF121">
            <v>0</v>
          </cell>
          <cell r="EH121">
            <v>0</v>
          </cell>
          <cell r="EJ121">
            <v>0</v>
          </cell>
          <cell r="EL121">
            <v>0</v>
          </cell>
          <cell r="EN121">
            <v>0</v>
          </cell>
          <cell r="EP121">
            <v>0</v>
          </cell>
          <cell r="ER121">
            <v>0</v>
          </cell>
          <cell r="ET121">
            <v>0</v>
          </cell>
          <cell r="EV121">
            <v>0</v>
          </cell>
          <cell r="EX121">
            <v>0</v>
          </cell>
          <cell r="EZ121">
            <v>0</v>
          </cell>
          <cell r="FB121">
            <v>0</v>
          </cell>
          <cell r="FD121">
            <v>0</v>
          </cell>
          <cell r="FF121">
            <v>0</v>
          </cell>
          <cell r="FH121">
            <v>0</v>
          </cell>
          <cell r="FJ121">
            <v>0</v>
          </cell>
          <cell r="FL121">
            <v>0</v>
          </cell>
          <cell r="FN121">
            <v>0</v>
          </cell>
          <cell r="FP121">
            <v>0</v>
          </cell>
          <cell r="FR121">
            <v>0</v>
          </cell>
          <cell r="FT121">
            <v>0</v>
          </cell>
          <cell r="FV121">
            <v>0</v>
          </cell>
          <cell r="GD121">
            <v>14</v>
          </cell>
          <cell r="GF121">
            <v>4</v>
          </cell>
          <cell r="GH121">
            <v>1</v>
          </cell>
          <cell r="GJ121">
            <v>7</v>
          </cell>
          <cell r="GM121">
            <v>0.01</v>
          </cell>
          <cell r="GN12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W121" t="str">
            <v>（一）施工廠商施工前檢查事項辦理情形：█完成 □未完成 （二）其他工地安全衛生督導事項：</v>
          </cell>
          <cell r="GX121">
            <v>853901</v>
          </cell>
          <cell r="GY121">
            <v>0</v>
          </cell>
        </row>
        <row r="122">
          <cell r="I122">
            <v>1</v>
          </cell>
          <cell r="N122">
            <v>1</v>
          </cell>
          <cell r="P122">
            <v>1</v>
          </cell>
          <cell r="R122">
            <v>672</v>
          </cell>
          <cell r="T122">
            <v>108</v>
          </cell>
          <cell r="V122">
            <v>661</v>
          </cell>
          <cell r="X122">
            <v>2</v>
          </cell>
          <cell r="Z122">
            <v>1</v>
          </cell>
          <cell r="AB122">
            <v>661</v>
          </cell>
          <cell r="AD122">
            <v>2</v>
          </cell>
          <cell r="AF122">
            <v>1</v>
          </cell>
          <cell r="AH122">
            <v>1</v>
          </cell>
          <cell r="AJ122">
            <v>1</v>
          </cell>
          <cell r="AL122">
            <v>0</v>
          </cell>
          <cell r="AN122">
            <v>0</v>
          </cell>
          <cell r="AP122">
            <v>0</v>
          </cell>
          <cell r="AR122">
            <v>0</v>
          </cell>
          <cell r="AT122">
            <v>0</v>
          </cell>
          <cell r="AV122">
            <v>0</v>
          </cell>
          <cell r="AX122">
            <v>0</v>
          </cell>
          <cell r="AZ122">
            <v>0</v>
          </cell>
          <cell r="BB122">
            <v>0</v>
          </cell>
          <cell r="BD122">
            <v>0</v>
          </cell>
          <cell r="BF122">
            <v>0</v>
          </cell>
          <cell r="BH122">
            <v>0</v>
          </cell>
          <cell r="BJ122">
            <v>0</v>
          </cell>
          <cell r="BL122">
            <v>0</v>
          </cell>
          <cell r="BN122">
            <v>0</v>
          </cell>
          <cell r="BP122">
            <v>0</v>
          </cell>
          <cell r="BR122">
            <v>0</v>
          </cell>
          <cell r="BT122">
            <v>0</v>
          </cell>
          <cell r="BV122">
            <v>0</v>
          </cell>
          <cell r="BX122">
            <v>0</v>
          </cell>
          <cell r="BZ122">
            <v>0</v>
          </cell>
          <cell r="CB122">
            <v>0</v>
          </cell>
          <cell r="CD122">
            <v>0</v>
          </cell>
          <cell r="CF122">
            <v>0</v>
          </cell>
          <cell r="CH122">
            <v>0</v>
          </cell>
          <cell r="CJ122">
            <v>0</v>
          </cell>
          <cell r="CL122">
            <v>0</v>
          </cell>
          <cell r="CN122">
            <v>0</v>
          </cell>
          <cell r="CP122">
            <v>0</v>
          </cell>
          <cell r="CR122">
            <v>0</v>
          </cell>
          <cell r="CT122">
            <v>0</v>
          </cell>
          <cell r="CV122">
            <v>0</v>
          </cell>
          <cell r="CX122">
            <v>0</v>
          </cell>
          <cell r="CZ122">
            <v>0</v>
          </cell>
          <cell r="DB122">
            <v>0</v>
          </cell>
          <cell r="DD122">
            <v>0</v>
          </cell>
          <cell r="DF122">
            <v>0</v>
          </cell>
          <cell r="DH122">
            <v>0</v>
          </cell>
          <cell r="DJ122">
            <v>0</v>
          </cell>
          <cell r="DL122">
            <v>0</v>
          </cell>
          <cell r="DN122">
            <v>0</v>
          </cell>
          <cell r="DP122">
            <v>0</v>
          </cell>
          <cell r="DR122">
            <v>0</v>
          </cell>
          <cell r="DT122">
            <v>0</v>
          </cell>
          <cell r="DV122">
            <v>0</v>
          </cell>
          <cell r="DX122">
            <v>0</v>
          </cell>
          <cell r="DZ122">
            <v>0</v>
          </cell>
          <cell r="EB122">
            <v>0</v>
          </cell>
          <cell r="ED122">
            <v>0</v>
          </cell>
          <cell r="EF122">
            <v>0</v>
          </cell>
          <cell r="EH122">
            <v>0</v>
          </cell>
          <cell r="EJ122">
            <v>0</v>
          </cell>
          <cell r="EL122">
            <v>0</v>
          </cell>
          <cell r="EN122">
            <v>0</v>
          </cell>
          <cell r="EP122">
            <v>0</v>
          </cell>
          <cell r="ER122">
            <v>0</v>
          </cell>
          <cell r="ET122">
            <v>0</v>
          </cell>
          <cell r="EV122">
            <v>0</v>
          </cell>
          <cell r="EX122">
            <v>0</v>
          </cell>
          <cell r="EZ122">
            <v>0</v>
          </cell>
          <cell r="FB122">
            <v>0</v>
          </cell>
          <cell r="FD122">
            <v>0</v>
          </cell>
          <cell r="FF122">
            <v>0</v>
          </cell>
          <cell r="FH122">
            <v>0</v>
          </cell>
          <cell r="FJ122">
            <v>0</v>
          </cell>
          <cell r="FL122">
            <v>0</v>
          </cell>
          <cell r="FN122">
            <v>0</v>
          </cell>
          <cell r="FP122">
            <v>0</v>
          </cell>
          <cell r="FR122">
            <v>0</v>
          </cell>
          <cell r="FT122">
            <v>0</v>
          </cell>
          <cell r="FV122">
            <v>0</v>
          </cell>
          <cell r="GD122">
            <v>14</v>
          </cell>
          <cell r="GF122">
            <v>4</v>
          </cell>
          <cell r="GH122">
            <v>1</v>
          </cell>
          <cell r="GJ122">
            <v>7</v>
          </cell>
          <cell r="GM122">
            <v>0.01</v>
          </cell>
          <cell r="GN12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W122" t="str">
            <v>（一）施工廠商施工前檢查事項辦理情形：█完成 □未完成 （二）其他工地安全衛生督導事項：</v>
          </cell>
          <cell r="GX122">
            <v>853901</v>
          </cell>
          <cell r="GY122">
            <v>0</v>
          </cell>
        </row>
        <row r="123">
          <cell r="I123">
            <v>1</v>
          </cell>
          <cell r="N123">
            <v>1</v>
          </cell>
          <cell r="P123">
            <v>1</v>
          </cell>
          <cell r="R123">
            <v>672</v>
          </cell>
          <cell r="T123">
            <v>108</v>
          </cell>
          <cell r="V123">
            <v>661</v>
          </cell>
          <cell r="X123">
            <v>2</v>
          </cell>
          <cell r="Z123">
            <v>1</v>
          </cell>
          <cell r="AB123">
            <v>661</v>
          </cell>
          <cell r="AD123">
            <v>2</v>
          </cell>
          <cell r="AF123">
            <v>1</v>
          </cell>
          <cell r="AH123">
            <v>1</v>
          </cell>
          <cell r="AJ123">
            <v>1</v>
          </cell>
          <cell r="AL123">
            <v>0</v>
          </cell>
          <cell r="AN123">
            <v>0</v>
          </cell>
          <cell r="AP123">
            <v>0</v>
          </cell>
          <cell r="AR123">
            <v>0</v>
          </cell>
          <cell r="AT123">
            <v>0</v>
          </cell>
          <cell r="AV123">
            <v>0</v>
          </cell>
          <cell r="AX123">
            <v>0</v>
          </cell>
          <cell r="AZ123">
            <v>0</v>
          </cell>
          <cell r="BB123">
            <v>0</v>
          </cell>
          <cell r="BD123">
            <v>0</v>
          </cell>
          <cell r="BF123">
            <v>0</v>
          </cell>
          <cell r="BH123">
            <v>0</v>
          </cell>
          <cell r="BJ123">
            <v>0</v>
          </cell>
          <cell r="BL123">
            <v>0</v>
          </cell>
          <cell r="BN123">
            <v>0</v>
          </cell>
          <cell r="BP123">
            <v>0</v>
          </cell>
          <cell r="BR123">
            <v>0</v>
          </cell>
          <cell r="BT123">
            <v>0</v>
          </cell>
          <cell r="BV123">
            <v>0</v>
          </cell>
          <cell r="BX123">
            <v>0</v>
          </cell>
          <cell r="BZ123">
            <v>0</v>
          </cell>
          <cell r="CB123">
            <v>0</v>
          </cell>
          <cell r="CD123">
            <v>0</v>
          </cell>
          <cell r="CF123">
            <v>0</v>
          </cell>
          <cell r="CH123">
            <v>0</v>
          </cell>
          <cell r="CJ123">
            <v>0</v>
          </cell>
          <cell r="CL123">
            <v>0</v>
          </cell>
          <cell r="CN123">
            <v>0</v>
          </cell>
          <cell r="CP123">
            <v>0</v>
          </cell>
          <cell r="CR123">
            <v>0</v>
          </cell>
          <cell r="CT123">
            <v>0</v>
          </cell>
          <cell r="CV123">
            <v>0</v>
          </cell>
          <cell r="CX123">
            <v>0</v>
          </cell>
          <cell r="CZ123">
            <v>0</v>
          </cell>
          <cell r="DB123">
            <v>0</v>
          </cell>
          <cell r="DD123">
            <v>0</v>
          </cell>
          <cell r="DF123">
            <v>0</v>
          </cell>
          <cell r="DH123">
            <v>0</v>
          </cell>
          <cell r="DJ123">
            <v>0</v>
          </cell>
          <cell r="DL123">
            <v>0</v>
          </cell>
          <cell r="DN123">
            <v>0</v>
          </cell>
          <cell r="DP123">
            <v>0</v>
          </cell>
          <cell r="DR123">
            <v>0</v>
          </cell>
          <cell r="DT123">
            <v>0</v>
          </cell>
          <cell r="DV123">
            <v>0</v>
          </cell>
          <cell r="DX123">
            <v>0</v>
          </cell>
          <cell r="DZ123">
            <v>0</v>
          </cell>
          <cell r="EB123">
            <v>0</v>
          </cell>
          <cell r="ED123">
            <v>0</v>
          </cell>
          <cell r="EF123">
            <v>0</v>
          </cell>
          <cell r="EH123">
            <v>0</v>
          </cell>
          <cell r="EJ123">
            <v>0</v>
          </cell>
          <cell r="EL123">
            <v>0</v>
          </cell>
          <cell r="EN123">
            <v>0</v>
          </cell>
          <cell r="EP123">
            <v>0</v>
          </cell>
          <cell r="ER123">
            <v>0</v>
          </cell>
          <cell r="ET123">
            <v>0</v>
          </cell>
          <cell r="EV123">
            <v>0</v>
          </cell>
          <cell r="EX123">
            <v>0</v>
          </cell>
          <cell r="EZ123">
            <v>0</v>
          </cell>
          <cell r="FB123">
            <v>0</v>
          </cell>
          <cell r="FD123">
            <v>0</v>
          </cell>
          <cell r="FF123">
            <v>0</v>
          </cell>
          <cell r="FH123">
            <v>0</v>
          </cell>
          <cell r="FJ123">
            <v>0</v>
          </cell>
          <cell r="FL123">
            <v>0</v>
          </cell>
          <cell r="FN123">
            <v>0</v>
          </cell>
          <cell r="FP123">
            <v>0</v>
          </cell>
          <cell r="FR123">
            <v>0</v>
          </cell>
          <cell r="FT123">
            <v>0</v>
          </cell>
          <cell r="FV123">
            <v>0</v>
          </cell>
          <cell r="GD123">
            <v>14</v>
          </cell>
          <cell r="GF123">
            <v>4</v>
          </cell>
          <cell r="GH123">
            <v>1</v>
          </cell>
          <cell r="GJ123">
            <v>7</v>
          </cell>
          <cell r="GM123">
            <v>0.01</v>
          </cell>
          <cell r="GN12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W123" t="str">
            <v>（一）施工廠商施工前檢查事項辦理情形：█完成 □未完成 （二）其他工地安全衛生督導事項：</v>
          </cell>
          <cell r="GX123">
            <v>853901</v>
          </cell>
          <cell r="GY123">
            <v>0</v>
          </cell>
        </row>
        <row r="124">
          <cell r="I124">
            <v>1</v>
          </cell>
          <cell r="N124">
            <v>1</v>
          </cell>
          <cell r="P124">
            <v>1</v>
          </cell>
          <cell r="R124">
            <v>672</v>
          </cell>
          <cell r="T124">
            <v>108</v>
          </cell>
          <cell r="V124">
            <v>661</v>
          </cell>
          <cell r="X124">
            <v>2</v>
          </cell>
          <cell r="Z124">
            <v>1</v>
          </cell>
          <cell r="AB124">
            <v>661</v>
          </cell>
          <cell r="AD124">
            <v>2</v>
          </cell>
          <cell r="AF124">
            <v>1</v>
          </cell>
          <cell r="AH124">
            <v>1</v>
          </cell>
          <cell r="AJ124">
            <v>1</v>
          </cell>
          <cell r="AL124">
            <v>0</v>
          </cell>
          <cell r="AN124">
            <v>0</v>
          </cell>
          <cell r="AP124">
            <v>0</v>
          </cell>
          <cell r="AR124">
            <v>0</v>
          </cell>
          <cell r="AT124">
            <v>0</v>
          </cell>
          <cell r="AV124">
            <v>0</v>
          </cell>
          <cell r="AX124">
            <v>0</v>
          </cell>
          <cell r="AZ124">
            <v>0</v>
          </cell>
          <cell r="BB124">
            <v>0</v>
          </cell>
          <cell r="BD124">
            <v>0</v>
          </cell>
          <cell r="BF124">
            <v>0</v>
          </cell>
          <cell r="BH124">
            <v>0</v>
          </cell>
          <cell r="BJ124">
            <v>0</v>
          </cell>
          <cell r="BL124">
            <v>0</v>
          </cell>
          <cell r="BN124">
            <v>0</v>
          </cell>
          <cell r="BP124">
            <v>0</v>
          </cell>
          <cell r="BR124">
            <v>0</v>
          </cell>
          <cell r="BT124">
            <v>0</v>
          </cell>
          <cell r="BV124">
            <v>0</v>
          </cell>
          <cell r="BX124">
            <v>0</v>
          </cell>
          <cell r="BZ124">
            <v>0</v>
          </cell>
          <cell r="CB124">
            <v>0</v>
          </cell>
          <cell r="CD124">
            <v>0</v>
          </cell>
          <cell r="CF124">
            <v>0</v>
          </cell>
          <cell r="CH124">
            <v>0</v>
          </cell>
          <cell r="CJ124">
            <v>0</v>
          </cell>
          <cell r="CL124">
            <v>0</v>
          </cell>
          <cell r="CN124">
            <v>0</v>
          </cell>
          <cell r="CP124">
            <v>0</v>
          </cell>
          <cell r="CR124">
            <v>0</v>
          </cell>
          <cell r="CT124">
            <v>0</v>
          </cell>
          <cell r="CV124">
            <v>0</v>
          </cell>
          <cell r="CX124">
            <v>0</v>
          </cell>
          <cell r="CZ124">
            <v>0</v>
          </cell>
          <cell r="DB124">
            <v>0</v>
          </cell>
          <cell r="DD124">
            <v>0</v>
          </cell>
          <cell r="DF124">
            <v>0</v>
          </cell>
          <cell r="DH124">
            <v>0</v>
          </cell>
          <cell r="DJ124">
            <v>0</v>
          </cell>
          <cell r="DL124">
            <v>0</v>
          </cell>
          <cell r="DN124">
            <v>0</v>
          </cell>
          <cell r="DP124">
            <v>0</v>
          </cell>
          <cell r="DR124">
            <v>0</v>
          </cell>
          <cell r="DT124">
            <v>0</v>
          </cell>
          <cell r="DV124">
            <v>0</v>
          </cell>
          <cell r="DX124">
            <v>0</v>
          </cell>
          <cell r="DZ124">
            <v>0</v>
          </cell>
          <cell r="EB124">
            <v>0</v>
          </cell>
          <cell r="ED124">
            <v>0</v>
          </cell>
          <cell r="EF124">
            <v>0</v>
          </cell>
          <cell r="EH124">
            <v>0</v>
          </cell>
          <cell r="EJ124">
            <v>0</v>
          </cell>
          <cell r="EL124">
            <v>0</v>
          </cell>
          <cell r="EN124">
            <v>0</v>
          </cell>
          <cell r="EP124">
            <v>0</v>
          </cell>
          <cell r="ER124">
            <v>0</v>
          </cell>
          <cell r="ET124">
            <v>0</v>
          </cell>
          <cell r="EV124">
            <v>0</v>
          </cell>
          <cell r="EX124">
            <v>0</v>
          </cell>
          <cell r="EZ124">
            <v>0</v>
          </cell>
          <cell r="FB124">
            <v>0</v>
          </cell>
          <cell r="FD124">
            <v>0</v>
          </cell>
          <cell r="FF124">
            <v>0</v>
          </cell>
          <cell r="FH124">
            <v>0</v>
          </cell>
          <cell r="FJ124">
            <v>0</v>
          </cell>
          <cell r="FL124">
            <v>0</v>
          </cell>
          <cell r="FN124">
            <v>0</v>
          </cell>
          <cell r="FP124">
            <v>0</v>
          </cell>
          <cell r="FR124">
            <v>0</v>
          </cell>
          <cell r="FT124">
            <v>0</v>
          </cell>
          <cell r="FV124">
            <v>0</v>
          </cell>
          <cell r="GD124">
            <v>14</v>
          </cell>
          <cell r="GF124">
            <v>4</v>
          </cell>
          <cell r="GH124">
            <v>1</v>
          </cell>
          <cell r="GJ124">
            <v>7</v>
          </cell>
          <cell r="GM124">
            <v>0.01</v>
          </cell>
          <cell r="GN12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W124" t="str">
            <v>（一）施工廠商施工前檢查事項辦理情形：█完成 □未完成 （二）其他工地安全衛生督導事項：</v>
          </cell>
          <cell r="GX124">
            <v>853901</v>
          </cell>
          <cell r="GY124">
            <v>0</v>
          </cell>
        </row>
        <row r="125">
          <cell r="I125">
            <v>1</v>
          </cell>
          <cell r="N125">
            <v>1</v>
          </cell>
          <cell r="P125">
            <v>1</v>
          </cell>
          <cell r="R125">
            <v>672</v>
          </cell>
          <cell r="T125">
            <v>108</v>
          </cell>
          <cell r="V125">
            <v>661</v>
          </cell>
          <cell r="X125">
            <v>2</v>
          </cell>
          <cell r="Z125">
            <v>1</v>
          </cell>
          <cell r="AB125">
            <v>661</v>
          </cell>
          <cell r="AD125">
            <v>2</v>
          </cell>
          <cell r="AF125">
            <v>1</v>
          </cell>
          <cell r="AH125">
            <v>1</v>
          </cell>
          <cell r="AJ125">
            <v>1</v>
          </cell>
          <cell r="AL125">
            <v>0</v>
          </cell>
          <cell r="AN125">
            <v>0</v>
          </cell>
          <cell r="AP125">
            <v>0</v>
          </cell>
          <cell r="AR125">
            <v>0</v>
          </cell>
          <cell r="AT125">
            <v>0</v>
          </cell>
          <cell r="AV125">
            <v>0</v>
          </cell>
          <cell r="AX125">
            <v>0</v>
          </cell>
          <cell r="AZ125">
            <v>0</v>
          </cell>
          <cell r="BB125">
            <v>0</v>
          </cell>
          <cell r="BD125">
            <v>0</v>
          </cell>
          <cell r="BF125">
            <v>0</v>
          </cell>
          <cell r="BH125">
            <v>0</v>
          </cell>
          <cell r="BJ125">
            <v>0</v>
          </cell>
          <cell r="BL125">
            <v>0</v>
          </cell>
          <cell r="BN125">
            <v>0</v>
          </cell>
          <cell r="BP125">
            <v>0</v>
          </cell>
          <cell r="BR125">
            <v>0</v>
          </cell>
          <cell r="BT125">
            <v>0</v>
          </cell>
          <cell r="BV125">
            <v>0</v>
          </cell>
          <cell r="BX125">
            <v>0</v>
          </cell>
          <cell r="BZ125">
            <v>0</v>
          </cell>
          <cell r="CB125">
            <v>0</v>
          </cell>
          <cell r="CD125">
            <v>0</v>
          </cell>
          <cell r="CF125">
            <v>0</v>
          </cell>
          <cell r="CH125">
            <v>0</v>
          </cell>
          <cell r="CJ125">
            <v>0</v>
          </cell>
          <cell r="CL125">
            <v>0</v>
          </cell>
          <cell r="CN125">
            <v>0</v>
          </cell>
          <cell r="CP125">
            <v>0</v>
          </cell>
          <cell r="CR125">
            <v>0</v>
          </cell>
          <cell r="CT125">
            <v>0</v>
          </cell>
          <cell r="CV125">
            <v>0</v>
          </cell>
          <cell r="CX125">
            <v>0</v>
          </cell>
          <cell r="CZ125">
            <v>0</v>
          </cell>
          <cell r="DB125">
            <v>0</v>
          </cell>
          <cell r="DD125">
            <v>0</v>
          </cell>
          <cell r="DF125">
            <v>0</v>
          </cell>
          <cell r="DH125">
            <v>0</v>
          </cell>
          <cell r="DJ125">
            <v>0</v>
          </cell>
          <cell r="DL125">
            <v>0</v>
          </cell>
          <cell r="DN125">
            <v>0</v>
          </cell>
          <cell r="DP125">
            <v>0</v>
          </cell>
          <cell r="DR125">
            <v>0</v>
          </cell>
          <cell r="DT125">
            <v>0</v>
          </cell>
          <cell r="DV125">
            <v>0</v>
          </cell>
          <cell r="DX125">
            <v>0</v>
          </cell>
          <cell r="DZ125">
            <v>0</v>
          </cell>
          <cell r="EB125">
            <v>0</v>
          </cell>
          <cell r="ED125">
            <v>0</v>
          </cell>
          <cell r="EF125">
            <v>0</v>
          </cell>
          <cell r="EH125">
            <v>0</v>
          </cell>
          <cell r="EJ125">
            <v>0</v>
          </cell>
          <cell r="EL125">
            <v>0</v>
          </cell>
          <cell r="EN125">
            <v>0</v>
          </cell>
          <cell r="EP125">
            <v>0</v>
          </cell>
          <cell r="ER125">
            <v>0</v>
          </cell>
          <cell r="ET125">
            <v>0</v>
          </cell>
          <cell r="EV125">
            <v>0</v>
          </cell>
          <cell r="EX125">
            <v>0</v>
          </cell>
          <cell r="EZ125">
            <v>0</v>
          </cell>
          <cell r="FB125">
            <v>0</v>
          </cell>
          <cell r="FD125">
            <v>0</v>
          </cell>
          <cell r="FF125">
            <v>0</v>
          </cell>
          <cell r="FH125">
            <v>0</v>
          </cell>
          <cell r="FJ125">
            <v>0</v>
          </cell>
          <cell r="FL125">
            <v>0</v>
          </cell>
          <cell r="FN125">
            <v>0</v>
          </cell>
          <cell r="FP125">
            <v>0</v>
          </cell>
          <cell r="FR125">
            <v>0</v>
          </cell>
          <cell r="FT125">
            <v>0</v>
          </cell>
          <cell r="FV125">
            <v>0</v>
          </cell>
          <cell r="GD125">
            <v>14</v>
          </cell>
          <cell r="GF125">
            <v>4</v>
          </cell>
          <cell r="GH125">
            <v>1</v>
          </cell>
          <cell r="GJ125">
            <v>7</v>
          </cell>
          <cell r="GM125">
            <v>0.01</v>
          </cell>
          <cell r="GN12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W125" t="str">
            <v>（一）施工廠商施工前檢查事項辦理情形：█完成 □未完成 （二）其他工地安全衛生督導事項：</v>
          </cell>
          <cell r="GX125">
            <v>853901</v>
          </cell>
          <cell r="GY125">
            <v>0</v>
          </cell>
        </row>
        <row r="126">
          <cell r="I126">
            <v>1</v>
          </cell>
          <cell r="N126">
            <v>1</v>
          </cell>
          <cell r="P126">
            <v>1</v>
          </cell>
          <cell r="R126">
            <v>672</v>
          </cell>
          <cell r="T126">
            <v>108</v>
          </cell>
          <cell r="V126">
            <v>661</v>
          </cell>
          <cell r="X126">
            <v>2</v>
          </cell>
          <cell r="Z126">
            <v>1</v>
          </cell>
          <cell r="AB126">
            <v>661</v>
          </cell>
          <cell r="AD126">
            <v>2</v>
          </cell>
          <cell r="AF126">
            <v>1</v>
          </cell>
          <cell r="AH126">
            <v>1</v>
          </cell>
          <cell r="AJ126">
            <v>1</v>
          </cell>
          <cell r="AL126">
            <v>0</v>
          </cell>
          <cell r="AN126">
            <v>0</v>
          </cell>
          <cell r="AP126">
            <v>0</v>
          </cell>
          <cell r="AR126">
            <v>0</v>
          </cell>
          <cell r="AT126">
            <v>0</v>
          </cell>
          <cell r="AV126">
            <v>0</v>
          </cell>
          <cell r="AX126">
            <v>0</v>
          </cell>
          <cell r="AZ126">
            <v>0</v>
          </cell>
          <cell r="BB126">
            <v>0</v>
          </cell>
          <cell r="BD126">
            <v>0</v>
          </cell>
          <cell r="BF126">
            <v>0</v>
          </cell>
          <cell r="BH126">
            <v>0</v>
          </cell>
          <cell r="BJ126">
            <v>0</v>
          </cell>
          <cell r="BL126">
            <v>0</v>
          </cell>
          <cell r="BN126">
            <v>0</v>
          </cell>
          <cell r="BP126">
            <v>0</v>
          </cell>
          <cell r="BR126">
            <v>0</v>
          </cell>
          <cell r="BT126">
            <v>0</v>
          </cell>
          <cell r="BV126">
            <v>0</v>
          </cell>
          <cell r="BX126">
            <v>0</v>
          </cell>
          <cell r="BZ126">
            <v>0</v>
          </cell>
          <cell r="CB126">
            <v>0</v>
          </cell>
          <cell r="CD126">
            <v>0</v>
          </cell>
          <cell r="CF126">
            <v>0</v>
          </cell>
          <cell r="CH126">
            <v>0</v>
          </cell>
          <cell r="CJ126">
            <v>0</v>
          </cell>
          <cell r="CL126">
            <v>0</v>
          </cell>
          <cell r="CN126">
            <v>0</v>
          </cell>
          <cell r="CP126">
            <v>0</v>
          </cell>
          <cell r="CR126">
            <v>0</v>
          </cell>
          <cell r="CT126">
            <v>0</v>
          </cell>
          <cell r="CV126">
            <v>0</v>
          </cell>
          <cell r="CX126">
            <v>0</v>
          </cell>
          <cell r="CZ126">
            <v>0</v>
          </cell>
          <cell r="DB126">
            <v>0</v>
          </cell>
          <cell r="DD126">
            <v>0</v>
          </cell>
          <cell r="DF126">
            <v>0</v>
          </cell>
          <cell r="DH126">
            <v>0</v>
          </cell>
          <cell r="DJ126">
            <v>0</v>
          </cell>
          <cell r="DL126">
            <v>0</v>
          </cell>
          <cell r="DN126">
            <v>0</v>
          </cell>
          <cell r="DP126">
            <v>0</v>
          </cell>
          <cell r="DR126">
            <v>0</v>
          </cell>
          <cell r="DT126">
            <v>0</v>
          </cell>
          <cell r="DV126">
            <v>0</v>
          </cell>
          <cell r="DX126">
            <v>0</v>
          </cell>
          <cell r="DZ126">
            <v>0</v>
          </cell>
          <cell r="EB126">
            <v>0</v>
          </cell>
          <cell r="ED126">
            <v>0</v>
          </cell>
          <cell r="EF126">
            <v>0</v>
          </cell>
          <cell r="EH126">
            <v>0</v>
          </cell>
          <cell r="EJ126">
            <v>0</v>
          </cell>
          <cell r="EL126">
            <v>0</v>
          </cell>
          <cell r="EN126">
            <v>0</v>
          </cell>
          <cell r="EP126">
            <v>0</v>
          </cell>
          <cell r="ER126">
            <v>0</v>
          </cell>
          <cell r="ET126">
            <v>0</v>
          </cell>
          <cell r="EV126">
            <v>0</v>
          </cell>
          <cell r="EX126">
            <v>0</v>
          </cell>
          <cell r="EZ126">
            <v>0</v>
          </cell>
          <cell r="FB126">
            <v>0</v>
          </cell>
          <cell r="FD126">
            <v>0</v>
          </cell>
          <cell r="FF126">
            <v>0</v>
          </cell>
          <cell r="FH126">
            <v>0</v>
          </cell>
          <cell r="FJ126">
            <v>0</v>
          </cell>
          <cell r="FL126">
            <v>0</v>
          </cell>
          <cell r="FN126">
            <v>0</v>
          </cell>
          <cell r="FP126">
            <v>0</v>
          </cell>
          <cell r="FR126">
            <v>0</v>
          </cell>
          <cell r="FT126">
            <v>0</v>
          </cell>
          <cell r="FV126">
            <v>0</v>
          </cell>
          <cell r="GD126">
            <v>14</v>
          </cell>
          <cell r="GF126">
            <v>4</v>
          </cell>
          <cell r="GH126">
            <v>1</v>
          </cell>
          <cell r="GJ126">
            <v>7</v>
          </cell>
          <cell r="GM126">
            <v>0.01</v>
          </cell>
          <cell r="GN12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W126" t="str">
            <v>（一）施工廠商施工前檢查事項辦理情形：█完成 □未完成 （二）其他工地安全衛生督導事項：</v>
          </cell>
          <cell r="GX126">
            <v>853901</v>
          </cell>
          <cell r="GY126">
            <v>0</v>
          </cell>
        </row>
        <row r="127">
          <cell r="G127">
            <v>0</v>
          </cell>
          <cell r="I127">
            <v>1</v>
          </cell>
          <cell r="N127">
            <v>1</v>
          </cell>
          <cell r="P127">
            <v>1</v>
          </cell>
          <cell r="R127">
            <v>672</v>
          </cell>
          <cell r="T127">
            <v>108</v>
          </cell>
          <cell r="V127">
            <v>661</v>
          </cell>
          <cell r="X127">
            <v>2</v>
          </cell>
          <cell r="Z127">
            <v>1</v>
          </cell>
          <cell r="AB127">
            <v>661</v>
          </cell>
          <cell r="AD127">
            <v>2</v>
          </cell>
          <cell r="AF127">
            <v>1</v>
          </cell>
          <cell r="AH127">
            <v>1</v>
          </cell>
          <cell r="AJ127">
            <v>1</v>
          </cell>
          <cell r="AL127">
            <v>0</v>
          </cell>
          <cell r="AN127">
            <v>0</v>
          </cell>
          <cell r="AP127">
            <v>0</v>
          </cell>
          <cell r="AR127">
            <v>0</v>
          </cell>
          <cell r="AT127">
            <v>0</v>
          </cell>
          <cell r="AV127">
            <v>0</v>
          </cell>
          <cell r="AX127">
            <v>0</v>
          </cell>
          <cell r="AZ127">
            <v>0</v>
          </cell>
          <cell r="BB127">
            <v>0</v>
          </cell>
          <cell r="BD127">
            <v>0</v>
          </cell>
          <cell r="BF127">
            <v>0</v>
          </cell>
          <cell r="BH127">
            <v>0</v>
          </cell>
          <cell r="BJ127">
            <v>0</v>
          </cell>
          <cell r="BL127">
            <v>0</v>
          </cell>
          <cell r="BN127">
            <v>0</v>
          </cell>
          <cell r="BP127">
            <v>0</v>
          </cell>
          <cell r="BR127">
            <v>0</v>
          </cell>
          <cell r="BT127">
            <v>0</v>
          </cell>
          <cell r="BV127">
            <v>0</v>
          </cell>
          <cell r="BX127">
            <v>0</v>
          </cell>
          <cell r="BZ127">
            <v>0</v>
          </cell>
          <cell r="CB127">
            <v>0</v>
          </cell>
          <cell r="CD127">
            <v>0</v>
          </cell>
          <cell r="CF127">
            <v>0</v>
          </cell>
          <cell r="CH127">
            <v>0</v>
          </cell>
          <cell r="CJ127">
            <v>0</v>
          </cell>
          <cell r="CL127">
            <v>0</v>
          </cell>
          <cell r="CN127">
            <v>0</v>
          </cell>
          <cell r="CP127">
            <v>0</v>
          </cell>
          <cell r="CR127">
            <v>0</v>
          </cell>
          <cell r="CT127">
            <v>0</v>
          </cell>
          <cell r="CV127">
            <v>0</v>
          </cell>
          <cell r="CX127">
            <v>0</v>
          </cell>
          <cell r="CZ127">
            <v>0</v>
          </cell>
          <cell r="DB127">
            <v>0</v>
          </cell>
          <cell r="DD127">
            <v>0</v>
          </cell>
          <cell r="DF127">
            <v>0</v>
          </cell>
          <cell r="DH127">
            <v>0</v>
          </cell>
          <cell r="DJ127">
            <v>0</v>
          </cell>
          <cell r="DL127">
            <v>0</v>
          </cell>
          <cell r="DN127">
            <v>0</v>
          </cell>
          <cell r="DP127">
            <v>0</v>
          </cell>
          <cell r="DR127">
            <v>0</v>
          </cell>
          <cell r="DT127">
            <v>0</v>
          </cell>
          <cell r="DV127">
            <v>0</v>
          </cell>
          <cell r="DX127">
            <v>0</v>
          </cell>
          <cell r="DZ127">
            <v>0</v>
          </cell>
          <cell r="EB127">
            <v>0</v>
          </cell>
          <cell r="ED127">
            <v>0</v>
          </cell>
          <cell r="EF127">
            <v>0</v>
          </cell>
          <cell r="EH127">
            <v>0</v>
          </cell>
          <cell r="EJ127">
            <v>0</v>
          </cell>
          <cell r="EL127">
            <v>0</v>
          </cell>
          <cell r="EN127">
            <v>0</v>
          </cell>
          <cell r="EP127">
            <v>0</v>
          </cell>
          <cell r="ER127">
            <v>0</v>
          </cell>
          <cell r="ET127">
            <v>0</v>
          </cell>
          <cell r="EV127">
            <v>0</v>
          </cell>
          <cell r="EX127">
            <v>0</v>
          </cell>
          <cell r="EZ127">
            <v>0</v>
          </cell>
          <cell r="FB127">
            <v>0</v>
          </cell>
          <cell r="FD127">
            <v>0</v>
          </cell>
          <cell r="FF127">
            <v>0</v>
          </cell>
          <cell r="FH127">
            <v>0</v>
          </cell>
          <cell r="FJ127">
            <v>0</v>
          </cell>
          <cell r="FL127">
            <v>0</v>
          </cell>
          <cell r="FN127">
            <v>0</v>
          </cell>
          <cell r="FP127">
            <v>0</v>
          </cell>
          <cell r="FR127">
            <v>0</v>
          </cell>
          <cell r="FT127">
            <v>0</v>
          </cell>
          <cell r="FV127">
            <v>0</v>
          </cell>
          <cell r="GD127">
            <v>14</v>
          </cell>
          <cell r="GF127">
            <v>4</v>
          </cell>
          <cell r="GH127">
            <v>1</v>
          </cell>
          <cell r="GJ127">
            <v>7</v>
          </cell>
          <cell r="GM127">
            <v>0.01</v>
          </cell>
          <cell r="GN12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W127" t="str">
            <v>（一）施工廠商施工前檢查事項辦理情形：█完成 □未完成 （二）其他工地安全衛生督導事項：</v>
          </cell>
          <cell r="GX127">
            <v>853901</v>
          </cell>
          <cell r="GY127">
            <v>0</v>
          </cell>
        </row>
        <row r="128">
          <cell r="G128">
            <v>0</v>
          </cell>
          <cell r="I128">
            <v>1</v>
          </cell>
          <cell r="N128">
            <v>1</v>
          </cell>
          <cell r="P128">
            <v>1</v>
          </cell>
          <cell r="R128">
            <v>672</v>
          </cell>
          <cell r="T128">
            <v>108</v>
          </cell>
          <cell r="V128">
            <v>661</v>
          </cell>
          <cell r="X128">
            <v>2</v>
          </cell>
          <cell r="Z128">
            <v>1</v>
          </cell>
          <cell r="AB128">
            <v>661</v>
          </cell>
          <cell r="AD128">
            <v>2</v>
          </cell>
          <cell r="AF128">
            <v>1</v>
          </cell>
          <cell r="AH128">
            <v>1</v>
          </cell>
          <cell r="AJ128">
            <v>1</v>
          </cell>
          <cell r="AL128">
            <v>0</v>
          </cell>
          <cell r="AN128">
            <v>0</v>
          </cell>
          <cell r="AP128">
            <v>0</v>
          </cell>
          <cell r="AR128">
            <v>0</v>
          </cell>
          <cell r="AT128">
            <v>0</v>
          </cell>
          <cell r="AV128">
            <v>0</v>
          </cell>
          <cell r="AX128">
            <v>0</v>
          </cell>
          <cell r="AZ128">
            <v>0</v>
          </cell>
          <cell r="BB128">
            <v>0</v>
          </cell>
          <cell r="BD128">
            <v>0</v>
          </cell>
          <cell r="BF128">
            <v>0</v>
          </cell>
          <cell r="BH128">
            <v>0</v>
          </cell>
          <cell r="BJ128">
            <v>0</v>
          </cell>
          <cell r="BL128">
            <v>0</v>
          </cell>
          <cell r="BN128">
            <v>0</v>
          </cell>
          <cell r="BP128">
            <v>0</v>
          </cell>
          <cell r="BR128">
            <v>0</v>
          </cell>
          <cell r="BT128">
            <v>0</v>
          </cell>
          <cell r="BV128">
            <v>0</v>
          </cell>
          <cell r="BX128">
            <v>0</v>
          </cell>
          <cell r="BZ128">
            <v>0</v>
          </cell>
          <cell r="CB128">
            <v>0</v>
          </cell>
          <cell r="CD128">
            <v>0</v>
          </cell>
          <cell r="CF128">
            <v>0</v>
          </cell>
          <cell r="CH128">
            <v>0</v>
          </cell>
          <cell r="CJ128">
            <v>0</v>
          </cell>
          <cell r="CL128">
            <v>0</v>
          </cell>
          <cell r="CN128">
            <v>0</v>
          </cell>
          <cell r="CP128">
            <v>0</v>
          </cell>
          <cell r="CR128">
            <v>0</v>
          </cell>
          <cell r="CT128">
            <v>0</v>
          </cell>
          <cell r="CV128">
            <v>0</v>
          </cell>
          <cell r="CX128">
            <v>0</v>
          </cell>
          <cell r="CZ128">
            <v>0</v>
          </cell>
          <cell r="DB128">
            <v>0</v>
          </cell>
          <cell r="DD128">
            <v>0</v>
          </cell>
          <cell r="DF128">
            <v>0</v>
          </cell>
          <cell r="DH128">
            <v>0</v>
          </cell>
          <cell r="DJ128">
            <v>0</v>
          </cell>
          <cell r="DL128">
            <v>0</v>
          </cell>
          <cell r="DN128">
            <v>0</v>
          </cell>
          <cell r="DP128">
            <v>0</v>
          </cell>
          <cell r="DR128">
            <v>0</v>
          </cell>
          <cell r="DT128">
            <v>0</v>
          </cell>
          <cell r="DV128">
            <v>0</v>
          </cell>
          <cell r="DX128">
            <v>0</v>
          </cell>
          <cell r="DZ128">
            <v>0</v>
          </cell>
          <cell r="EB128">
            <v>0</v>
          </cell>
          <cell r="ED128">
            <v>0</v>
          </cell>
          <cell r="EF128">
            <v>0</v>
          </cell>
          <cell r="EH128">
            <v>0</v>
          </cell>
          <cell r="EJ128">
            <v>0</v>
          </cell>
          <cell r="EL128">
            <v>0</v>
          </cell>
          <cell r="EN128">
            <v>0</v>
          </cell>
          <cell r="EP128">
            <v>0</v>
          </cell>
          <cell r="ER128">
            <v>0</v>
          </cell>
          <cell r="ET128">
            <v>0</v>
          </cell>
          <cell r="EV128">
            <v>0</v>
          </cell>
          <cell r="EX128">
            <v>0</v>
          </cell>
          <cell r="EZ128">
            <v>0</v>
          </cell>
          <cell r="FB128">
            <v>0</v>
          </cell>
          <cell r="FD128">
            <v>0</v>
          </cell>
          <cell r="FF128">
            <v>0</v>
          </cell>
          <cell r="FH128">
            <v>0</v>
          </cell>
          <cell r="FJ128">
            <v>0</v>
          </cell>
          <cell r="FL128">
            <v>0</v>
          </cell>
          <cell r="FN128">
            <v>0</v>
          </cell>
          <cell r="FP128">
            <v>0</v>
          </cell>
          <cell r="FR128">
            <v>0</v>
          </cell>
          <cell r="FT128">
            <v>0</v>
          </cell>
          <cell r="FV128">
            <v>0</v>
          </cell>
          <cell r="GD128">
            <v>14</v>
          </cell>
          <cell r="GF128">
            <v>4</v>
          </cell>
          <cell r="GH128">
            <v>1</v>
          </cell>
          <cell r="GJ128">
            <v>7</v>
          </cell>
          <cell r="GM128">
            <v>0.01</v>
          </cell>
          <cell r="GN12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W128" t="str">
            <v>（一）施工廠商施工前檢查事項辦理情形：█完成 □未完成 （二）其他工地安全衛生督導事項：</v>
          </cell>
          <cell r="GX128">
            <v>853901</v>
          </cell>
          <cell r="GY128">
            <v>0</v>
          </cell>
        </row>
        <row r="129">
          <cell r="G129">
            <v>0</v>
          </cell>
          <cell r="I129">
            <v>1</v>
          </cell>
          <cell r="N129">
            <v>1</v>
          </cell>
          <cell r="P129">
            <v>1</v>
          </cell>
          <cell r="R129">
            <v>672</v>
          </cell>
          <cell r="T129">
            <v>108</v>
          </cell>
          <cell r="V129">
            <v>661</v>
          </cell>
          <cell r="X129">
            <v>2</v>
          </cell>
          <cell r="Z129">
            <v>1</v>
          </cell>
          <cell r="AB129">
            <v>661</v>
          </cell>
          <cell r="AD129">
            <v>2</v>
          </cell>
          <cell r="AF129">
            <v>1</v>
          </cell>
          <cell r="AH129">
            <v>1</v>
          </cell>
          <cell r="AJ129">
            <v>1</v>
          </cell>
          <cell r="AL129">
            <v>0</v>
          </cell>
          <cell r="AN129">
            <v>0</v>
          </cell>
          <cell r="AP129">
            <v>0</v>
          </cell>
          <cell r="AR129">
            <v>0</v>
          </cell>
          <cell r="AT129">
            <v>0</v>
          </cell>
          <cell r="AV129">
            <v>0</v>
          </cell>
          <cell r="AX129">
            <v>0</v>
          </cell>
          <cell r="AZ129">
            <v>0</v>
          </cell>
          <cell r="BB129">
            <v>0</v>
          </cell>
          <cell r="BD129">
            <v>0</v>
          </cell>
          <cell r="BF129">
            <v>0</v>
          </cell>
          <cell r="BH129">
            <v>0</v>
          </cell>
          <cell r="BJ129">
            <v>0</v>
          </cell>
          <cell r="BL129">
            <v>0</v>
          </cell>
          <cell r="BN129">
            <v>0</v>
          </cell>
          <cell r="BP129">
            <v>0</v>
          </cell>
          <cell r="BR129">
            <v>0</v>
          </cell>
          <cell r="BT129">
            <v>0</v>
          </cell>
          <cell r="BV129">
            <v>0</v>
          </cell>
          <cell r="BX129">
            <v>0</v>
          </cell>
          <cell r="BZ129">
            <v>0</v>
          </cell>
          <cell r="CB129">
            <v>0</v>
          </cell>
          <cell r="CD129">
            <v>0</v>
          </cell>
          <cell r="CF129">
            <v>0</v>
          </cell>
          <cell r="CH129">
            <v>0</v>
          </cell>
          <cell r="CJ129">
            <v>0</v>
          </cell>
          <cell r="CL129">
            <v>0</v>
          </cell>
          <cell r="CN129">
            <v>0</v>
          </cell>
          <cell r="CP129">
            <v>0</v>
          </cell>
          <cell r="CR129">
            <v>0</v>
          </cell>
          <cell r="CT129">
            <v>0</v>
          </cell>
          <cell r="CV129">
            <v>0</v>
          </cell>
          <cell r="CX129">
            <v>0</v>
          </cell>
          <cell r="CZ129">
            <v>0</v>
          </cell>
          <cell r="DB129">
            <v>0</v>
          </cell>
          <cell r="DD129">
            <v>0</v>
          </cell>
          <cell r="DF129">
            <v>0</v>
          </cell>
          <cell r="DH129">
            <v>0</v>
          </cell>
          <cell r="DJ129">
            <v>0</v>
          </cell>
          <cell r="DL129">
            <v>0</v>
          </cell>
          <cell r="DN129">
            <v>0</v>
          </cell>
          <cell r="DP129">
            <v>0</v>
          </cell>
          <cell r="DR129">
            <v>0</v>
          </cell>
          <cell r="DT129">
            <v>0</v>
          </cell>
          <cell r="DV129">
            <v>0</v>
          </cell>
          <cell r="DX129">
            <v>0</v>
          </cell>
          <cell r="DZ129">
            <v>0</v>
          </cell>
          <cell r="EB129">
            <v>0</v>
          </cell>
          <cell r="ED129">
            <v>0</v>
          </cell>
          <cell r="EF129">
            <v>0</v>
          </cell>
          <cell r="EH129">
            <v>0</v>
          </cell>
          <cell r="EJ129">
            <v>0</v>
          </cell>
          <cell r="EL129">
            <v>0</v>
          </cell>
          <cell r="EN129">
            <v>0</v>
          </cell>
          <cell r="EP129">
            <v>0</v>
          </cell>
          <cell r="ER129">
            <v>0</v>
          </cell>
          <cell r="ET129">
            <v>0</v>
          </cell>
          <cell r="EV129">
            <v>0</v>
          </cell>
          <cell r="EX129">
            <v>0</v>
          </cell>
          <cell r="EZ129">
            <v>0</v>
          </cell>
          <cell r="FB129">
            <v>0</v>
          </cell>
          <cell r="FD129">
            <v>0</v>
          </cell>
          <cell r="FF129">
            <v>0</v>
          </cell>
          <cell r="FH129">
            <v>0</v>
          </cell>
          <cell r="FJ129">
            <v>0</v>
          </cell>
          <cell r="FL129">
            <v>0</v>
          </cell>
          <cell r="FN129">
            <v>0</v>
          </cell>
          <cell r="FP129">
            <v>0</v>
          </cell>
          <cell r="FR129">
            <v>0</v>
          </cell>
          <cell r="FT129">
            <v>0</v>
          </cell>
          <cell r="FV129">
            <v>0</v>
          </cell>
          <cell r="GD129">
            <v>14</v>
          </cell>
          <cell r="GF129">
            <v>4</v>
          </cell>
          <cell r="GH129">
            <v>1</v>
          </cell>
          <cell r="GJ129">
            <v>7</v>
          </cell>
          <cell r="GM129">
            <v>0.01</v>
          </cell>
          <cell r="GN12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W129" t="str">
            <v>（一）施工廠商施工前檢查事項辦理情形：█完成 □未完成 （二）其他工地安全衛生督導事項：</v>
          </cell>
          <cell r="GX129">
            <v>853901</v>
          </cell>
          <cell r="GY129">
            <v>0</v>
          </cell>
        </row>
        <row r="130">
          <cell r="G130">
            <v>0</v>
          </cell>
          <cell r="I130">
            <v>1</v>
          </cell>
          <cell r="N130">
            <v>1</v>
          </cell>
          <cell r="P130">
            <v>1</v>
          </cell>
          <cell r="R130">
            <v>672</v>
          </cell>
          <cell r="T130">
            <v>108</v>
          </cell>
          <cell r="V130">
            <v>661</v>
          </cell>
          <cell r="X130">
            <v>2</v>
          </cell>
          <cell r="Z130">
            <v>1</v>
          </cell>
          <cell r="AB130">
            <v>661</v>
          </cell>
          <cell r="AD130">
            <v>2</v>
          </cell>
          <cell r="AF130">
            <v>1</v>
          </cell>
          <cell r="AH130">
            <v>1</v>
          </cell>
          <cell r="AJ130">
            <v>1</v>
          </cell>
          <cell r="AL130">
            <v>0</v>
          </cell>
          <cell r="AN130">
            <v>0</v>
          </cell>
          <cell r="AP130">
            <v>0</v>
          </cell>
          <cell r="AR130">
            <v>0</v>
          </cell>
          <cell r="AT130">
            <v>0</v>
          </cell>
          <cell r="AV130">
            <v>0</v>
          </cell>
          <cell r="AX130">
            <v>0</v>
          </cell>
          <cell r="AZ130">
            <v>0</v>
          </cell>
          <cell r="BB130">
            <v>0</v>
          </cell>
          <cell r="BD130">
            <v>0</v>
          </cell>
          <cell r="BF130">
            <v>0</v>
          </cell>
          <cell r="BH130">
            <v>0</v>
          </cell>
          <cell r="BJ130">
            <v>0</v>
          </cell>
          <cell r="BL130">
            <v>0</v>
          </cell>
          <cell r="BN130">
            <v>0</v>
          </cell>
          <cell r="BP130">
            <v>0</v>
          </cell>
          <cell r="BR130">
            <v>0</v>
          </cell>
          <cell r="BT130">
            <v>0</v>
          </cell>
          <cell r="BV130">
            <v>0</v>
          </cell>
          <cell r="BX130">
            <v>0</v>
          </cell>
          <cell r="BZ130">
            <v>0</v>
          </cell>
          <cell r="CB130">
            <v>0</v>
          </cell>
          <cell r="CD130">
            <v>0</v>
          </cell>
          <cell r="CF130">
            <v>0</v>
          </cell>
          <cell r="CH130">
            <v>0</v>
          </cell>
          <cell r="CJ130">
            <v>0</v>
          </cell>
          <cell r="CL130">
            <v>0</v>
          </cell>
          <cell r="CN130">
            <v>0</v>
          </cell>
          <cell r="CP130">
            <v>0</v>
          </cell>
          <cell r="CR130">
            <v>0</v>
          </cell>
          <cell r="CT130">
            <v>0</v>
          </cell>
          <cell r="CV130">
            <v>0</v>
          </cell>
          <cell r="CX130">
            <v>0</v>
          </cell>
          <cell r="CZ130">
            <v>0</v>
          </cell>
          <cell r="DB130">
            <v>0</v>
          </cell>
          <cell r="DD130">
            <v>0</v>
          </cell>
          <cell r="DF130">
            <v>0</v>
          </cell>
          <cell r="DH130">
            <v>0</v>
          </cell>
          <cell r="DJ130">
            <v>0</v>
          </cell>
          <cell r="DL130">
            <v>0</v>
          </cell>
          <cell r="DN130">
            <v>0</v>
          </cell>
          <cell r="DP130">
            <v>0</v>
          </cell>
          <cell r="DR130">
            <v>0</v>
          </cell>
          <cell r="DT130">
            <v>0</v>
          </cell>
          <cell r="DV130">
            <v>0</v>
          </cell>
          <cell r="DX130">
            <v>0</v>
          </cell>
          <cell r="DZ130">
            <v>0</v>
          </cell>
          <cell r="EB130">
            <v>0</v>
          </cell>
          <cell r="ED130">
            <v>0</v>
          </cell>
          <cell r="EF130">
            <v>0</v>
          </cell>
          <cell r="EH130">
            <v>0</v>
          </cell>
          <cell r="EJ130">
            <v>0</v>
          </cell>
          <cell r="EL130">
            <v>0</v>
          </cell>
          <cell r="EN130">
            <v>0</v>
          </cell>
          <cell r="EP130">
            <v>0</v>
          </cell>
          <cell r="ER130">
            <v>0</v>
          </cell>
          <cell r="ET130">
            <v>0</v>
          </cell>
          <cell r="EV130">
            <v>0</v>
          </cell>
          <cell r="EX130">
            <v>0</v>
          </cell>
          <cell r="EZ130">
            <v>0</v>
          </cell>
          <cell r="FB130">
            <v>0</v>
          </cell>
          <cell r="FD130">
            <v>0</v>
          </cell>
          <cell r="FF130">
            <v>0</v>
          </cell>
          <cell r="FH130">
            <v>0</v>
          </cell>
          <cell r="FJ130">
            <v>0</v>
          </cell>
          <cell r="FL130">
            <v>0</v>
          </cell>
          <cell r="FN130">
            <v>0</v>
          </cell>
          <cell r="FP130">
            <v>0</v>
          </cell>
          <cell r="FR130">
            <v>0</v>
          </cell>
          <cell r="FT130">
            <v>0</v>
          </cell>
          <cell r="FV130">
            <v>0</v>
          </cell>
          <cell r="GD130">
            <v>14</v>
          </cell>
          <cell r="GF130">
            <v>4</v>
          </cell>
          <cell r="GH130">
            <v>1</v>
          </cell>
          <cell r="GJ130">
            <v>7</v>
          </cell>
          <cell r="GM130">
            <v>0.01</v>
          </cell>
          <cell r="GN13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W130" t="str">
            <v>（一）施工廠商施工前檢查事項辦理情形：█完成 □未完成 （二）其他工地安全衛生督導事項：</v>
          </cell>
          <cell r="GX130">
            <v>853901</v>
          </cell>
          <cell r="GY130">
            <v>0</v>
          </cell>
        </row>
        <row r="131">
          <cell r="G131">
            <v>0</v>
          </cell>
          <cell r="I131">
            <v>1</v>
          </cell>
          <cell r="N131">
            <v>1</v>
          </cell>
          <cell r="P131">
            <v>1</v>
          </cell>
          <cell r="R131">
            <v>672</v>
          </cell>
          <cell r="T131">
            <v>108</v>
          </cell>
          <cell r="V131">
            <v>661</v>
          </cell>
          <cell r="X131">
            <v>2</v>
          </cell>
          <cell r="Z131">
            <v>1</v>
          </cell>
          <cell r="AB131">
            <v>661</v>
          </cell>
          <cell r="AD131">
            <v>2</v>
          </cell>
          <cell r="AF131">
            <v>1</v>
          </cell>
          <cell r="AH131">
            <v>1</v>
          </cell>
          <cell r="AJ131">
            <v>1</v>
          </cell>
          <cell r="AL131">
            <v>0</v>
          </cell>
          <cell r="AN131">
            <v>0</v>
          </cell>
          <cell r="AP131">
            <v>0</v>
          </cell>
          <cell r="AR131">
            <v>0</v>
          </cell>
          <cell r="AT131">
            <v>0</v>
          </cell>
          <cell r="AV131">
            <v>0</v>
          </cell>
          <cell r="AX131">
            <v>0</v>
          </cell>
          <cell r="AZ131">
            <v>0</v>
          </cell>
          <cell r="BB131">
            <v>0</v>
          </cell>
          <cell r="BD131">
            <v>0</v>
          </cell>
          <cell r="BF131">
            <v>0</v>
          </cell>
          <cell r="BH131">
            <v>0</v>
          </cell>
          <cell r="BJ131">
            <v>0</v>
          </cell>
          <cell r="BL131">
            <v>0</v>
          </cell>
          <cell r="BN131">
            <v>0</v>
          </cell>
          <cell r="BP131">
            <v>0</v>
          </cell>
          <cell r="BR131">
            <v>0</v>
          </cell>
          <cell r="BT131">
            <v>0</v>
          </cell>
          <cell r="BV131">
            <v>0</v>
          </cell>
          <cell r="BX131">
            <v>0</v>
          </cell>
          <cell r="BZ131">
            <v>0</v>
          </cell>
          <cell r="CB131">
            <v>0</v>
          </cell>
          <cell r="CD131">
            <v>0</v>
          </cell>
          <cell r="CF131">
            <v>0</v>
          </cell>
          <cell r="CH131">
            <v>0</v>
          </cell>
          <cell r="CJ131">
            <v>0</v>
          </cell>
          <cell r="CL131">
            <v>0</v>
          </cell>
          <cell r="CN131">
            <v>0</v>
          </cell>
          <cell r="CP131">
            <v>0</v>
          </cell>
          <cell r="CR131">
            <v>0</v>
          </cell>
          <cell r="CT131">
            <v>0</v>
          </cell>
          <cell r="CV131">
            <v>0</v>
          </cell>
          <cell r="CX131">
            <v>0</v>
          </cell>
          <cell r="CZ131">
            <v>0</v>
          </cell>
          <cell r="DB131">
            <v>0</v>
          </cell>
          <cell r="DD131">
            <v>0</v>
          </cell>
          <cell r="DF131">
            <v>0</v>
          </cell>
          <cell r="DH131">
            <v>0</v>
          </cell>
          <cell r="DJ131">
            <v>0</v>
          </cell>
          <cell r="DL131">
            <v>0</v>
          </cell>
          <cell r="DN131">
            <v>0</v>
          </cell>
          <cell r="DP131">
            <v>0</v>
          </cell>
          <cell r="DR131">
            <v>0</v>
          </cell>
          <cell r="DT131">
            <v>0</v>
          </cell>
          <cell r="DV131">
            <v>0</v>
          </cell>
          <cell r="DX131">
            <v>0</v>
          </cell>
          <cell r="DZ131">
            <v>0</v>
          </cell>
          <cell r="EB131">
            <v>0</v>
          </cell>
          <cell r="ED131">
            <v>0</v>
          </cell>
          <cell r="EF131">
            <v>0</v>
          </cell>
          <cell r="EH131">
            <v>0</v>
          </cell>
          <cell r="EJ131">
            <v>0</v>
          </cell>
          <cell r="EL131">
            <v>0</v>
          </cell>
          <cell r="EN131">
            <v>0</v>
          </cell>
          <cell r="EP131">
            <v>0</v>
          </cell>
          <cell r="ER131">
            <v>0</v>
          </cell>
          <cell r="ET131">
            <v>0</v>
          </cell>
          <cell r="EV131">
            <v>0</v>
          </cell>
          <cell r="EX131">
            <v>0</v>
          </cell>
          <cell r="EZ131">
            <v>0</v>
          </cell>
          <cell r="FB131">
            <v>0</v>
          </cell>
          <cell r="FD131">
            <v>0</v>
          </cell>
          <cell r="FF131">
            <v>0</v>
          </cell>
          <cell r="FH131">
            <v>0</v>
          </cell>
          <cell r="FJ131">
            <v>0</v>
          </cell>
          <cell r="FL131">
            <v>0</v>
          </cell>
          <cell r="FN131">
            <v>0</v>
          </cell>
          <cell r="FP131">
            <v>0</v>
          </cell>
          <cell r="FR131">
            <v>0</v>
          </cell>
          <cell r="FT131">
            <v>0</v>
          </cell>
          <cell r="FV131">
            <v>0</v>
          </cell>
          <cell r="GD131">
            <v>14</v>
          </cell>
          <cell r="GF131">
            <v>4</v>
          </cell>
          <cell r="GH131">
            <v>1</v>
          </cell>
          <cell r="GJ131">
            <v>7</v>
          </cell>
          <cell r="GM131">
            <v>0.01</v>
          </cell>
          <cell r="GN13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W131" t="str">
            <v>（一）施工廠商施工前檢查事項辦理情形：█完成 □未完成 （二）其他工地安全衛生督導事項：</v>
          </cell>
          <cell r="GX131">
            <v>853901</v>
          </cell>
          <cell r="GY131">
            <v>0</v>
          </cell>
        </row>
        <row r="132">
          <cell r="G132">
            <v>0</v>
          </cell>
          <cell r="I132">
            <v>1</v>
          </cell>
          <cell r="N132">
            <v>1</v>
          </cell>
          <cell r="P132">
            <v>1</v>
          </cell>
          <cell r="R132">
            <v>672</v>
          </cell>
          <cell r="T132">
            <v>108</v>
          </cell>
          <cell r="V132">
            <v>661</v>
          </cell>
          <cell r="X132">
            <v>2</v>
          </cell>
          <cell r="Z132">
            <v>1</v>
          </cell>
          <cell r="AB132">
            <v>661</v>
          </cell>
          <cell r="AD132">
            <v>2</v>
          </cell>
          <cell r="AF132">
            <v>1</v>
          </cell>
          <cell r="AH132">
            <v>1</v>
          </cell>
          <cell r="AJ132">
            <v>1</v>
          </cell>
          <cell r="AL132">
            <v>0</v>
          </cell>
          <cell r="AN132">
            <v>0</v>
          </cell>
          <cell r="AP132">
            <v>0</v>
          </cell>
          <cell r="AR132">
            <v>0</v>
          </cell>
          <cell r="AT132">
            <v>0</v>
          </cell>
          <cell r="AV132">
            <v>0</v>
          </cell>
          <cell r="AX132">
            <v>0</v>
          </cell>
          <cell r="AZ132">
            <v>0</v>
          </cell>
          <cell r="BB132">
            <v>0</v>
          </cell>
          <cell r="BD132">
            <v>0</v>
          </cell>
          <cell r="BF132">
            <v>0</v>
          </cell>
          <cell r="BH132">
            <v>0</v>
          </cell>
          <cell r="BJ132">
            <v>0</v>
          </cell>
          <cell r="BL132">
            <v>0</v>
          </cell>
          <cell r="BN132">
            <v>0</v>
          </cell>
          <cell r="BP132">
            <v>0</v>
          </cell>
          <cell r="BR132">
            <v>0</v>
          </cell>
          <cell r="BT132">
            <v>0</v>
          </cell>
          <cell r="BV132">
            <v>0</v>
          </cell>
          <cell r="BX132">
            <v>0</v>
          </cell>
          <cell r="BZ132">
            <v>0</v>
          </cell>
          <cell r="CB132">
            <v>0</v>
          </cell>
          <cell r="CD132">
            <v>0</v>
          </cell>
          <cell r="CF132">
            <v>0</v>
          </cell>
          <cell r="CH132">
            <v>0</v>
          </cell>
          <cell r="CJ132">
            <v>0</v>
          </cell>
          <cell r="CL132">
            <v>0</v>
          </cell>
          <cell r="CN132">
            <v>0</v>
          </cell>
          <cell r="CP132">
            <v>0</v>
          </cell>
          <cell r="CR132">
            <v>0</v>
          </cell>
          <cell r="CT132">
            <v>0</v>
          </cell>
          <cell r="CV132">
            <v>0</v>
          </cell>
          <cell r="CX132">
            <v>0</v>
          </cell>
          <cell r="CZ132">
            <v>0</v>
          </cell>
          <cell r="DB132">
            <v>0</v>
          </cell>
          <cell r="DD132">
            <v>0</v>
          </cell>
          <cell r="DF132">
            <v>0</v>
          </cell>
          <cell r="DH132">
            <v>0</v>
          </cell>
          <cell r="DJ132">
            <v>0</v>
          </cell>
          <cell r="DL132">
            <v>0</v>
          </cell>
          <cell r="DN132">
            <v>0</v>
          </cell>
          <cell r="DP132">
            <v>0</v>
          </cell>
          <cell r="DR132">
            <v>0</v>
          </cell>
          <cell r="DT132">
            <v>0</v>
          </cell>
          <cell r="DV132">
            <v>0</v>
          </cell>
          <cell r="DX132">
            <v>0</v>
          </cell>
          <cell r="DZ132">
            <v>0</v>
          </cell>
          <cell r="EB132">
            <v>0</v>
          </cell>
          <cell r="ED132">
            <v>0</v>
          </cell>
          <cell r="EF132">
            <v>0</v>
          </cell>
          <cell r="EH132">
            <v>0</v>
          </cell>
          <cell r="EJ132">
            <v>0</v>
          </cell>
          <cell r="EL132">
            <v>0</v>
          </cell>
          <cell r="EN132">
            <v>0</v>
          </cell>
          <cell r="EP132">
            <v>0</v>
          </cell>
          <cell r="ER132">
            <v>0</v>
          </cell>
          <cell r="ET132">
            <v>0</v>
          </cell>
          <cell r="EV132">
            <v>0</v>
          </cell>
          <cell r="EX132">
            <v>0</v>
          </cell>
          <cell r="EZ132">
            <v>0</v>
          </cell>
          <cell r="FB132">
            <v>0</v>
          </cell>
          <cell r="FD132">
            <v>0</v>
          </cell>
          <cell r="FF132">
            <v>0</v>
          </cell>
          <cell r="FH132">
            <v>0</v>
          </cell>
          <cell r="FJ132">
            <v>0</v>
          </cell>
          <cell r="FL132">
            <v>0</v>
          </cell>
          <cell r="FN132">
            <v>0</v>
          </cell>
          <cell r="FP132">
            <v>0</v>
          </cell>
          <cell r="FR132">
            <v>0</v>
          </cell>
          <cell r="FT132">
            <v>0</v>
          </cell>
          <cell r="FV132">
            <v>0</v>
          </cell>
          <cell r="GD132">
            <v>14</v>
          </cell>
          <cell r="GF132">
            <v>4</v>
          </cell>
          <cell r="GH132">
            <v>1</v>
          </cell>
          <cell r="GJ132">
            <v>7</v>
          </cell>
          <cell r="GM132">
            <v>0.01</v>
          </cell>
          <cell r="GN13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W132" t="str">
            <v>（一）施工廠商施工前檢查事項辦理情形：█完成 □未完成 （二）其他工地安全衛生督導事項：</v>
          </cell>
          <cell r="GX132">
            <v>853901</v>
          </cell>
          <cell r="GY132">
            <v>0</v>
          </cell>
        </row>
        <row r="133">
          <cell r="G133">
            <v>0</v>
          </cell>
          <cell r="I133">
            <v>1</v>
          </cell>
          <cell r="N133">
            <v>1</v>
          </cell>
          <cell r="P133">
            <v>1</v>
          </cell>
          <cell r="R133">
            <v>672</v>
          </cell>
          <cell r="T133">
            <v>108</v>
          </cell>
          <cell r="V133">
            <v>661</v>
          </cell>
          <cell r="X133">
            <v>2</v>
          </cell>
          <cell r="Z133">
            <v>1</v>
          </cell>
          <cell r="AB133">
            <v>661</v>
          </cell>
          <cell r="AD133">
            <v>2</v>
          </cell>
          <cell r="AF133">
            <v>1</v>
          </cell>
          <cell r="AH133">
            <v>1</v>
          </cell>
          <cell r="AJ133">
            <v>1</v>
          </cell>
          <cell r="AL133">
            <v>0</v>
          </cell>
          <cell r="AN133">
            <v>0</v>
          </cell>
          <cell r="AP133">
            <v>0</v>
          </cell>
          <cell r="AR133">
            <v>0</v>
          </cell>
          <cell r="AT133">
            <v>0</v>
          </cell>
          <cell r="AV133">
            <v>0</v>
          </cell>
          <cell r="AX133">
            <v>0</v>
          </cell>
          <cell r="AZ133">
            <v>0</v>
          </cell>
          <cell r="BB133">
            <v>0</v>
          </cell>
          <cell r="BD133">
            <v>0</v>
          </cell>
          <cell r="BF133">
            <v>0</v>
          </cell>
          <cell r="BH133">
            <v>0</v>
          </cell>
          <cell r="BJ133">
            <v>0</v>
          </cell>
          <cell r="BL133">
            <v>0</v>
          </cell>
          <cell r="BN133">
            <v>0</v>
          </cell>
          <cell r="BP133">
            <v>0</v>
          </cell>
          <cell r="BR133">
            <v>0</v>
          </cell>
          <cell r="BT133">
            <v>0</v>
          </cell>
          <cell r="BV133">
            <v>0</v>
          </cell>
          <cell r="BX133">
            <v>0</v>
          </cell>
          <cell r="BZ133">
            <v>0</v>
          </cell>
          <cell r="CB133">
            <v>0</v>
          </cell>
          <cell r="CD133">
            <v>0</v>
          </cell>
          <cell r="CF133">
            <v>0</v>
          </cell>
          <cell r="CH133">
            <v>0</v>
          </cell>
          <cell r="CJ133">
            <v>0</v>
          </cell>
          <cell r="CL133">
            <v>0</v>
          </cell>
          <cell r="CN133">
            <v>0</v>
          </cell>
          <cell r="CP133">
            <v>0</v>
          </cell>
          <cell r="CR133">
            <v>0</v>
          </cell>
          <cell r="CT133">
            <v>0</v>
          </cell>
          <cell r="CV133">
            <v>0</v>
          </cell>
          <cell r="CX133">
            <v>0</v>
          </cell>
          <cell r="CZ133">
            <v>0</v>
          </cell>
          <cell r="DB133">
            <v>0</v>
          </cell>
          <cell r="DD133">
            <v>0</v>
          </cell>
          <cell r="DF133">
            <v>0</v>
          </cell>
          <cell r="DH133">
            <v>0</v>
          </cell>
          <cell r="DJ133">
            <v>0</v>
          </cell>
          <cell r="DL133">
            <v>0</v>
          </cell>
          <cell r="DN133">
            <v>0</v>
          </cell>
          <cell r="DP133">
            <v>0</v>
          </cell>
          <cell r="DR133">
            <v>0</v>
          </cell>
          <cell r="DT133">
            <v>0</v>
          </cell>
          <cell r="DV133">
            <v>0</v>
          </cell>
          <cell r="DX133">
            <v>0</v>
          </cell>
          <cell r="DZ133">
            <v>0</v>
          </cell>
          <cell r="EB133">
            <v>0</v>
          </cell>
          <cell r="ED133">
            <v>0</v>
          </cell>
          <cell r="EF133">
            <v>0</v>
          </cell>
          <cell r="EH133">
            <v>0</v>
          </cell>
          <cell r="EJ133">
            <v>0</v>
          </cell>
          <cell r="EL133">
            <v>0</v>
          </cell>
          <cell r="EN133">
            <v>0</v>
          </cell>
          <cell r="EP133">
            <v>0</v>
          </cell>
          <cell r="ER133">
            <v>0</v>
          </cell>
          <cell r="ET133">
            <v>0</v>
          </cell>
          <cell r="EV133">
            <v>0</v>
          </cell>
          <cell r="EX133">
            <v>0</v>
          </cell>
          <cell r="EZ133">
            <v>0</v>
          </cell>
          <cell r="FB133">
            <v>0</v>
          </cell>
          <cell r="FD133">
            <v>0</v>
          </cell>
          <cell r="FF133">
            <v>0</v>
          </cell>
          <cell r="FH133">
            <v>0</v>
          </cell>
          <cell r="FJ133">
            <v>0</v>
          </cell>
          <cell r="FL133">
            <v>0</v>
          </cell>
          <cell r="FN133">
            <v>0</v>
          </cell>
          <cell r="FP133">
            <v>0</v>
          </cell>
          <cell r="FR133">
            <v>0</v>
          </cell>
          <cell r="FT133">
            <v>0</v>
          </cell>
          <cell r="FV133">
            <v>0</v>
          </cell>
          <cell r="GD133">
            <v>14</v>
          </cell>
          <cell r="GF133">
            <v>4</v>
          </cell>
          <cell r="GH133">
            <v>1</v>
          </cell>
          <cell r="GJ133">
            <v>7</v>
          </cell>
          <cell r="GM133">
            <v>1.01</v>
          </cell>
          <cell r="GN13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4.檢查勞工個人防護具：█有 □無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W133" t="str">
            <v>（一）施工廠商施工前檢查事項辦理情形：█完成 □未完成 （二）其他工地安全衛生督導事項：</v>
          </cell>
          <cell r="GX133">
            <v>853901</v>
          </cell>
          <cell r="GY133">
            <v>0</v>
          </cell>
        </row>
        <row r="134">
          <cell r="G134">
            <v>0</v>
          </cell>
          <cell r="I134">
            <v>1</v>
          </cell>
          <cell r="N134">
            <v>1</v>
          </cell>
          <cell r="P134">
            <v>1</v>
          </cell>
          <cell r="R134">
            <v>672</v>
          </cell>
          <cell r="T134">
            <v>108</v>
          </cell>
          <cell r="V134">
            <v>661</v>
          </cell>
          <cell r="X134">
            <v>2</v>
          </cell>
          <cell r="Z134">
            <v>1</v>
          </cell>
          <cell r="AB134">
            <v>661</v>
          </cell>
          <cell r="AD134">
            <v>2</v>
          </cell>
          <cell r="AF134">
            <v>1</v>
          </cell>
          <cell r="AH134">
            <v>1</v>
          </cell>
          <cell r="AJ134">
            <v>1</v>
          </cell>
          <cell r="AL134">
            <v>0</v>
          </cell>
          <cell r="AN134">
            <v>0</v>
          </cell>
          <cell r="AP134">
            <v>0</v>
          </cell>
          <cell r="AR134">
            <v>0</v>
          </cell>
          <cell r="AT134">
            <v>0</v>
          </cell>
          <cell r="AV134">
            <v>0</v>
          </cell>
          <cell r="AX134">
            <v>0</v>
          </cell>
          <cell r="AZ134">
            <v>0</v>
          </cell>
          <cell r="BB134">
            <v>0</v>
          </cell>
          <cell r="BD134">
            <v>0</v>
          </cell>
          <cell r="BF134">
            <v>0</v>
          </cell>
          <cell r="BH134">
            <v>0</v>
          </cell>
          <cell r="BJ134">
            <v>0</v>
          </cell>
          <cell r="BL134">
            <v>0</v>
          </cell>
          <cell r="BN134">
            <v>0</v>
          </cell>
          <cell r="BP134">
            <v>0</v>
          </cell>
          <cell r="BR134">
            <v>0</v>
          </cell>
          <cell r="BT134">
            <v>0</v>
          </cell>
          <cell r="BV134">
            <v>0</v>
          </cell>
          <cell r="BX134">
            <v>0</v>
          </cell>
          <cell r="BZ134">
            <v>0</v>
          </cell>
          <cell r="CB134">
            <v>0</v>
          </cell>
          <cell r="CD134">
            <v>0</v>
          </cell>
          <cell r="CF134">
            <v>0</v>
          </cell>
          <cell r="CH134">
            <v>0</v>
          </cell>
          <cell r="CJ134">
            <v>0</v>
          </cell>
          <cell r="CL134">
            <v>0</v>
          </cell>
          <cell r="CN134">
            <v>0</v>
          </cell>
          <cell r="CP134">
            <v>0</v>
          </cell>
          <cell r="CR134">
            <v>0</v>
          </cell>
          <cell r="CT134">
            <v>0</v>
          </cell>
          <cell r="CV134">
            <v>0</v>
          </cell>
          <cell r="CX134">
            <v>0</v>
          </cell>
          <cell r="CZ134">
            <v>0</v>
          </cell>
          <cell r="DB134">
            <v>0</v>
          </cell>
          <cell r="DD134">
            <v>0</v>
          </cell>
          <cell r="DF134">
            <v>0</v>
          </cell>
          <cell r="DH134">
            <v>0</v>
          </cell>
          <cell r="DJ134">
            <v>0</v>
          </cell>
          <cell r="DL134">
            <v>0</v>
          </cell>
          <cell r="DN134">
            <v>0</v>
          </cell>
          <cell r="DP134">
            <v>0</v>
          </cell>
          <cell r="DR134">
            <v>0</v>
          </cell>
          <cell r="DT134">
            <v>0</v>
          </cell>
          <cell r="DV134">
            <v>0</v>
          </cell>
          <cell r="DX134">
            <v>0</v>
          </cell>
          <cell r="DZ134">
            <v>0</v>
          </cell>
          <cell r="EB134">
            <v>0</v>
          </cell>
          <cell r="ED134">
            <v>0</v>
          </cell>
          <cell r="EF134">
            <v>0</v>
          </cell>
          <cell r="EH134">
            <v>0</v>
          </cell>
          <cell r="EJ134">
            <v>0</v>
          </cell>
          <cell r="EL134">
            <v>0</v>
          </cell>
          <cell r="EN134">
            <v>0</v>
          </cell>
          <cell r="EP134">
            <v>0</v>
          </cell>
          <cell r="ER134">
            <v>0</v>
          </cell>
          <cell r="ET134">
            <v>0</v>
          </cell>
          <cell r="EV134">
            <v>0</v>
          </cell>
          <cell r="EX134">
            <v>0</v>
          </cell>
          <cell r="EZ134">
            <v>0</v>
          </cell>
          <cell r="FB134">
            <v>0</v>
          </cell>
          <cell r="FD134">
            <v>0</v>
          </cell>
          <cell r="FF134">
            <v>0</v>
          </cell>
          <cell r="FH134">
            <v>0</v>
          </cell>
          <cell r="FJ134">
            <v>0</v>
          </cell>
          <cell r="FL134">
            <v>0</v>
          </cell>
          <cell r="FN134">
            <v>0</v>
          </cell>
          <cell r="FP134">
            <v>0</v>
          </cell>
          <cell r="FR134">
            <v>0</v>
          </cell>
          <cell r="FT134">
            <v>0</v>
          </cell>
          <cell r="FV134">
            <v>0</v>
          </cell>
          <cell r="GD134">
            <v>14</v>
          </cell>
          <cell r="GF134">
            <v>4</v>
          </cell>
          <cell r="GH134">
            <v>1</v>
          </cell>
          <cell r="GJ134">
            <v>7</v>
          </cell>
          <cell r="GM134">
            <v>2.0099999999999998</v>
          </cell>
          <cell r="GN13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5.檢查勞工個人防護具：█有 □無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W134" t="str">
            <v>（一）施工廠商施工前檢查事項辦理情形：█完成 □未完成 （二）其他工地安全衛生督導事項：</v>
          </cell>
          <cell r="GX134">
            <v>853901</v>
          </cell>
          <cell r="GY134">
            <v>0</v>
          </cell>
        </row>
        <row r="135">
          <cell r="G135">
            <v>0</v>
          </cell>
          <cell r="I135">
            <v>1</v>
          </cell>
          <cell r="N135">
            <v>1</v>
          </cell>
          <cell r="P135">
            <v>1</v>
          </cell>
          <cell r="R135">
            <v>672</v>
          </cell>
          <cell r="T135">
            <v>108</v>
          </cell>
          <cell r="V135">
            <v>661</v>
          </cell>
          <cell r="X135">
            <v>2</v>
          </cell>
          <cell r="Z135">
            <v>1</v>
          </cell>
          <cell r="AB135">
            <v>661</v>
          </cell>
          <cell r="AD135">
            <v>2</v>
          </cell>
          <cell r="AF135">
            <v>1</v>
          </cell>
          <cell r="AH135">
            <v>1</v>
          </cell>
          <cell r="AJ135">
            <v>1</v>
          </cell>
          <cell r="AL135">
            <v>0</v>
          </cell>
          <cell r="AN135">
            <v>0</v>
          </cell>
          <cell r="AP135">
            <v>0</v>
          </cell>
          <cell r="AR135">
            <v>0</v>
          </cell>
          <cell r="AT135">
            <v>0</v>
          </cell>
          <cell r="AV135">
            <v>0</v>
          </cell>
          <cell r="AX135">
            <v>0</v>
          </cell>
          <cell r="AZ135">
            <v>0</v>
          </cell>
          <cell r="BB135">
            <v>0</v>
          </cell>
          <cell r="BD135">
            <v>0</v>
          </cell>
          <cell r="BF135">
            <v>0</v>
          </cell>
          <cell r="BH135">
            <v>0</v>
          </cell>
          <cell r="BJ135">
            <v>0</v>
          </cell>
          <cell r="BL135">
            <v>0</v>
          </cell>
          <cell r="BN135">
            <v>0</v>
          </cell>
          <cell r="BP135">
            <v>0</v>
          </cell>
          <cell r="BR135">
            <v>0</v>
          </cell>
          <cell r="BT135">
            <v>0</v>
          </cell>
          <cell r="BV135">
            <v>0</v>
          </cell>
          <cell r="BX135">
            <v>0</v>
          </cell>
          <cell r="BZ135">
            <v>0</v>
          </cell>
          <cell r="CB135">
            <v>0</v>
          </cell>
          <cell r="CD135">
            <v>0</v>
          </cell>
          <cell r="CF135">
            <v>0</v>
          </cell>
          <cell r="CH135">
            <v>0</v>
          </cell>
          <cell r="CJ135">
            <v>0</v>
          </cell>
          <cell r="CL135">
            <v>0</v>
          </cell>
          <cell r="CN135">
            <v>0</v>
          </cell>
          <cell r="CP135">
            <v>0</v>
          </cell>
          <cell r="CR135">
            <v>0</v>
          </cell>
          <cell r="CT135">
            <v>0</v>
          </cell>
          <cell r="CV135">
            <v>0</v>
          </cell>
          <cell r="CX135">
            <v>0</v>
          </cell>
          <cell r="CZ135">
            <v>0</v>
          </cell>
          <cell r="DB135">
            <v>0</v>
          </cell>
          <cell r="DD135">
            <v>0</v>
          </cell>
          <cell r="DF135">
            <v>0</v>
          </cell>
          <cell r="DH135">
            <v>0</v>
          </cell>
          <cell r="DJ135">
            <v>0</v>
          </cell>
          <cell r="DL135">
            <v>0</v>
          </cell>
          <cell r="DN135">
            <v>0</v>
          </cell>
          <cell r="DP135">
            <v>0</v>
          </cell>
          <cell r="DR135">
            <v>0</v>
          </cell>
          <cell r="DT135">
            <v>0</v>
          </cell>
          <cell r="DV135">
            <v>0</v>
          </cell>
          <cell r="DX135">
            <v>0</v>
          </cell>
          <cell r="DZ135">
            <v>0</v>
          </cell>
          <cell r="EB135">
            <v>0</v>
          </cell>
          <cell r="ED135">
            <v>0</v>
          </cell>
          <cell r="EF135">
            <v>0</v>
          </cell>
          <cell r="EH135">
            <v>0</v>
          </cell>
          <cell r="EJ135">
            <v>0</v>
          </cell>
          <cell r="EL135">
            <v>0</v>
          </cell>
          <cell r="EN135">
            <v>0</v>
          </cell>
          <cell r="EP135">
            <v>0</v>
          </cell>
          <cell r="ER135">
            <v>0</v>
          </cell>
          <cell r="ET135">
            <v>0</v>
          </cell>
          <cell r="EV135">
            <v>0</v>
          </cell>
          <cell r="EX135">
            <v>0</v>
          </cell>
          <cell r="EZ135">
            <v>0</v>
          </cell>
          <cell r="FB135">
            <v>0</v>
          </cell>
          <cell r="FD135">
            <v>0</v>
          </cell>
          <cell r="FF135">
            <v>0</v>
          </cell>
          <cell r="FH135">
            <v>0</v>
          </cell>
          <cell r="FJ135">
            <v>0</v>
          </cell>
          <cell r="FL135">
            <v>0</v>
          </cell>
          <cell r="FN135">
            <v>0</v>
          </cell>
          <cell r="FP135">
            <v>0</v>
          </cell>
          <cell r="FR135">
            <v>0</v>
          </cell>
          <cell r="FT135">
            <v>0</v>
          </cell>
          <cell r="FV135">
            <v>0</v>
          </cell>
          <cell r="GD135">
            <v>14</v>
          </cell>
          <cell r="GF135">
            <v>4</v>
          </cell>
          <cell r="GH135">
            <v>1</v>
          </cell>
          <cell r="GJ135">
            <v>7</v>
          </cell>
          <cell r="GM135">
            <v>3.01</v>
          </cell>
          <cell r="GN13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6.檢查勞工個人防護具：█有 □無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W135" t="str">
            <v>（一）施工廠商施工前檢查事項辦理情形：█完成 □未完成 （二）其他工地安全衛生督導事項：</v>
          </cell>
          <cell r="GX135">
            <v>853901</v>
          </cell>
          <cell r="GY135">
            <v>0</v>
          </cell>
        </row>
        <row r="136">
          <cell r="G136">
            <v>0</v>
          </cell>
          <cell r="I136">
            <v>1</v>
          </cell>
          <cell r="N136">
            <v>1</v>
          </cell>
          <cell r="P136">
            <v>1</v>
          </cell>
          <cell r="R136">
            <v>672</v>
          </cell>
          <cell r="T136">
            <v>108</v>
          </cell>
          <cell r="V136">
            <v>661</v>
          </cell>
          <cell r="X136">
            <v>2</v>
          </cell>
          <cell r="Z136">
            <v>1</v>
          </cell>
          <cell r="AB136">
            <v>661</v>
          </cell>
          <cell r="AD136">
            <v>2</v>
          </cell>
          <cell r="AF136">
            <v>1</v>
          </cell>
          <cell r="AH136">
            <v>1</v>
          </cell>
          <cell r="AJ136">
            <v>1</v>
          </cell>
          <cell r="AL136">
            <v>0</v>
          </cell>
          <cell r="AN136">
            <v>0</v>
          </cell>
          <cell r="AP136">
            <v>0</v>
          </cell>
          <cell r="AR136">
            <v>0</v>
          </cell>
          <cell r="AT136">
            <v>0</v>
          </cell>
          <cell r="AV136">
            <v>0</v>
          </cell>
          <cell r="AX136">
            <v>0</v>
          </cell>
          <cell r="AZ136">
            <v>0</v>
          </cell>
          <cell r="BB136">
            <v>0</v>
          </cell>
          <cell r="BD136">
            <v>0</v>
          </cell>
          <cell r="BF136">
            <v>0</v>
          </cell>
          <cell r="BH136">
            <v>0</v>
          </cell>
          <cell r="BJ136">
            <v>0</v>
          </cell>
          <cell r="BL136">
            <v>0</v>
          </cell>
          <cell r="BN136">
            <v>0</v>
          </cell>
          <cell r="BP136">
            <v>0</v>
          </cell>
          <cell r="BR136">
            <v>0</v>
          </cell>
          <cell r="BT136">
            <v>0</v>
          </cell>
          <cell r="BV136">
            <v>0</v>
          </cell>
          <cell r="BX136">
            <v>0</v>
          </cell>
          <cell r="BZ136">
            <v>0</v>
          </cell>
          <cell r="CB136">
            <v>0</v>
          </cell>
          <cell r="CD136">
            <v>0</v>
          </cell>
          <cell r="CF136">
            <v>0</v>
          </cell>
          <cell r="CH136">
            <v>0</v>
          </cell>
          <cell r="CJ136">
            <v>0</v>
          </cell>
          <cell r="CL136">
            <v>0</v>
          </cell>
          <cell r="CN136">
            <v>0</v>
          </cell>
          <cell r="CP136">
            <v>0</v>
          </cell>
          <cell r="CR136">
            <v>0</v>
          </cell>
          <cell r="CT136">
            <v>0</v>
          </cell>
          <cell r="CV136">
            <v>0</v>
          </cell>
          <cell r="CX136">
            <v>0</v>
          </cell>
          <cell r="CZ136">
            <v>0</v>
          </cell>
          <cell r="DB136">
            <v>0</v>
          </cell>
          <cell r="DD136">
            <v>0</v>
          </cell>
          <cell r="DF136">
            <v>0</v>
          </cell>
          <cell r="DH136">
            <v>0</v>
          </cell>
          <cell r="DJ136">
            <v>0</v>
          </cell>
          <cell r="DL136">
            <v>0</v>
          </cell>
          <cell r="DN136">
            <v>0</v>
          </cell>
          <cell r="DP136">
            <v>0</v>
          </cell>
          <cell r="DR136">
            <v>0</v>
          </cell>
          <cell r="DT136">
            <v>0</v>
          </cell>
          <cell r="DV136">
            <v>0</v>
          </cell>
          <cell r="DX136">
            <v>0</v>
          </cell>
          <cell r="DZ136">
            <v>0</v>
          </cell>
          <cell r="EB136">
            <v>0</v>
          </cell>
          <cell r="ED136">
            <v>0</v>
          </cell>
          <cell r="EF136">
            <v>0</v>
          </cell>
          <cell r="EH136">
            <v>0</v>
          </cell>
          <cell r="EJ136">
            <v>0</v>
          </cell>
          <cell r="EL136">
            <v>0</v>
          </cell>
          <cell r="EN136">
            <v>0</v>
          </cell>
          <cell r="EP136">
            <v>0</v>
          </cell>
          <cell r="ER136">
            <v>0</v>
          </cell>
          <cell r="ET136">
            <v>0</v>
          </cell>
          <cell r="EV136">
            <v>0</v>
          </cell>
          <cell r="EX136">
            <v>0</v>
          </cell>
          <cell r="EZ136">
            <v>0</v>
          </cell>
          <cell r="FB136">
            <v>0</v>
          </cell>
          <cell r="FD136">
            <v>0</v>
          </cell>
          <cell r="FF136">
            <v>0</v>
          </cell>
          <cell r="FH136">
            <v>0</v>
          </cell>
          <cell r="FJ136">
            <v>0</v>
          </cell>
          <cell r="FL136">
            <v>0</v>
          </cell>
          <cell r="FN136">
            <v>0</v>
          </cell>
          <cell r="FP136">
            <v>0</v>
          </cell>
          <cell r="FR136">
            <v>0</v>
          </cell>
          <cell r="FT136">
            <v>0</v>
          </cell>
          <cell r="FV136">
            <v>0</v>
          </cell>
          <cell r="GD136">
            <v>14</v>
          </cell>
          <cell r="GF136">
            <v>4</v>
          </cell>
          <cell r="GH136">
            <v>1</v>
          </cell>
          <cell r="GJ136">
            <v>7</v>
          </cell>
          <cell r="GM136">
            <v>4.01</v>
          </cell>
          <cell r="GN13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7.檢查勞工個人防護具：█有 □無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W136" t="str">
            <v>（一）施工廠商施工前檢查事項辦理情形：█完成 □未完成 （二）其他工地安全衛生督導事項：</v>
          </cell>
          <cell r="GX136">
            <v>853901</v>
          </cell>
          <cell r="GY136">
            <v>0</v>
          </cell>
        </row>
        <row r="137">
          <cell r="G137">
            <v>0</v>
          </cell>
          <cell r="I137">
            <v>1</v>
          </cell>
          <cell r="N137">
            <v>1</v>
          </cell>
          <cell r="P137">
            <v>1</v>
          </cell>
          <cell r="R137">
            <v>672</v>
          </cell>
          <cell r="T137">
            <v>108</v>
          </cell>
          <cell r="V137">
            <v>661</v>
          </cell>
          <cell r="X137">
            <v>2</v>
          </cell>
          <cell r="Z137">
            <v>1</v>
          </cell>
          <cell r="AB137">
            <v>661</v>
          </cell>
          <cell r="AD137">
            <v>2</v>
          </cell>
          <cell r="AF137">
            <v>1</v>
          </cell>
          <cell r="AH137">
            <v>1</v>
          </cell>
          <cell r="AJ137">
            <v>1</v>
          </cell>
          <cell r="AL137">
            <v>0</v>
          </cell>
          <cell r="AN137">
            <v>0</v>
          </cell>
          <cell r="AP137">
            <v>0</v>
          </cell>
          <cell r="AR137">
            <v>0</v>
          </cell>
          <cell r="AT137">
            <v>0</v>
          </cell>
          <cell r="AV137">
            <v>0</v>
          </cell>
          <cell r="AX137">
            <v>0</v>
          </cell>
          <cell r="AZ137">
            <v>0</v>
          </cell>
          <cell r="BB137">
            <v>0</v>
          </cell>
          <cell r="BD137">
            <v>0</v>
          </cell>
          <cell r="BF137">
            <v>0</v>
          </cell>
          <cell r="BH137">
            <v>0</v>
          </cell>
          <cell r="BJ137">
            <v>0</v>
          </cell>
          <cell r="BL137">
            <v>0</v>
          </cell>
          <cell r="BN137">
            <v>0</v>
          </cell>
          <cell r="BP137">
            <v>0</v>
          </cell>
          <cell r="BR137">
            <v>0</v>
          </cell>
          <cell r="BT137">
            <v>0</v>
          </cell>
          <cell r="BV137">
            <v>0</v>
          </cell>
          <cell r="BX137">
            <v>0</v>
          </cell>
          <cell r="BZ137">
            <v>0</v>
          </cell>
          <cell r="CB137">
            <v>0</v>
          </cell>
          <cell r="CD137">
            <v>0</v>
          </cell>
          <cell r="CF137">
            <v>0</v>
          </cell>
          <cell r="CH137">
            <v>0</v>
          </cell>
          <cell r="CJ137">
            <v>0</v>
          </cell>
          <cell r="CL137">
            <v>0</v>
          </cell>
          <cell r="CN137">
            <v>0</v>
          </cell>
          <cell r="CP137">
            <v>0</v>
          </cell>
          <cell r="CR137">
            <v>0</v>
          </cell>
          <cell r="CT137">
            <v>0</v>
          </cell>
          <cell r="CV137">
            <v>0</v>
          </cell>
          <cell r="CX137">
            <v>0</v>
          </cell>
          <cell r="CZ137">
            <v>0</v>
          </cell>
          <cell r="DB137">
            <v>0</v>
          </cell>
          <cell r="DD137">
            <v>0</v>
          </cell>
          <cell r="DF137">
            <v>0</v>
          </cell>
          <cell r="DH137">
            <v>0</v>
          </cell>
          <cell r="DJ137">
            <v>0</v>
          </cell>
          <cell r="DL137">
            <v>0</v>
          </cell>
          <cell r="DN137">
            <v>0</v>
          </cell>
          <cell r="DP137">
            <v>0</v>
          </cell>
          <cell r="DR137">
            <v>0</v>
          </cell>
          <cell r="DT137">
            <v>0</v>
          </cell>
          <cell r="DV137">
            <v>0</v>
          </cell>
          <cell r="DX137">
            <v>0</v>
          </cell>
          <cell r="DZ137">
            <v>0</v>
          </cell>
          <cell r="EB137">
            <v>0</v>
          </cell>
          <cell r="ED137">
            <v>0</v>
          </cell>
          <cell r="EF137">
            <v>0</v>
          </cell>
          <cell r="EH137">
            <v>0</v>
          </cell>
          <cell r="EJ137">
            <v>0</v>
          </cell>
          <cell r="EL137">
            <v>0</v>
          </cell>
          <cell r="EN137">
            <v>0</v>
          </cell>
          <cell r="EP137">
            <v>0</v>
          </cell>
          <cell r="ER137">
            <v>0</v>
          </cell>
          <cell r="ET137">
            <v>0</v>
          </cell>
          <cell r="EV137">
            <v>0</v>
          </cell>
          <cell r="EX137">
            <v>0</v>
          </cell>
          <cell r="EZ137">
            <v>0</v>
          </cell>
          <cell r="FB137">
            <v>0</v>
          </cell>
          <cell r="FD137">
            <v>0</v>
          </cell>
          <cell r="FF137">
            <v>0</v>
          </cell>
          <cell r="FH137">
            <v>0</v>
          </cell>
          <cell r="FJ137">
            <v>0</v>
          </cell>
          <cell r="FL137">
            <v>0</v>
          </cell>
          <cell r="FN137">
            <v>0</v>
          </cell>
          <cell r="FP137">
            <v>0</v>
          </cell>
          <cell r="FR137">
            <v>0</v>
          </cell>
          <cell r="FT137">
            <v>0</v>
          </cell>
          <cell r="FV137">
            <v>0</v>
          </cell>
          <cell r="GD137">
            <v>14</v>
          </cell>
          <cell r="GF137">
            <v>4</v>
          </cell>
          <cell r="GH137">
            <v>1</v>
          </cell>
          <cell r="GJ137">
            <v>7</v>
          </cell>
          <cell r="GM137">
            <v>5.01</v>
          </cell>
          <cell r="GN13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8.檢查勞工個人防護具：█有 □無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W137" t="str">
            <v>（一）施工廠商施工前檢查事項辦理情形：█完成 □未完成 （二）其他工地安全衛生督導事項：</v>
          </cell>
          <cell r="GX137">
            <v>853901</v>
          </cell>
          <cell r="GY137">
            <v>0</v>
          </cell>
        </row>
        <row r="138">
          <cell r="G138">
            <v>0</v>
          </cell>
          <cell r="I138">
            <v>1</v>
          </cell>
          <cell r="N138">
            <v>1</v>
          </cell>
          <cell r="P138">
            <v>1</v>
          </cell>
          <cell r="R138">
            <v>672</v>
          </cell>
          <cell r="T138">
            <v>108</v>
          </cell>
          <cell r="V138">
            <v>661</v>
          </cell>
          <cell r="X138">
            <v>2</v>
          </cell>
          <cell r="Z138">
            <v>1</v>
          </cell>
          <cell r="AB138">
            <v>661</v>
          </cell>
          <cell r="AD138">
            <v>2</v>
          </cell>
          <cell r="AF138">
            <v>1</v>
          </cell>
          <cell r="AH138">
            <v>1</v>
          </cell>
          <cell r="AJ138">
            <v>1</v>
          </cell>
          <cell r="AL138">
            <v>0</v>
          </cell>
          <cell r="AN138">
            <v>0</v>
          </cell>
          <cell r="AP138">
            <v>0</v>
          </cell>
          <cell r="AR138">
            <v>0</v>
          </cell>
          <cell r="AT138">
            <v>0</v>
          </cell>
          <cell r="AV138">
            <v>0</v>
          </cell>
          <cell r="AX138">
            <v>0</v>
          </cell>
          <cell r="AZ138">
            <v>0</v>
          </cell>
          <cell r="BB138">
            <v>0</v>
          </cell>
          <cell r="BD138">
            <v>0</v>
          </cell>
          <cell r="BF138">
            <v>0</v>
          </cell>
          <cell r="BH138">
            <v>0</v>
          </cell>
          <cell r="BJ138">
            <v>0</v>
          </cell>
          <cell r="BL138">
            <v>0</v>
          </cell>
          <cell r="BN138">
            <v>0</v>
          </cell>
          <cell r="BP138">
            <v>0</v>
          </cell>
          <cell r="BR138">
            <v>0</v>
          </cell>
          <cell r="BT138">
            <v>0</v>
          </cell>
          <cell r="BV138">
            <v>0</v>
          </cell>
          <cell r="BX138">
            <v>0</v>
          </cell>
          <cell r="BZ138">
            <v>0</v>
          </cell>
          <cell r="CB138">
            <v>0</v>
          </cell>
          <cell r="CD138">
            <v>0</v>
          </cell>
          <cell r="CF138">
            <v>0</v>
          </cell>
          <cell r="CH138">
            <v>0</v>
          </cell>
          <cell r="CJ138">
            <v>0</v>
          </cell>
          <cell r="CL138">
            <v>0</v>
          </cell>
          <cell r="CN138">
            <v>0</v>
          </cell>
          <cell r="CP138">
            <v>0</v>
          </cell>
          <cell r="CR138">
            <v>0</v>
          </cell>
          <cell r="CT138">
            <v>0</v>
          </cell>
          <cell r="CV138">
            <v>0</v>
          </cell>
          <cell r="CX138">
            <v>0</v>
          </cell>
          <cell r="CZ138">
            <v>0</v>
          </cell>
          <cell r="DB138">
            <v>0</v>
          </cell>
          <cell r="DD138">
            <v>0</v>
          </cell>
          <cell r="DF138">
            <v>0</v>
          </cell>
          <cell r="DH138">
            <v>0</v>
          </cell>
          <cell r="DJ138">
            <v>0</v>
          </cell>
          <cell r="DL138">
            <v>0</v>
          </cell>
          <cell r="DN138">
            <v>0</v>
          </cell>
          <cell r="DP138">
            <v>0</v>
          </cell>
          <cell r="DR138">
            <v>0</v>
          </cell>
          <cell r="DT138">
            <v>0</v>
          </cell>
          <cell r="DV138">
            <v>0</v>
          </cell>
          <cell r="DX138">
            <v>0</v>
          </cell>
          <cell r="DZ138">
            <v>0</v>
          </cell>
          <cell r="EB138">
            <v>0</v>
          </cell>
          <cell r="ED138">
            <v>0</v>
          </cell>
          <cell r="EF138">
            <v>0</v>
          </cell>
          <cell r="EH138">
            <v>0</v>
          </cell>
          <cell r="EJ138">
            <v>0</v>
          </cell>
          <cell r="EL138">
            <v>0</v>
          </cell>
          <cell r="EN138">
            <v>0</v>
          </cell>
          <cell r="EP138">
            <v>0</v>
          </cell>
          <cell r="ER138">
            <v>0</v>
          </cell>
          <cell r="ET138">
            <v>0</v>
          </cell>
          <cell r="EV138">
            <v>0</v>
          </cell>
          <cell r="EX138">
            <v>0</v>
          </cell>
          <cell r="EZ138">
            <v>0</v>
          </cell>
          <cell r="FB138">
            <v>0</v>
          </cell>
          <cell r="FD138">
            <v>0</v>
          </cell>
          <cell r="FF138">
            <v>0</v>
          </cell>
          <cell r="FH138">
            <v>0</v>
          </cell>
          <cell r="FJ138">
            <v>0</v>
          </cell>
          <cell r="FL138">
            <v>0</v>
          </cell>
          <cell r="FN138">
            <v>0</v>
          </cell>
          <cell r="FP138">
            <v>0</v>
          </cell>
          <cell r="FR138">
            <v>0</v>
          </cell>
          <cell r="FT138">
            <v>0</v>
          </cell>
          <cell r="FV138">
            <v>0</v>
          </cell>
          <cell r="GD138">
            <v>14</v>
          </cell>
          <cell r="GF138">
            <v>4</v>
          </cell>
          <cell r="GH138">
            <v>1</v>
          </cell>
          <cell r="GJ138">
            <v>7</v>
          </cell>
          <cell r="GM138">
            <v>6.01</v>
          </cell>
          <cell r="GN13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9.檢查勞工個人防護具：█有 □無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W138" t="str">
            <v>（一）施工廠商施工前檢查事項辦理情形：█完成 □未完成 （二）其他工地安全衛生督導事項：</v>
          </cell>
          <cell r="GX138">
            <v>853901</v>
          </cell>
          <cell r="GY138">
            <v>0</v>
          </cell>
        </row>
        <row r="139">
          <cell r="G139">
            <v>0</v>
          </cell>
          <cell r="I139">
            <v>1</v>
          </cell>
          <cell r="N139">
            <v>1</v>
          </cell>
          <cell r="P139">
            <v>1</v>
          </cell>
          <cell r="R139">
            <v>672</v>
          </cell>
          <cell r="T139">
            <v>108</v>
          </cell>
          <cell r="V139">
            <v>661</v>
          </cell>
          <cell r="X139">
            <v>2</v>
          </cell>
          <cell r="Z139">
            <v>1</v>
          </cell>
          <cell r="AB139">
            <v>661</v>
          </cell>
          <cell r="AD139">
            <v>2</v>
          </cell>
          <cell r="AF139">
            <v>1</v>
          </cell>
          <cell r="AH139">
            <v>1</v>
          </cell>
          <cell r="AJ139">
            <v>1</v>
          </cell>
          <cell r="AL139">
            <v>0</v>
          </cell>
          <cell r="AN139">
            <v>0</v>
          </cell>
          <cell r="AP139">
            <v>0</v>
          </cell>
          <cell r="AR139">
            <v>0</v>
          </cell>
          <cell r="AT139">
            <v>0</v>
          </cell>
          <cell r="AV139">
            <v>0</v>
          </cell>
          <cell r="AX139">
            <v>0</v>
          </cell>
          <cell r="AZ139">
            <v>0</v>
          </cell>
          <cell r="BB139">
            <v>0</v>
          </cell>
          <cell r="BD139">
            <v>0</v>
          </cell>
          <cell r="BF139">
            <v>0</v>
          </cell>
          <cell r="BH139">
            <v>0</v>
          </cell>
          <cell r="BJ139">
            <v>0</v>
          </cell>
          <cell r="BL139">
            <v>0</v>
          </cell>
          <cell r="BN139">
            <v>0</v>
          </cell>
          <cell r="BP139">
            <v>0</v>
          </cell>
          <cell r="BR139">
            <v>0</v>
          </cell>
          <cell r="BT139">
            <v>0</v>
          </cell>
          <cell r="BV139">
            <v>0</v>
          </cell>
          <cell r="BX139">
            <v>0</v>
          </cell>
          <cell r="BZ139">
            <v>0</v>
          </cell>
          <cell r="CB139">
            <v>0</v>
          </cell>
          <cell r="CD139">
            <v>0</v>
          </cell>
          <cell r="CF139">
            <v>0</v>
          </cell>
          <cell r="CH139">
            <v>0</v>
          </cell>
          <cell r="CJ139">
            <v>0</v>
          </cell>
          <cell r="CL139">
            <v>0</v>
          </cell>
          <cell r="CN139">
            <v>0</v>
          </cell>
          <cell r="CP139">
            <v>0</v>
          </cell>
          <cell r="CR139">
            <v>0</v>
          </cell>
          <cell r="CT139">
            <v>0</v>
          </cell>
          <cell r="CV139">
            <v>0</v>
          </cell>
          <cell r="CX139">
            <v>0</v>
          </cell>
          <cell r="CZ139">
            <v>0</v>
          </cell>
          <cell r="DB139">
            <v>0</v>
          </cell>
          <cell r="DD139">
            <v>0</v>
          </cell>
          <cell r="DF139">
            <v>0</v>
          </cell>
          <cell r="DH139">
            <v>0</v>
          </cell>
          <cell r="DJ139">
            <v>0</v>
          </cell>
          <cell r="DL139">
            <v>0</v>
          </cell>
          <cell r="DN139">
            <v>0</v>
          </cell>
          <cell r="DP139">
            <v>0</v>
          </cell>
          <cell r="DR139">
            <v>0</v>
          </cell>
          <cell r="DT139">
            <v>0</v>
          </cell>
          <cell r="DV139">
            <v>0</v>
          </cell>
          <cell r="DX139">
            <v>0</v>
          </cell>
          <cell r="DZ139">
            <v>0</v>
          </cell>
          <cell r="EB139">
            <v>0</v>
          </cell>
          <cell r="ED139">
            <v>0</v>
          </cell>
          <cell r="EF139">
            <v>0</v>
          </cell>
          <cell r="EH139">
            <v>0</v>
          </cell>
          <cell r="EJ139">
            <v>0</v>
          </cell>
          <cell r="EL139">
            <v>0</v>
          </cell>
          <cell r="EN139">
            <v>0</v>
          </cell>
          <cell r="EP139">
            <v>0</v>
          </cell>
          <cell r="ER139">
            <v>0</v>
          </cell>
          <cell r="ET139">
            <v>0</v>
          </cell>
          <cell r="EV139">
            <v>0</v>
          </cell>
          <cell r="EX139">
            <v>0</v>
          </cell>
          <cell r="EZ139">
            <v>0</v>
          </cell>
          <cell r="FB139">
            <v>0</v>
          </cell>
          <cell r="FD139">
            <v>0</v>
          </cell>
          <cell r="FF139">
            <v>0</v>
          </cell>
          <cell r="FH139">
            <v>0</v>
          </cell>
          <cell r="FJ139">
            <v>0</v>
          </cell>
          <cell r="FL139">
            <v>0</v>
          </cell>
          <cell r="FN139">
            <v>0</v>
          </cell>
          <cell r="FP139">
            <v>0</v>
          </cell>
          <cell r="FR139">
            <v>0</v>
          </cell>
          <cell r="FT139">
            <v>0</v>
          </cell>
          <cell r="FV139">
            <v>0</v>
          </cell>
          <cell r="GD139">
            <v>14</v>
          </cell>
          <cell r="GF139">
            <v>4</v>
          </cell>
          <cell r="GH139">
            <v>1</v>
          </cell>
          <cell r="GJ139">
            <v>7</v>
          </cell>
          <cell r="GM139">
            <v>7.01</v>
          </cell>
          <cell r="GN13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10.檢查勞工個人防護具：█有 □無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W139" t="str">
            <v>（一）施工廠商施工前檢查事項辦理情形：█完成 □未完成 （二）其他工地安全衛生督導事項：</v>
          </cell>
          <cell r="GX139">
            <v>853901</v>
          </cell>
          <cell r="GY139">
            <v>0</v>
          </cell>
        </row>
        <row r="140">
          <cell r="G140">
            <v>0</v>
          </cell>
          <cell r="I140">
            <v>1</v>
          </cell>
          <cell r="N140">
            <v>1</v>
          </cell>
          <cell r="P140">
            <v>1</v>
          </cell>
          <cell r="R140">
            <v>672</v>
          </cell>
          <cell r="T140">
            <v>108</v>
          </cell>
          <cell r="V140">
            <v>661</v>
          </cell>
          <cell r="X140">
            <v>2</v>
          </cell>
          <cell r="Z140">
            <v>1</v>
          </cell>
          <cell r="AB140">
            <v>661</v>
          </cell>
          <cell r="AD140">
            <v>2</v>
          </cell>
          <cell r="AF140">
            <v>1</v>
          </cell>
          <cell r="AH140">
            <v>1</v>
          </cell>
          <cell r="AJ140">
            <v>1</v>
          </cell>
          <cell r="AL140">
            <v>0</v>
          </cell>
          <cell r="AN140">
            <v>0</v>
          </cell>
          <cell r="AP140">
            <v>0</v>
          </cell>
          <cell r="AR140">
            <v>0</v>
          </cell>
          <cell r="AT140">
            <v>0</v>
          </cell>
          <cell r="AV140">
            <v>0</v>
          </cell>
          <cell r="AX140">
            <v>0</v>
          </cell>
          <cell r="AZ140">
            <v>0</v>
          </cell>
          <cell r="BB140">
            <v>0</v>
          </cell>
          <cell r="BD140">
            <v>0</v>
          </cell>
          <cell r="BF140">
            <v>0</v>
          </cell>
          <cell r="BH140">
            <v>0</v>
          </cell>
          <cell r="BJ140">
            <v>0</v>
          </cell>
          <cell r="BL140">
            <v>0</v>
          </cell>
          <cell r="BN140">
            <v>0</v>
          </cell>
          <cell r="BP140">
            <v>0</v>
          </cell>
          <cell r="BR140">
            <v>0</v>
          </cell>
          <cell r="BT140">
            <v>0</v>
          </cell>
          <cell r="BV140">
            <v>0</v>
          </cell>
          <cell r="BX140">
            <v>0</v>
          </cell>
          <cell r="BZ140">
            <v>0</v>
          </cell>
          <cell r="CB140">
            <v>0</v>
          </cell>
          <cell r="CD140">
            <v>0</v>
          </cell>
          <cell r="CF140">
            <v>0</v>
          </cell>
          <cell r="CH140">
            <v>0</v>
          </cell>
          <cell r="CJ140">
            <v>0</v>
          </cell>
          <cell r="CL140">
            <v>0</v>
          </cell>
          <cell r="CN140">
            <v>0</v>
          </cell>
          <cell r="CP140">
            <v>0</v>
          </cell>
          <cell r="CR140">
            <v>0</v>
          </cell>
          <cell r="CT140">
            <v>0</v>
          </cell>
          <cell r="CV140">
            <v>0</v>
          </cell>
          <cell r="CX140">
            <v>0</v>
          </cell>
          <cell r="CZ140">
            <v>0</v>
          </cell>
          <cell r="DB140">
            <v>0</v>
          </cell>
          <cell r="DD140">
            <v>0</v>
          </cell>
          <cell r="DF140">
            <v>0</v>
          </cell>
          <cell r="DH140">
            <v>0</v>
          </cell>
          <cell r="DJ140">
            <v>0</v>
          </cell>
          <cell r="DL140">
            <v>0</v>
          </cell>
          <cell r="DN140">
            <v>0</v>
          </cell>
          <cell r="DP140">
            <v>0</v>
          </cell>
          <cell r="DR140">
            <v>0</v>
          </cell>
          <cell r="DT140">
            <v>0</v>
          </cell>
          <cell r="DV140">
            <v>0</v>
          </cell>
          <cell r="DX140">
            <v>0</v>
          </cell>
          <cell r="DZ140">
            <v>0</v>
          </cell>
          <cell r="EB140">
            <v>0</v>
          </cell>
          <cell r="ED140">
            <v>0</v>
          </cell>
          <cell r="EF140">
            <v>0</v>
          </cell>
          <cell r="EH140">
            <v>0</v>
          </cell>
          <cell r="EJ140">
            <v>0</v>
          </cell>
          <cell r="EL140">
            <v>0</v>
          </cell>
          <cell r="EN140">
            <v>0</v>
          </cell>
          <cell r="EP140">
            <v>0</v>
          </cell>
          <cell r="ER140">
            <v>0</v>
          </cell>
          <cell r="ET140">
            <v>0</v>
          </cell>
          <cell r="EV140">
            <v>0</v>
          </cell>
          <cell r="EX140">
            <v>0</v>
          </cell>
          <cell r="EZ140">
            <v>0</v>
          </cell>
          <cell r="FB140">
            <v>0</v>
          </cell>
          <cell r="FD140">
            <v>0</v>
          </cell>
          <cell r="FF140">
            <v>0</v>
          </cell>
          <cell r="FH140">
            <v>0</v>
          </cell>
          <cell r="FJ140">
            <v>0</v>
          </cell>
          <cell r="FL140">
            <v>0</v>
          </cell>
          <cell r="FN140">
            <v>0</v>
          </cell>
          <cell r="FP140">
            <v>0</v>
          </cell>
          <cell r="FR140">
            <v>0</v>
          </cell>
          <cell r="FT140">
            <v>0</v>
          </cell>
          <cell r="FV140">
            <v>0</v>
          </cell>
          <cell r="GD140">
            <v>14</v>
          </cell>
          <cell r="GF140">
            <v>4</v>
          </cell>
          <cell r="GH140">
            <v>1</v>
          </cell>
          <cell r="GJ140">
            <v>7</v>
          </cell>
          <cell r="GM140">
            <v>8.01</v>
          </cell>
          <cell r="GN14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11.檢查勞工個人防護具：█有 □無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W140" t="str">
            <v>（一）施工廠商施工前檢查事項辦理情形：█完成 □未完成 （二）其他工地安全衛生督導事項：</v>
          </cell>
          <cell r="GX140">
            <v>853901</v>
          </cell>
          <cell r="GY140">
            <v>0</v>
          </cell>
        </row>
        <row r="141">
          <cell r="G141">
            <v>0</v>
          </cell>
          <cell r="I141">
            <v>1</v>
          </cell>
          <cell r="N141">
            <v>1</v>
          </cell>
          <cell r="P141">
            <v>1</v>
          </cell>
          <cell r="R141">
            <v>672</v>
          </cell>
          <cell r="T141">
            <v>108</v>
          </cell>
          <cell r="V141">
            <v>661</v>
          </cell>
          <cell r="X141">
            <v>2</v>
          </cell>
          <cell r="Z141">
            <v>1</v>
          </cell>
          <cell r="AB141">
            <v>661</v>
          </cell>
          <cell r="AD141">
            <v>2</v>
          </cell>
          <cell r="AF141">
            <v>1</v>
          </cell>
          <cell r="AH141">
            <v>1</v>
          </cell>
          <cell r="AJ141">
            <v>1</v>
          </cell>
          <cell r="AL141">
            <v>0</v>
          </cell>
          <cell r="AN141">
            <v>0</v>
          </cell>
          <cell r="AP141">
            <v>0</v>
          </cell>
          <cell r="AR141">
            <v>0</v>
          </cell>
          <cell r="AT141">
            <v>0</v>
          </cell>
          <cell r="AV141">
            <v>0</v>
          </cell>
          <cell r="AX141">
            <v>0</v>
          </cell>
          <cell r="AZ141">
            <v>0</v>
          </cell>
          <cell r="BB141">
            <v>0</v>
          </cell>
          <cell r="BD141">
            <v>0</v>
          </cell>
          <cell r="BF141">
            <v>0</v>
          </cell>
          <cell r="BH141">
            <v>0</v>
          </cell>
          <cell r="BJ141">
            <v>0</v>
          </cell>
          <cell r="BL141">
            <v>0</v>
          </cell>
          <cell r="BN141">
            <v>0</v>
          </cell>
          <cell r="BP141">
            <v>0</v>
          </cell>
          <cell r="BR141">
            <v>0</v>
          </cell>
          <cell r="BT141">
            <v>0</v>
          </cell>
          <cell r="BV141">
            <v>0</v>
          </cell>
          <cell r="BX141">
            <v>0</v>
          </cell>
          <cell r="BZ141">
            <v>0</v>
          </cell>
          <cell r="CB141">
            <v>0</v>
          </cell>
          <cell r="CD141">
            <v>0</v>
          </cell>
          <cell r="CF141">
            <v>0</v>
          </cell>
          <cell r="CH141">
            <v>0</v>
          </cell>
          <cell r="CJ141">
            <v>0</v>
          </cell>
          <cell r="CL141">
            <v>0</v>
          </cell>
          <cell r="CN141">
            <v>0</v>
          </cell>
          <cell r="CP141">
            <v>0</v>
          </cell>
          <cell r="CR141">
            <v>0</v>
          </cell>
          <cell r="CT141">
            <v>0</v>
          </cell>
          <cell r="CV141">
            <v>0</v>
          </cell>
          <cell r="CX141">
            <v>0</v>
          </cell>
          <cell r="CZ141">
            <v>0</v>
          </cell>
          <cell r="DB141">
            <v>0</v>
          </cell>
          <cell r="DD141">
            <v>0</v>
          </cell>
          <cell r="DF141">
            <v>0</v>
          </cell>
          <cell r="DH141">
            <v>0</v>
          </cell>
          <cell r="DJ141">
            <v>0</v>
          </cell>
          <cell r="DL141">
            <v>0</v>
          </cell>
          <cell r="DN141">
            <v>0</v>
          </cell>
          <cell r="DP141">
            <v>0</v>
          </cell>
          <cell r="DR141">
            <v>0</v>
          </cell>
          <cell r="DT141">
            <v>0</v>
          </cell>
          <cell r="DV141">
            <v>0</v>
          </cell>
          <cell r="DX141">
            <v>0</v>
          </cell>
          <cell r="DZ141">
            <v>0</v>
          </cell>
          <cell r="EB141">
            <v>0</v>
          </cell>
          <cell r="ED141">
            <v>0</v>
          </cell>
          <cell r="EF141">
            <v>0</v>
          </cell>
          <cell r="EH141">
            <v>0</v>
          </cell>
          <cell r="EJ141">
            <v>0</v>
          </cell>
          <cell r="EL141">
            <v>0</v>
          </cell>
          <cell r="EN141">
            <v>0</v>
          </cell>
          <cell r="EP141">
            <v>0</v>
          </cell>
          <cell r="ER141">
            <v>0</v>
          </cell>
          <cell r="ET141">
            <v>0</v>
          </cell>
          <cell r="EV141">
            <v>0</v>
          </cell>
          <cell r="EX141">
            <v>0</v>
          </cell>
          <cell r="EZ141">
            <v>0</v>
          </cell>
          <cell r="FB141">
            <v>0</v>
          </cell>
          <cell r="FD141">
            <v>0</v>
          </cell>
          <cell r="FF141">
            <v>0</v>
          </cell>
          <cell r="FH141">
            <v>0</v>
          </cell>
          <cell r="FJ141">
            <v>0</v>
          </cell>
          <cell r="FL141">
            <v>0</v>
          </cell>
          <cell r="FN141">
            <v>0</v>
          </cell>
          <cell r="FP141">
            <v>0</v>
          </cell>
          <cell r="FR141">
            <v>0</v>
          </cell>
          <cell r="FT141">
            <v>0</v>
          </cell>
          <cell r="FV141">
            <v>0</v>
          </cell>
          <cell r="GD141">
            <v>14</v>
          </cell>
          <cell r="GF141">
            <v>4</v>
          </cell>
          <cell r="GH141">
            <v>1</v>
          </cell>
          <cell r="GJ141">
            <v>7</v>
          </cell>
          <cell r="GM141">
            <v>9.01</v>
          </cell>
          <cell r="GN14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12.檢查勞工個人防護具：█有 □無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W141" t="str">
            <v>（一）施工廠商施工前檢查事項辦理情形：█完成 □未完成 （二）其他工地安全衛生督導事項：</v>
          </cell>
          <cell r="GX141">
            <v>853901</v>
          </cell>
          <cell r="GY141">
            <v>0</v>
          </cell>
        </row>
        <row r="142">
          <cell r="G142">
            <v>0</v>
          </cell>
          <cell r="I142">
            <v>1</v>
          </cell>
          <cell r="N142">
            <v>1</v>
          </cell>
          <cell r="P142">
            <v>1</v>
          </cell>
          <cell r="R142">
            <v>672</v>
          </cell>
          <cell r="T142">
            <v>108</v>
          </cell>
          <cell r="V142">
            <v>661</v>
          </cell>
          <cell r="X142">
            <v>2</v>
          </cell>
          <cell r="Z142">
            <v>1</v>
          </cell>
          <cell r="AB142">
            <v>661</v>
          </cell>
          <cell r="AD142">
            <v>2</v>
          </cell>
          <cell r="AF142">
            <v>1</v>
          </cell>
          <cell r="AH142">
            <v>1</v>
          </cell>
          <cell r="AJ142">
            <v>1</v>
          </cell>
          <cell r="AL142">
            <v>0</v>
          </cell>
          <cell r="AN142">
            <v>0</v>
          </cell>
          <cell r="AP142">
            <v>0</v>
          </cell>
          <cell r="AR142">
            <v>0</v>
          </cell>
          <cell r="AT142">
            <v>0</v>
          </cell>
          <cell r="AV142">
            <v>0</v>
          </cell>
          <cell r="AX142">
            <v>0</v>
          </cell>
          <cell r="AZ142">
            <v>0</v>
          </cell>
          <cell r="BB142">
            <v>0</v>
          </cell>
          <cell r="BD142">
            <v>0</v>
          </cell>
          <cell r="BF142">
            <v>0</v>
          </cell>
          <cell r="BH142">
            <v>0</v>
          </cell>
          <cell r="BJ142">
            <v>0</v>
          </cell>
          <cell r="BL142">
            <v>0</v>
          </cell>
          <cell r="BN142">
            <v>0</v>
          </cell>
          <cell r="BP142">
            <v>0</v>
          </cell>
          <cell r="BR142">
            <v>0</v>
          </cell>
          <cell r="BT142">
            <v>0</v>
          </cell>
          <cell r="BV142">
            <v>0</v>
          </cell>
          <cell r="BX142">
            <v>0</v>
          </cell>
          <cell r="BZ142">
            <v>0</v>
          </cell>
          <cell r="CB142">
            <v>0</v>
          </cell>
          <cell r="CD142">
            <v>0</v>
          </cell>
          <cell r="CF142">
            <v>0</v>
          </cell>
          <cell r="CH142">
            <v>0</v>
          </cell>
          <cell r="CJ142">
            <v>0</v>
          </cell>
          <cell r="CL142">
            <v>0</v>
          </cell>
          <cell r="CN142">
            <v>0</v>
          </cell>
          <cell r="CP142">
            <v>0</v>
          </cell>
          <cell r="CR142">
            <v>0</v>
          </cell>
          <cell r="CT142">
            <v>0</v>
          </cell>
          <cell r="CV142">
            <v>0</v>
          </cell>
          <cell r="CX142">
            <v>0</v>
          </cell>
          <cell r="CZ142">
            <v>0</v>
          </cell>
          <cell r="DB142">
            <v>0</v>
          </cell>
          <cell r="DD142">
            <v>0</v>
          </cell>
          <cell r="DF142">
            <v>0</v>
          </cell>
          <cell r="DH142">
            <v>0</v>
          </cell>
          <cell r="DJ142">
            <v>0</v>
          </cell>
          <cell r="DL142">
            <v>0</v>
          </cell>
          <cell r="DN142">
            <v>0</v>
          </cell>
          <cell r="DP142">
            <v>0</v>
          </cell>
          <cell r="DR142">
            <v>0</v>
          </cell>
          <cell r="DT142">
            <v>0</v>
          </cell>
          <cell r="DV142">
            <v>0</v>
          </cell>
          <cell r="DX142">
            <v>0</v>
          </cell>
          <cell r="DZ142">
            <v>0</v>
          </cell>
          <cell r="EB142">
            <v>0</v>
          </cell>
          <cell r="ED142">
            <v>0</v>
          </cell>
          <cell r="EF142">
            <v>0</v>
          </cell>
          <cell r="EH142">
            <v>0</v>
          </cell>
          <cell r="EJ142">
            <v>0</v>
          </cell>
          <cell r="EL142">
            <v>0</v>
          </cell>
          <cell r="EN142">
            <v>0</v>
          </cell>
          <cell r="EP142">
            <v>0</v>
          </cell>
          <cell r="ER142">
            <v>0</v>
          </cell>
          <cell r="ET142">
            <v>0</v>
          </cell>
          <cell r="EV142">
            <v>0</v>
          </cell>
          <cell r="EX142">
            <v>0</v>
          </cell>
          <cell r="EZ142">
            <v>0</v>
          </cell>
          <cell r="FB142">
            <v>0</v>
          </cell>
          <cell r="FD142">
            <v>0</v>
          </cell>
          <cell r="FF142">
            <v>0</v>
          </cell>
          <cell r="FH142">
            <v>0</v>
          </cell>
          <cell r="FJ142">
            <v>0</v>
          </cell>
          <cell r="FL142">
            <v>0</v>
          </cell>
          <cell r="FN142">
            <v>0</v>
          </cell>
          <cell r="FP142">
            <v>0</v>
          </cell>
          <cell r="FR142">
            <v>0</v>
          </cell>
          <cell r="FT142">
            <v>0</v>
          </cell>
          <cell r="FV142">
            <v>0</v>
          </cell>
          <cell r="GD142">
            <v>14</v>
          </cell>
          <cell r="GF142">
            <v>4</v>
          </cell>
          <cell r="GH142">
            <v>1</v>
          </cell>
          <cell r="GJ142">
            <v>7</v>
          </cell>
          <cell r="GM142">
            <v>10.01</v>
          </cell>
          <cell r="GN14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13.檢查勞工個人防護具：█有 □無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W142" t="str">
            <v>（一）施工廠商施工前檢查事項辦理情形：█完成 □未完成 （二）其他工地安全衛生督導事項：</v>
          </cell>
          <cell r="GX142">
            <v>853901</v>
          </cell>
          <cell r="GY142">
            <v>0</v>
          </cell>
        </row>
        <row r="143">
          <cell r="G143">
            <v>0</v>
          </cell>
          <cell r="I143">
            <v>1</v>
          </cell>
          <cell r="N143">
            <v>1</v>
          </cell>
          <cell r="P143">
            <v>1</v>
          </cell>
          <cell r="R143">
            <v>672</v>
          </cell>
          <cell r="T143">
            <v>108</v>
          </cell>
          <cell r="V143">
            <v>661</v>
          </cell>
          <cell r="X143">
            <v>2</v>
          </cell>
          <cell r="Z143">
            <v>1</v>
          </cell>
          <cell r="AB143">
            <v>661</v>
          </cell>
          <cell r="AD143">
            <v>2</v>
          </cell>
          <cell r="AF143">
            <v>1</v>
          </cell>
          <cell r="AH143">
            <v>1</v>
          </cell>
          <cell r="AJ143">
            <v>1</v>
          </cell>
          <cell r="AL143">
            <v>0</v>
          </cell>
          <cell r="AN143">
            <v>0</v>
          </cell>
          <cell r="AP143">
            <v>0</v>
          </cell>
          <cell r="AR143">
            <v>0</v>
          </cell>
          <cell r="AT143">
            <v>0</v>
          </cell>
          <cell r="AV143">
            <v>0</v>
          </cell>
          <cell r="AX143">
            <v>0</v>
          </cell>
          <cell r="AZ143">
            <v>0</v>
          </cell>
          <cell r="BB143">
            <v>0</v>
          </cell>
          <cell r="BD143">
            <v>0</v>
          </cell>
          <cell r="BF143">
            <v>0</v>
          </cell>
          <cell r="BH143">
            <v>0</v>
          </cell>
          <cell r="BJ143">
            <v>0</v>
          </cell>
          <cell r="BL143">
            <v>0</v>
          </cell>
          <cell r="BN143">
            <v>0</v>
          </cell>
          <cell r="BP143">
            <v>0</v>
          </cell>
          <cell r="BR143">
            <v>0</v>
          </cell>
          <cell r="BT143">
            <v>0</v>
          </cell>
          <cell r="BV143">
            <v>0</v>
          </cell>
          <cell r="BX143">
            <v>0</v>
          </cell>
          <cell r="BZ143">
            <v>0</v>
          </cell>
          <cell r="CB143">
            <v>0</v>
          </cell>
          <cell r="CD143">
            <v>0</v>
          </cell>
          <cell r="CF143">
            <v>0</v>
          </cell>
          <cell r="CH143">
            <v>0</v>
          </cell>
          <cell r="CJ143">
            <v>0</v>
          </cell>
          <cell r="CL143">
            <v>0</v>
          </cell>
          <cell r="CN143">
            <v>0</v>
          </cell>
          <cell r="CP143">
            <v>0</v>
          </cell>
          <cell r="CR143">
            <v>0</v>
          </cell>
          <cell r="CT143">
            <v>0</v>
          </cell>
          <cell r="CV143">
            <v>0</v>
          </cell>
          <cell r="CX143">
            <v>0</v>
          </cell>
          <cell r="CZ143">
            <v>0</v>
          </cell>
          <cell r="DB143">
            <v>0</v>
          </cell>
          <cell r="DD143">
            <v>0</v>
          </cell>
          <cell r="DF143">
            <v>0</v>
          </cell>
          <cell r="DH143">
            <v>0</v>
          </cell>
          <cell r="DJ143">
            <v>0</v>
          </cell>
          <cell r="DL143">
            <v>0</v>
          </cell>
          <cell r="DN143">
            <v>0</v>
          </cell>
          <cell r="DP143">
            <v>0</v>
          </cell>
          <cell r="DR143">
            <v>0</v>
          </cell>
          <cell r="DT143">
            <v>0</v>
          </cell>
          <cell r="DV143">
            <v>0</v>
          </cell>
          <cell r="DX143">
            <v>0</v>
          </cell>
          <cell r="DZ143">
            <v>0</v>
          </cell>
          <cell r="EB143">
            <v>0</v>
          </cell>
          <cell r="ED143">
            <v>0</v>
          </cell>
          <cell r="EF143">
            <v>0</v>
          </cell>
          <cell r="EH143">
            <v>0</v>
          </cell>
          <cell r="EJ143">
            <v>0</v>
          </cell>
          <cell r="EL143">
            <v>0</v>
          </cell>
          <cell r="EN143">
            <v>0</v>
          </cell>
          <cell r="EP143">
            <v>0</v>
          </cell>
          <cell r="ER143">
            <v>0</v>
          </cell>
          <cell r="ET143">
            <v>0</v>
          </cell>
          <cell r="EV143">
            <v>0</v>
          </cell>
          <cell r="EX143">
            <v>0</v>
          </cell>
          <cell r="EZ143">
            <v>0</v>
          </cell>
          <cell r="FB143">
            <v>0</v>
          </cell>
          <cell r="FD143">
            <v>0</v>
          </cell>
          <cell r="FF143">
            <v>0</v>
          </cell>
          <cell r="FH143">
            <v>0</v>
          </cell>
          <cell r="FJ143">
            <v>0</v>
          </cell>
          <cell r="FL143">
            <v>0</v>
          </cell>
          <cell r="FN143">
            <v>0</v>
          </cell>
          <cell r="FP143">
            <v>0</v>
          </cell>
          <cell r="FR143">
            <v>0</v>
          </cell>
          <cell r="FT143">
            <v>0</v>
          </cell>
          <cell r="FV143">
            <v>0</v>
          </cell>
          <cell r="GD143">
            <v>14</v>
          </cell>
          <cell r="GF143">
            <v>4</v>
          </cell>
          <cell r="GH143">
            <v>1</v>
          </cell>
          <cell r="GJ143">
            <v>7</v>
          </cell>
          <cell r="GM143">
            <v>11.01</v>
          </cell>
          <cell r="GN14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14.檢查勞工個人防護具：█有 □無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W143" t="str">
            <v>（一）施工廠商施工前檢查事項辦理情形：█完成 □未完成 （二）其他工地安全衛生督導事項：</v>
          </cell>
          <cell r="GX143">
            <v>853901</v>
          </cell>
          <cell r="GY143">
            <v>0</v>
          </cell>
        </row>
        <row r="144">
          <cell r="G144">
            <v>0</v>
          </cell>
          <cell r="I144">
            <v>1</v>
          </cell>
          <cell r="N144">
            <v>1</v>
          </cell>
          <cell r="P144">
            <v>1</v>
          </cell>
          <cell r="R144">
            <v>672</v>
          </cell>
          <cell r="T144">
            <v>108</v>
          </cell>
          <cell r="V144">
            <v>661</v>
          </cell>
          <cell r="X144">
            <v>2</v>
          </cell>
          <cell r="Z144">
            <v>1</v>
          </cell>
          <cell r="AB144">
            <v>661</v>
          </cell>
          <cell r="AD144">
            <v>2</v>
          </cell>
          <cell r="AF144">
            <v>1</v>
          </cell>
          <cell r="AH144">
            <v>1</v>
          </cell>
          <cell r="AJ144">
            <v>1</v>
          </cell>
          <cell r="AL144">
            <v>0</v>
          </cell>
          <cell r="AN144">
            <v>0</v>
          </cell>
          <cell r="AP144">
            <v>0</v>
          </cell>
          <cell r="AR144">
            <v>0</v>
          </cell>
          <cell r="AT144">
            <v>0</v>
          </cell>
          <cell r="AV144">
            <v>0</v>
          </cell>
          <cell r="AX144">
            <v>0</v>
          </cell>
          <cell r="AZ144">
            <v>0</v>
          </cell>
          <cell r="BB144">
            <v>0</v>
          </cell>
          <cell r="BD144">
            <v>0</v>
          </cell>
          <cell r="BF144">
            <v>0</v>
          </cell>
          <cell r="BH144">
            <v>0</v>
          </cell>
          <cell r="BJ144">
            <v>0</v>
          </cell>
          <cell r="BL144">
            <v>0</v>
          </cell>
          <cell r="BN144">
            <v>0</v>
          </cell>
          <cell r="BP144">
            <v>0</v>
          </cell>
          <cell r="BR144">
            <v>0</v>
          </cell>
          <cell r="BT144">
            <v>0</v>
          </cell>
          <cell r="BV144">
            <v>0</v>
          </cell>
          <cell r="BX144">
            <v>0</v>
          </cell>
          <cell r="BZ144">
            <v>0</v>
          </cell>
          <cell r="CB144">
            <v>0</v>
          </cell>
          <cell r="CD144">
            <v>0</v>
          </cell>
          <cell r="CF144">
            <v>0</v>
          </cell>
          <cell r="CH144">
            <v>0</v>
          </cell>
          <cell r="CJ144">
            <v>0</v>
          </cell>
          <cell r="CL144">
            <v>0</v>
          </cell>
          <cell r="CN144">
            <v>0</v>
          </cell>
          <cell r="CP144">
            <v>0</v>
          </cell>
          <cell r="CR144">
            <v>0</v>
          </cell>
          <cell r="CT144">
            <v>0</v>
          </cell>
          <cell r="CV144">
            <v>0</v>
          </cell>
          <cell r="CX144">
            <v>0</v>
          </cell>
          <cell r="CZ144">
            <v>0</v>
          </cell>
          <cell r="DB144">
            <v>0</v>
          </cell>
          <cell r="DD144">
            <v>0</v>
          </cell>
          <cell r="DF144">
            <v>0</v>
          </cell>
          <cell r="DH144">
            <v>0</v>
          </cell>
          <cell r="DJ144">
            <v>0</v>
          </cell>
          <cell r="DL144">
            <v>0</v>
          </cell>
          <cell r="DN144">
            <v>0</v>
          </cell>
          <cell r="DP144">
            <v>0</v>
          </cell>
          <cell r="DR144">
            <v>0</v>
          </cell>
          <cell r="DT144">
            <v>0</v>
          </cell>
          <cell r="DV144">
            <v>0</v>
          </cell>
          <cell r="DX144">
            <v>0</v>
          </cell>
          <cell r="DZ144">
            <v>0</v>
          </cell>
          <cell r="EB144">
            <v>0</v>
          </cell>
          <cell r="ED144">
            <v>0</v>
          </cell>
          <cell r="EF144">
            <v>0</v>
          </cell>
          <cell r="EH144">
            <v>0</v>
          </cell>
          <cell r="EJ144">
            <v>0</v>
          </cell>
          <cell r="EL144">
            <v>0</v>
          </cell>
          <cell r="EN144">
            <v>0</v>
          </cell>
          <cell r="EP144">
            <v>0</v>
          </cell>
          <cell r="ER144">
            <v>0</v>
          </cell>
          <cell r="ET144">
            <v>0</v>
          </cell>
          <cell r="EV144">
            <v>0</v>
          </cell>
          <cell r="EX144">
            <v>0</v>
          </cell>
          <cell r="EZ144">
            <v>0</v>
          </cell>
          <cell r="FB144">
            <v>0</v>
          </cell>
          <cell r="FD144">
            <v>0</v>
          </cell>
          <cell r="FF144">
            <v>0</v>
          </cell>
          <cell r="FH144">
            <v>0</v>
          </cell>
          <cell r="FJ144">
            <v>0</v>
          </cell>
          <cell r="FL144">
            <v>0</v>
          </cell>
          <cell r="FN144">
            <v>0</v>
          </cell>
          <cell r="FP144">
            <v>0</v>
          </cell>
          <cell r="FR144">
            <v>0</v>
          </cell>
          <cell r="FT144">
            <v>0</v>
          </cell>
          <cell r="FV144">
            <v>0</v>
          </cell>
          <cell r="GD144">
            <v>14</v>
          </cell>
          <cell r="GF144">
            <v>4</v>
          </cell>
          <cell r="GH144">
            <v>1</v>
          </cell>
          <cell r="GJ144">
            <v>7</v>
          </cell>
          <cell r="GM144">
            <v>12.01</v>
          </cell>
          <cell r="GN14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15.檢查勞工個人防護具：█有 □無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W144" t="str">
            <v>（一）施工廠商施工前檢查事項辦理情形：█完成 □未完成 （二）其他工地安全衛生督導事項：</v>
          </cell>
          <cell r="GX144">
            <v>853901</v>
          </cell>
          <cell r="GY144">
            <v>0</v>
          </cell>
        </row>
        <row r="145">
          <cell r="G145">
            <v>0</v>
          </cell>
          <cell r="I145">
            <v>1</v>
          </cell>
          <cell r="N145">
            <v>1</v>
          </cell>
          <cell r="P145">
            <v>1</v>
          </cell>
          <cell r="R145">
            <v>672</v>
          </cell>
          <cell r="T145">
            <v>108</v>
          </cell>
          <cell r="V145">
            <v>661</v>
          </cell>
          <cell r="X145">
            <v>2</v>
          </cell>
          <cell r="Z145">
            <v>1</v>
          </cell>
          <cell r="AB145">
            <v>661</v>
          </cell>
          <cell r="AD145">
            <v>2</v>
          </cell>
          <cell r="AF145">
            <v>1</v>
          </cell>
          <cell r="AH145">
            <v>1</v>
          </cell>
          <cell r="AJ145">
            <v>1</v>
          </cell>
          <cell r="AL145">
            <v>0</v>
          </cell>
          <cell r="AN145">
            <v>0</v>
          </cell>
          <cell r="AP145">
            <v>0</v>
          </cell>
          <cell r="AR145">
            <v>0</v>
          </cell>
          <cell r="AT145">
            <v>0</v>
          </cell>
          <cell r="AV145">
            <v>0</v>
          </cell>
          <cell r="AX145">
            <v>0</v>
          </cell>
          <cell r="AZ145">
            <v>0</v>
          </cell>
          <cell r="BB145">
            <v>0</v>
          </cell>
          <cell r="BD145">
            <v>0</v>
          </cell>
          <cell r="BF145">
            <v>0</v>
          </cell>
          <cell r="BH145">
            <v>0</v>
          </cell>
          <cell r="BJ145">
            <v>0</v>
          </cell>
          <cell r="BL145">
            <v>0</v>
          </cell>
          <cell r="BN145">
            <v>0</v>
          </cell>
          <cell r="BP145">
            <v>0</v>
          </cell>
          <cell r="BR145">
            <v>0</v>
          </cell>
          <cell r="BT145">
            <v>0</v>
          </cell>
          <cell r="BV145">
            <v>0</v>
          </cell>
          <cell r="BX145">
            <v>0</v>
          </cell>
          <cell r="BZ145">
            <v>0</v>
          </cell>
          <cell r="CB145">
            <v>0</v>
          </cell>
          <cell r="CD145">
            <v>0</v>
          </cell>
          <cell r="CF145">
            <v>0</v>
          </cell>
          <cell r="CH145">
            <v>0</v>
          </cell>
          <cell r="CJ145">
            <v>0</v>
          </cell>
          <cell r="CL145">
            <v>0</v>
          </cell>
          <cell r="CN145">
            <v>0</v>
          </cell>
          <cell r="CP145">
            <v>0</v>
          </cell>
          <cell r="CR145">
            <v>0</v>
          </cell>
          <cell r="CT145">
            <v>0</v>
          </cell>
          <cell r="CV145">
            <v>0</v>
          </cell>
          <cell r="CX145">
            <v>0</v>
          </cell>
          <cell r="CZ145">
            <v>0</v>
          </cell>
          <cell r="DB145">
            <v>0</v>
          </cell>
          <cell r="DD145">
            <v>0</v>
          </cell>
          <cell r="DF145">
            <v>0</v>
          </cell>
          <cell r="DH145">
            <v>0</v>
          </cell>
          <cell r="DJ145">
            <v>0</v>
          </cell>
          <cell r="DL145">
            <v>0</v>
          </cell>
          <cell r="DN145">
            <v>0</v>
          </cell>
          <cell r="DP145">
            <v>0</v>
          </cell>
          <cell r="DR145">
            <v>0</v>
          </cell>
          <cell r="DT145">
            <v>0</v>
          </cell>
          <cell r="DV145">
            <v>0</v>
          </cell>
          <cell r="DX145">
            <v>0</v>
          </cell>
          <cell r="DZ145">
            <v>0</v>
          </cell>
          <cell r="EB145">
            <v>0</v>
          </cell>
          <cell r="ED145">
            <v>0</v>
          </cell>
          <cell r="EF145">
            <v>0</v>
          </cell>
          <cell r="EH145">
            <v>0</v>
          </cell>
          <cell r="EJ145">
            <v>0</v>
          </cell>
          <cell r="EL145">
            <v>0</v>
          </cell>
          <cell r="EN145">
            <v>0</v>
          </cell>
          <cell r="EP145">
            <v>0</v>
          </cell>
          <cell r="ER145">
            <v>0</v>
          </cell>
          <cell r="ET145">
            <v>0</v>
          </cell>
          <cell r="EV145">
            <v>0</v>
          </cell>
          <cell r="EX145">
            <v>0</v>
          </cell>
          <cell r="EZ145">
            <v>0</v>
          </cell>
          <cell r="FB145">
            <v>0</v>
          </cell>
          <cell r="FD145">
            <v>0</v>
          </cell>
          <cell r="FF145">
            <v>0</v>
          </cell>
          <cell r="FH145">
            <v>0</v>
          </cell>
          <cell r="FJ145">
            <v>0</v>
          </cell>
          <cell r="FL145">
            <v>0</v>
          </cell>
          <cell r="FN145">
            <v>0</v>
          </cell>
          <cell r="FP145">
            <v>0</v>
          </cell>
          <cell r="FR145">
            <v>0</v>
          </cell>
          <cell r="FT145">
            <v>0</v>
          </cell>
          <cell r="FV145">
            <v>0</v>
          </cell>
          <cell r="GD145">
            <v>14</v>
          </cell>
          <cell r="GF145">
            <v>4</v>
          </cell>
          <cell r="GH145">
            <v>1</v>
          </cell>
          <cell r="GJ145">
            <v>7</v>
          </cell>
          <cell r="GM145">
            <v>13.01</v>
          </cell>
          <cell r="GN14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16.檢查勞工個人防護具：█有 □無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W145" t="str">
            <v>（一）施工廠商施工前檢查事項辦理情形：█完成 □未完成 （二）其他工地安全衛生督導事項：</v>
          </cell>
          <cell r="GX145">
            <v>853901</v>
          </cell>
          <cell r="GY145">
            <v>0</v>
          </cell>
        </row>
        <row r="146">
          <cell r="G146">
            <v>0</v>
          </cell>
          <cell r="I146">
            <v>1</v>
          </cell>
          <cell r="N146">
            <v>1</v>
          </cell>
          <cell r="P146">
            <v>1</v>
          </cell>
          <cell r="R146">
            <v>672</v>
          </cell>
          <cell r="T146">
            <v>108</v>
          </cell>
          <cell r="V146">
            <v>661</v>
          </cell>
          <cell r="X146">
            <v>2</v>
          </cell>
          <cell r="Z146">
            <v>1</v>
          </cell>
          <cell r="AB146">
            <v>661</v>
          </cell>
          <cell r="AD146">
            <v>2</v>
          </cell>
          <cell r="AF146">
            <v>1</v>
          </cell>
          <cell r="AH146">
            <v>1</v>
          </cell>
          <cell r="AJ146">
            <v>1</v>
          </cell>
          <cell r="AL146">
            <v>0</v>
          </cell>
          <cell r="AN146">
            <v>0</v>
          </cell>
          <cell r="AP146">
            <v>0</v>
          </cell>
          <cell r="AR146">
            <v>0</v>
          </cell>
          <cell r="AT146">
            <v>0</v>
          </cell>
          <cell r="AV146">
            <v>0</v>
          </cell>
          <cell r="AX146">
            <v>0</v>
          </cell>
          <cell r="AZ146">
            <v>0</v>
          </cell>
          <cell r="BB146">
            <v>0</v>
          </cell>
          <cell r="BD146">
            <v>0</v>
          </cell>
          <cell r="BF146">
            <v>0</v>
          </cell>
          <cell r="BH146">
            <v>0</v>
          </cell>
          <cell r="BJ146">
            <v>0</v>
          </cell>
          <cell r="BL146">
            <v>0</v>
          </cell>
          <cell r="BN146">
            <v>0</v>
          </cell>
          <cell r="BP146">
            <v>0</v>
          </cell>
          <cell r="BR146">
            <v>0</v>
          </cell>
          <cell r="BT146">
            <v>0</v>
          </cell>
          <cell r="BV146">
            <v>0</v>
          </cell>
          <cell r="BX146">
            <v>0</v>
          </cell>
          <cell r="BZ146">
            <v>0</v>
          </cell>
          <cell r="CB146">
            <v>0</v>
          </cell>
          <cell r="CD146">
            <v>0</v>
          </cell>
          <cell r="CF146">
            <v>0</v>
          </cell>
          <cell r="CH146">
            <v>0</v>
          </cell>
          <cell r="CJ146">
            <v>0</v>
          </cell>
          <cell r="CL146">
            <v>0</v>
          </cell>
          <cell r="CN146">
            <v>0</v>
          </cell>
          <cell r="CP146">
            <v>0</v>
          </cell>
          <cell r="CR146">
            <v>0</v>
          </cell>
          <cell r="CT146">
            <v>0</v>
          </cell>
          <cell r="CV146">
            <v>0</v>
          </cell>
          <cell r="CX146">
            <v>0</v>
          </cell>
          <cell r="CZ146">
            <v>0</v>
          </cell>
          <cell r="DB146">
            <v>0</v>
          </cell>
          <cell r="DD146">
            <v>0</v>
          </cell>
          <cell r="DF146">
            <v>0</v>
          </cell>
          <cell r="DH146">
            <v>0</v>
          </cell>
          <cell r="DJ146">
            <v>0</v>
          </cell>
          <cell r="DL146">
            <v>0</v>
          </cell>
          <cell r="DN146">
            <v>0</v>
          </cell>
          <cell r="DP146">
            <v>0</v>
          </cell>
          <cell r="DR146">
            <v>0</v>
          </cell>
          <cell r="DT146">
            <v>0</v>
          </cell>
          <cell r="DV146">
            <v>0</v>
          </cell>
          <cell r="DX146">
            <v>0</v>
          </cell>
          <cell r="DZ146">
            <v>0</v>
          </cell>
          <cell r="EB146">
            <v>0</v>
          </cell>
          <cell r="ED146">
            <v>0</v>
          </cell>
          <cell r="EF146">
            <v>0</v>
          </cell>
          <cell r="EH146">
            <v>0</v>
          </cell>
          <cell r="EJ146">
            <v>0</v>
          </cell>
          <cell r="EL146">
            <v>0</v>
          </cell>
          <cell r="EN146">
            <v>0</v>
          </cell>
          <cell r="EP146">
            <v>0</v>
          </cell>
          <cell r="ER146">
            <v>0</v>
          </cell>
          <cell r="ET146">
            <v>0</v>
          </cell>
          <cell r="EV146">
            <v>0</v>
          </cell>
          <cell r="EX146">
            <v>0</v>
          </cell>
          <cell r="EZ146">
            <v>0</v>
          </cell>
          <cell r="FB146">
            <v>0</v>
          </cell>
          <cell r="FD146">
            <v>0</v>
          </cell>
          <cell r="FF146">
            <v>0</v>
          </cell>
          <cell r="FH146">
            <v>0</v>
          </cell>
          <cell r="FJ146">
            <v>0</v>
          </cell>
          <cell r="FL146">
            <v>0</v>
          </cell>
          <cell r="FN146">
            <v>0</v>
          </cell>
          <cell r="FP146">
            <v>0</v>
          </cell>
          <cell r="FR146">
            <v>0</v>
          </cell>
          <cell r="FT146">
            <v>0</v>
          </cell>
          <cell r="FV146">
            <v>0</v>
          </cell>
          <cell r="GD146">
            <v>14</v>
          </cell>
          <cell r="GF146">
            <v>4</v>
          </cell>
          <cell r="GH146">
            <v>1</v>
          </cell>
          <cell r="GJ146">
            <v>7</v>
          </cell>
          <cell r="GM146">
            <v>14.01</v>
          </cell>
          <cell r="GN14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17.檢查勞工個人防護具：█有 □無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W146" t="str">
            <v>（一）施工廠商施工前檢查事項辦理情形：█完成 □未完成 （二）其他工地安全衛生督導事項：</v>
          </cell>
          <cell r="GX146">
            <v>853901</v>
          </cell>
          <cell r="GY146">
            <v>0</v>
          </cell>
        </row>
        <row r="147">
          <cell r="G147">
            <v>0</v>
          </cell>
          <cell r="I147">
            <v>1</v>
          </cell>
          <cell r="N147">
            <v>1</v>
          </cell>
          <cell r="P147">
            <v>1</v>
          </cell>
          <cell r="R147">
            <v>672</v>
          </cell>
          <cell r="T147">
            <v>108</v>
          </cell>
          <cell r="V147">
            <v>661</v>
          </cell>
          <cell r="X147">
            <v>2</v>
          </cell>
          <cell r="Z147">
            <v>1</v>
          </cell>
          <cell r="AB147">
            <v>661</v>
          </cell>
          <cell r="AD147">
            <v>2</v>
          </cell>
          <cell r="AF147">
            <v>1</v>
          </cell>
          <cell r="AH147">
            <v>1</v>
          </cell>
          <cell r="AJ147">
            <v>1</v>
          </cell>
          <cell r="AL147">
            <v>0</v>
          </cell>
          <cell r="AN147">
            <v>0</v>
          </cell>
          <cell r="AP147">
            <v>0</v>
          </cell>
          <cell r="AR147">
            <v>0</v>
          </cell>
          <cell r="AT147">
            <v>0</v>
          </cell>
          <cell r="AV147">
            <v>0</v>
          </cell>
          <cell r="AX147">
            <v>0</v>
          </cell>
          <cell r="AZ147">
            <v>0</v>
          </cell>
          <cell r="BB147">
            <v>0</v>
          </cell>
          <cell r="BD147">
            <v>0</v>
          </cell>
          <cell r="BF147">
            <v>0</v>
          </cell>
          <cell r="BH147">
            <v>0</v>
          </cell>
          <cell r="BJ147">
            <v>0</v>
          </cell>
          <cell r="BL147">
            <v>0</v>
          </cell>
          <cell r="BN147">
            <v>0</v>
          </cell>
          <cell r="BP147">
            <v>0</v>
          </cell>
          <cell r="BR147">
            <v>0</v>
          </cell>
          <cell r="BT147">
            <v>0</v>
          </cell>
          <cell r="BV147">
            <v>0</v>
          </cell>
          <cell r="BX147">
            <v>0</v>
          </cell>
          <cell r="BZ147">
            <v>0</v>
          </cell>
          <cell r="CB147">
            <v>0</v>
          </cell>
          <cell r="CD147">
            <v>0</v>
          </cell>
          <cell r="CF147">
            <v>0</v>
          </cell>
          <cell r="CH147">
            <v>0</v>
          </cell>
          <cell r="CJ147">
            <v>0</v>
          </cell>
          <cell r="CL147">
            <v>0</v>
          </cell>
          <cell r="CN147">
            <v>0</v>
          </cell>
          <cell r="CP147">
            <v>0</v>
          </cell>
          <cell r="CR147">
            <v>0</v>
          </cell>
          <cell r="CT147">
            <v>0</v>
          </cell>
          <cell r="CV147">
            <v>0</v>
          </cell>
          <cell r="CX147">
            <v>0</v>
          </cell>
          <cell r="CZ147">
            <v>0</v>
          </cell>
          <cell r="DB147">
            <v>0</v>
          </cell>
          <cell r="DD147">
            <v>0</v>
          </cell>
          <cell r="DF147">
            <v>0</v>
          </cell>
          <cell r="DH147">
            <v>0</v>
          </cell>
          <cell r="DJ147">
            <v>0</v>
          </cell>
          <cell r="DL147">
            <v>0</v>
          </cell>
          <cell r="DN147">
            <v>0</v>
          </cell>
          <cell r="DP147">
            <v>0</v>
          </cell>
          <cell r="DR147">
            <v>0</v>
          </cell>
          <cell r="DT147">
            <v>0</v>
          </cell>
          <cell r="DV147">
            <v>0</v>
          </cell>
          <cell r="DX147">
            <v>0</v>
          </cell>
          <cell r="DZ147">
            <v>0</v>
          </cell>
          <cell r="EB147">
            <v>0</v>
          </cell>
          <cell r="ED147">
            <v>0</v>
          </cell>
          <cell r="EF147">
            <v>0</v>
          </cell>
          <cell r="EH147">
            <v>0</v>
          </cell>
          <cell r="EJ147">
            <v>0</v>
          </cell>
          <cell r="EL147">
            <v>0</v>
          </cell>
          <cell r="EN147">
            <v>0</v>
          </cell>
          <cell r="EP147">
            <v>0</v>
          </cell>
          <cell r="ER147">
            <v>0</v>
          </cell>
          <cell r="ET147">
            <v>0</v>
          </cell>
          <cell r="EV147">
            <v>0</v>
          </cell>
          <cell r="EX147">
            <v>0</v>
          </cell>
          <cell r="EZ147">
            <v>0</v>
          </cell>
          <cell r="FB147">
            <v>0</v>
          </cell>
          <cell r="FD147">
            <v>0</v>
          </cell>
          <cell r="FF147">
            <v>0</v>
          </cell>
          <cell r="FH147">
            <v>0</v>
          </cell>
          <cell r="FJ147">
            <v>0</v>
          </cell>
          <cell r="FL147">
            <v>0</v>
          </cell>
          <cell r="FN147">
            <v>0</v>
          </cell>
          <cell r="FP147">
            <v>0</v>
          </cell>
          <cell r="FR147">
            <v>0</v>
          </cell>
          <cell r="FT147">
            <v>0</v>
          </cell>
          <cell r="FV147">
            <v>0</v>
          </cell>
          <cell r="GD147">
            <v>14</v>
          </cell>
          <cell r="GF147">
            <v>4</v>
          </cell>
          <cell r="GH147">
            <v>1</v>
          </cell>
          <cell r="GJ147">
            <v>7</v>
          </cell>
          <cell r="GM147">
            <v>15.01</v>
          </cell>
          <cell r="GN14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18.檢查勞工個人防護具：█有 □無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W147" t="str">
            <v>（一）施工廠商施工前檢查事項辦理情形：█完成 □未完成 （二）其他工地安全衛生督導事項：</v>
          </cell>
          <cell r="GX147">
            <v>853901</v>
          </cell>
          <cell r="GY147">
            <v>0</v>
          </cell>
        </row>
        <row r="148">
          <cell r="G148">
            <v>0</v>
          </cell>
          <cell r="I148">
            <v>1</v>
          </cell>
          <cell r="N148">
            <v>1</v>
          </cell>
          <cell r="P148">
            <v>1</v>
          </cell>
          <cell r="R148">
            <v>672</v>
          </cell>
          <cell r="T148">
            <v>108</v>
          </cell>
          <cell r="V148">
            <v>661</v>
          </cell>
          <cell r="X148">
            <v>2</v>
          </cell>
          <cell r="Z148">
            <v>1</v>
          </cell>
          <cell r="AB148">
            <v>661</v>
          </cell>
          <cell r="AD148">
            <v>2</v>
          </cell>
          <cell r="AF148">
            <v>1</v>
          </cell>
          <cell r="AH148">
            <v>1</v>
          </cell>
          <cell r="AJ148">
            <v>1</v>
          </cell>
          <cell r="AL148">
            <v>0</v>
          </cell>
          <cell r="AN148">
            <v>0</v>
          </cell>
          <cell r="AP148">
            <v>0</v>
          </cell>
          <cell r="AR148">
            <v>0</v>
          </cell>
          <cell r="AT148">
            <v>0</v>
          </cell>
          <cell r="AV148">
            <v>0</v>
          </cell>
          <cell r="AX148">
            <v>0</v>
          </cell>
          <cell r="AZ148">
            <v>0</v>
          </cell>
          <cell r="BB148">
            <v>0</v>
          </cell>
          <cell r="BD148">
            <v>0</v>
          </cell>
          <cell r="BF148">
            <v>0</v>
          </cell>
          <cell r="BH148">
            <v>0</v>
          </cell>
          <cell r="BJ148">
            <v>0</v>
          </cell>
          <cell r="BL148">
            <v>0</v>
          </cell>
          <cell r="BN148">
            <v>0</v>
          </cell>
          <cell r="BP148">
            <v>0</v>
          </cell>
          <cell r="BR148">
            <v>0</v>
          </cell>
          <cell r="BT148">
            <v>0</v>
          </cell>
          <cell r="BV148">
            <v>0</v>
          </cell>
          <cell r="BX148">
            <v>0</v>
          </cell>
          <cell r="BZ148">
            <v>0</v>
          </cell>
          <cell r="CB148">
            <v>0</v>
          </cell>
          <cell r="CD148">
            <v>0</v>
          </cell>
          <cell r="CF148">
            <v>0</v>
          </cell>
          <cell r="CH148">
            <v>0</v>
          </cell>
          <cell r="CJ148">
            <v>0</v>
          </cell>
          <cell r="CL148">
            <v>0</v>
          </cell>
          <cell r="CN148">
            <v>0</v>
          </cell>
          <cell r="CP148">
            <v>0</v>
          </cell>
          <cell r="CR148">
            <v>0</v>
          </cell>
          <cell r="CT148">
            <v>0</v>
          </cell>
          <cell r="CV148">
            <v>0</v>
          </cell>
          <cell r="CX148">
            <v>0</v>
          </cell>
          <cell r="CZ148">
            <v>0</v>
          </cell>
          <cell r="DB148">
            <v>0</v>
          </cell>
          <cell r="DD148">
            <v>0</v>
          </cell>
          <cell r="DF148">
            <v>0</v>
          </cell>
          <cell r="DH148">
            <v>0</v>
          </cell>
          <cell r="DJ148">
            <v>0</v>
          </cell>
          <cell r="DL148">
            <v>0</v>
          </cell>
          <cell r="DN148">
            <v>0</v>
          </cell>
          <cell r="DP148">
            <v>0</v>
          </cell>
          <cell r="DR148">
            <v>0</v>
          </cell>
          <cell r="DT148">
            <v>0</v>
          </cell>
          <cell r="DV148">
            <v>0</v>
          </cell>
          <cell r="DX148">
            <v>0</v>
          </cell>
          <cell r="DZ148">
            <v>0</v>
          </cell>
          <cell r="EB148">
            <v>0</v>
          </cell>
          <cell r="ED148">
            <v>0</v>
          </cell>
          <cell r="EF148">
            <v>0</v>
          </cell>
          <cell r="EH148">
            <v>0</v>
          </cell>
          <cell r="EJ148">
            <v>0</v>
          </cell>
          <cell r="EL148">
            <v>0</v>
          </cell>
          <cell r="EN148">
            <v>0</v>
          </cell>
          <cell r="EP148">
            <v>0</v>
          </cell>
          <cell r="ER148">
            <v>0</v>
          </cell>
          <cell r="ET148">
            <v>0</v>
          </cell>
          <cell r="EV148">
            <v>0</v>
          </cell>
          <cell r="EX148">
            <v>0</v>
          </cell>
          <cell r="EZ148">
            <v>0</v>
          </cell>
          <cell r="FB148">
            <v>0</v>
          </cell>
          <cell r="FD148">
            <v>0</v>
          </cell>
          <cell r="FF148">
            <v>0</v>
          </cell>
          <cell r="FH148">
            <v>0</v>
          </cell>
          <cell r="FJ148">
            <v>0</v>
          </cell>
          <cell r="FL148">
            <v>0</v>
          </cell>
          <cell r="FN148">
            <v>0</v>
          </cell>
          <cell r="FP148">
            <v>0</v>
          </cell>
          <cell r="FR148">
            <v>0</v>
          </cell>
          <cell r="FT148">
            <v>0</v>
          </cell>
          <cell r="FV148">
            <v>0</v>
          </cell>
          <cell r="GD148">
            <v>14</v>
          </cell>
          <cell r="GF148">
            <v>4</v>
          </cell>
          <cell r="GH148">
            <v>1</v>
          </cell>
          <cell r="GJ148">
            <v>7</v>
          </cell>
          <cell r="GM148">
            <v>16.010000000000002</v>
          </cell>
          <cell r="GN14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19.檢查勞工個人防護具：█有 □無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W148" t="str">
            <v>（一）施工廠商施工前檢查事項辦理情形：█完成 □未完成 （二）其他工地安全衛生督導事項：</v>
          </cell>
          <cell r="GX148">
            <v>853901</v>
          </cell>
          <cell r="GY148">
            <v>0</v>
          </cell>
        </row>
        <row r="149">
          <cell r="G149">
            <v>0</v>
          </cell>
          <cell r="I149">
            <v>1</v>
          </cell>
          <cell r="N149">
            <v>1</v>
          </cell>
          <cell r="P149">
            <v>1</v>
          </cell>
          <cell r="R149">
            <v>672</v>
          </cell>
          <cell r="T149">
            <v>108</v>
          </cell>
          <cell r="V149">
            <v>661</v>
          </cell>
          <cell r="X149">
            <v>2</v>
          </cell>
          <cell r="Z149">
            <v>1</v>
          </cell>
          <cell r="AB149">
            <v>661</v>
          </cell>
          <cell r="AD149">
            <v>2</v>
          </cell>
          <cell r="AF149">
            <v>1</v>
          </cell>
          <cell r="AH149">
            <v>1</v>
          </cell>
          <cell r="AJ149">
            <v>1</v>
          </cell>
          <cell r="AL149">
            <v>0</v>
          </cell>
          <cell r="AN149">
            <v>0</v>
          </cell>
          <cell r="AP149">
            <v>0</v>
          </cell>
          <cell r="AR149">
            <v>0</v>
          </cell>
          <cell r="AT149">
            <v>0</v>
          </cell>
          <cell r="AV149">
            <v>0</v>
          </cell>
          <cell r="AX149">
            <v>0</v>
          </cell>
          <cell r="AZ149">
            <v>0</v>
          </cell>
          <cell r="BB149">
            <v>0</v>
          </cell>
          <cell r="BD149">
            <v>0</v>
          </cell>
          <cell r="BF149">
            <v>0</v>
          </cell>
          <cell r="BH149">
            <v>0</v>
          </cell>
          <cell r="BJ149">
            <v>0</v>
          </cell>
          <cell r="BL149">
            <v>0</v>
          </cell>
          <cell r="BN149">
            <v>0</v>
          </cell>
          <cell r="BP149">
            <v>0</v>
          </cell>
          <cell r="BR149">
            <v>0</v>
          </cell>
          <cell r="BT149">
            <v>0</v>
          </cell>
          <cell r="BV149">
            <v>0</v>
          </cell>
          <cell r="BX149">
            <v>0</v>
          </cell>
          <cell r="BZ149">
            <v>0</v>
          </cell>
          <cell r="CB149">
            <v>0</v>
          </cell>
          <cell r="CD149">
            <v>0</v>
          </cell>
          <cell r="CF149">
            <v>0</v>
          </cell>
          <cell r="CH149">
            <v>0</v>
          </cell>
          <cell r="CJ149">
            <v>0</v>
          </cell>
          <cell r="CL149">
            <v>0</v>
          </cell>
          <cell r="CN149">
            <v>0</v>
          </cell>
          <cell r="CP149">
            <v>0</v>
          </cell>
          <cell r="CR149">
            <v>0</v>
          </cell>
          <cell r="CT149">
            <v>0</v>
          </cell>
          <cell r="CV149">
            <v>0</v>
          </cell>
          <cell r="CX149">
            <v>0</v>
          </cell>
          <cell r="CZ149">
            <v>0</v>
          </cell>
          <cell r="DB149">
            <v>0</v>
          </cell>
          <cell r="DD149">
            <v>0</v>
          </cell>
          <cell r="DF149">
            <v>0</v>
          </cell>
          <cell r="DH149">
            <v>0</v>
          </cell>
          <cell r="DJ149">
            <v>0</v>
          </cell>
          <cell r="DL149">
            <v>0</v>
          </cell>
          <cell r="DN149">
            <v>0</v>
          </cell>
          <cell r="DP149">
            <v>0</v>
          </cell>
          <cell r="DR149">
            <v>0</v>
          </cell>
          <cell r="DT149">
            <v>0</v>
          </cell>
          <cell r="DV149">
            <v>0</v>
          </cell>
          <cell r="DX149">
            <v>0</v>
          </cell>
          <cell r="DZ149">
            <v>0</v>
          </cell>
          <cell r="EB149">
            <v>0</v>
          </cell>
          <cell r="ED149">
            <v>0</v>
          </cell>
          <cell r="EF149">
            <v>0</v>
          </cell>
          <cell r="EH149">
            <v>0</v>
          </cell>
          <cell r="EJ149">
            <v>0</v>
          </cell>
          <cell r="EL149">
            <v>0</v>
          </cell>
          <cell r="EN149">
            <v>0</v>
          </cell>
          <cell r="EP149">
            <v>0</v>
          </cell>
          <cell r="ER149">
            <v>0</v>
          </cell>
          <cell r="ET149">
            <v>0</v>
          </cell>
          <cell r="EV149">
            <v>0</v>
          </cell>
          <cell r="EX149">
            <v>0</v>
          </cell>
          <cell r="EZ149">
            <v>0</v>
          </cell>
          <cell r="FB149">
            <v>0</v>
          </cell>
          <cell r="FD149">
            <v>0</v>
          </cell>
          <cell r="FF149">
            <v>0</v>
          </cell>
          <cell r="FH149">
            <v>0</v>
          </cell>
          <cell r="FJ149">
            <v>0</v>
          </cell>
          <cell r="FL149">
            <v>0</v>
          </cell>
          <cell r="FN149">
            <v>0</v>
          </cell>
          <cell r="FP149">
            <v>0</v>
          </cell>
          <cell r="FR149">
            <v>0</v>
          </cell>
          <cell r="FT149">
            <v>0</v>
          </cell>
          <cell r="FV149">
            <v>0</v>
          </cell>
          <cell r="GD149">
            <v>14</v>
          </cell>
          <cell r="GF149">
            <v>4</v>
          </cell>
          <cell r="GH149">
            <v>1</v>
          </cell>
          <cell r="GJ149">
            <v>7</v>
          </cell>
          <cell r="GM149">
            <v>17.010000000000002</v>
          </cell>
          <cell r="GN14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20.檢查勞工個人防護具：█有 □無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W149" t="str">
            <v>（一）施工廠商施工前檢查事項辦理情形：█完成 □未完成 （二）其他工地安全衛生督導事項：</v>
          </cell>
          <cell r="GX149">
            <v>853901</v>
          </cell>
          <cell r="GY149">
            <v>0</v>
          </cell>
        </row>
        <row r="150">
          <cell r="G150">
            <v>0</v>
          </cell>
          <cell r="I150">
            <v>1</v>
          </cell>
          <cell r="N150">
            <v>1</v>
          </cell>
          <cell r="P150">
            <v>1</v>
          </cell>
          <cell r="R150">
            <v>672</v>
          </cell>
          <cell r="T150">
            <v>108</v>
          </cell>
          <cell r="V150">
            <v>661</v>
          </cell>
          <cell r="X150">
            <v>2</v>
          </cell>
          <cell r="Z150">
            <v>1</v>
          </cell>
          <cell r="AB150">
            <v>661</v>
          </cell>
          <cell r="AD150">
            <v>2</v>
          </cell>
          <cell r="AF150">
            <v>1</v>
          </cell>
          <cell r="AH150">
            <v>1</v>
          </cell>
          <cell r="AJ150">
            <v>1</v>
          </cell>
          <cell r="AL150">
            <v>0</v>
          </cell>
          <cell r="AN150">
            <v>0</v>
          </cell>
          <cell r="AP150">
            <v>0</v>
          </cell>
          <cell r="AR150">
            <v>0</v>
          </cell>
          <cell r="AT150">
            <v>0</v>
          </cell>
          <cell r="AV150">
            <v>0</v>
          </cell>
          <cell r="AX150">
            <v>0</v>
          </cell>
          <cell r="AZ150">
            <v>0</v>
          </cell>
          <cell r="BB150">
            <v>0</v>
          </cell>
          <cell r="BD150">
            <v>0</v>
          </cell>
          <cell r="BF150">
            <v>0</v>
          </cell>
          <cell r="BH150">
            <v>0</v>
          </cell>
          <cell r="BJ150">
            <v>0</v>
          </cell>
          <cell r="BL150">
            <v>0</v>
          </cell>
          <cell r="BN150">
            <v>0</v>
          </cell>
          <cell r="BP150">
            <v>0</v>
          </cell>
          <cell r="BR150">
            <v>0</v>
          </cell>
          <cell r="BT150">
            <v>0</v>
          </cell>
          <cell r="BV150">
            <v>0</v>
          </cell>
          <cell r="BX150">
            <v>0</v>
          </cell>
          <cell r="BZ150">
            <v>0</v>
          </cell>
          <cell r="CB150">
            <v>0</v>
          </cell>
          <cell r="CD150">
            <v>0</v>
          </cell>
          <cell r="CF150">
            <v>0</v>
          </cell>
          <cell r="CH150">
            <v>0</v>
          </cell>
          <cell r="CJ150">
            <v>0</v>
          </cell>
          <cell r="CL150">
            <v>0</v>
          </cell>
          <cell r="CN150">
            <v>0</v>
          </cell>
          <cell r="CP150">
            <v>0</v>
          </cell>
          <cell r="CR150">
            <v>0</v>
          </cell>
          <cell r="CT150">
            <v>0</v>
          </cell>
          <cell r="CV150">
            <v>0</v>
          </cell>
          <cell r="CX150">
            <v>0</v>
          </cell>
          <cell r="CZ150">
            <v>0</v>
          </cell>
          <cell r="DB150">
            <v>0</v>
          </cell>
          <cell r="DD150">
            <v>0</v>
          </cell>
          <cell r="DF150">
            <v>0</v>
          </cell>
          <cell r="DH150">
            <v>0</v>
          </cell>
          <cell r="DJ150">
            <v>0</v>
          </cell>
          <cell r="DL150">
            <v>0</v>
          </cell>
          <cell r="DN150">
            <v>0</v>
          </cell>
          <cell r="DP150">
            <v>0</v>
          </cell>
          <cell r="DR150">
            <v>0</v>
          </cell>
          <cell r="DT150">
            <v>0</v>
          </cell>
          <cell r="DV150">
            <v>0</v>
          </cell>
          <cell r="DX150">
            <v>0</v>
          </cell>
          <cell r="DZ150">
            <v>0</v>
          </cell>
          <cell r="EB150">
            <v>0</v>
          </cell>
          <cell r="ED150">
            <v>0</v>
          </cell>
          <cell r="EF150">
            <v>0</v>
          </cell>
          <cell r="EH150">
            <v>0</v>
          </cell>
          <cell r="EJ150">
            <v>0</v>
          </cell>
          <cell r="EL150">
            <v>0</v>
          </cell>
          <cell r="EN150">
            <v>0</v>
          </cell>
          <cell r="EP150">
            <v>0</v>
          </cell>
          <cell r="ER150">
            <v>0</v>
          </cell>
          <cell r="ET150">
            <v>0</v>
          </cell>
          <cell r="EV150">
            <v>0</v>
          </cell>
          <cell r="EX150">
            <v>0</v>
          </cell>
          <cell r="EZ150">
            <v>0</v>
          </cell>
          <cell r="FB150">
            <v>0</v>
          </cell>
          <cell r="FD150">
            <v>0</v>
          </cell>
          <cell r="FF150">
            <v>0</v>
          </cell>
          <cell r="FH150">
            <v>0</v>
          </cell>
          <cell r="FJ150">
            <v>0</v>
          </cell>
          <cell r="FL150">
            <v>0</v>
          </cell>
          <cell r="FN150">
            <v>0</v>
          </cell>
          <cell r="FP150">
            <v>0</v>
          </cell>
          <cell r="FR150">
            <v>0</v>
          </cell>
          <cell r="FT150">
            <v>0</v>
          </cell>
          <cell r="FV150">
            <v>0</v>
          </cell>
          <cell r="GD150">
            <v>14</v>
          </cell>
          <cell r="GF150">
            <v>4</v>
          </cell>
          <cell r="GH150">
            <v>1</v>
          </cell>
          <cell r="GJ150">
            <v>7</v>
          </cell>
          <cell r="GM150">
            <v>18.010000000000002</v>
          </cell>
          <cell r="GN15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21.檢查勞工個人防護具：█有 □無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W150" t="str">
            <v>（一）施工廠商施工前檢查事項辦理情形：█完成 □未完成 （二）其他工地安全衛生督導事項：</v>
          </cell>
          <cell r="GX150">
            <v>853901</v>
          </cell>
          <cell r="GY150">
            <v>0</v>
          </cell>
        </row>
        <row r="151">
          <cell r="G151">
            <v>0</v>
          </cell>
          <cell r="I151">
            <v>1</v>
          </cell>
          <cell r="N151">
            <v>1</v>
          </cell>
          <cell r="P151">
            <v>1</v>
          </cell>
          <cell r="R151">
            <v>672</v>
          </cell>
          <cell r="T151">
            <v>108</v>
          </cell>
          <cell r="V151">
            <v>661</v>
          </cell>
          <cell r="X151">
            <v>2</v>
          </cell>
          <cell r="Z151">
            <v>1</v>
          </cell>
          <cell r="AB151">
            <v>661</v>
          </cell>
          <cell r="AD151">
            <v>2</v>
          </cell>
          <cell r="AF151">
            <v>1</v>
          </cell>
          <cell r="AH151">
            <v>1</v>
          </cell>
          <cell r="AJ151">
            <v>1</v>
          </cell>
          <cell r="AL151">
            <v>0</v>
          </cell>
          <cell r="AN151">
            <v>0</v>
          </cell>
          <cell r="AP151">
            <v>0</v>
          </cell>
          <cell r="AR151">
            <v>0</v>
          </cell>
          <cell r="AT151">
            <v>0</v>
          </cell>
          <cell r="AV151">
            <v>0</v>
          </cell>
          <cell r="AX151">
            <v>0</v>
          </cell>
          <cell r="AZ151">
            <v>0</v>
          </cell>
          <cell r="BB151">
            <v>0</v>
          </cell>
          <cell r="BD151">
            <v>0</v>
          </cell>
          <cell r="BF151">
            <v>0</v>
          </cell>
          <cell r="BH151">
            <v>0</v>
          </cell>
          <cell r="BJ151">
            <v>0</v>
          </cell>
          <cell r="BL151">
            <v>0</v>
          </cell>
          <cell r="BN151">
            <v>0</v>
          </cell>
          <cell r="BP151">
            <v>0</v>
          </cell>
          <cell r="BR151">
            <v>0</v>
          </cell>
          <cell r="BT151">
            <v>0</v>
          </cell>
          <cell r="BV151">
            <v>0</v>
          </cell>
          <cell r="BX151">
            <v>0</v>
          </cell>
          <cell r="BZ151">
            <v>0</v>
          </cell>
          <cell r="CB151">
            <v>0</v>
          </cell>
          <cell r="CD151">
            <v>0</v>
          </cell>
          <cell r="CF151">
            <v>0</v>
          </cell>
          <cell r="CH151">
            <v>0</v>
          </cell>
          <cell r="CJ151">
            <v>0</v>
          </cell>
          <cell r="CL151">
            <v>0</v>
          </cell>
          <cell r="CN151">
            <v>0</v>
          </cell>
          <cell r="CP151">
            <v>0</v>
          </cell>
          <cell r="CR151">
            <v>0</v>
          </cell>
          <cell r="CT151">
            <v>0</v>
          </cell>
          <cell r="CV151">
            <v>0</v>
          </cell>
          <cell r="CX151">
            <v>0</v>
          </cell>
          <cell r="CZ151">
            <v>0</v>
          </cell>
          <cell r="DB151">
            <v>0</v>
          </cell>
          <cell r="DD151">
            <v>0</v>
          </cell>
          <cell r="DF151">
            <v>0</v>
          </cell>
          <cell r="DH151">
            <v>0</v>
          </cell>
          <cell r="DJ151">
            <v>0</v>
          </cell>
          <cell r="DL151">
            <v>0</v>
          </cell>
          <cell r="DN151">
            <v>0</v>
          </cell>
          <cell r="DP151">
            <v>0</v>
          </cell>
          <cell r="DR151">
            <v>0</v>
          </cell>
          <cell r="DT151">
            <v>0</v>
          </cell>
          <cell r="DV151">
            <v>0</v>
          </cell>
          <cell r="DX151">
            <v>0</v>
          </cell>
          <cell r="DZ151">
            <v>0</v>
          </cell>
          <cell r="EB151">
            <v>0</v>
          </cell>
          <cell r="ED151">
            <v>0</v>
          </cell>
          <cell r="EF151">
            <v>0</v>
          </cell>
          <cell r="EH151">
            <v>0</v>
          </cell>
          <cell r="EJ151">
            <v>0</v>
          </cell>
          <cell r="EL151">
            <v>0</v>
          </cell>
          <cell r="EN151">
            <v>0</v>
          </cell>
          <cell r="EP151">
            <v>0</v>
          </cell>
          <cell r="ER151">
            <v>0</v>
          </cell>
          <cell r="ET151">
            <v>0</v>
          </cell>
          <cell r="EV151">
            <v>0</v>
          </cell>
          <cell r="EX151">
            <v>0</v>
          </cell>
          <cell r="EZ151">
            <v>0</v>
          </cell>
          <cell r="FB151">
            <v>0</v>
          </cell>
          <cell r="FD151">
            <v>0</v>
          </cell>
          <cell r="FF151">
            <v>0</v>
          </cell>
          <cell r="FH151">
            <v>0</v>
          </cell>
          <cell r="FJ151">
            <v>0</v>
          </cell>
          <cell r="FL151">
            <v>0</v>
          </cell>
          <cell r="FN151">
            <v>0</v>
          </cell>
          <cell r="FP151">
            <v>0</v>
          </cell>
          <cell r="FR151">
            <v>0</v>
          </cell>
          <cell r="FT151">
            <v>0</v>
          </cell>
          <cell r="FV151">
            <v>0</v>
          </cell>
          <cell r="GD151">
            <v>14</v>
          </cell>
          <cell r="GF151">
            <v>4</v>
          </cell>
          <cell r="GH151">
            <v>1</v>
          </cell>
          <cell r="GJ151">
            <v>7</v>
          </cell>
          <cell r="GM151">
            <v>19.010000000000002</v>
          </cell>
          <cell r="GN15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22.檢查勞工個人防護具：█有 □無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W151" t="str">
            <v>（一）施工廠商施工前檢查事項辦理情形：█完成 □未完成 （二）其他工地安全衛生督導事項：</v>
          </cell>
          <cell r="GX151">
            <v>853901</v>
          </cell>
          <cell r="GY151">
            <v>0</v>
          </cell>
        </row>
        <row r="152">
          <cell r="G152">
            <v>0</v>
          </cell>
          <cell r="I152">
            <v>1</v>
          </cell>
          <cell r="N152">
            <v>1</v>
          </cell>
          <cell r="P152">
            <v>1</v>
          </cell>
          <cell r="R152">
            <v>672</v>
          </cell>
          <cell r="T152">
            <v>108</v>
          </cell>
          <cell r="V152">
            <v>661</v>
          </cell>
          <cell r="X152">
            <v>2</v>
          </cell>
          <cell r="Z152">
            <v>1</v>
          </cell>
          <cell r="AB152">
            <v>661</v>
          </cell>
          <cell r="AD152">
            <v>2</v>
          </cell>
          <cell r="AF152">
            <v>1</v>
          </cell>
          <cell r="AH152">
            <v>1</v>
          </cell>
          <cell r="AJ152">
            <v>1</v>
          </cell>
          <cell r="AL152">
            <v>0</v>
          </cell>
          <cell r="AN152">
            <v>0</v>
          </cell>
          <cell r="AP152">
            <v>0</v>
          </cell>
          <cell r="AR152">
            <v>0</v>
          </cell>
          <cell r="AT152">
            <v>0</v>
          </cell>
          <cell r="AV152">
            <v>0</v>
          </cell>
          <cell r="AX152">
            <v>0</v>
          </cell>
          <cell r="AZ152">
            <v>0</v>
          </cell>
          <cell r="BB152">
            <v>0</v>
          </cell>
          <cell r="BD152">
            <v>0</v>
          </cell>
          <cell r="BF152">
            <v>0</v>
          </cell>
          <cell r="BH152">
            <v>0</v>
          </cell>
          <cell r="BJ152">
            <v>0</v>
          </cell>
          <cell r="BL152">
            <v>0</v>
          </cell>
          <cell r="BN152">
            <v>0</v>
          </cell>
          <cell r="BP152">
            <v>0</v>
          </cell>
          <cell r="BR152">
            <v>0</v>
          </cell>
          <cell r="BT152">
            <v>0</v>
          </cell>
          <cell r="BV152">
            <v>0</v>
          </cell>
          <cell r="BX152">
            <v>0</v>
          </cell>
          <cell r="BZ152">
            <v>0</v>
          </cell>
          <cell r="CB152">
            <v>0</v>
          </cell>
          <cell r="CD152">
            <v>0</v>
          </cell>
          <cell r="CF152">
            <v>0</v>
          </cell>
          <cell r="CH152">
            <v>0</v>
          </cell>
          <cell r="CJ152">
            <v>0</v>
          </cell>
          <cell r="CL152">
            <v>0</v>
          </cell>
          <cell r="CN152">
            <v>0</v>
          </cell>
          <cell r="CP152">
            <v>0</v>
          </cell>
          <cell r="CR152">
            <v>0</v>
          </cell>
          <cell r="CT152">
            <v>0</v>
          </cell>
          <cell r="CV152">
            <v>0</v>
          </cell>
          <cell r="CX152">
            <v>0</v>
          </cell>
          <cell r="CZ152">
            <v>0</v>
          </cell>
          <cell r="DB152">
            <v>0</v>
          </cell>
          <cell r="DD152">
            <v>0</v>
          </cell>
          <cell r="DF152">
            <v>0</v>
          </cell>
          <cell r="DH152">
            <v>0</v>
          </cell>
          <cell r="DJ152">
            <v>0</v>
          </cell>
          <cell r="DL152">
            <v>0</v>
          </cell>
          <cell r="DN152">
            <v>0</v>
          </cell>
          <cell r="DP152">
            <v>0</v>
          </cell>
          <cell r="DR152">
            <v>0</v>
          </cell>
          <cell r="DT152">
            <v>0</v>
          </cell>
          <cell r="DV152">
            <v>0</v>
          </cell>
          <cell r="DX152">
            <v>0</v>
          </cell>
          <cell r="DZ152">
            <v>0</v>
          </cell>
          <cell r="EB152">
            <v>0</v>
          </cell>
          <cell r="ED152">
            <v>0</v>
          </cell>
          <cell r="EF152">
            <v>0</v>
          </cell>
          <cell r="EH152">
            <v>0</v>
          </cell>
          <cell r="EJ152">
            <v>0</v>
          </cell>
          <cell r="EL152">
            <v>0</v>
          </cell>
          <cell r="EN152">
            <v>0</v>
          </cell>
          <cell r="EP152">
            <v>0</v>
          </cell>
          <cell r="ER152">
            <v>0</v>
          </cell>
          <cell r="ET152">
            <v>0</v>
          </cell>
          <cell r="EV152">
            <v>0</v>
          </cell>
          <cell r="EX152">
            <v>0</v>
          </cell>
          <cell r="EZ152">
            <v>0</v>
          </cell>
          <cell r="FB152">
            <v>0</v>
          </cell>
          <cell r="FD152">
            <v>0</v>
          </cell>
          <cell r="FF152">
            <v>0</v>
          </cell>
          <cell r="FH152">
            <v>0</v>
          </cell>
          <cell r="FJ152">
            <v>0</v>
          </cell>
          <cell r="FL152">
            <v>0</v>
          </cell>
          <cell r="FN152">
            <v>0</v>
          </cell>
          <cell r="FP152">
            <v>0</v>
          </cell>
          <cell r="FR152">
            <v>0</v>
          </cell>
          <cell r="FT152">
            <v>0</v>
          </cell>
          <cell r="FV152">
            <v>0</v>
          </cell>
          <cell r="GD152">
            <v>14</v>
          </cell>
          <cell r="GF152">
            <v>4</v>
          </cell>
          <cell r="GH152">
            <v>1</v>
          </cell>
          <cell r="GJ152">
            <v>7</v>
          </cell>
          <cell r="GM152">
            <v>20.010000000000002</v>
          </cell>
          <cell r="GN15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23.檢查勞工個人防護具：█有 □無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W152" t="str">
            <v>（一）施工廠商施工前檢查事項辦理情形：█完成 □未完成 （二）其他工地安全衛生督導事項：</v>
          </cell>
          <cell r="GX152">
            <v>853901</v>
          </cell>
          <cell r="GY152">
            <v>0</v>
          </cell>
        </row>
        <row r="153">
          <cell r="G153">
            <v>0</v>
          </cell>
          <cell r="I153">
            <v>1</v>
          </cell>
          <cell r="N153">
            <v>1</v>
          </cell>
          <cell r="P153">
            <v>1</v>
          </cell>
          <cell r="R153">
            <v>672</v>
          </cell>
          <cell r="T153">
            <v>108</v>
          </cell>
          <cell r="V153">
            <v>661</v>
          </cell>
          <cell r="X153">
            <v>2</v>
          </cell>
          <cell r="Z153">
            <v>1</v>
          </cell>
          <cell r="AB153">
            <v>661</v>
          </cell>
          <cell r="AD153">
            <v>2</v>
          </cell>
          <cell r="AF153">
            <v>1</v>
          </cell>
          <cell r="AH153">
            <v>1</v>
          </cell>
          <cell r="AJ153">
            <v>1</v>
          </cell>
          <cell r="AL153">
            <v>0</v>
          </cell>
          <cell r="AN153">
            <v>0</v>
          </cell>
          <cell r="AP153">
            <v>0</v>
          </cell>
          <cell r="AR153">
            <v>0</v>
          </cell>
          <cell r="AT153">
            <v>0</v>
          </cell>
          <cell r="AV153">
            <v>0</v>
          </cell>
          <cell r="AX153">
            <v>0</v>
          </cell>
          <cell r="AZ153">
            <v>0</v>
          </cell>
          <cell r="BB153">
            <v>0</v>
          </cell>
          <cell r="BD153">
            <v>0</v>
          </cell>
          <cell r="BF153">
            <v>0</v>
          </cell>
          <cell r="BH153">
            <v>0</v>
          </cell>
          <cell r="BJ153">
            <v>0</v>
          </cell>
          <cell r="BL153">
            <v>0</v>
          </cell>
          <cell r="BN153">
            <v>0</v>
          </cell>
          <cell r="BP153">
            <v>0</v>
          </cell>
          <cell r="BR153">
            <v>0</v>
          </cell>
          <cell r="BT153">
            <v>0</v>
          </cell>
          <cell r="BV153">
            <v>0</v>
          </cell>
          <cell r="BX153">
            <v>0</v>
          </cell>
          <cell r="BZ153">
            <v>0</v>
          </cell>
          <cell r="CB153">
            <v>0</v>
          </cell>
          <cell r="CD153">
            <v>0</v>
          </cell>
          <cell r="CF153">
            <v>0</v>
          </cell>
          <cell r="CH153">
            <v>0</v>
          </cell>
          <cell r="CJ153">
            <v>0</v>
          </cell>
          <cell r="CL153">
            <v>0</v>
          </cell>
          <cell r="CN153">
            <v>0</v>
          </cell>
          <cell r="CP153">
            <v>0</v>
          </cell>
          <cell r="CR153">
            <v>0</v>
          </cell>
          <cell r="CT153">
            <v>0</v>
          </cell>
          <cell r="CV153">
            <v>0</v>
          </cell>
          <cell r="CX153">
            <v>0</v>
          </cell>
          <cell r="CZ153">
            <v>0</v>
          </cell>
          <cell r="DB153">
            <v>0</v>
          </cell>
          <cell r="DD153">
            <v>0</v>
          </cell>
          <cell r="DF153">
            <v>0</v>
          </cell>
          <cell r="DH153">
            <v>0</v>
          </cell>
          <cell r="DJ153">
            <v>0</v>
          </cell>
          <cell r="DL153">
            <v>0</v>
          </cell>
          <cell r="DN153">
            <v>0</v>
          </cell>
          <cell r="DP153">
            <v>0</v>
          </cell>
          <cell r="DR153">
            <v>0</v>
          </cell>
          <cell r="DT153">
            <v>0</v>
          </cell>
          <cell r="DV153">
            <v>0</v>
          </cell>
          <cell r="DX153">
            <v>0</v>
          </cell>
          <cell r="DZ153">
            <v>0</v>
          </cell>
          <cell r="EB153">
            <v>0</v>
          </cell>
          <cell r="ED153">
            <v>0</v>
          </cell>
          <cell r="EF153">
            <v>0</v>
          </cell>
          <cell r="EH153">
            <v>0</v>
          </cell>
          <cell r="EJ153">
            <v>0</v>
          </cell>
          <cell r="EL153">
            <v>0</v>
          </cell>
          <cell r="EN153">
            <v>0</v>
          </cell>
          <cell r="EP153">
            <v>0</v>
          </cell>
          <cell r="ER153">
            <v>0</v>
          </cell>
          <cell r="ET153">
            <v>0</v>
          </cell>
          <cell r="EV153">
            <v>0</v>
          </cell>
          <cell r="EX153">
            <v>0</v>
          </cell>
          <cell r="EZ153">
            <v>0</v>
          </cell>
          <cell r="FB153">
            <v>0</v>
          </cell>
          <cell r="FD153">
            <v>0</v>
          </cell>
          <cell r="FF153">
            <v>0</v>
          </cell>
          <cell r="FH153">
            <v>0</v>
          </cell>
          <cell r="FJ153">
            <v>0</v>
          </cell>
          <cell r="FL153">
            <v>0</v>
          </cell>
          <cell r="FN153">
            <v>0</v>
          </cell>
          <cell r="FP153">
            <v>0</v>
          </cell>
          <cell r="FR153">
            <v>0</v>
          </cell>
          <cell r="FT153">
            <v>0</v>
          </cell>
          <cell r="FV153">
            <v>0</v>
          </cell>
          <cell r="GD153">
            <v>14</v>
          </cell>
          <cell r="GF153">
            <v>4</v>
          </cell>
          <cell r="GH153">
            <v>1</v>
          </cell>
          <cell r="GJ153">
            <v>7</v>
          </cell>
          <cell r="GM153">
            <v>21.01</v>
          </cell>
          <cell r="GN15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24.檢查勞工個人防護具：█有 □無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W153" t="str">
            <v>（一）施工廠商施工前檢查事項辦理情形：█完成 □未完成 （二）其他工地安全衛生督導事項：</v>
          </cell>
          <cell r="GX153">
            <v>853901</v>
          </cell>
          <cell r="GY153">
            <v>0</v>
          </cell>
        </row>
        <row r="154">
          <cell r="G154">
            <v>0</v>
          </cell>
          <cell r="I154">
            <v>1</v>
          </cell>
          <cell r="N154">
            <v>1</v>
          </cell>
          <cell r="P154">
            <v>1</v>
          </cell>
          <cell r="R154">
            <v>672</v>
          </cell>
          <cell r="T154">
            <v>108</v>
          </cell>
          <cell r="V154">
            <v>661</v>
          </cell>
          <cell r="X154">
            <v>2</v>
          </cell>
          <cell r="Z154">
            <v>1</v>
          </cell>
          <cell r="AB154">
            <v>661</v>
          </cell>
          <cell r="AD154">
            <v>2</v>
          </cell>
          <cell r="AF154">
            <v>1</v>
          </cell>
          <cell r="AH154">
            <v>1</v>
          </cell>
          <cell r="AJ154">
            <v>1</v>
          </cell>
          <cell r="AL154">
            <v>0</v>
          </cell>
          <cell r="AN154">
            <v>0</v>
          </cell>
          <cell r="AP154">
            <v>0</v>
          </cell>
          <cell r="AR154">
            <v>0</v>
          </cell>
          <cell r="AT154">
            <v>0</v>
          </cell>
          <cell r="AV154">
            <v>0</v>
          </cell>
          <cell r="AX154">
            <v>0</v>
          </cell>
          <cell r="AZ154">
            <v>0</v>
          </cell>
          <cell r="BB154">
            <v>0</v>
          </cell>
          <cell r="BD154">
            <v>0</v>
          </cell>
          <cell r="BF154">
            <v>0</v>
          </cell>
          <cell r="BH154">
            <v>0</v>
          </cell>
          <cell r="BJ154">
            <v>0</v>
          </cell>
          <cell r="BL154">
            <v>0</v>
          </cell>
          <cell r="BN154">
            <v>0</v>
          </cell>
          <cell r="BP154">
            <v>0</v>
          </cell>
          <cell r="BR154">
            <v>0</v>
          </cell>
          <cell r="BT154">
            <v>0</v>
          </cell>
          <cell r="BV154">
            <v>0</v>
          </cell>
          <cell r="BX154">
            <v>0</v>
          </cell>
          <cell r="BZ154">
            <v>0</v>
          </cell>
          <cell r="CB154">
            <v>0</v>
          </cell>
          <cell r="CD154">
            <v>0</v>
          </cell>
          <cell r="CF154">
            <v>0</v>
          </cell>
          <cell r="CH154">
            <v>0</v>
          </cell>
          <cell r="CJ154">
            <v>0</v>
          </cell>
          <cell r="CL154">
            <v>0</v>
          </cell>
          <cell r="CN154">
            <v>0</v>
          </cell>
          <cell r="CP154">
            <v>0</v>
          </cell>
          <cell r="CR154">
            <v>0</v>
          </cell>
          <cell r="CT154">
            <v>0</v>
          </cell>
          <cell r="CV154">
            <v>0</v>
          </cell>
          <cell r="CX154">
            <v>0</v>
          </cell>
          <cell r="CZ154">
            <v>0</v>
          </cell>
          <cell r="DB154">
            <v>0</v>
          </cell>
          <cell r="DD154">
            <v>0</v>
          </cell>
          <cell r="DF154">
            <v>0</v>
          </cell>
          <cell r="DH154">
            <v>0</v>
          </cell>
          <cell r="DJ154">
            <v>0</v>
          </cell>
          <cell r="DL154">
            <v>0</v>
          </cell>
          <cell r="DN154">
            <v>0</v>
          </cell>
          <cell r="DP154">
            <v>0</v>
          </cell>
          <cell r="DR154">
            <v>0</v>
          </cell>
          <cell r="DT154">
            <v>0</v>
          </cell>
          <cell r="DV154">
            <v>0</v>
          </cell>
          <cell r="DX154">
            <v>0</v>
          </cell>
          <cell r="DZ154">
            <v>0</v>
          </cell>
          <cell r="EB154">
            <v>0</v>
          </cell>
          <cell r="ED154">
            <v>0</v>
          </cell>
          <cell r="EF154">
            <v>0</v>
          </cell>
          <cell r="EH154">
            <v>0</v>
          </cell>
          <cell r="EJ154">
            <v>0</v>
          </cell>
          <cell r="EL154">
            <v>0</v>
          </cell>
          <cell r="EN154">
            <v>0</v>
          </cell>
          <cell r="EP154">
            <v>0</v>
          </cell>
          <cell r="ER154">
            <v>0</v>
          </cell>
          <cell r="ET154">
            <v>0</v>
          </cell>
          <cell r="EV154">
            <v>0</v>
          </cell>
          <cell r="EX154">
            <v>0</v>
          </cell>
          <cell r="EZ154">
            <v>0</v>
          </cell>
          <cell r="FB154">
            <v>0</v>
          </cell>
          <cell r="FD154">
            <v>0</v>
          </cell>
          <cell r="FF154">
            <v>0</v>
          </cell>
          <cell r="FH154">
            <v>0</v>
          </cell>
          <cell r="FJ154">
            <v>0</v>
          </cell>
          <cell r="FL154">
            <v>0</v>
          </cell>
          <cell r="FN154">
            <v>0</v>
          </cell>
          <cell r="FP154">
            <v>0</v>
          </cell>
          <cell r="FR154">
            <v>0</v>
          </cell>
          <cell r="FT154">
            <v>0</v>
          </cell>
          <cell r="FV154">
            <v>0</v>
          </cell>
          <cell r="GD154">
            <v>14</v>
          </cell>
          <cell r="GF154">
            <v>4</v>
          </cell>
          <cell r="GH154">
            <v>1</v>
          </cell>
          <cell r="GJ154">
            <v>7</v>
          </cell>
          <cell r="GM154">
            <v>22.01</v>
          </cell>
          <cell r="GN15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25.檢查勞工個人防護具：█有 □無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W154" t="str">
            <v>（一）施工廠商施工前檢查事項辦理情形：█完成 □未完成 （二）其他工地安全衛生督導事項：</v>
          </cell>
          <cell r="GX154">
            <v>853901</v>
          </cell>
          <cell r="GY154">
            <v>0</v>
          </cell>
        </row>
        <row r="155">
          <cell r="G155">
            <v>0</v>
          </cell>
          <cell r="I155">
            <v>1</v>
          </cell>
          <cell r="N155">
            <v>1</v>
          </cell>
          <cell r="P155">
            <v>1</v>
          </cell>
          <cell r="R155">
            <v>672</v>
          </cell>
          <cell r="T155">
            <v>108</v>
          </cell>
          <cell r="V155">
            <v>661</v>
          </cell>
          <cell r="X155">
            <v>2</v>
          </cell>
          <cell r="Z155">
            <v>1</v>
          </cell>
          <cell r="AB155">
            <v>661</v>
          </cell>
          <cell r="AD155">
            <v>2</v>
          </cell>
          <cell r="AF155">
            <v>1</v>
          </cell>
          <cell r="AH155">
            <v>1</v>
          </cell>
          <cell r="AJ155">
            <v>1</v>
          </cell>
          <cell r="AL155">
            <v>0</v>
          </cell>
          <cell r="AN155">
            <v>0</v>
          </cell>
          <cell r="AP155">
            <v>0</v>
          </cell>
          <cell r="AR155">
            <v>0</v>
          </cell>
          <cell r="AT155">
            <v>0</v>
          </cell>
          <cell r="AV155">
            <v>0</v>
          </cell>
          <cell r="AX155">
            <v>0</v>
          </cell>
          <cell r="AZ155">
            <v>0</v>
          </cell>
          <cell r="BB155">
            <v>0</v>
          </cell>
          <cell r="BD155">
            <v>0</v>
          </cell>
          <cell r="BF155">
            <v>0</v>
          </cell>
          <cell r="BH155">
            <v>0</v>
          </cell>
          <cell r="BJ155">
            <v>0</v>
          </cell>
          <cell r="BL155">
            <v>0</v>
          </cell>
          <cell r="BN155">
            <v>0</v>
          </cell>
          <cell r="BP155">
            <v>0</v>
          </cell>
          <cell r="BR155">
            <v>0</v>
          </cell>
          <cell r="BT155">
            <v>0</v>
          </cell>
          <cell r="BV155">
            <v>0</v>
          </cell>
          <cell r="BX155">
            <v>0</v>
          </cell>
          <cell r="BZ155">
            <v>0</v>
          </cell>
          <cell r="CB155">
            <v>0</v>
          </cell>
          <cell r="CD155">
            <v>0</v>
          </cell>
          <cell r="CF155">
            <v>0</v>
          </cell>
          <cell r="CH155">
            <v>0</v>
          </cell>
          <cell r="CJ155">
            <v>0</v>
          </cell>
          <cell r="CL155">
            <v>0</v>
          </cell>
          <cell r="CN155">
            <v>0</v>
          </cell>
          <cell r="CP155">
            <v>0</v>
          </cell>
          <cell r="CR155">
            <v>0</v>
          </cell>
          <cell r="CT155">
            <v>0</v>
          </cell>
          <cell r="CV155">
            <v>0</v>
          </cell>
          <cell r="CX155">
            <v>0</v>
          </cell>
          <cell r="CZ155">
            <v>0</v>
          </cell>
          <cell r="DB155">
            <v>0</v>
          </cell>
          <cell r="DD155">
            <v>0</v>
          </cell>
          <cell r="DF155">
            <v>0</v>
          </cell>
          <cell r="DH155">
            <v>0</v>
          </cell>
          <cell r="DJ155">
            <v>0</v>
          </cell>
          <cell r="DL155">
            <v>0</v>
          </cell>
          <cell r="DN155">
            <v>0</v>
          </cell>
          <cell r="DP155">
            <v>0</v>
          </cell>
          <cell r="DR155">
            <v>0</v>
          </cell>
          <cell r="DT155">
            <v>0</v>
          </cell>
          <cell r="DV155">
            <v>0</v>
          </cell>
          <cell r="DX155">
            <v>0</v>
          </cell>
          <cell r="DZ155">
            <v>0</v>
          </cell>
          <cell r="EB155">
            <v>0</v>
          </cell>
          <cell r="ED155">
            <v>0</v>
          </cell>
          <cell r="EF155">
            <v>0</v>
          </cell>
          <cell r="EH155">
            <v>0</v>
          </cell>
          <cell r="EJ155">
            <v>0</v>
          </cell>
          <cell r="EL155">
            <v>0</v>
          </cell>
          <cell r="EN155">
            <v>0</v>
          </cell>
          <cell r="EP155">
            <v>0</v>
          </cell>
          <cell r="ER155">
            <v>0</v>
          </cell>
          <cell r="ET155">
            <v>0</v>
          </cell>
          <cell r="EV155">
            <v>0</v>
          </cell>
          <cell r="EX155">
            <v>0</v>
          </cell>
          <cell r="EZ155">
            <v>0</v>
          </cell>
          <cell r="FB155">
            <v>0</v>
          </cell>
          <cell r="FD155">
            <v>0</v>
          </cell>
          <cell r="FF155">
            <v>0</v>
          </cell>
          <cell r="FH155">
            <v>0</v>
          </cell>
          <cell r="FJ155">
            <v>0</v>
          </cell>
          <cell r="FL155">
            <v>0</v>
          </cell>
          <cell r="FN155">
            <v>0</v>
          </cell>
          <cell r="FP155">
            <v>0</v>
          </cell>
          <cell r="FR155">
            <v>0</v>
          </cell>
          <cell r="FT155">
            <v>0</v>
          </cell>
          <cell r="FV155">
            <v>0</v>
          </cell>
          <cell r="GD155">
            <v>14</v>
          </cell>
          <cell r="GF155">
            <v>4</v>
          </cell>
          <cell r="GH155">
            <v>1</v>
          </cell>
          <cell r="GJ155">
            <v>7</v>
          </cell>
          <cell r="GM155">
            <v>23.01</v>
          </cell>
          <cell r="GN15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26.檢查勞工個人防護具：█有 □無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W155" t="str">
            <v>（一）施工廠商施工前檢查事項辦理情形：█完成 □未完成 （二）其他工地安全衛生督導事項：</v>
          </cell>
          <cell r="GX155">
            <v>853901</v>
          </cell>
          <cell r="GY155">
            <v>0</v>
          </cell>
        </row>
        <row r="156">
          <cell r="G156">
            <v>0</v>
          </cell>
          <cell r="I156">
            <v>1</v>
          </cell>
          <cell r="N156">
            <v>1</v>
          </cell>
          <cell r="P156">
            <v>1</v>
          </cell>
          <cell r="R156">
            <v>672</v>
          </cell>
          <cell r="T156">
            <v>108</v>
          </cell>
          <cell r="V156">
            <v>661</v>
          </cell>
          <cell r="X156">
            <v>2</v>
          </cell>
          <cell r="Z156">
            <v>1</v>
          </cell>
          <cell r="AB156">
            <v>661</v>
          </cell>
          <cell r="AD156">
            <v>2</v>
          </cell>
          <cell r="AF156">
            <v>1</v>
          </cell>
          <cell r="AH156">
            <v>1</v>
          </cell>
          <cell r="AJ156">
            <v>1</v>
          </cell>
          <cell r="AL156">
            <v>0</v>
          </cell>
          <cell r="AN156">
            <v>0</v>
          </cell>
          <cell r="AP156">
            <v>0</v>
          </cell>
          <cell r="AR156">
            <v>0</v>
          </cell>
          <cell r="AT156">
            <v>0</v>
          </cell>
          <cell r="AV156">
            <v>0</v>
          </cell>
          <cell r="AX156">
            <v>0</v>
          </cell>
          <cell r="AZ156">
            <v>0</v>
          </cell>
          <cell r="BB156">
            <v>0</v>
          </cell>
          <cell r="BD156">
            <v>0</v>
          </cell>
          <cell r="BF156">
            <v>0</v>
          </cell>
          <cell r="BH156">
            <v>0</v>
          </cell>
          <cell r="BJ156">
            <v>0</v>
          </cell>
          <cell r="BL156">
            <v>0</v>
          </cell>
          <cell r="BN156">
            <v>0</v>
          </cell>
          <cell r="BP156">
            <v>0</v>
          </cell>
          <cell r="BR156">
            <v>0</v>
          </cell>
          <cell r="BT156">
            <v>0</v>
          </cell>
          <cell r="BV156">
            <v>0</v>
          </cell>
          <cell r="BX156">
            <v>0</v>
          </cell>
          <cell r="BZ156">
            <v>0</v>
          </cell>
          <cell r="CB156">
            <v>0</v>
          </cell>
          <cell r="CD156">
            <v>0</v>
          </cell>
          <cell r="CF156">
            <v>0</v>
          </cell>
          <cell r="CH156">
            <v>0</v>
          </cell>
          <cell r="CJ156">
            <v>0</v>
          </cell>
          <cell r="CL156">
            <v>0</v>
          </cell>
          <cell r="CN156">
            <v>0</v>
          </cell>
          <cell r="CP156">
            <v>0</v>
          </cell>
          <cell r="CR156">
            <v>0</v>
          </cell>
          <cell r="CT156">
            <v>0</v>
          </cell>
          <cell r="CV156">
            <v>0</v>
          </cell>
          <cell r="CX156">
            <v>0</v>
          </cell>
          <cell r="CZ156">
            <v>0</v>
          </cell>
          <cell r="DB156">
            <v>0</v>
          </cell>
          <cell r="DD156">
            <v>0</v>
          </cell>
          <cell r="DF156">
            <v>0</v>
          </cell>
          <cell r="DH156">
            <v>0</v>
          </cell>
          <cell r="DJ156">
            <v>0</v>
          </cell>
          <cell r="DL156">
            <v>0</v>
          </cell>
          <cell r="DN156">
            <v>0</v>
          </cell>
          <cell r="DP156">
            <v>0</v>
          </cell>
          <cell r="DR156">
            <v>0</v>
          </cell>
          <cell r="DT156">
            <v>0</v>
          </cell>
          <cell r="DV156">
            <v>0</v>
          </cell>
          <cell r="DX156">
            <v>0</v>
          </cell>
          <cell r="DZ156">
            <v>0</v>
          </cell>
          <cell r="EB156">
            <v>0</v>
          </cell>
          <cell r="ED156">
            <v>0</v>
          </cell>
          <cell r="EF156">
            <v>0</v>
          </cell>
          <cell r="EH156">
            <v>0</v>
          </cell>
          <cell r="EJ156">
            <v>0</v>
          </cell>
          <cell r="EL156">
            <v>0</v>
          </cell>
          <cell r="EN156">
            <v>0</v>
          </cell>
          <cell r="EP156">
            <v>0</v>
          </cell>
          <cell r="ER156">
            <v>0</v>
          </cell>
          <cell r="ET156">
            <v>0</v>
          </cell>
          <cell r="EV156">
            <v>0</v>
          </cell>
          <cell r="EX156">
            <v>0</v>
          </cell>
          <cell r="EZ156">
            <v>0</v>
          </cell>
          <cell r="FB156">
            <v>0</v>
          </cell>
          <cell r="FD156">
            <v>0</v>
          </cell>
          <cell r="FF156">
            <v>0</v>
          </cell>
          <cell r="FH156">
            <v>0</v>
          </cell>
          <cell r="FJ156">
            <v>0</v>
          </cell>
          <cell r="FL156">
            <v>0</v>
          </cell>
          <cell r="FN156">
            <v>0</v>
          </cell>
          <cell r="FP156">
            <v>0</v>
          </cell>
          <cell r="FR156">
            <v>0</v>
          </cell>
          <cell r="FT156">
            <v>0</v>
          </cell>
          <cell r="FV156">
            <v>0</v>
          </cell>
          <cell r="GD156">
            <v>14</v>
          </cell>
          <cell r="GF156">
            <v>4</v>
          </cell>
          <cell r="GH156">
            <v>1</v>
          </cell>
          <cell r="GJ156">
            <v>7</v>
          </cell>
          <cell r="GM156">
            <v>24.01</v>
          </cell>
          <cell r="GN15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27.檢查勞工個人防護具：█有 □無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W156" t="str">
            <v>（一）施工廠商施工前檢查事項辦理情形：█完成 □未完成 （二）其他工地安全衛生督導事項：</v>
          </cell>
          <cell r="GX156">
            <v>853901</v>
          </cell>
          <cell r="GY156">
            <v>0</v>
          </cell>
        </row>
        <row r="157">
          <cell r="G157">
            <v>0</v>
          </cell>
          <cell r="I157">
            <v>1</v>
          </cell>
          <cell r="N157">
            <v>1</v>
          </cell>
          <cell r="P157">
            <v>1</v>
          </cell>
          <cell r="R157">
            <v>672</v>
          </cell>
          <cell r="T157">
            <v>108</v>
          </cell>
          <cell r="V157">
            <v>661</v>
          </cell>
          <cell r="X157">
            <v>2</v>
          </cell>
          <cell r="Z157">
            <v>1</v>
          </cell>
          <cell r="AB157">
            <v>661</v>
          </cell>
          <cell r="AD157">
            <v>2</v>
          </cell>
          <cell r="AF157">
            <v>1</v>
          </cell>
          <cell r="AH157">
            <v>1</v>
          </cell>
          <cell r="AJ157">
            <v>1</v>
          </cell>
          <cell r="AL157">
            <v>0</v>
          </cell>
          <cell r="AN157">
            <v>0</v>
          </cell>
          <cell r="AP157">
            <v>0</v>
          </cell>
          <cell r="AR157">
            <v>0</v>
          </cell>
          <cell r="AT157">
            <v>0</v>
          </cell>
          <cell r="AV157">
            <v>0</v>
          </cell>
          <cell r="AX157">
            <v>0</v>
          </cell>
          <cell r="AZ157">
            <v>0</v>
          </cell>
          <cell r="BB157">
            <v>0</v>
          </cell>
          <cell r="BD157">
            <v>0</v>
          </cell>
          <cell r="BF157">
            <v>0</v>
          </cell>
          <cell r="BH157">
            <v>0</v>
          </cell>
          <cell r="BJ157">
            <v>0</v>
          </cell>
          <cell r="BL157">
            <v>0</v>
          </cell>
          <cell r="BN157">
            <v>0</v>
          </cell>
          <cell r="BP157">
            <v>0</v>
          </cell>
          <cell r="BR157">
            <v>0</v>
          </cell>
          <cell r="BT157">
            <v>0</v>
          </cell>
          <cell r="BV157">
            <v>0</v>
          </cell>
          <cell r="BX157">
            <v>0</v>
          </cell>
          <cell r="BZ157">
            <v>0</v>
          </cell>
          <cell r="CB157">
            <v>0</v>
          </cell>
          <cell r="CD157">
            <v>0</v>
          </cell>
          <cell r="CF157">
            <v>0</v>
          </cell>
          <cell r="CH157">
            <v>0</v>
          </cell>
          <cell r="CJ157">
            <v>0</v>
          </cell>
          <cell r="CL157">
            <v>0</v>
          </cell>
          <cell r="CN157">
            <v>0</v>
          </cell>
          <cell r="CP157">
            <v>0</v>
          </cell>
          <cell r="CR157">
            <v>0</v>
          </cell>
          <cell r="CT157">
            <v>0</v>
          </cell>
          <cell r="CV157">
            <v>0</v>
          </cell>
          <cell r="CX157">
            <v>0</v>
          </cell>
          <cell r="CZ157">
            <v>0</v>
          </cell>
          <cell r="DB157">
            <v>0</v>
          </cell>
          <cell r="DD157">
            <v>0</v>
          </cell>
          <cell r="DF157">
            <v>0</v>
          </cell>
          <cell r="DH157">
            <v>0</v>
          </cell>
          <cell r="DJ157">
            <v>0</v>
          </cell>
          <cell r="DL157">
            <v>0</v>
          </cell>
          <cell r="DN157">
            <v>0</v>
          </cell>
          <cell r="DP157">
            <v>0</v>
          </cell>
          <cell r="DR157">
            <v>0</v>
          </cell>
          <cell r="DT157">
            <v>0</v>
          </cell>
          <cell r="DV157">
            <v>0</v>
          </cell>
          <cell r="DX157">
            <v>0</v>
          </cell>
          <cell r="DZ157">
            <v>0</v>
          </cell>
          <cell r="EB157">
            <v>0</v>
          </cell>
          <cell r="ED157">
            <v>0</v>
          </cell>
          <cell r="EF157">
            <v>0</v>
          </cell>
          <cell r="EH157">
            <v>0</v>
          </cell>
          <cell r="EJ157">
            <v>0</v>
          </cell>
          <cell r="EL157">
            <v>0</v>
          </cell>
          <cell r="EN157">
            <v>0</v>
          </cell>
          <cell r="EP157">
            <v>0</v>
          </cell>
          <cell r="ER157">
            <v>0</v>
          </cell>
          <cell r="ET157">
            <v>0</v>
          </cell>
          <cell r="EV157">
            <v>0</v>
          </cell>
          <cell r="EX157">
            <v>0</v>
          </cell>
          <cell r="EZ157">
            <v>0</v>
          </cell>
          <cell r="FB157">
            <v>0</v>
          </cell>
          <cell r="FD157">
            <v>0</v>
          </cell>
          <cell r="FF157">
            <v>0</v>
          </cell>
          <cell r="FH157">
            <v>0</v>
          </cell>
          <cell r="FJ157">
            <v>0</v>
          </cell>
          <cell r="FL157">
            <v>0</v>
          </cell>
          <cell r="FN157">
            <v>0</v>
          </cell>
          <cell r="FP157">
            <v>0</v>
          </cell>
          <cell r="FR157">
            <v>0</v>
          </cell>
          <cell r="FT157">
            <v>0</v>
          </cell>
          <cell r="FV157">
            <v>0</v>
          </cell>
          <cell r="GD157">
            <v>14</v>
          </cell>
          <cell r="GF157">
            <v>4</v>
          </cell>
          <cell r="GH157">
            <v>1</v>
          </cell>
          <cell r="GJ157">
            <v>7</v>
          </cell>
          <cell r="GM157">
            <v>25.01</v>
          </cell>
          <cell r="GN15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28.檢查勞工個人防護具：█有 □無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W157" t="str">
            <v>（一）施工廠商施工前檢查事項辦理情形：█完成 □未完成 （二）其他工地安全衛生督導事項：</v>
          </cell>
          <cell r="GX157">
            <v>853901</v>
          </cell>
          <cell r="GY157">
            <v>0</v>
          </cell>
        </row>
        <row r="158">
          <cell r="G158">
            <v>0</v>
          </cell>
          <cell r="I158">
            <v>1</v>
          </cell>
          <cell r="N158">
            <v>1</v>
          </cell>
          <cell r="P158">
            <v>1</v>
          </cell>
          <cell r="R158">
            <v>672</v>
          </cell>
          <cell r="T158">
            <v>108</v>
          </cell>
          <cell r="V158">
            <v>661</v>
          </cell>
          <cell r="X158">
            <v>2</v>
          </cell>
          <cell r="Z158">
            <v>1</v>
          </cell>
          <cell r="AB158">
            <v>661</v>
          </cell>
          <cell r="AD158">
            <v>2</v>
          </cell>
          <cell r="AF158">
            <v>1</v>
          </cell>
          <cell r="AH158">
            <v>1</v>
          </cell>
          <cell r="AJ158">
            <v>1</v>
          </cell>
          <cell r="AL158">
            <v>0</v>
          </cell>
          <cell r="AN158">
            <v>0</v>
          </cell>
          <cell r="AP158">
            <v>0</v>
          </cell>
          <cell r="AR158">
            <v>0</v>
          </cell>
          <cell r="AT158">
            <v>0</v>
          </cell>
          <cell r="AV158">
            <v>0</v>
          </cell>
          <cell r="AX158">
            <v>0</v>
          </cell>
          <cell r="AZ158">
            <v>0</v>
          </cell>
          <cell r="BB158">
            <v>0</v>
          </cell>
          <cell r="BD158">
            <v>0</v>
          </cell>
          <cell r="BF158">
            <v>0</v>
          </cell>
          <cell r="BH158">
            <v>0</v>
          </cell>
          <cell r="BJ158">
            <v>0</v>
          </cell>
          <cell r="BL158">
            <v>0</v>
          </cell>
          <cell r="BN158">
            <v>0</v>
          </cell>
          <cell r="BP158">
            <v>0</v>
          </cell>
          <cell r="BR158">
            <v>0</v>
          </cell>
          <cell r="BT158">
            <v>0</v>
          </cell>
          <cell r="BV158">
            <v>0</v>
          </cell>
          <cell r="BX158">
            <v>0</v>
          </cell>
          <cell r="BZ158">
            <v>0</v>
          </cell>
          <cell r="CB158">
            <v>0</v>
          </cell>
          <cell r="CD158">
            <v>0</v>
          </cell>
          <cell r="CF158">
            <v>0</v>
          </cell>
          <cell r="CH158">
            <v>0</v>
          </cell>
          <cell r="CJ158">
            <v>0</v>
          </cell>
          <cell r="CL158">
            <v>0</v>
          </cell>
          <cell r="CN158">
            <v>0</v>
          </cell>
          <cell r="CP158">
            <v>0</v>
          </cell>
          <cell r="CR158">
            <v>0</v>
          </cell>
          <cell r="CT158">
            <v>0</v>
          </cell>
          <cell r="CV158">
            <v>0</v>
          </cell>
          <cell r="CX158">
            <v>0</v>
          </cell>
          <cell r="CZ158">
            <v>0</v>
          </cell>
          <cell r="DB158">
            <v>0</v>
          </cell>
          <cell r="DD158">
            <v>0</v>
          </cell>
          <cell r="DF158">
            <v>0</v>
          </cell>
          <cell r="DH158">
            <v>0</v>
          </cell>
          <cell r="DJ158">
            <v>0</v>
          </cell>
          <cell r="DL158">
            <v>0</v>
          </cell>
          <cell r="DN158">
            <v>0</v>
          </cell>
          <cell r="DP158">
            <v>0</v>
          </cell>
          <cell r="DR158">
            <v>0</v>
          </cell>
          <cell r="DT158">
            <v>0</v>
          </cell>
          <cell r="DV158">
            <v>0</v>
          </cell>
          <cell r="DX158">
            <v>0</v>
          </cell>
          <cell r="DZ158">
            <v>0</v>
          </cell>
          <cell r="EB158">
            <v>0</v>
          </cell>
          <cell r="ED158">
            <v>0</v>
          </cell>
          <cell r="EF158">
            <v>0</v>
          </cell>
          <cell r="EH158">
            <v>0</v>
          </cell>
          <cell r="EJ158">
            <v>0</v>
          </cell>
          <cell r="EL158">
            <v>0</v>
          </cell>
          <cell r="EN158">
            <v>0</v>
          </cell>
          <cell r="EP158">
            <v>0</v>
          </cell>
          <cell r="ER158">
            <v>0</v>
          </cell>
          <cell r="ET158">
            <v>0</v>
          </cell>
          <cell r="EV158">
            <v>0</v>
          </cell>
          <cell r="EX158">
            <v>0</v>
          </cell>
          <cell r="EZ158">
            <v>0</v>
          </cell>
          <cell r="FB158">
            <v>0</v>
          </cell>
          <cell r="FD158">
            <v>0</v>
          </cell>
          <cell r="FF158">
            <v>0</v>
          </cell>
          <cell r="FH158">
            <v>0</v>
          </cell>
          <cell r="FJ158">
            <v>0</v>
          </cell>
          <cell r="FL158">
            <v>0</v>
          </cell>
          <cell r="FN158">
            <v>0</v>
          </cell>
          <cell r="FP158">
            <v>0</v>
          </cell>
          <cell r="FR158">
            <v>0</v>
          </cell>
          <cell r="FT158">
            <v>0</v>
          </cell>
          <cell r="FV158">
            <v>0</v>
          </cell>
          <cell r="GD158">
            <v>14</v>
          </cell>
          <cell r="GF158">
            <v>4</v>
          </cell>
          <cell r="GH158">
            <v>1</v>
          </cell>
          <cell r="GJ158">
            <v>7</v>
          </cell>
          <cell r="GM158">
            <v>26.01</v>
          </cell>
          <cell r="GN15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29.檢查勞工個人防護具：█有 □無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W158" t="str">
            <v>（一）施工廠商施工前檢查事項辦理情形：█完成 □未完成 （二）其他工地安全衛生督導事項：</v>
          </cell>
          <cell r="GX158">
            <v>853901</v>
          </cell>
          <cell r="GY158">
            <v>0</v>
          </cell>
        </row>
        <row r="159">
          <cell r="G159">
            <v>0</v>
          </cell>
          <cell r="I159">
            <v>1</v>
          </cell>
          <cell r="N159">
            <v>1</v>
          </cell>
          <cell r="P159">
            <v>1</v>
          </cell>
          <cell r="R159">
            <v>672</v>
          </cell>
          <cell r="T159">
            <v>108</v>
          </cell>
          <cell r="V159">
            <v>661</v>
          </cell>
          <cell r="X159">
            <v>2</v>
          </cell>
          <cell r="Z159">
            <v>1</v>
          </cell>
          <cell r="AB159">
            <v>661</v>
          </cell>
          <cell r="AD159">
            <v>2</v>
          </cell>
          <cell r="AF159">
            <v>1</v>
          </cell>
          <cell r="AH159">
            <v>1</v>
          </cell>
          <cell r="AJ159">
            <v>1</v>
          </cell>
          <cell r="AL159">
            <v>0</v>
          </cell>
          <cell r="AN159">
            <v>0</v>
          </cell>
          <cell r="AP159">
            <v>0</v>
          </cell>
          <cell r="AR159">
            <v>0</v>
          </cell>
          <cell r="AT159">
            <v>0</v>
          </cell>
          <cell r="AV159">
            <v>0</v>
          </cell>
          <cell r="AX159">
            <v>0</v>
          </cell>
          <cell r="AZ159">
            <v>0</v>
          </cell>
          <cell r="BB159">
            <v>0</v>
          </cell>
          <cell r="BD159">
            <v>0</v>
          </cell>
          <cell r="BF159">
            <v>0</v>
          </cell>
          <cell r="BH159">
            <v>0</v>
          </cell>
          <cell r="BJ159">
            <v>0</v>
          </cell>
          <cell r="BL159">
            <v>0</v>
          </cell>
          <cell r="BN159">
            <v>0</v>
          </cell>
          <cell r="BP159">
            <v>0</v>
          </cell>
          <cell r="BR159">
            <v>0</v>
          </cell>
          <cell r="BT159">
            <v>0</v>
          </cell>
          <cell r="BV159">
            <v>0</v>
          </cell>
          <cell r="BX159">
            <v>0</v>
          </cell>
          <cell r="BZ159">
            <v>0</v>
          </cell>
          <cell r="CB159">
            <v>0</v>
          </cell>
          <cell r="CD159">
            <v>0</v>
          </cell>
          <cell r="CF159">
            <v>0</v>
          </cell>
          <cell r="CH159">
            <v>0</v>
          </cell>
          <cell r="CJ159">
            <v>0</v>
          </cell>
          <cell r="CL159">
            <v>0</v>
          </cell>
          <cell r="CN159">
            <v>0</v>
          </cell>
          <cell r="CP159">
            <v>0</v>
          </cell>
          <cell r="CR159">
            <v>0</v>
          </cell>
          <cell r="CT159">
            <v>0</v>
          </cell>
          <cell r="CV159">
            <v>0</v>
          </cell>
          <cell r="CX159">
            <v>0</v>
          </cell>
          <cell r="CZ159">
            <v>0</v>
          </cell>
          <cell r="DB159">
            <v>0</v>
          </cell>
          <cell r="DD159">
            <v>0</v>
          </cell>
          <cell r="DF159">
            <v>0</v>
          </cell>
          <cell r="DH159">
            <v>0</v>
          </cell>
          <cell r="DJ159">
            <v>0</v>
          </cell>
          <cell r="DL159">
            <v>0</v>
          </cell>
          <cell r="DN159">
            <v>0</v>
          </cell>
          <cell r="DP159">
            <v>0</v>
          </cell>
          <cell r="DR159">
            <v>0</v>
          </cell>
          <cell r="DT159">
            <v>0</v>
          </cell>
          <cell r="DV159">
            <v>0</v>
          </cell>
          <cell r="DX159">
            <v>0</v>
          </cell>
          <cell r="DZ159">
            <v>0</v>
          </cell>
          <cell r="EB159">
            <v>0</v>
          </cell>
          <cell r="ED159">
            <v>0</v>
          </cell>
          <cell r="EF159">
            <v>0</v>
          </cell>
          <cell r="EH159">
            <v>0</v>
          </cell>
          <cell r="EJ159">
            <v>0</v>
          </cell>
          <cell r="EL159">
            <v>0</v>
          </cell>
          <cell r="EN159">
            <v>0</v>
          </cell>
          <cell r="EP159">
            <v>0</v>
          </cell>
          <cell r="ER159">
            <v>0</v>
          </cell>
          <cell r="ET159">
            <v>0</v>
          </cell>
          <cell r="EV159">
            <v>0</v>
          </cell>
          <cell r="EX159">
            <v>0</v>
          </cell>
          <cell r="EZ159">
            <v>0</v>
          </cell>
          <cell r="FB159">
            <v>0</v>
          </cell>
          <cell r="FD159">
            <v>0</v>
          </cell>
          <cell r="FF159">
            <v>0</v>
          </cell>
          <cell r="FH159">
            <v>0</v>
          </cell>
          <cell r="FJ159">
            <v>0</v>
          </cell>
          <cell r="FL159">
            <v>0</v>
          </cell>
          <cell r="FN159">
            <v>0</v>
          </cell>
          <cell r="FP159">
            <v>0</v>
          </cell>
          <cell r="FR159">
            <v>0</v>
          </cell>
          <cell r="FT159">
            <v>0</v>
          </cell>
          <cell r="FV159">
            <v>0</v>
          </cell>
          <cell r="GD159">
            <v>14</v>
          </cell>
          <cell r="GF159">
            <v>4</v>
          </cell>
          <cell r="GH159">
            <v>1</v>
          </cell>
          <cell r="GJ159">
            <v>7</v>
          </cell>
          <cell r="GM159">
            <v>27.01</v>
          </cell>
          <cell r="GN15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30.檢查勞工個人防護具：█有 □無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W159" t="str">
            <v>（一）施工廠商施工前檢查事項辦理情形：█完成 □未完成 （二）其他工地安全衛生督導事項：</v>
          </cell>
          <cell r="GX159">
            <v>853901</v>
          </cell>
          <cell r="GY159">
            <v>0</v>
          </cell>
        </row>
        <row r="160">
          <cell r="I160">
            <v>1</v>
          </cell>
          <cell r="N160">
            <v>1</v>
          </cell>
          <cell r="P160">
            <v>1</v>
          </cell>
          <cell r="R160">
            <v>672</v>
          </cell>
          <cell r="T160">
            <v>108</v>
          </cell>
          <cell r="V160">
            <v>661</v>
          </cell>
          <cell r="X160">
            <v>2</v>
          </cell>
          <cell r="Z160">
            <v>1</v>
          </cell>
          <cell r="AB160">
            <v>661</v>
          </cell>
          <cell r="AD160">
            <v>2</v>
          </cell>
          <cell r="AF160">
            <v>1</v>
          </cell>
          <cell r="AH160">
            <v>1</v>
          </cell>
          <cell r="AJ160">
            <v>1</v>
          </cell>
          <cell r="AL160">
            <v>0</v>
          </cell>
          <cell r="AN160">
            <v>0</v>
          </cell>
          <cell r="AP160">
            <v>0</v>
          </cell>
          <cell r="AR160">
            <v>0</v>
          </cell>
          <cell r="AT160">
            <v>0</v>
          </cell>
          <cell r="AV160">
            <v>0</v>
          </cell>
          <cell r="AX160">
            <v>0</v>
          </cell>
          <cell r="AZ160">
            <v>0</v>
          </cell>
          <cell r="BB160">
            <v>0</v>
          </cell>
          <cell r="BD160">
            <v>0</v>
          </cell>
          <cell r="BF160">
            <v>0</v>
          </cell>
          <cell r="BH160">
            <v>0</v>
          </cell>
          <cell r="BJ160">
            <v>0</v>
          </cell>
          <cell r="BL160">
            <v>0</v>
          </cell>
          <cell r="BN160">
            <v>0</v>
          </cell>
          <cell r="BP160">
            <v>0</v>
          </cell>
          <cell r="BR160">
            <v>0</v>
          </cell>
          <cell r="BT160">
            <v>0</v>
          </cell>
          <cell r="BV160">
            <v>0</v>
          </cell>
          <cell r="BX160">
            <v>0</v>
          </cell>
          <cell r="BZ160">
            <v>0</v>
          </cell>
          <cell r="CB160">
            <v>0</v>
          </cell>
          <cell r="CD160">
            <v>0</v>
          </cell>
          <cell r="CF160">
            <v>0</v>
          </cell>
          <cell r="CH160">
            <v>0</v>
          </cell>
          <cell r="CJ160">
            <v>0</v>
          </cell>
          <cell r="CL160">
            <v>0</v>
          </cell>
          <cell r="CN160">
            <v>0</v>
          </cell>
          <cell r="CP160">
            <v>0</v>
          </cell>
          <cell r="CR160">
            <v>0</v>
          </cell>
          <cell r="CT160">
            <v>0</v>
          </cell>
          <cell r="CV160">
            <v>0</v>
          </cell>
          <cell r="CX160">
            <v>0</v>
          </cell>
          <cell r="CZ160">
            <v>0</v>
          </cell>
          <cell r="DB160">
            <v>0</v>
          </cell>
          <cell r="DD160">
            <v>0</v>
          </cell>
          <cell r="DF160">
            <v>0</v>
          </cell>
          <cell r="DH160">
            <v>0</v>
          </cell>
          <cell r="DJ160">
            <v>0</v>
          </cell>
          <cell r="DL160">
            <v>0</v>
          </cell>
          <cell r="DN160">
            <v>0</v>
          </cell>
          <cell r="DP160">
            <v>0</v>
          </cell>
          <cell r="DR160">
            <v>0</v>
          </cell>
          <cell r="DT160">
            <v>0</v>
          </cell>
          <cell r="DV160">
            <v>0</v>
          </cell>
          <cell r="DX160">
            <v>0</v>
          </cell>
          <cell r="DZ160">
            <v>0</v>
          </cell>
          <cell r="EB160">
            <v>0</v>
          </cell>
          <cell r="ED160">
            <v>0</v>
          </cell>
          <cell r="EF160">
            <v>0</v>
          </cell>
          <cell r="EH160">
            <v>0</v>
          </cell>
          <cell r="EJ160">
            <v>0</v>
          </cell>
          <cell r="EL160">
            <v>0</v>
          </cell>
          <cell r="EN160">
            <v>0</v>
          </cell>
          <cell r="EP160">
            <v>0</v>
          </cell>
          <cell r="ER160">
            <v>0</v>
          </cell>
          <cell r="ET160">
            <v>0</v>
          </cell>
          <cell r="EV160">
            <v>0</v>
          </cell>
          <cell r="EX160">
            <v>0</v>
          </cell>
          <cell r="EZ160">
            <v>0</v>
          </cell>
          <cell r="FB160">
            <v>0</v>
          </cell>
          <cell r="FD160">
            <v>0</v>
          </cell>
          <cell r="FF160">
            <v>0</v>
          </cell>
          <cell r="FH160">
            <v>0</v>
          </cell>
          <cell r="FJ160">
            <v>0</v>
          </cell>
          <cell r="FL160">
            <v>0</v>
          </cell>
          <cell r="FN160">
            <v>0</v>
          </cell>
          <cell r="FP160">
            <v>0</v>
          </cell>
          <cell r="FR160">
            <v>0</v>
          </cell>
          <cell r="FT160">
            <v>0</v>
          </cell>
          <cell r="FV160">
            <v>0</v>
          </cell>
          <cell r="GD160">
            <v>14</v>
          </cell>
          <cell r="GF160">
            <v>4</v>
          </cell>
          <cell r="GH160">
            <v>1</v>
          </cell>
          <cell r="GJ160">
            <v>7</v>
          </cell>
          <cell r="GM160">
            <v>28.01</v>
          </cell>
          <cell r="GN16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31.檢查勞工個人防護具：█有 □無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W160" t="str">
            <v>（一）施工廠商施工前檢查事項辦理情形：█完成 □未完成 （二）其他工地安全衛生督導事項：</v>
          </cell>
          <cell r="GX160">
            <v>853901</v>
          </cell>
          <cell r="GY160">
            <v>0</v>
          </cell>
        </row>
        <row r="161">
          <cell r="I161">
            <v>1</v>
          </cell>
          <cell r="N161">
            <v>1</v>
          </cell>
          <cell r="P161">
            <v>1</v>
          </cell>
          <cell r="R161">
            <v>672</v>
          </cell>
          <cell r="T161">
            <v>108</v>
          </cell>
          <cell r="V161">
            <v>661</v>
          </cell>
          <cell r="X161">
            <v>2</v>
          </cell>
          <cell r="Z161">
            <v>1</v>
          </cell>
          <cell r="AB161">
            <v>661</v>
          </cell>
          <cell r="AD161">
            <v>2</v>
          </cell>
          <cell r="AF161">
            <v>1</v>
          </cell>
          <cell r="AH161">
            <v>1</v>
          </cell>
          <cell r="AJ161">
            <v>1</v>
          </cell>
          <cell r="AL161">
            <v>0</v>
          </cell>
          <cell r="AN161">
            <v>0</v>
          </cell>
          <cell r="AP161">
            <v>0</v>
          </cell>
          <cell r="AR161">
            <v>0</v>
          </cell>
          <cell r="AT161">
            <v>0</v>
          </cell>
          <cell r="AV161">
            <v>0</v>
          </cell>
          <cell r="AX161">
            <v>0</v>
          </cell>
          <cell r="AZ161">
            <v>0</v>
          </cell>
          <cell r="BB161">
            <v>0</v>
          </cell>
          <cell r="BD161">
            <v>0</v>
          </cell>
          <cell r="BF161">
            <v>0</v>
          </cell>
          <cell r="BH161">
            <v>0</v>
          </cell>
          <cell r="BJ161">
            <v>0</v>
          </cell>
          <cell r="BL161">
            <v>0</v>
          </cell>
          <cell r="BN161">
            <v>0</v>
          </cell>
          <cell r="BP161">
            <v>0</v>
          </cell>
          <cell r="BR161">
            <v>0</v>
          </cell>
          <cell r="BT161">
            <v>0</v>
          </cell>
          <cell r="BV161">
            <v>0</v>
          </cell>
          <cell r="BX161">
            <v>0</v>
          </cell>
          <cell r="BZ161">
            <v>0</v>
          </cell>
          <cell r="CB161">
            <v>0</v>
          </cell>
          <cell r="CD161">
            <v>0</v>
          </cell>
          <cell r="CF161">
            <v>0</v>
          </cell>
          <cell r="CH161">
            <v>0</v>
          </cell>
          <cell r="CJ161">
            <v>0</v>
          </cell>
          <cell r="CL161">
            <v>0</v>
          </cell>
          <cell r="CN161">
            <v>0</v>
          </cell>
          <cell r="CP161">
            <v>0</v>
          </cell>
          <cell r="CR161">
            <v>0</v>
          </cell>
          <cell r="CT161">
            <v>0</v>
          </cell>
          <cell r="CV161">
            <v>0</v>
          </cell>
          <cell r="CX161">
            <v>0</v>
          </cell>
          <cell r="CZ161">
            <v>0</v>
          </cell>
          <cell r="DB161">
            <v>0</v>
          </cell>
          <cell r="DD161">
            <v>0</v>
          </cell>
          <cell r="DF161">
            <v>0</v>
          </cell>
          <cell r="DH161">
            <v>0</v>
          </cell>
          <cell r="DJ161">
            <v>0</v>
          </cell>
          <cell r="DL161">
            <v>0</v>
          </cell>
          <cell r="DN161">
            <v>0</v>
          </cell>
          <cell r="DP161">
            <v>0</v>
          </cell>
          <cell r="DR161">
            <v>0</v>
          </cell>
          <cell r="DT161">
            <v>0</v>
          </cell>
          <cell r="DV161">
            <v>0</v>
          </cell>
          <cell r="DX161">
            <v>0</v>
          </cell>
          <cell r="DZ161">
            <v>0</v>
          </cell>
          <cell r="EB161">
            <v>0</v>
          </cell>
          <cell r="ED161">
            <v>0</v>
          </cell>
          <cell r="EF161">
            <v>0</v>
          </cell>
          <cell r="EH161">
            <v>0</v>
          </cell>
          <cell r="EJ161">
            <v>0</v>
          </cell>
          <cell r="EL161">
            <v>0</v>
          </cell>
          <cell r="EN161">
            <v>0</v>
          </cell>
          <cell r="EP161">
            <v>0</v>
          </cell>
          <cell r="ER161">
            <v>0</v>
          </cell>
          <cell r="ET161">
            <v>0</v>
          </cell>
          <cell r="EV161">
            <v>0</v>
          </cell>
          <cell r="EX161">
            <v>0</v>
          </cell>
          <cell r="EZ161">
            <v>0</v>
          </cell>
          <cell r="FB161">
            <v>0</v>
          </cell>
          <cell r="FD161">
            <v>0</v>
          </cell>
          <cell r="FF161">
            <v>0</v>
          </cell>
          <cell r="FH161">
            <v>0</v>
          </cell>
          <cell r="FJ161">
            <v>0</v>
          </cell>
          <cell r="FL161">
            <v>0</v>
          </cell>
          <cell r="FN161">
            <v>0</v>
          </cell>
          <cell r="FP161">
            <v>0</v>
          </cell>
          <cell r="FR161">
            <v>0</v>
          </cell>
          <cell r="FT161">
            <v>0</v>
          </cell>
          <cell r="FV161">
            <v>0</v>
          </cell>
          <cell r="GD161">
            <v>14</v>
          </cell>
          <cell r="GF161">
            <v>4</v>
          </cell>
          <cell r="GH161">
            <v>1</v>
          </cell>
          <cell r="GJ161">
            <v>7</v>
          </cell>
          <cell r="GM161">
            <v>29.01</v>
          </cell>
          <cell r="GN16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32.檢查勞工個人防護具：█有 □無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W161" t="str">
            <v>（一）施工廠商施工前檢查事項辦理情形：█完成 □未完成 （二）其他工地安全衛生督導事項：</v>
          </cell>
          <cell r="GX161">
            <v>853901</v>
          </cell>
          <cell r="GY161">
            <v>0</v>
          </cell>
        </row>
        <row r="162">
          <cell r="I162">
            <v>1</v>
          </cell>
          <cell r="N162">
            <v>1</v>
          </cell>
          <cell r="P162">
            <v>1</v>
          </cell>
          <cell r="R162">
            <v>672</v>
          </cell>
          <cell r="T162">
            <v>108</v>
          </cell>
          <cell r="V162">
            <v>661</v>
          </cell>
          <cell r="X162">
            <v>2</v>
          </cell>
          <cell r="Z162">
            <v>1</v>
          </cell>
          <cell r="AB162">
            <v>661</v>
          </cell>
          <cell r="AD162">
            <v>2</v>
          </cell>
          <cell r="AF162">
            <v>1</v>
          </cell>
          <cell r="AH162">
            <v>1</v>
          </cell>
          <cell r="AJ162">
            <v>1</v>
          </cell>
          <cell r="AL162">
            <v>0</v>
          </cell>
          <cell r="AN162">
            <v>0</v>
          </cell>
          <cell r="AP162">
            <v>0</v>
          </cell>
          <cell r="AR162">
            <v>0</v>
          </cell>
          <cell r="AT162">
            <v>0</v>
          </cell>
          <cell r="AV162">
            <v>0</v>
          </cell>
          <cell r="AX162">
            <v>0</v>
          </cell>
          <cell r="AZ162">
            <v>0</v>
          </cell>
          <cell r="BB162">
            <v>0</v>
          </cell>
          <cell r="BD162">
            <v>0</v>
          </cell>
          <cell r="BF162">
            <v>0</v>
          </cell>
          <cell r="BH162">
            <v>0</v>
          </cell>
          <cell r="BJ162">
            <v>0</v>
          </cell>
          <cell r="BL162">
            <v>0</v>
          </cell>
          <cell r="BN162">
            <v>0</v>
          </cell>
          <cell r="BP162">
            <v>0</v>
          </cell>
          <cell r="BR162">
            <v>0</v>
          </cell>
          <cell r="BT162">
            <v>0</v>
          </cell>
          <cell r="BV162">
            <v>0</v>
          </cell>
          <cell r="BX162">
            <v>0</v>
          </cell>
          <cell r="BZ162">
            <v>0</v>
          </cell>
          <cell r="CB162">
            <v>0</v>
          </cell>
          <cell r="CD162">
            <v>0</v>
          </cell>
          <cell r="CF162">
            <v>0</v>
          </cell>
          <cell r="CH162">
            <v>0</v>
          </cell>
          <cell r="CJ162">
            <v>0</v>
          </cell>
          <cell r="CL162">
            <v>0</v>
          </cell>
          <cell r="CN162">
            <v>0</v>
          </cell>
          <cell r="CP162">
            <v>0</v>
          </cell>
          <cell r="CR162">
            <v>0</v>
          </cell>
          <cell r="CT162">
            <v>0</v>
          </cell>
          <cell r="CV162">
            <v>0</v>
          </cell>
          <cell r="CX162">
            <v>0</v>
          </cell>
          <cell r="CZ162">
            <v>0</v>
          </cell>
          <cell r="DB162">
            <v>0</v>
          </cell>
          <cell r="DD162">
            <v>0</v>
          </cell>
          <cell r="DF162">
            <v>0</v>
          </cell>
          <cell r="DH162">
            <v>0</v>
          </cell>
          <cell r="DJ162">
            <v>0</v>
          </cell>
          <cell r="DL162">
            <v>0</v>
          </cell>
          <cell r="DN162">
            <v>0</v>
          </cell>
          <cell r="DP162">
            <v>0</v>
          </cell>
          <cell r="DR162">
            <v>0</v>
          </cell>
          <cell r="DT162">
            <v>0</v>
          </cell>
          <cell r="DV162">
            <v>0</v>
          </cell>
          <cell r="DX162">
            <v>0</v>
          </cell>
          <cell r="DZ162">
            <v>0</v>
          </cell>
          <cell r="EB162">
            <v>0</v>
          </cell>
          <cell r="ED162">
            <v>0</v>
          </cell>
          <cell r="EF162">
            <v>0</v>
          </cell>
          <cell r="EH162">
            <v>0</v>
          </cell>
          <cell r="EJ162">
            <v>0</v>
          </cell>
          <cell r="EL162">
            <v>0</v>
          </cell>
          <cell r="EN162">
            <v>0</v>
          </cell>
          <cell r="EP162">
            <v>0</v>
          </cell>
          <cell r="ER162">
            <v>0</v>
          </cell>
          <cell r="ET162">
            <v>0</v>
          </cell>
          <cell r="EV162">
            <v>0</v>
          </cell>
          <cell r="EX162">
            <v>0</v>
          </cell>
          <cell r="EZ162">
            <v>0</v>
          </cell>
          <cell r="FB162">
            <v>0</v>
          </cell>
          <cell r="FD162">
            <v>0</v>
          </cell>
          <cell r="FF162">
            <v>0</v>
          </cell>
          <cell r="FH162">
            <v>0</v>
          </cell>
          <cell r="FJ162">
            <v>0</v>
          </cell>
          <cell r="FL162">
            <v>0</v>
          </cell>
          <cell r="FN162">
            <v>0</v>
          </cell>
          <cell r="FP162">
            <v>0</v>
          </cell>
          <cell r="FR162">
            <v>0</v>
          </cell>
          <cell r="FT162">
            <v>0</v>
          </cell>
          <cell r="FV162">
            <v>0</v>
          </cell>
          <cell r="GD162">
            <v>14</v>
          </cell>
          <cell r="GF162">
            <v>4</v>
          </cell>
          <cell r="GH162">
            <v>1</v>
          </cell>
          <cell r="GJ162">
            <v>7</v>
          </cell>
          <cell r="GM162">
            <v>30.01</v>
          </cell>
          <cell r="GN16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33.檢查勞工個人防護具：█有 □無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W162" t="str">
            <v>（一）施工廠商施工前檢查事項辦理情形：█完成 □未完成 （二）其他工地安全衛生督導事項：</v>
          </cell>
          <cell r="GX162">
            <v>853901</v>
          </cell>
          <cell r="GY162">
            <v>0</v>
          </cell>
        </row>
        <row r="163">
          <cell r="I163">
            <v>1</v>
          </cell>
          <cell r="N163">
            <v>1</v>
          </cell>
          <cell r="P163">
            <v>1</v>
          </cell>
          <cell r="R163">
            <v>672</v>
          </cell>
          <cell r="T163">
            <v>108</v>
          </cell>
          <cell r="V163">
            <v>661</v>
          </cell>
          <cell r="X163">
            <v>2</v>
          </cell>
          <cell r="Z163">
            <v>1</v>
          </cell>
          <cell r="AB163">
            <v>661</v>
          </cell>
          <cell r="AD163">
            <v>2</v>
          </cell>
          <cell r="AF163">
            <v>1</v>
          </cell>
          <cell r="AH163">
            <v>1</v>
          </cell>
          <cell r="AJ163">
            <v>1</v>
          </cell>
          <cell r="AL163">
            <v>0</v>
          </cell>
          <cell r="AN163">
            <v>0</v>
          </cell>
          <cell r="AP163">
            <v>0</v>
          </cell>
          <cell r="AR163">
            <v>0</v>
          </cell>
          <cell r="AT163">
            <v>0</v>
          </cell>
          <cell r="AV163">
            <v>0</v>
          </cell>
          <cell r="AX163">
            <v>0</v>
          </cell>
          <cell r="AZ163">
            <v>0</v>
          </cell>
          <cell r="BB163">
            <v>0</v>
          </cell>
          <cell r="BD163">
            <v>0</v>
          </cell>
          <cell r="BF163">
            <v>0</v>
          </cell>
          <cell r="BH163">
            <v>0</v>
          </cell>
          <cell r="BJ163">
            <v>0</v>
          </cell>
          <cell r="BL163">
            <v>0</v>
          </cell>
          <cell r="BN163">
            <v>0</v>
          </cell>
          <cell r="BP163">
            <v>0</v>
          </cell>
          <cell r="BR163">
            <v>0</v>
          </cell>
          <cell r="BT163">
            <v>0</v>
          </cell>
          <cell r="BV163">
            <v>0</v>
          </cell>
          <cell r="BX163">
            <v>0</v>
          </cell>
          <cell r="BZ163">
            <v>0</v>
          </cell>
          <cell r="CB163">
            <v>0</v>
          </cell>
          <cell r="CD163">
            <v>0</v>
          </cell>
          <cell r="CF163">
            <v>0</v>
          </cell>
          <cell r="CH163">
            <v>0</v>
          </cell>
          <cell r="CJ163">
            <v>0</v>
          </cell>
          <cell r="CL163">
            <v>0</v>
          </cell>
          <cell r="CN163">
            <v>0</v>
          </cell>
          <cell r="CP163">
            <v>0</v>
          </cell>
          <cell r="CR163">
            <v>0</v>
          </cell>
          <cell r="CT163">
            <v>0</v>
          </cell>
          <cell r="CV163">
            <v>0</v>
          </cell>
          <cell r="CX163">
            <v>0</v>
          </cell>
          <cell r="CZ163">
            <v>0</v>
          </cell>
          <cell r="DB163">
            <v>0</v>
          </cell>
          <cell r="DD163">
            <v>0</v>
          </cell>
          <cell r="DF163">
            <v>0</v>
          </cell>
          <cell r="DH163">
            <v>0</v>
          </cell>
          <cell r="DJ163">
            <v>0</v>
          </cell>
          <cell r="DL163">
            <v>0</v>
          </cell>
          <cell r="DN163">
            <v>0</v>
          </cell>
          <cell r="DP163">
            <v>0</v>
          </cell>
          <cell r="DR163">
            <v>0</v>
          </cell>
          <cell r="DT163">
            <v>0</v>
          </cell>
          <cell r="DV163">
            <v>0</v>
          </cell>
          <cell r="DX163">
            <v>0</v>
          </cell>
          <cell r="DZ163">
            <v>0</v>
          </cell>
          <cell r="EB163">
            <v>0</v>
          </cell>
          <cell r="ED163">
            <v>0</v>
          </cell>
          <cell r="EF163">
            <v>0</v>
          </cell>
          <cell r="EH163">
            <v>0</v>
          </cell>
          <cell r="EJ163">
            <v>0</v>
          </cell>
          <cell r="EL163">
            <v>0</v>
          </cell>
          <cell r="EN163">
            <v>0</v>
          </cell>
          <cell r="EP163">
            <v>0</v>
          </cell>
          <cell r="ER163">
            <v>0</v>
          </cell>
          <cell r="ET163">
            <v>0</v>
          </cell>
          <cell r="EV163">
            <v>0</v>
          </cell>
          <cell r="EX163">
            <v>0</v>
          </cell>
          <cell r="EZ163">
            <v>0</v>
          </cell>
          <cell r="FB163">
            <v>0</v>
          </cell>
          <cell r="FD163">
            <v>0</v>
          </cell>
          <cell r="FF163">
            <v>0</v>
          </cell>
          <cell r="FH163">
            <v>0</v>
          </cell>
          <cell r="FJ163">
            <v>0</v>
          </cell>
          <cell r="FL163">
            <v>0</v>
          </cell>
          <cell r="FN163">
            <v>0</v>
          </cell>
          <cell r="FP163">
            <v>0</v>
          </cell>
          <cell r="FR163">
            <v>0</v>
          </cell>
          <cell r="FT163">
            <v>0</v>
          </cell>
          <cell r="FV163">
            <v>0</v>
          </cell>
          <cell r="GD163">
            <v>14</v>
          </cell>
          <cell r="GF163">
            <v>4</v>
          </cell>
          <cell r="GH163">
            <v>1</v>
          </cell>
          <cell r="GJ163">
            <v>7</v>
          </cell>
          <cell r="GM163">
            <v>31.01</v>
          </cell>
          <cell r="GN16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34.檢查勞工個人防護具：█有 □無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W163" t="str">
            <v>（一）施工廠商施工前檢查事項辦理情形：█完成 □未完成 （二）其他工地安全衛生督導事項：</v>
          </cell>
          <cell r="GX163">
            <v>853901</v>
          </cell>
          <cell r="GY163">
            <v>0</v>
          </cell>
        </row>
        <row r="164">
          <cell r="I164">
            <v>1</v>
          </cell>
          <cell r="N164">
            <v>1</v>
          </cell>
          <cell r="P164">
            <v>1</v>
          </cell>
          <cell r="R164">
            <v>672</v>
          </cell>
          <cell r="T164">
            <v>108</v>
          </cell>
          <cell r="V164">
            <v>661</v>
          </cell>
          <cell r="X164">
            <v>2</v>
          </cell>
          <cell r="Z164">
            <v>1</v>
          </cell>
          <cell r="AB164">
            <v>661</v>
          </cell>
          <cell r="AD164">
            <v>2</v>
          </cell>
          <cell r="AF164">
            <v>1</v>
          </cell>
          <cell r="AH164">
            <v>1</v>
          </cell>
          <cell r="AJ164">
            <v>1</v>
          </cell>
          <cell r="AL164">
            <v>0</v>
          </cell>
          <cell r="AN164">
            <v>0</v>
          </cell>
          <cell r="AP164">
            <v>0</v>
          </cell>
          <cell r="AR164">
            <v>0</v>
          </cell>
          <cell r="AT164">
            <v>0</v>
          </cell>
          <cell r="AV164">
            <v>0</v>
          </cell>
          <cell r="AX164">
            <v>0</v>
          </cell>
          <cell r="AZ164">
            <v>0</v>
          </cell>
          <cell r="BB164">
            <v>0</v>
          </cell>
          <cell r="BD164">
            <v>0</v>
          </cell>
          <cell r="BF164">
            <v>0</v>
          </cell>
          <cell r="BH164">
            <v>0</v>
          </cell>
          <cell r="BJ164">
            <v>0</v>
          </cell>
          <cell r="BL164">
            <v>0</v>
          </cell>
          <cell r="BN164">
            <v>0</v>
          </cell>
          <cell r="BP164">
            <v>0</v>
          </cell>
          <cell r="BR164">
            <v>0</v>
          </cell>
          <cell r="BT164">
            <v>0</v>
          </cell>
          <cell r="BV164">
            <v>0</v>
          </cell>
          <cell r="BX164">
            <v>0</v>
          </cell>
          <cell r="BZ164">
            <v>0</v>
          </cell>
          <cell r="CB164">
            <v>0</v>
          </cell>
          <cell r="CD164">
            <v>0</v>
          </cell>
          <cell r="CF164">
            <v>0</v>
          </cell>
          <cell r="CH164">
            <v>0</v>
          </cell>
          <cell r="CJ164">
            <v>0</v>
          </cell>
          <cell r="CL164">
            <v>0</v>
          </cell>
          <cell r="CN164">
            <v>0</v>
          </cell>
          <cell r="CP164">
            <v>0</v>
          </cell>
          <cell r="CR164">
            <v>0</v>
          </cell>
          <cell r="CT164">
            <v>0</v>
          </cell>
          <cell r="CV164">
            <v>0</v>
          </cell>
          <cell r="CX164">
            <v>0</v>
          </cell>
          <cell r="CZ164">
            <v>0</v>
          </cell>
          <cell r="DB164">
            <v>0</v>
          </cell>
          <cell r="DD164">
            <v>0</v>
          </cell>
          <cell r="DF164">
            <v>0</v>
          </cell>
          <cell r="DH164">
            <v>0</v>
          </cell>
          <cell r="DJ164">
            <v>0</v>
          </cell>
          <cell r="DL164">
            <v>0</v>
          </cell>
          <cell r="DN164">
            <v>0</v>
          </cell>
          <cell r="DP164">
            <v>0</v>
          </cell>
          <cell r="DR164">
            <v>0</v>
          </cell>
          <cell r="DT164">
            <v>0</v>
          </cell>
          <cell r="DV164">
            <v>0</v>
          </cell>
          <cell r="DX164">
            <v>0</v>
          </cell>
          <cell r="DZ164">
            <v>0</v>
          </cell>
          <cell r="EB164">
            <v>0</v>
          </cell>
          <cell r="ED164">
            <v>0</v>
          </cell>
          <cell r="EF164">
            <v>0</v>
          </cell>
          <cell r="EH164">
            <v>0</v>
          </cell>
          <cell r="EJ164">
            <v>0</v>
          </cell>
          <cell r="EL164">
            <v>0</v>
          </cell>
          <cell r="EN164">
            <v>0</v>
          </cell>
          <cell r="EP164">
            <v>0</v>
          </cell>
          <cell r="ER164">
            <v>0</v>
          </cell>
          <cell r="ET164">
            <v>0</v>
          </cell>
          <cell r="EV164">
            <v>0</v>
          </cell>
          <cell r="EX164">
            <v>0</v>
          </cell>
          <cell r="EZ164">
            <v>0</v>
          </cell>
          <cell r="FB164">
            <v>0</v>
          </cell>
          <cell r="FD164">
            <v>0</v>
          </cell>
          <cell r="FF164">
            <v>0</v>
          </cell>
          <cell r="FH164">
            <v>0</v>
          </cell>
          <cell r="FJ164">
            <v>0</v>
          </cell>
          <cell r="FL164">
            <v>0</v>
          </cell>
          <cell r="FN164">
            <v>0</v>
          </cell>
          <cell r="FP164">
            <v>0</v>
          </cell>
          <cell r="FR164">
            <v>0</v>
          </cell>
          <cell r="FT164">
            <v>0</v>
          </cell>
          <cell r="FV164">
            <v>0</v>
          </cell>
          <cell r="GD164">
            <v>14</v>
          </cell>
          <cell r="GF164">
            <v>4</v>
          </cell>
          <cell r="GH164">
            <v>1</v>
          </cell>
          <cell r="GJ164">
            <v>7</v>
          </cell>
          <cell r="GM164">
            <v>32.01</v>
          </cell>
          <cell r="GN16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35.檢查勞工個人防護具：█有 □無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W164" t="str">
            <v>（一）施工廠商施工前檢查事項辦理情形：█完成 □未完成 （二）其他工地安全衛生督導事項：</v>
          </cell>
          <cell r="GX164">
            <v>853901</v>
          </cell>
          <cell r="GY164">
            <v>0</v>
          </cell>
        </row>
        <row r="165">
          <cell r="I165">
            <v>1</v>
          </cell>
          <cell r="N165">
            <v>1</v>
          </cell>
          <cell r="P165">
            <v>1</v>
          </cell>
          <cell r="R165">
            <v>672</v>
          </cell>
          <cell r="T165">
            <v>108</v>
          </cell>
          <cell r="V165">
            <v>661</v>
          </cell>
          <cell r="X165">
            <v>2</v>
          </cell>
          <cell r="Z165">
            <v>1</v>
          </cell>
          <cell r="AB165">
            <v>661</v>
          </cell>
          <cell r="AD165">
            <v>2</v>
          </cell>
          <cell r="AF165">
            <v>1</v>
          </cell>
          <cell r="AH165">
            <v>1</v>
          </cell>
          <cell r="AJ165">
            <v>1</v>
          </cell>
          <cell r="AL165">
            <v>0</v>
          </cell>
          <cell r="AN165">
            <v>0</v>
          </cell>
          <cell r="AP165">
            <v>0</v>
          </cell>
          <cell r="AR165">
            <v>0</v>
          </cell>
          <cell r="AT165">
            <v>0</v>
          </cell>
          <cell r="AV165">
            <v>0</v>
          </cell>
          <cell r="AX165">
            <v>0</v>
          </cell>
          <cell r="AZ165">
            <v>0</v>
          </cell>
          <cell r="BB165">
            <v>0</v>
          </cell>
          <cell r="BD165">
            <v>0</v>
          </cell>
          <cell r="BF165">
            <v>0</v>
          </cell>
          <cell r="BH165">
            <v>0</v>
          </cell>
          <cell r="BJ165">
            <v>0</v>
          </cell>
          <cell r="BL165">
            <v>0</v>
          </cell>
          <cell r="BN165">
            <v>0</v>
          </cell>
          <cell r="BP165">
            <v>0</v>
          </cell>
          <cell r="BR165">
            <v>0</v>
          </cell>
          <cell r="BT165">
            <v>0</v>
          </cell>
          <cell r="BV165">
            <v>0</v>
          </cell>
          <cell r="BX165">
            <v>0</v>
          </cell>
          <cell r="BZ165">
            <v>0</v>
          </cell>
          <cell r="CB165">
            <v>0</v>
          </cell>
          <cell r="CD165">
            <v>0</v>
          </cell>
          <cell r="CF165">
            <v>0</v>
          </cell>
          <cell r="CH165">
            <v>0</v>
          </cell>
          <cell r="CJ165">
            <v>0</v>
          </cell>
          <cell r="CL165">
            <v>0</v>
          </cell>
          <cell r="CN165">
            <v>0</v>
          </cell>
          <cell r="CP165">
            <v>0</v>
          </cell>
          <cell r="CR165">
            <v>0</v>
          </cell>
          <cell r="CT165">
            <v>0</v>
          </cell>
          <cell r="CV165">
            <v>0</v>
          </cell>
          <cell r="CX165">
            <v>0</v>
          </cell>
          <cell r="CZ165">
            <v>0</v>
          </cell>
          <cell r="DB165">
            <v>0</v>
          </cell>
          <cell r="DD165">
            <v>0</v>
          </cell>
          <cell r="DF165">
            <v>0</v>
          </cell>
          <cell r="DH165">
            <v>0</v>
          </cell>
          <cell r="DJ165">
            <v>0</v>
          </cell>
          <cell r="DL165">
            <v>0</v>
          </cell>
          <cell r="DN165">
            <v>0</v>
          </cell>
          <cell r="DP165">
            <v>0</v>
          </cell>
          <cell r="DR165">
            <v>0</v>
          </cell>
          <cell r="DT165">
            <v>0</v>
          </cell>
          <cell r="DV165">
            <v>0</v>
          </cell>
          <cell r="DX165">
            <v>0</v>
          </cell>
          <cell r="DZ165">
            <v>0</v>
          </cell>
          <cell r="EB165">
            <v>0</v>
          </cell>
          <cell r="ED165">
            <v>0</v>
          </cell>
          <cell r="EF165">
            <v>0</v>
          </cell>
          <cell r="EH165">
            <v>0</v>
          </cell>
          <cell r="EJ165">
            <v>0</v>
          </cell>
          <cell r="EL165">
            <v>0</v>
          </cell>
          <cell r="EN165">
            <v>0</v>
          </cell>
          <cell r="EP165">
            <v>0</v>
          </cell>
          <cell r="ER165">
            <v>0</v>
          </cell>
          <cell r="ET165">
            <v>0</v>
          </cell>
          <cell r="EV165">
            <v>0</v>
          </cell>
          <cell r="EX165">
            <v>0</v>
          </cell>
          <cell r="EZ165">
            <v>0</v>
          </cell>
          <cell r="FB165">
            <v>0</v>
          </cell>
          <cell r="FD165">
            <v>0</v>
          </cell>
          <cell r="FF165">
            <v>0</v>
          </cell>
          <cell r="FH165">
            <v>0</v>
          </cell>
          <cell r="FJ165">
            <v>0</v>
          </cell>
          <cell r="FL165">
            <v>0</v>
          </cell>
          <cell r="FN165">
            <v>0</v>
          </cell>
          <cell r="FP165">
            <v>0</v>
          </cell>
          <cell r="FR165">
            <v>0</v>
          </cell>
          <cell r="FT165">
            <v>0</v>
          </cell>
          <cell r="FV165">
            <v>0</v>
          </cell>
          <cell r="GD165">
            <v>14</v>
          </cell>
          <cell r="GF165">
            <v>4</v>
          </cell>
          <cell r="GH165">
            <v>1</v>
          </cell>
          <cell r="GJ165">
            <v>7</v>
          </cell>
          <cell r="GM165">
            <v>33.01</v>
          </cell>
          <cell r="GN16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36.檢查勞工個人防護具：█有 □無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W165" t="str">
            <v>（一）施工廠商施工前檢查事項辦理情形：█完成 □未完成 （二）其他工地安全衛生督導事項：</v>
          </cell>
          <cell r="GX165">
            <v>853901</v>
          </cell>
          <cell r="GY165">
            <v>0</v>
          </cell>
        </row>
        <row r="166">
          <cell r="I166">
            <v>1</v>
          </cell>
          <cell r="N166">
            <v>1</v>
          </cell>
          <cell r="P166">
            <v>1</v>
          </cell>
          <cell r="R166">
            <v>672</v>
          </cell>
          <cell r="T166">
            <v>108</v>
          </cell>
          <cell r="V166">
            <v>661</v>
          </cell>
          <cell r="X166">
            <v>2</v>
          </cell>
          <cell r="Z166">
            <v>1</v>
          </cell>
          <cell r="AB166">
            <v>661</v>
          </cell>
          <cell r="AD166">
            <v>2</v>
          </cell>
          <cell r="AF166">
            <v>1</v>
          </cell>
          <cell r="AH166">
            <v>1</v>
          </cell>
          <cell r="AJ166">
            <v>1</v>
          </cell>
          <cell r="AL166">
            <v>0</v>
          </cell>
          <cell r="AN166">
            <v>0</v>
          </cell>
          <cell r="AP166">
            <v>0</v>
          </cell>
          <cell r="AR166">
            <v>0</v>
          </cell>
          <cell r="AT166">
            <v>0</v>
          </cell>
          <cell r="AV166">
            <v>0</v>
          </cell>
          <cell r="AX166">
            <v>0</v>
          </cell>
          <cell r="AZ166">
            <v>0</v>
          </cell>
          <cell r="BB166">
            <v>0</v>
          </cell>
          <cell r="BD166">
            <v>0</v>
          </cell>
          <cell r="BF166">
            <v>0</v>
          </cell>
          <cell r="BH166">
            <v>0</v>
          </cell>
          <cell r="BJ166">
            <v>0</v>
          </cell>
          <cell r="BL166">
            <v>0</v>
          </cell>
          <cell r="BN166">
            <v>0</v>
          </cell>
          <cell r="BP166">
            <v>0</v>
          </cell>
          <cell r="BR166">
            <v>0</v>
          </cell>
          <cell r="BT166">
            <v>0</v>
          </cell>
          <cell r="BV166">
            <v>0</v>
          </cell>
          <cell r="BX166">
            <v>0</v>
          </cell>
          <cell r="BZ166">
            <v>0</v>
          </cell>
          <cell r="CB166">
            <v>0</v>
          </cell>
          <cell r="CD166">
            <v>0</v>
          </cell>
          <cell r="CF166">
            <v>0</v>
          </cell>
          <cell r="CH166">
            <v>0</v>
          </cell>
          <cell r="CJ166">
            <v>0</v>
          </cell>
          <cell r="CL166">
            <v>0</v>
          </cell>
          <cell r="CN166">
            <v>0</v>
          </cell>
          <cell r="CP166">
            <v>0</v>
          </cell>
          <cell r="CR166">
            <v>0</v>
          </cell>
          <cell r="CT166">
            <v>0</v>
          </cell>
          <cell r="CV166">
            <v>0</v>
          </cell>
          <cell r="CX166">
            <v>0</v>
          </cell>
          <cell r="CZ166">
            <v>0</v>
          </cell>
          <cell r="DB166">
            <v>0</v>
          </cell>
          <cell r="DD166">
            <v>0</v>
          </cell>
          <cell r="DF166">
            <v>0</v>
          </cell>
          <cell r="DH166">
            <v>0</v>
          </cell>
          <cell r="DJ166">
            <v>0</v>
          </cell>
          <cell r="DL166">
            <v>0</v>
          </cell>
          <cell r="DN166">
            <v>0</v>
          </cell>
          <cell r="DP166">
            <v>0</v>
          </cell>
          <cell r="DR166">
            <v>0</v>
          </cell>
          <cell r="DT166">
            <v>0</v>
          </cell>
          <cell r="DV166">
            <v>0</v>
          </cell>
          <cell r="DX166">
            <v>0</v>
          </cell>
          <cell r="DZ166">
            <v>0</v>
          </cell>
          <cell r="EB166">
            <v>0</v>
          </cell>
          <cell r="ED166">
            <v>0</v>
          </cell>
          <cell r="EF166">
            <v>0</v>
          </cell>
          <cell r="EH166">
            <v>0</v>
          </cell>
          <cell r="EJ166">
            <v>0</v>
          </cell>
          <cell r="EL166">
            <v>0</v>
          </cell>
          <cell r="EN166">
            <v>0</v>
          </cell>
          <cell r="EP166">
            <v>0</v>
          </cell>
          <cell r="ER166">
            <v>0</v>
          </cell>
          <cell r="ET166">
            <v>0</v>
          </cell>
          <cell r="EV166">
            <v>0</v>
          </cell>
          <cell r="EX166">
            <v>0</v>
          </cell>
          <cell r="EZ166">
            <v>0</v>
          </cell>
          <cell r="FB166">
            <v>0</v>
          </cell>
          <cell r="FD166">
            <v>0</v>
          </cell>
          <cell r="FF166">
            <v>0</v>
          </cell>
          <cell r="FH166">
            <v>0</v>
          </cell>
          <cell r="FJ166">
            <v>0</v>
          </cell>
          <cell r="FL166">
            <v>0</v>
          </cell>
          <cell r="FN166">
            <v>0</v>
          </cell>
          <cell r="FP166">
            <v>0</v>
          </cell>
          <cell r="FR166">
            <v>0</v>
          </cell>
          <cell r="FT166">
            <v>0</v>
          </cell>
          <cell r="FV166">
            <v>0</v>
          </cell>
          <cell r="GD166">
            <v>14</v>
          </cell>
          <cell r="GF166">
            <v>4</v>
          </cell>
          <cell r="GH166">
            <v>1</v>
          </cell>
          <cell r="GJ166">
            <v>7</v>
          </cell>
          <cell r="GM166">
            <v>34.01</v>
          </cell>
          <cell r="GN16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37.檢查勞工個人防護具：█有 □無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W166" t="str">
            <v>（一）施工廠商施工前檢查事項辦理情形：█完成 □未完成 （二）其他工地安全衛生督導事項：</v>
          </cell>
          <cell r="GX166">
            <v>853901</v>
          </cell>
          <cell r="GY166">
            <v>0</v>
          </cell>
        </row>
        <row r="167">
          <cell r="I167">
            <v>1</v>
          </cell>
          <cell r="N167">
            <v>1</v>
          </cell>
          <cell r="P167">
            <v>1</v>
          </cell>
          <cell r="R167">
            <v>672</v>
          </cell>
          <cell r="T167">
            <v>108</v>
          </cell>
          <cell r="V167">
            <v>661</v>
          </cell>
          <cell r="X167">
            <v>2</v>
          </cell>
          <cell r="Z167">
            <v>1</v>
          </cell>
          <cell r="AB167">
            <v>661</v>
          </cell>
          <cell r="AD167">
            <v>2</v>
          </cell>
          <cell r="AF167">
            <v>1</v>
          </cell>
          <cell r="AH167">
            <v>1</v>
          </cell>
          <cell r="AJ167">
            <v>1</v>
          </cell>
          <cell r="AL167">
            <v>0</v>
          </cell>
          <cell r="AN167">
            <v>0</v>
          </cell>
          <cell r="AP167">
            <v>0</v>
          </cell>
          <cell r="AR167">
            <v>0</v>
          </cell>
          <cell r="AT167">
            <v>0</v>
          </cell>
          <cell r="AV167">
            <v>0</v>
          </cell>
          <cell r="AX167">
            <v>0</v>
          </cell>
          <cell r="AZ167">
            <v>0</v>
          </cell>
          <cell r="BB167">
            <v>0</v>
          </cell>
          <cell r="BD167">
            <v>0</v>
          </cell>
          <cell r="BF167">
            <v>0</v>
          </cell>
          <cell r="BH167">
            <v>0</v>
          </cell>
          <cell r="BJ167">
            <v>0</v>
          </cell>
          <cell r="BL167">
            <v>0</v>
          </cell>
          <cell r="BN167">
            <v>0</v>
          </cell>
          <cell r="BP167">
            <v>0</v>
          </cell>
          <cell r="BR167">
            <v>0</v>
          </cell>
          <cell r="BT167">
            <v>0</v>
          </cell>
          <cell r="BV167">
            <v>0</v>
          </cell>
          <cell r="BX167">
            <v>0</v>
          </cell>
          <cell r="BZ167">
            <v>0</v>
          </cell>
          <cell r="CB167">
            <v>0</v>
          </cell>
          <cell r="CD167">
            <v>0</v>
          </cell>
          <cell r="CF167">
            <v>0</v>
          </cell>
          <cell r="CH167">
            <v>0</v>
          </cell>
          <cell r="CJ167">
            <v>0</v>
          </cell>
          <cell r="CL167">
            <v>0</v>
          </cell>
          <cell r="CN167">
            <v>0</v>
          </cell>
          <cell r="CP167">
            <v>0</v>
          </cell>
          <cell r="CR167">
            <v>0</v>
          </cell>
          <cell r="CT167">
            <v>0</v>
          </cell>
          <cell r="CV167">
            <v>0</v>
          </cell>
          <cell r="CX167">
            <v>0</v>
          </cell>
          <cell r="CZ167">
            <v>0</v>
          </cell>
          <cell r="DB167">
            <v>0</v>
          </cell>
          <cell r="DD167">
            <v>0</v>
          </cell>
          <cell r="DF167">
            <v>0</v>
          </cell>
          <cell r="DH167">
            <v>0</v>
          </cell>
          <cell r="DJ167">
            <v>0</v>
          </cell>
          <cell r="DL167">
            <v>0</v>
          </cell>
          <cell r="DN167">
            <v>0</v>
          </cell>
          <cell r="DP167">
            <v>0</v>
          </cell>
          <cell r="DR167">
            <v>0</v>
          </cell>
          <cell r="DT167">
            <v>0</v>
          </cell>
          <cell r="DV167">
            <v>0</v>
          </cell>
          <cell r="DX167">
            <v>0</v>
          </cell>
          <cell r="DZ167">
            <v>0</v>
          </cell>
          <cell r="EB167">
            <v>0</v>
          </cell>
          <cell r="ED167">
            <v>0</v>
          </cell>
          <cell r="EF167">
            <v>0</v>
          </cell>
          <cell r="EH167">
            <v>0</v>
          </cell>
          <cell r="EJ167">
            <v>0</v>
          </cell>
          <cell r="EL167">
            <v>0</v>
          </cell>
          <cell r="EN167">
            <v>0</v>
          </cell>
          <cell r="EP167">
            <v>0</v>
          </cell>
          <cell r="ER167">
            <v>0</v>
          </cell>
          <cell r="ET167">
            <v>0</v>
          </cell>
          <cell r="EV167">
            <v>0</v>
          </cell>
          <cell r="EX167">
            <v>0</v>
          </cell>
          <cell r="EZ167">
            <v>0</v>
          </cell>
          <cell r="FB167">
            <v>0</v>
          </cell>
          <cell r="FD167">
            <v>0</v>
          </cell>
          <cell r="FF167">
            <v>0</v>
          </cell>
          <cell r="FH167">
            <v>0</v>
          </cell>
          <cell r="FJ167">
            <v>0</v>
          </cell>
          <cell r="FL167">
            <v>0</v>
          </cell>
          <cell r="FN167">
            <v>0</v>
          </cell>
          <cell r="FP167">
            <v>0</v>
          </cell>
          <cell r="FR167">
            <v>0</v>
          </cell>
          <cell r="FT167">
            <v>0</v>
          </cell>
          <cell r="FV167">
            <v>0</v>
          </cell>
          <cell r="GD167">
            <v>14</v>
          </cell>
          <cell r="GF167">
            <v>4</v>
          </cell>
          <cell r="GH167">
            <v>1</v>
          </cell>
          <cell r="GJ167">
            <v>7</v>
          </cell>
          <cell r="GM167">
            <v>35.01</v>
          </cell>
          <cell r="GN16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38.檢查勞工個人防護具：█有 □無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W167" t="str">
            <v>（一）施工廠商施工前檢查事項辦理情形：█完成 □未完成 （二）其他工地安全衛生督導事項：</v>
          </cell>
          <cell r="GX167">
            <v>853901</v>
          </cell>
          <cell r="GY167">
            <v>0</v>
          </cell>
        </row>
        <row r="168">
          <cell r="I168">
            <v>1</v>
          </cell>
          <cell r="N168">
            <v>1</v>
          </cell>
          <cell r="P168">
            <v>1</v>
          </cell>
          <cell r="R168">
            <v>672</v>
          </cell>
          <cell r="T168">
            <v>108</v>
          </cell>
          <cell r="V168">
            <v>661</v>
          </cell>
          <cell r="X168">
            <v>2</v>
          </cell>
          <cell r="Z168">
            <v>1</v>
          </cell>
          <cell r="AB168">
            <v>661</v>
          </cell>
          <cell r="AD168">
            <v>2</v>
          </cell>
          <cell r="AF168">
            <v>1</v>
          </cell>
          <cell r="AH168">
            <v>1</v>
          </cell>
          <cell r="AJ168">
            <v>1</v>
          </cell>
          <cell r="AL168">
            <v>0</v>
          </cell>
          <cell r="AN168">
            <v>0</v>
          </cell>
          <cell r="AP168">
            <v>0</v>
          </cell>
          <cell r="AR168">
            <v>0</v>
          </cell>
          <cell r="AT168">
            <v>0</v>
          </cell>
          <cell r="AV168">
            <v>0</v>
          </cell>
          <cell r="AX168">
            <v>0</v>
          </cell>
          <cell r="AZ168">
            <v>0</v>
          </cell>
          <cell r="BB168">
            <v>0</v>
          </cell>
          <cell r="BD168">
            <v>0</v>
          </cell>
          <cell r="BF168">
            <v>0</v>
          </cell>
          <cell r="BH168">
            <v>0</v>
          </cell>
          <cell r="BJ168">
            <v>0</v>
          </cell>
          <cell r="BL168">
            <v>0</v>
          </cell>
          <cell r="BN168">
            <v>0</v>
          </cell>
          <cell r="BP168">
            <v>0</v>
          </cell>
          <cell r="BR168">
            <v>0</v>
          </cell>
          <cell r="BT168">
            <v>0</v>
          </cell>
          <cell r="BV168">
            <v>0</v>
          </cell>
          <cell r="BX168">
            <v>0</v>
          </cell>
          <cell r="BZ168">
            <v>0</v>
          </cell>
          <cell r="CB168">
            <v>0</v>
          </cell>
          <cell r="CD168">
            <v>0</v>
          </cell>
          <cell r="CF168">
            <v>0</v>
          </cell>
          <cell r="CH168">
            <v>0</v>
          </cell>
          <cell r="CJ168">
            <v>0</v>
          </cell>
          <cell r="CL168">
            <v>0</v>
          </cell>
          <cell r="CN168">
            <v>0</v>
          </cell>
          <cell r="CP168">
            <v>0</v>
          </cell>
          <cell r="CR168">
            <v>0</v>
          </cell>
          <cell r="CT168">
            <v>0</v>
          </cell>
          <cell r="CV168">
            <v>0</v>
          </cell>
          <cell r="CX168">
            <v>0</v>
          </cell>
          <cell r="CZ168">
            <v>0</v>
          </cell>
          <cell r="DB168">
            <v>0</v>
          </cell>
          <cell r="DD168">
            <v>0</v>
          </cell>
          <cell r="DF168">
            <v>0</v>
          </cell>
          <cell r="DH168">
            <v>0</v>
          </cell>
          <cell r="DJ168">
            <v>0</v>
          </cell>
          <cell r="DL168">
            <v>0</v>
          </cell>
          <cell r="DN168">
            <v>0</v>
          </cell>
          <cell r="DP168">
            <v>0</v>
          </cell>
          <cell r="DR168">
            <v>0</v>
          </cell>
          <cell r="DT168">
            <v>0</v>
          </cell>
          <cell r="DV168">
            <v>0</v>
          </cell>
          <cell r="DX168">
            <v>0</v>
          </cell>
          <cell r="DZ168">
            <v>0</v>
          </cell>
          <cell r="EB168">
            <v>0</v>
          </cell>
          <cell r="ED168">
            <v>0</v>
          </cell>
          <cell r="EF168">
            <v>0</v>
          </cell>
          <cell r="EH168">
            <v>0</v>
          </cell>
          <cell r="EJ168">
            <v>0</v>
          </cell>
          <cell r="EL168">
            <v>0</v>
          </cell>
          <cell r="EN168">
            <v>0</v>
          </cell>
          <cell r="EP168">
            <v>0</v>
          </cell>
          <cell r="ER168">
            <v>0</v>
          </cell>
          <cell r="ET168">
            <v>0</v>
          </cell>
          <cell r="EV168">
            <v>0</v>
          </cell>
          <cell r="EX168">
            <v>0</v>
          </cell>
          <cell r="EZ168">
            <v>0</v>
          </cell>
          <cell r="FB168">
            <v>0</v>
          </cell>
          <cell r="FD168">
            <v>0</v>
          </cell>
          <cell r="FF168">
            <v>0</v>
          </cell>
          <cell r="FH168">
            <v>0</v>
          </cell>
          <cell r="FJ168">
            <v>0</v>
          </cell>
          <cell r="FL168">
            <v>0</v>
          </cell>
          <cell r="FN168">
            <v>0</v>
          </cell>
          <cell r="FP168">
            <v>0</v>
          </cell>
          <cell r="FR168">
            <v>0</v>
          </cell>
          <cell r="FT168">
            <v>0</v>
          </cell>
          <cell r="FV168">
            <v>0</v>
          </cell>
          <cell r="GD168">
            <v>14</v>
          </cell>
          <cell r="GF168">
            <v>4</v>
          </cell>
          <cell r="GH168">
            <v>1</v>
          </cell>
          <cell r="GJ168">
            <v>7</v>
          </cell>
          <cell r="GM168">
            <v>36.01</v>
          </cell>
          <cell r="GN16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39.檢查勞工個人防護具：█有 □無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W168" t="str">
            <v>（一）施工廠商施工前檢查事項辦理情形：█完成 □未完成 （二）其他工地安全衛生督導事項：</v>
          </cell>
          <cell r="GX168">
            <v>853901</v>
          </cell>
          <cell r="GY168">
            <v>0</v>
          </cell>
        </row>
        <row r="169">
          <cell r="I169">
            <v>1</v>
          </cell>
          <cell r="N169">
            <v>1</v>
          </cell>
          <cell r="P169">
            <v>1</v>
          </cell>
          <cell r="R169">
            <v>672</v>
          </cell>
          <cell r="T169">
            <v>108</v>
          </cell>
          <cell r="V169">
            <v>661</v>
          </cell>
          <cell r="X169">
            <v>2</v>
          </cell>
          <cell r="Z169">
            <v>1</v>
          </cell>
          <cell r="AB169">
            <v>661</v>
          </cell>
          <cell r="AD169">
            <v>2</v>
          </cell>
          <cell r="AF169">
            <v>1</v>
          </cell>
          <cell r="AH169">
            <v>1</v>
          </cell>
          <cell r="AJ169">
            <v>1</v>
          </cell>
          <cell r="AL169">
            <v>0</v>
          </cell>
          <cell r="AN169">
            <v>0</v>
          </cell>
          <cell r="AP169">
            <v>0</v>
          </cell>
          <cell r="AR169">
            <v>0</v>
          </cell>
          <cell r="AT169">
            <v>0</v>
          </cell>
          <cell r="AV169">
            <v>0</v>
          </cell>
          <cell r="AX169">
            <v>0</v>
          </cell>
          <cell r="AZ169">
            <v>0</v>
          </cell>
          <cell r="BB169">
            <v>0</v>
          </cell>
          <cell r="BD169">
            <v>0</v>
          </cell>
          <cell r="BF169">
            <v>0</v>
          </cell>
          <cell r="BH169">
            <v>0</v>
          </cell>
          <cell r="BJ169">
            <v>0</v>
          </cell>
          <cell r="BL169">
            <v>0</v>
          </cell>
          <cell r="BN169">
            <v>0</v>
          </cell>
          <cell r="BP169">
            <v>0</v>
          </cell>
          <cell r="BR169">
            <v>0</v>
          </cell>
          <cell r="BT169">
            <v>0</v>
          </cell>
          <cell r="BV169">
            <v>0</v>
          </cell>
          <cell r="BX169">
            <v>0</v>
          </cell>
          <cell r="BZ169">
            <v>0</v>
          </cell>
          <cell r="CB169">
            <v>0</v>
          </cell>
          <cell r="CD169">
            <v>0</v>
          </cell>
          <cell r="CF169">
            <v>0</v>
          </cell>
          <cell r="CH169">
            <v>0</v>
          </cell>
          <cell r="CJ169">
            <v>0</v>
          </cell>
          <cell r="CL169">
            <v>0</v>
          </cell>
          <cell r="CN169">
            <v>0</v>
          </cell>
          <cell r="CP169">
            <v>0</v>
          </cell>
          <cell r="CR169">
            <v>0</v>
          </cell>
          <cell r="CT169">
            <v>0</v>
          </cell>
          <cell r="CV169">
            <v>0</v>
          </cell>
          <cell r="CX169">
            <v>0</v>
          </cell>
          <cell r="CZ169">
            <v>0</v>
          </cell>
          <cell r="DB169">
            <v>0</v>
          </cell>
          <cell r="DD169">
            <v>0</v>
          </cell>
          <cell r="DF169">
            <v>0</v>
          </cell>
          <cell r="DH169">
            <v>0</v>
          </cell>
          <cell r="DJ169">
            <v>0</v>
          </cell>
          <cell r="DL169">
            <v>0</v>
          </cell>
          <cell r="DN169">
            <v>0</v>
          </cell>
          <cell r="DP169">
            <v>0</v>
          </cell>
          <cell r="DR169">
            <v>0</v>
          </cell>
          <cell r="DT169">
            <v>0</v>
          </cell>
          <cell r="DV169">
            <v>0</v>
          </cell>
          <cell r="DX169">
            <v>0</v>
          </cell>
          <cell r="DZ169">
            <v>0</v>
          </cell>
          <cell r="EB169">
            <v>0</v>
          </cell>
          <cell r="ED169">
            <v>0</v>
          </cell>
          <cell r="EF169">
            <v>0</v>
          </cell>
          <cell r="EH169">
            <v>0</v>
          </cell>
          <cell r="EJ169">
            <v>0</v>
          </cell>
          <cell r="EL169">
            <v>0</v>
          </cell>
          <cell r="EN169">
            <v>0</v>
          </cell>
          <cell r="EP169">
            <v>0</v>
          </cell>
          <cell r="ER169">
            <v>0</v>
          </cell>
          <cell r="ET169">
            <v>0</v>
          </cell>
          <cell r="EV169">
            <v>0</v>
          </cell>
          <cell r="EX169">
            <v>0</v>
          </cell>
          <cell r="EZ169">
            <v>0</v>
          </cell>
          <cell r="FB169">
            <v>0</v>
          </cell>
          <cell r="FD169">
            <v>0</v>
          </cell>
          <cell r="FF169">
            <v>0</v>
          </cell>
          <cell r="FH169">
            <v>0</v>
          </cell>
          <cell r="FJ169">
            <v>0</v>
          </cell>
          <cell r="FL169">
            <v>0</v>
          </cell>
          <cell r="FN169">
            <v>0</v>
          </cell>
          <cell r="FP169">
            <v>0</v>
          </cell>
          <cell r="FR169">
            <v>0</v>
          </cell>
          <cell r="FT169">
            <v>0</v>
          </cell>
          <cell r="FV169">
            <v>0</v>
          </cell>
          <cell r="GD169">
            <v>14</v>
          </cell>
          <cell r="GF169">
            <v>4</v>
          </cell>
          <cell r="GH169">
            <v>1</v>
          </cell>
          <cell r="GJ169">
            <v>7</v>
          </cell>
          <cell r="GM169">
            <v>37.01</v>
          </cell>
          <cell r="GN16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40.檢查勞工個人防護具：█有 □無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W169" t="str">
            <v>（一）施工廠商施工前檢查事項辦理情形：█完成 □未完成 （二）其他工地安全衛生督導事項：</v>
          </cell>
          <cell r="GX169">
            <v>853901</v>
          </cell>
          <cell r="GY169">
            <v>0</v>
          </cell>
        </row>
        <row r="170">
          <cell r="I170">
            <v>1</v>
          </cell>
          <cell r="N170">
            <v>1</v>
          </cell>
          <cell r="P170">
            <v>1</v>
          </cell>
          <cell r="R170">
            <v>672</v>
          </cell>
          <cell r="T170">
            <v>108</v>
          </cell>
          <cell r="V170">
            <v>661</v>
          </cell>
          <cell r="X170">
            <v>2</v>
          </cell>
          <cell r="Z170">
            <v>1</v>
          </cell>
          <cell r="AB170">
            <v>661</v>
          </cell>
          <cell r="AD170">
            <v>2</v>
          </cell>
          <cell r="AF170">
            <v>1</v>
          </cell>
          <cell r="AH170">
            <v>1</v>
          </cell>
          <cell r="AJ170">
            <v>1</v>
          </cell>
          <cell r="AL170">
            <v>0</v>
          </cell>
          <cell r="AN170">
            <v>0</v>
          </cell>
          <cell r="AP170">
            <v>0</v>
          </cell>
          <cell r="AR170">
            <v>0</v>
          </cell>
          <cell r="AT170">
            <v>0</v>
          </cell>
          <cell r="AV170">
            <v>0</v>
          </cell>
          <cell r="AX170">
            <v>0</v>
          </cell>
          <cell r="AZ170">
            <v>0</v>
          </cell>
          <cell r="BB170">
            <v>0</v>
          </cell>
          <cell r="BD170">
            <v>0</v>
          </cell>
          <cell r="BF170">
            <v>0</v>
          </cell>
          <cell r="BH170">
            <v>0</v>
          </cell>
          <cell r="BJ170">
            <v>0</v>
          </cell>
          <cell r="BL170">
            <v>0</v>
          </cell>
          <cell r="BN170">
            <v>0</v>
          </cell>
          <cell r="BP170">
            <v>0</v>
          </cell>
          <cell r="BR170">
            <v>0</v>
          </cell>
          <cell r="BT170">
            <v>0</v>
          </cell>
          <cell r="BV170">
            <v>0</v>
          </cell>
          <cell r="BX170">
            <v>0</v>
          </cell>
          <cell r="BZ170">
            <v>0</v>
          </cell>
          <cell r="CB170">
            <v>0</v>
          </cell>
          <cell r="CD170">
            <v>0</v>
          </cell>
          <cell r="CF170">
            <v>0</v>
          </cell>
          <cell r="CH170">
            <v>0</v>
          </cell>
          <cell r="CJ170">
            <v>0</v>
          </cell>
          <cell r="CL170">
            <v>0</v>
          </cell>
          <cell r="CN170">
            <v>0</v>
          </cell>
          <cell r="CP170">
            <v>0</v>
          </cell>
          <cell r="CR170">
            <v>0</v>
          </cell>
          <cell r="CT170">
            <v>0</v>
          </cell>
          <cell r="CV170">
            <v>0</v>
          </cell>
          <cell r="CX170">
            <v>0</v>
          </cell>
          <cell r="CZ170">
            <v>0</v>
          </cell>
          <cell r="DB170">
            <v>0</v>
          </cell>
          <cell r="DD170">
            <v>0</v>
          </cell>
          <cell r="DF170">
            <v>0</v>
          </cell>
          <cell r="DH170">
            <v>0</v>
          </cell>
          <cell r="DJ170">
            <v>0</v>
          </cell>
          <cell r="DL170">
            <v>0</v>
          </cell>
          <cell r="DN170">
            <v>0</v>
          </cell>
          <cell r="DP170">
            <v>0</v>
          </cell>
          <cell r="DR170">
            <v>0</v>
          </cell>
          <cell r="DT170">
            <v>0</v>
          </cell>
          <cell r="DV170">
            <v>0</v>
          </cell>
          <cell r="DX170">
            <v>0</v>
          </cell>
          <cell r="DZ170">
            <v>0</v>
          </cell>
          <cell r="EB170">
            <v>0</v>
          </cell>
          <cell r="ED170">
            <v>0</v>
          </cell>
          <cell r="EF170">
            <v>0</v>
          </cell>
          <cell r="EH170">
            <v>0</v>
          </cell>
          <cell r="EJ170">
            <v>0</v>
          </cell>
          <cell r="EL170">
            <v>0</v>
          </cell>
          <cell r="EN170">
            <v>0</v>
          </cell>
          <cell r="EP170">
            <v>0</v>
          </cell>
          <cell r="ER170">
            <v>0</v>
          </cell>
          <cell r="ET170">
            <v>0</v>
          </cell>
          <cell r="EV170">
            <v>0</v>
          </cell>
          <cell r="EX170">
            <v>0</v>
          </cell>
          <cell r="EZ170">
            <v>0</v>
          </cell>
          <cell r="FB170">
            <v>0</v>
          </cell>
          <cell r="FD170">
            <v>0</v>
          </cell>
          <cell r="FF170">
            <v>0</v>
          </cell>
          <cell r="FH170">
            <v>0</v>
          </cell>
          <cell r="FJ170">
            <v>0</v>
          </cell>
          <cell r="FL170">
            <v>0</v>
          </cell>
          <cell r="FN170">
            <v>0</v>
          </cell>
          <cell r="FP170">
            <v>0</v>
          </cell>
          <cell r="FR170">
            <v>0</v>
          </cell>
          <cell r="FT170">
            <v>0</v>
          </cell>
          <cell r="FV170">
            <v>0</v>
          </cell>
          <cell r="GD170">
            <v>14</v>
          </cell>
          <cell r="GF170">
            <v>4</v>
          </cell>
          <cell r="GH170">
            <v>1</v>
          </cell>
          <cell r="GJ170">
            <v>7</v>
          </cell>
          <cell r="GM170">
            <v>38.01</v>
          </cell>
          <cell r="GN17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41.檢查勞工個人防護具：█有 □無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W170" t="str">
            <v>（一）施工廠商施工前檢查事項辦理情形：█完成 □未完成 （二）其他工地安全衛生督導事項：</v>
          </cell>
          <cell r="GX170">
            <v>853901</v>
          </cell>
          <cell r="GY170">
            <v>0</v>
          </cell>
        </row>
        <row r="171">
          <cell r="I171">
            <v>1</v>
          </cell>
          <cell r="N171">
            <v>1</v>
          </cell>
          <cell r="P171">
            <v>1</v>
          </cell>
          <cell r="R171">
            <v>672</v>
          </cell>
          <cell r="T171">
            <v>108</v>
          </cell>
          <cell r="V171">
            <v>661</v>
          </cell>
          <cell r="X171">
            <v>2</v>
          </cell>
          <cell r="Z171">
            <v>1</v>
          </cell>
          <cell r="AB171">
            <v>661</v>
          </cell>
          <cell r="AD171">
            <v>2</v>
          </cell>
          <cell r="AF171">
            <v>1</v>
          </cell>
          <cell r="AH171">
            <v>1</v>
          </cell>
          <cell r="AJ171">
            <v>1</v>
          </cell>
          <cell r="AL171">
            <v>0</v>
          </cell>
          <cell r="AN171">
            <v>0</v>
          </cell>
          <cell r="AP171">
            <v>0</v>
          </cell>
          <cell r="AR171">
            <v>0</v>
          </cell>
          <cell r="AT171">
            <v>0</v>
          </cell>
          <cell r="AV171">
            <v>0</v>
          </cell>
          <cell r="AX171">
            <v>0</v>
          </cell>
          <cell r="AZ171">
            <v>0</v>
          </cell>
          <cell r="BB171">
            <v>0</v>
          </cell>
          <cell r="BD171">
            <v>0</v>
          </cell>
          <cell r="BF171">
            <v>0</v>
          </cell>
          <cell r="BH171">
            <v>0</v>
          </cell>
          <cell r="BJ171">
            <v>0</v>
          </cell>
          <cell r="BL171">
            <v>0</v>
          </cell>
          <cell r="BN171">
            <v>0</v>
          </cell>
          <cell r="BP171">
            <v>0</v>
          </cell>
          <cell r="BR171">
            <v>0</v>
          </cell>
          <cell r="BT171">
            <v>0</v>
          </cell>
          <cell r="BV171">
            <v>0</v>
          </cell>
          <cell r="BX171">
            <v>0</v>
          </cell>
          <cell r="BZ171">
            <v>0</v>
          </cell>
          <cell r="CB171">
            <v>0</v>
          </cell>
          <cell r="CD171">
            <v>0</v>
          </cell>
          <cell r="CF171">
            <v>0</v>
          </cell>
          <cell r="CH171">
            <v>0</v>
          </cell>
          <cell r="CJ171">
            <v>0</v>
          </cell>
          <cell r="CL171">
            <v>0</v>
          </cell>
          <cell r="CN171">
            <v>0</v>
          </cell>
          <cell r="CP171">
            <v>0</v>
          </cell>
          <cell r="CR171">
            <v>0</v>
          </cell>
          <cell r="CT171">
            <v>0</v>
          </cell>
          <cell r="CV171">
            <v>0</v>
          </cell>
          <cell r="CX171">
            <v>0</v>
          </cell>
          <cell r="CZ171">
            <v>0</v>
          </cell>
          <cell r="DB171">
            <v>0</v>
          </cell>
          <cell r="DD171">
            <v>0</v>
          </cell>
          <cell r="DF171">
            <v>0</v>
          </cell>
          <cell r="DH171">
            <v>0</v>
          </cell>
          <cell r="DJ171">
            <v>0</v>
          </cell>
          <cell r="DL171">
            <v>0</v>
          </cell>
          <cell r="DN171">
            <v>0</v>
          </cell>
          <cell r="DP171">
            <v>0</v>
          </cell>
          <cell r="DR171">
            <v>0</v>
          </cell>
          <cell r="DT171">
            <v>0</v>
          </cell>
          <cell r="DV171">
            <v>0</v>
          </cell>
          <cell r="DX171">
            <v>0</v>
          </cell>
          <cell r="DZ171">
            <v>0</v>
          </cell>
          <cell r="EB171">
            <v>0</v>
          </cell>
          <cell r="ED171">
            <v>0</v>
          </cell>
          <cell r="EF171">
            <v>0</v>
          </cell>
          <cell r="EH171">
            <v>0</v>
          </cell>
          <cell r="EJ171">
            <v>0</v>
          </cell>
          <cell r="EL171">
            <v>0</v>
          </cell>
          <cell r="EN171">
            <v>0</v>
          </cell>
          <cell r="EP171">
            <v>0</v>
          </cell>
          <cell r="ER171">
            <v>0</v>
          </cell>
          <cell r="ET171">
            <v>0</v>
          </cell>
          <cell r="EV171">
            <v>0</v>
          </cell>
          <cell r="EX171">
            <v>0</v>
          </cell>
          <cell r="EZ171">
            <v>0</v>
          </cell>
          <cell r="FB171">
            <v>0</v>
          </cell>
          <cell r="FD171">
            <v>0</v>
          </cell>
          <cell r="FF171">
            <v>0</v>
          </cell>
          <cell r="FH171">
            <v>0</v>
          </cell>
          <cell r="FJ171">
            <v>0</v>
          </cell>
          <cell r="FL171">
            <v>0</v>
          </cell>
          <cell r="FN171">
            <v>0</v>
          </cell>
          <cell r="FP171">
            <v>0</v>
          </cell>
          <cell r="FR171">
            <v>0</v>
          </cell>
          <cell r="FT171">
            <v>0</v>
          </cell>
          <cell r="FV171">
            <v>0</v>
          </cell>
          <cell r="GD171">
            <v>14</v>
          </cell>
          <cell r="GF171">
            <v>4</v>
          </cell>
          <cell r="GH171">
            <v>1</v>
          </cell>
          <cell r="GJ171">
            <v>7</v>
          </cell>
          <cell r="GM171">
            <v>39.01</v>
          </cell>
          <cell r="GN17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42.檢查勞工個人防護具：█有 □無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W171" t="str">
            <v>（一）施工廠商施工前檢查事項辦理情形：█完成 □未完成 （二）其他工地安全衛生督導事項：</v>
          </cell>
          <cell r="GX171">
            <v>853901</v>
          </cell>
          <cell r="GY171">
            <v>0</v>
          </cell>
        </row>
        <row r="172">
          <cell r="I172">
            <v>1</v>
          </cell>
          <cell r="N172">
            <v>1</v>
          </cell>
          <cell r="P172">
            <v>1</v>
          </cell>
          <cell r="R172">
            <v>672</v>
          </cell>
          <cell r="T172">
            <v>108</v>
          </cell>
          <cell r="V172">
            <v>661</v>
          </cell>
          <cell r="X172">
            <v>2</v>
          </cell>
          <cell r="Z172">
            <v>1</v>
          </cell>
          <cell r="AB172">
            <v>661</v>
          </cell>
          <cell r="AD172">
            <v>2</v>
          </cell>
          <cell r="AF172">
            <v>1</v>
          </cell>
          <cell r="AH172">
            <v>1</v>
          </cell>
          <cell r="AJ172">
            <v>1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0</v>
          </cell>
          <cell r="AX172">
            <v>0</v>
          </cell>
          <cell r="AZ172">
            <v>0</v>
          </cell>
          <cell r="BB172">
            <v>0</v>
          </cell>
          <cell r="BD172">
            <v>0</v>
          </cell>
          <cell r="BF172">
            <v>0</v>
          </cell>
          <cell r="BH172">
            <v>0</v>
          </cell>
          <cell r="BJ172">
            <v>0</v>
          </cell>
          <cell r="BL172">
            <v>0</v>
          </cell>
          <cell r="BN172">
            <v>0</v>
          </cell>
          <cell r="BP172">
            <v>0</v>
          </cell>
          <cell r="BR172">
            <v>0</v>
          </cell>
          <cell r="BT172">
            <v>0</v>
          </cell>
          <cell r="BV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V172">
            <v>0</v>
          </cell>
          <cell r="CX172">
            <v>0</v>
          </cell>
          <cell r="CZ172">
            <v>0</v>
          </cell>
          <cell r="DB172">
            <v>0</v>
          </cell>
          <cell r="DD172">
            <v>0</v>
          </cell>
          <cell r="DF172">
            <v>0</v>
          </cell>
          <cell r="DH172">
            <v>0</v>
          </cell>
          <cell r="DJ172">
            <v>0</v>
          </cell>
          <cell r="DL172">
            <v>0</v>
          </cell>
          <cell r="DN172">
            <v>0</v>
          </cell>
          <cell r="DP172">
            <v>0</v>
          </cell>
          <cell r="DR172">
            <v>0</v>
          </cell>
          <cell r="DT172">
            <v>0</v>
          </cell>
          <cell r="DV172">
            <v>0</v>
          </cell>
          <cell r="DX172">
            <v>0</v>
          </cell>
          <cell r="DZ172">
            <v>0</v>
          </cell>
          <cell r="EB172">
            <v>0</v>
          </cell>
          <cell r="ED172">
            <v>0</v>
          </cell>
          <cell r="EF172">
            <v>0</v>
          </cell>
          <cell r="EH172">
            <v>0</v>
          </cell>
          <cell r="EJ172">
            <v>0</v>
          </cell>
          <cell r="EL172">
            <v>0</v>
          </cell>
          <cell r="EN172">
            <v>0</v>
          </cell>
          <cell r="EP172">
            <v>0</v>
          </cell>
          <cell r="ER172">
            <v>0</v>
          </cell>
          <cell r="ET172">
            <v>0</v>
          </cell>
          <cell r="EV172">
            <v>0</v>
          </cell>
          <cell r="EX172">
            <v>0</v>
          </cell>
          <cell r="EZ172">
            <v>0</v>
          </cell>
          <cell r="FB172">
            <v>0</v>
          </cell>
          <cell r="FD172">
            <v>0</v>
          </cell>
          <cell r="FF172">
            <v>0</v>
          </cell>
          <cell r="FH172">
            <v>0</v>
          </cell>
          <cell r="FJ172">
            <v>0</v>
          </cell>
          <cell r="FL172">
            <v>0</v>
          </cell>
          <cell r="FN172">
            <v>0</v>
          </cell>
          <cell r="FP172">
            <v>0</v>
          </cell>
          <cell r="FR172">
            <v>0</v>
          </cell>
          <cell r="FT172">
            <v>0</v>
          </cell>
          <cell r="FV172">
            <v>0</v>
          </cell>
          <cell r="GD172">
            <v>14</v>
          </cell>
          <cell r="GF172">
            <v>4</v>
          </cell>
          <cell r="GH172">
            <v>1</v>
          </cell>
          <cell r="GJ172">
            <v>7</v>
          </cell>
          <cell r="GM172">
            <v>40.01</v>
          </cell>
          <cell r="GN17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43.檢查勞工個人防護具：█有 □無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W172" t="str">
            <v>（一）施工廠商施工前檢查事項辦理情形：█完成 □未完成 （二）其他工地安全衛生督導事項：</v>
          </cell>
          <cell r="GX172">
            <v>853901</v>
          </cell>
          <cell r="GY172">
            <v>0</v>
          </cell>
        </row>
        <row r="173">
          <cell r="I173">
            <v>1</v>
          </cell>
          <cell r="N173">
            <v>1</v>
          </cell>
          <cell r="P173">
            <v>1</v>
          </cell>
          <cell r="R173">
            <v>672</v>
          </cell>
          <cell r="T173">
            <v>108</v>
          </cell>
          <cell r="V173">
            <v>661</v>
          </cell>
          <cell r="X173">
            <v>2</v>
          </cell>
          <cell r="Z173">
            <v>1</v>
          </cell>
          <cell r="AB173">
            <v>661</v>
          </cell>
          <cell r="AD173">
            <v>2</v>
          </cell>
          <cell r="AF173">
            <v>1</v>
          </cell>
          <cell r="AH173">
            <v>1</v>
          </cell>
          <cell r="AJ173">
            <v>1</v>
          </cell>
          <cell r="AL173">
            <v>0</v>
          </cell>
          <cell r="AN173">
            <v>0</v>
          </cell>
          <cell r="AP173">
            <v>0</v>
          </cell>
          <cell r="AR173">
            <v>0</v>
          </cell>
          <cell r="AT173">
            <v>0</v>
          </cell>
          <cell r="AV173">
            <v>0</v>
          </cell>
          <cell r="AX173">
            <v>0</v>
          </cell>
          <cell r="AZ173">
            <v>0</v>
          </cell>
          <cell r="BB173">
            <v>0</v>
          </cell>
          <cell r="BD173">
            <v>0</v>
          </cell>
          <cell r="BF173">
            <v>0</v>
          </cell>
          <cell r="BH173">
            <v>0</v>
          </cell>
          <cell r="BJ173">
            <v>0</v>
          </cell>
          <cell r="BL173">
            <v>0</v>
          </cell>
          <cell r="BN173">
            <v>0</v>
          </cell>
          <cell r="BP173">
            <v>0</v>
          </cell>
          <cell r="BR173">
            <v>0</v>
          </cell>
          <cell r="BT173">
            <v>0</v>
          </cell>
          <cell r="BV173">
            <v>0</v>
          </cell>
          <cell r="BX173">
            <v>0</v>
          </cell>
          <cell r="BZ173">
            <v>0</v>
          </cell>
          <cell r="CB173">
            <v>0</v>
          </cell>
          <cell r="CD173">
            <v>0</v>
          </cell>
          <cell r="CF173">
            <v>0</v>
          </cell>
          <cell r="CH173">
            <v>0</v>
          </cell>
          <cell r="CJ173">
            <v>0</v>
          </cell>
          <cell r="CL173">
            <v>0</v>
          </cell>
          <cell r="CN173">
            <v>0</v>
          </cell>
          <cell r="CP173">
            <v>0</v>
          </cell>
          <cell r="CR173">
            <v>0</v>
          </cell>
          <cell r="CT173">
            <v>0</v>
          </cell>
          <cell r="CV173">
            <v>0</v>
          </cell>
          <cell r="CX173">
            <v>0</v>
          </cell>
          <cell r="CZ173">
            <v>0</v>
          </cell>
          <cell r="DB173">
            <v>0</v>
          </cell>
          <cell r="DD173">
            <v>0</v>
          </cell>
          <cell r="DF173">
            <v>0</v>
          </cell>
          <cell r="DH173">
            <v>0</v>
          </cell>
          <cell r="DJ173">
            <v>0</v>
          </cell>
          <cell r="DL173">
            <v>0</v>
          </cell>
          <cell r="DN173">
            <v>0</v>
          </cell>
          <cell r="DP173">
            <v>0</v>
          </cell>
          <cell r="DR173">
            <v>0</v>
          </cell>
          <cell r="DT173">
            <v>0</v>
          </cell>
          <cell r="DV173">
            <v>0</v>
          </cell>
          <cell r="DX173">
            <v>0</v>
          </cell>
          <cell r="DZ173">
            <v>0</v>
          </cell>
          <cell r="EB173">
            <v>0</v>
          </cell>
          <cell r="ED173">
            <v>0</v>
          </cell>
          <cell r="EF173">
            <v>0</v>
          </cell>
          <cell r="EH173">
            <v>0</v>
          </cell>
          <cell r="EJ173">
            <v>0</v>
          </cell>
          <cell r="EL173">
            <v>0</v>
          </cell>
          <cell r="EN173">
            <v>0</v>
          </cell>
          <cell r="EP173">
            <v>0</v>
          </cell>
          <cell r="ER173">
            <v>0</v>
          </cell>
          <cell r="ET173">
            <v>0</v>
          </cell>
          <cell r="EV173">
            <v>0</v>
          </cell>
          <cell r="EX173">
            <v>0</v>
          </cell>
          <cell r="EZ173">
            <v>0</v>
          </cell>
          <cell r="FB173">
            <v>0</v>
          </cell>
          <cell r="FD173">
            <v>0</v>
          </cell>
          <cell r="FF173">
            <v>0</v>
          </cell>
          <cell r="FH173">
            <v>0</v>
          </cell>
          <cell r="FJ173">
            <v>0</v>
          </cell>
          <cell r="FL173">
            <v>0</v>
          </cell>
          <cell r="FN173">
            <v>0</v>
          </cell>
          <cell r="FP173">
            <v>0</v>
          </cell>
          <cell r="FR173">
            <v>0</v>
          </cell>
          <cell r="FT173">
            <v>0</v>
          </cell>
          <cell r="FV173">
            <v>0</v>
          </cell>
          <cell r="GD173">
            <v>14</v>
          </cell>
          <cell r="GF173">
            <v>4</v>
          </cell>
          <cell r="GH173">
            <v>1</v>
          </cell>
          <cell r="GJ173">
            <v>7</v>
          </cell>
          <cell r="GM173">
            <v>41.01</v>
          </cell>
          <cell r="GN17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44.檢查勞工個人防護具：█有 □無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W173" t="str">
            <v>（一）施工廠商施工前檢查事項辦理情形：█完成 □未完成 （二）其他工地安全衛生督導事項：</v>
          </cell>
          <cell r="GX173">
            <v>853901</v>
          </cell>
          <cell r="GY173">
            <v>0</v>
          </cell>
        </row>
        <row r="174">
          <cell r="I174">
            <v>1</v>
          </cell>
          <cell r="N174">
            <v>1</v>
          </cell>
          <cell r="P174">
            <v>1</v>
          </cell>
          <cell r="R174">
            <v>672</v>
          </cell>
          <cell r="T174">
            <v>108</v>
          </cell>
          <cell r="V174">
            <v>661</v>
          </cell>
          <cell r="X174">
            <v>2</v>
          </cell>
          <cell r="Z174">
            <v>1</v>
          </cell>
          <cell r="AB174">
            <v>661</v>
          </cell>
          <cell r="AD174">
            <v>2</v>
          </cell>
          <cell r="AF174">
            <v>1</v>
          </cell>
          <cell r="AH174">
            <v>1</v>
          </cell>
          <cell r="AJ174">
            <v>1</v>
          </cell>
          <cell r="AL174">
            <v>0</v>
          </cell>
          <cell r="AN174">
            <v>0</v>
          </cell>
          <cell r="AP174">
            <v>0</v>
          </cell>
          <cell r="AR174">
            <v>0</v>
          </cell>
          <cell r="AT174">
            <v>0</v>
          </cell>
          <cell r="AV174">
            <v>0</v>
          </cell>
          <cell r="AX174">
            <v>0</v>
          </cell>
          <cell r="AZ174">
            <v>0</v>
          </cell>
          <cell r="BB174">
            <v>0</v>
          </cell>
          <cell r="BD174">
            <v>0</v>
          </cell>
          <cell r="BF174">
            <v>0</v>
          </cell>
          <cell r="BH174">
            <v>0</v>
          </cell>
          <cell r="BJ174">
            <v>0</v>
          </cell>
          <cell r="BL174">
            <v>0</v>
          </cell>
          <cell r="BN174">
            <v>0</v>
          </cell>
          <cell r="BP174">
            <v>0</v>
          </cell>
          <cell r="BR174">
            <v>0</v>
          </cell>
          <cell r="BT174">
            <v>0</v>
          </cell>
          <cell r="BV174">
            <v>0</v>
          </cell>
          <cell r="BX174">
            <v>0</v>
          </cell>
          <cell r="BZ174">
            <v>0</v>
          </cell>
          <cell r="CB174">
            <v>0</v>
          </cell>
          <cell r="CD174">
            <v>0</v>
          </cell>
          <cell r="CF174">
            <v>0</v>
          </cell>
          <cell r="CH174">
            <v>0</v>
          </cell>
          <cell r="CJ174">
            <v>0</v>
          </cell>
          <cell r="CL174">
            <v>0</v>
          </cell>
          <cell r="CN174">
            <v>0</v>
          </cell>
          <cell r="CP174">
            <v>0</v>
          </cell>
          <cell r="CR174">
            <v>0</v>
          </cell>
          <cell r="CT174">
            <v>0</v>
          </cell>
          <cell r="CV174">
            <v>0</v>
          </cell>
          <cell r="CX174">
            <v>0</v>
          </cell>
          <cell r="CZ174">
            <v>0</v>
          </cell>
          <cell r="DB174">
            <v>0</v>
          </cell>
          <cell r="DD174">
            <v>0</v>
          </cell>
          <cell r="DF174">
            <v>0</v>
          </cell>
          <cell r="DH174">
            <v>0</v>
          </cell>
          <cell r="DJ174">
            <v>0</v>
          </cell>
          <cell r="DL174">
            <v>0</v>
          </cell>
          <cell r="DN174">
            <v>0</v>
          </cell>
          <cell r="DP174">
            <v>0</v>
          </cell>
          <cell r="DR174">
            <v>0</v>
          </cell>
          <cell r="DT174">
            <v>0</v>
          </cell>
          <cell r="DV174">
            <v>0</v>
          </cell>
          <cell r="DX174">
            <v>0</v>
          </cell>
          <cell r="DZ174">
            <v>0</v>
          </cell>
          <cell r="EB174">
            <v>0</v>
          </cell>
          <cell r="ED174">
            <v>0</v>
          </cell>
          <cell r="EF174">
            <v>0</v>
          </cell>
          <cell r="EH174">
            <v>0</v>
          </cell>
          <cell r="EJ174">
            <v>0</v>
          </cell>
          <cell r="EL174">
            <v>0</v>
          </cell>
          <cell r="EN174">
            <v>0</v>
          </cell>
          <cell r="EP174">
            <v>0</v>
          </cell>
          <cell r="ER174">
            <v>0</v>
          </cell>
          <cell r="ET174">
            <v>0</v>
          </cell>
          <cell r="EV174">
            <v>0</v>
          </cell>
          <cell r="EX174">
            <v>0</v>
          </cell>
          <cell r="EZ174">
            <v>0</v>
          </cell>
          <cell r="FB174">
            <v>0</v>
          </cell>
          <cell r="FD174">
            <v>0</v>
          </cell>
          <cell r="FF174">
            <v>0</v>
          </cell>
          <cell r="FH174">
            <v>0</v>
          </cell>
          <cell r="FJ174">
            <v>0</v>
          </cell>
          <cell r="FL174">
            <v>0</v>
          </cell>
          <cell r="FN174">
            <v>0</v>
          </cell>
          <cell r="FP174">
            <v>0</v>
          </cell>
          <cell r="FR174">
            <v>0</v>
          </cell>
          <cell r="FT174">
            <v>0</v>
          </cell>
          <cell r="FV174">
            <v>0</v>
          </cell>
          <cell r="GD174">
            <v>14</v>
          </cell>
          <cell r="GF174">
            <v>4</v>
          </cell>
          <cell r="GH174">
            <v>1</v>
          </cell>
          <cell r="GJ174">
            <v>7</v>
          </cell>
          <cell r="GM174">
            <v>42.01</v>
          </cell>
          <cell r="GN17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45.檢查勞工個人防護具：█有 □無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W174" t="str">
            <v>（一）施工廠商施工前檢查事項辦理情形：█完成 □未完成 （二）其他工地安全衛生督導事項：</v>
          </cell>
          <cell r="GX174">
            <v>853901</v>
          </cell>
          <cell r="GY174">
            <v>0</v>
          </cell>
        </row>
        <row r="175">
          <cell r="I175">
            <v>1</v>
          </cell>
          <cell r="N175">
            <v>1</v>
          </cell>
          <cell r="P175">
            <v>1</v>
          </cell>
          <cell r="R175">
            <v>672</v>
          </cell>
          <cell r="T175">
            <v>108</v>
          </cell>
          <cell r="V175">
            <v>661</v>
          </cell>
          <cell r="X175">
            <v>2</v>
          </cell>
          <cell r="Z175">
            <v>1</v>
          </cell>
          <cell r="AB175">
            <v>661</v>
          </cell>
          <cell r="AD175">
            <v>2</v>
          </cell>
          <cell r="AF175">
            <v>1</v>
          </cell>
          <cell r="AH175">
            <v>1</v>
          </cell>
          <cell r="AJ175">
            <v>1</v>
          </cell>
          <cell r="AL175">
            <v>0</v>
          </cell>
          <cell r="AN175">
            <v>0</v>
          </cell>
          <cell r="AP175">
            <v>0</v>
          </cell>
          <cell r="AR175">
            <v>0</v>
          </cell>
          <cell r="AT175">
            <v>0</v>
          </cell>
          <cell r="AV175">
            <v>0</v>
          </cell>
          <cell r="AX175">
            <v>0</v>
          </cell>
          <cell r="AZ175">
            <v>0</v>
          </cell>
          <cell r="BB175">
            <v>0</v>
          </cell>
          <cell r="BD175">
            <v>0</v>
          </cell>
          <cell r="BF175">
            <v>0</v>
          </cell>
          <cell r="BH175">
            <v>0</v>
          </cell>
          <cell r="BJ175">
            <v>0</v>
          </cell>
          <cell r="BL175">
            <v>0</v>
          </cell>
          <cell r="BN175">
            <v>0</v>
          </cell>
          <cell r="BP175">
            <v>0</v>
          </cell>
          <cell r="BR175">
            <v>0</v>
          </cell>
          <cell r="BT175">
            <v>0</v>
          </cell>
          <cell r="BV175">
            <v>0</v>
          </cell>
          <cell r="BX175">
            <v>0</v>
          </cell>
          <cell r="BZ175">
            <v>0</v>
          </cell>
          <cell r="CB175">
            <v>0</v>
          </cell>
          <cell r="CD175">
            <v>0</v>
          </cell>
          <cell r="CF175">
            <v>0</v>
          </cell>
          <cell r="CH175">
            <v>0</v>
          </cell>
          <cell r="CJ175">
            <v>0</v>
          </cell>
          <cell r="CL175">
            <v>0</v>
          </cell>
          <cell r="CN175">
            <v>0</v>
          </cell>
          <cell r="CP175">
            <v>0</v>
          </cell>
          <cell r="CR175">
            <v>0</v>
          </cell>
          <cell r="CT175">
            <v>0</v>
          </cell>
          <cell r="CV175">
            <v>0</v>
          </cell>
          <cell r="CX175">
            <v>0</v>
          </cell>
          <cell r="CZ175">
            <v>0</v>
          </cell>
          <cell r="DB175">
            <v>0</v>
          </cell>
          <cell r="DD175">
            <v>0</v>
          </cell>
          <cell r="DF175">
            <v>0</v>
          </cell>
          <cell r="DH175">
            <v>0</v>
          </cell>
          <cell r="DJ175">
            <v>0</v>
          </cell>
          <cell r="DL175">
            <v>0</v>
          </cell>
          <cell r="DN175">
            <v>0</v>
          </cell>
          <cell r="DP175">
            <v>0</v>
          </cell>
          <cell r="DR175">
            <v>0</v>
          </cell>
          <cell r="DT175">
            <v>0</v>
          </cell>
          <cell r="DV175">
            <v>0</v>
          </cell>
          <cell r="DX175">
            <v>0</v>
          </cell>
          <cell r="DZ175">
            <v>0</v>
          </cell>
          <cell r="EB175">
            <v>0</v>
          </cell>
          <cell r="ED175">
            <v>0</v>
          </cell>
          <cell r="EF175">
            <v>0</v>
          </cell>
          <cell r="EH175">
            <v>0</v>
          </cell>
          <cell r="EJ175">
            <v>0</v>
          </cell>
          <cell r="EL175">
            <v>0</v>
          </cell>
          <cell r="EN175">
            <v>0</v>
          </cell>
          <cell r="EP175">
            <v>0</v>
          </cell>
          <cell r="ER175">
            <v>0</v>
          </cell>
          <cell r="ET175">
            <v>0</v>
          </cell>
          <cell r="EV175">
            <v>0</v>
          </cell>
          <cell r="EX175">
            <v>0</v>
          </cell>
          <cell r="EZ175">
            <v>0</v>
          </cell>
          <cell r="FB175">
            <v>0</v>
          </cell>
          <cell r="FD175">
            <v>0</v>
          </cell>
          <cell r="FF175">
            <v>0</v>
          </cell>
          <cell r="FH175">
            <v>0</v>
          </cell>
          <cell r="FJ175">
            <v>0</v>
          </cell>
          <cell r="FL175">
            <v>0</v>
          </cell>
          <cell r="FN175">
            <v>0</v>
          </cell>
          <cell r="FP175">
            <v>0</v>
          </cell>
          <cell r="FR175">
            <v>0</v>
          </cell>
          <cell r="FT175">
            <v>0</v>
          </cell>
          <cell r="FV175">
            <v>0</v>
          </cell>
          <cell r="GD175">
            <v>14</v>
          </cell>
          <cell r="GF175">
            <v>4</v>
          </cell>
          <cell r="GH175">
            <v>1</v>
          </cell>
          <cell r="GJ175">
            <v>7</v>
          </cell>
          <cell r="GM175">
            <v>43.01</v>
          </cell>
          <cell r="GN17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46.檢查勞工個人防護具：█有 □無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W175" t="str">
            <v>（一）施工廠商施工前檢查事項辦理情形：█完成 □未完成 （二）其他工地安全衛生督導事項：</v>
          </cell>
          <cell r="GX175">
            <v>853901</v>
          </cell>
          <cell r="GY175">
            <v>0</v>
          </cell>
        </row>
        <row r="176">
          <cell r="I176">
            <v>1</v>
          </cell>
          <cell r="N176">
            <v>1</v>
          </cell>
          <cell r="P176">
            <v>1</v>
          </cell>
          <cell r="R176">
            <v>672</v>
          </cell>
          <cell r="T176">
            <v>108</v>
          </cell>
          <cell r="V176">
            <v>661</v>
          </cell>
          <cell r="X176">
            <v>2</v>
          </cell>
          <cell r="Z176">
            <v>1</v>
          </cell>
          <cell r="AB176">
            <v>661</v>
          </cell>
          <cell r="AD176">
            <v>2</v>
          </cell>
          <cell r="AF176">
            <v>1</v>
          </cell>
          <cell r="AH176">
            <v>1</v>
          </cell>
          <cell r="AJ176">
            <v>1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0</v>
          </cell>
          <cell r="AX176">
            <v>0</v>
          </cell>
          <cell r="AZ176">
            <v>0</v>
          </cell>
          <cell r="BB176">
            <v>0</v>
          </cell>
          <cell r="BD176">
            <v>0</v>
          </cell>
          <cell r="BF176">
            <v>0</v>
          </cell>
          <cell r="BH176">
            <v>0</v>
          </cell>
          <cell r="BJ176">
            <v>0</v>
          </cell>
          <cell r="BL176">
            <v>0</v>
          </cell>
          <cell r="BN176">
            <v>0</v>
          </cell>
          <cell r="BP176">
            <v>0</v>
          </cell>
          <cell r="BR176">
            <v>0</v>
          </cell>
          <cell r="BT176">
            <v>0</v>
          </cell>
          <cell r="BV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V176">
            <v>0</v>
          </cell>
          <cell r="CX176">
            <v>0</v>
          </cell>
          <cell r="CZ176">
            <v>0</v>
          </cell>
          <cell r="DB176">
            <v>0</v>
          </cell>
          <cell r="DD176">
            <v>0</v>
          </cell>
          <cell r="DF176">
            <v>0</v>
          </cell>
          <cell r="DH176">
            <v>0</v>
          </cell>
          <cell r="DJ176">
            <v>0</v>
          </cell>
          <cell r="DL176">
            <v>0</v>
          </cell>
          <cell r="DN176">
            <v>0</v>
          </cell>
          <cell r="DP176">
            <v>0</v>
          </cell>
          <cell r="DR176">
            <v>0</v>
          </cell>
          <cell r="DT176">
            <v>0</v>
          </cell>
          <cell r="DV176">
            <v>0</v>
          </cell>
          <cell r="DX176">
            <v>0</v>
          </cell>
          <cell r="DZ176">
            <v>0</v>
          </cell>
          <cell r="EB176">
            <v>0</v>
          </cell>
          <cell r="ED176">
            <v>0</v>
          </cell>
          <cell r="EF176">
            <v>0</v>
          </cell>
          <cell r="EH176">
            <v>0</v>
          </cell>
          <cell r="EJ176">
            <v>0</v>
          </cell>
          <cell r="EL176">
            <v>0</v>
          </cell>
          <cell r="EN176">
            <v>0</v>
          </cell>
          <cell r="EP176">
            <v>0</v>
          </cell>
          <cell r="ER176">
            <v>0</v>
          </cell>
          <cell r="ET176">
            <v>0</v>
          </cell>
          <cell r="EV176">
            <v>0</v>
          </cell>
          <cell r="EX176">
            <v>0</v>
          </cell>
          <cell r="EZ176">
            <v>0</v>
          </cell>
          <cell r="FB176">
            <v>0</v>
          </cell>
          <cell r="FD176">
            <v>0</v>
          </cell>
          <cell r="FF176">
            <v>0</v>
          </cell>
          <cell r="FH176">
            <v>0</v>
          </cell>
          <cell r="FJ176">
            <v>0</v>
          </cell>
          <cell r="FL176">
            <v>0</v>
          </cell>
          <cell r="FN176">
            <v>0</v>
          </cell>
          <cell r="FP176">
            <v>0</v>
          </cell>
          <cell r="FR176">
            <v>0</v>
          </cell>
          <cell r="FT176">
            <v>0</v>
          </cell>
          <cell r="FV176">
            <v>0</v>
          </cell>
          <cell r="GD176">
            <v>14</v>
          </cell>
          <cell r="GF176">
            <v>4</v>
          </cell>
          <cell r="GH176">
            <v>1</v>
          </cell>
          <cell r="GJ176">
            <v>7</v>
          </cell>
          <cell r="GM176">
            <v>44.01</v>
          </cell>
          <cell r="GN17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47.檢查勞工個人防護具：█有 □無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W176" t="str">
            <v>（一）施工廠商施工前檢查事項辦理情形：█完成 □未完成 （二）其他工地安全衛生督導事項：</v>
          </cell>
          <cell r="GX176">
            <v>853901</v>
          </cell>
          <cell r="GY176">
            <v>0</v>
          </cell>
        </row>
        <row r="177">
          <cell r="I177">
            <v>1</v>
          </cell>
          <cell r="N177">
            <v>1</v>
          </cell>
          <cell r="P177">
            <v>1</v>
          </cell>
          <cell r="R177">
            <v>672</v>
          </cell>
          <cell r="T177">
            <v>108</v>
          </cell>
          <cell r="V177">
            <v>661</v>
          </cell>
          <cell r="X177">
            <v>2</v>
          </cell>
          <cell r="Z177">
            <v>1</v>
          </cell>
          <cell r="AB177">
            <v>661</v>
          </cell>
          <cell r="AD177">
            <v>2</v>
          </cell>
          <cell r="AF177">
            <v>1</v>
          </cell>
          <cell r="AH177">
            <v>1</v>
          </cell>
          <cell r="AJ177">
            <v>1</v>
          </cell>
          <cell r="AL177">
            <v>0</v>
          </cell>
          <cell r="AN177">
            <v>0</v>
          </cell>
          <cell r="AP177">
            <v>0</v>
          </cell>
          <cell r="AR177">
            <v>0</v>
          </cell>
          <cell r="AT177">
            <v>0</v>
          </cell>
          <cell r="AV177">
            <v>0</v>
          </cell>
          <cell r="AX177">
            <v>0</v>
          </cell>
          <cell r="AZ177">
            <v>0</v>
          </cell>
          <cell r="BB177">
            <v>0</v>
          </cell>
          <cell r="BD177">
            <v>0</v>
          </cell>
          <cell r="BF177">
            <v>0</v>
          </cell>
          <cell r="BH177">
            <v>0</v>
          </cell>
          <cell r="BJ177">
            <v>0</v>
          </cell>
          <cell r="BL177">
            <v>0</v>
          </cell>
          <cell r="BN177">
            <v>0</v>
          </cell>
          <cell r="BP177">
            <v>0</v>
          </cell>
          <cell r="BR177">
            <v>0</v>
          </cell>
          <cell r="BT177">
            <v>0</v>
          </cell>
          <cell r="BV177">
            <v>0</v>
          </cell>
          <cell r="BX177">
            <v>0</v>
          </cell>
          <cell r="BZ177">
            <v>0</v>
          </cell>
          <cell r="CB177">
            <v>0</v>
          </cell>
          <cell r="CD177">
            <v>0</v>
          </cell>
          <cell r="CF177">
            <v>0</v>
          </cell>
          <cell r="CH177">
            <v>0</v>
          </cell>
          <cell r="CJ177">
            <v>0</v>
          </cell>
          <cell r="CL177">
            <v>0</v>
          </cell>
          <cell r="CN177">
            <v>0</v>
          </cell>
          <cell r="CP177">
            <v>0</v>
          </cell>
          <cell r="CR177">
            <v>0</v>
          </cell>
          <cell r="CT177">
            <v>0</v>
          </cell>
          <cell r="CV177">
            <v>0</v>
          </cell>
          <cell r="CX177">
            <v>0</v>
          </cell>
          <cell r="CZ177">
            <v>0</v>
          </cell>
          <cell r="DB177">
            <v>0</v>
          </cell>
          <cell r="DD177">
            <v>0</v>
          </cell>
          <cell r="DF177">
            <v>0</v>
          </cell>
          <cell r="DH177">
            <v>0</v>
          </cell>
          <cell r="DJ177">
            <v>0</v>
          </cell>
          <cell r="DL177">
            <v>0</v>
          </cell>
          <cell r="DN177">
            <v>0</v>
          </cell>
          <cell r="DP177">
            <v>0</v>
          </cell>
          <cell r="DR177">
            <v>0</v>
          </cell>
          <cell r="DT177">
            <v>0</v>
          </cell>
          <cell r="DV177">
            <v>0</v>
          </cell>
          <cell r="DX177">
            <v>0</v>
          </cell>
          <cell r="DZ177">
            <v>0</v>
          </cell>
          <cell r="EB177">
            <v>0</v>
          </cell>
          <cell r="ED177">
            <v>0</v>
          </cell>
          <cell r="EF177">
            <v>0</v>
          </cell>
          <cell r="EH177">
            <v>0</v>
          </cell>
          <cell r="EJ177">
            <v>0</v>
          </cell>
          <cell r="EL177">
            <v>0</v>
          </cell>
          <cell r="EN177">
            <v>0</v>
          </cell>
          <cell r="EP177">
            <v>0</v>
          </cell>
          <cell r="ER177">
            <v>0</v>
          </cell>
          <cell r="ET177">
            <v>0</v>
          </cell>
          <cell r="EV177">
            <v>0</v>
          </cell>
          <cell r="EX177">
            <v>0</v>
          </cell>
          <cell r="EZ177">
            <v>0</v>
          </cell>
          <cell r="FB177">
            <v>0</v>
          </cell>
          <cell r="FD177">
            <v>0</v>
          </cell>
          <cell r="FF177">
            <v>0</v>
          </cell>
          <cell r="FH177">
            <v>0</v>
          </cell>
          <cell r="FJ177">
            <v>0</v>
          </cell>
          <cell r="FL177">
            <v>0</v>
          </cell>
          <cell r="FN177">
            <v>0</v>
          </cell>
          <cell r="FP177">
            <v>0</v>
          </cell>
          <cell r="FR177">
            <v>0</v>
          </cell>
          <cell r="FT177">
            <v>0</v>
          </cell>
          <cell r="FV177">
            <v>0</v>
          </cell>
          <cell r="GD177">
            <v>14</v>
          </cell>
          <cell r="GF177">
            <v>4</v>
          </cell>
          <cell r="GH177">
            <v>1</v>
          </cell>
          <cell r="GJ177">
            <v>7</v>
          </cell>
          <cell r="GM177">
            <v>45.01</v>
          </cell>
          <cell r="GN17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48.檢查勞工個人防護具：█有 □無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W177" t="str">
            <v>（一）施工廠商施工前檢查事項辦理情形：█完成 □未完成 （二）其他工地安全衛生督導事項：</v>
          </cell>
          <cell r="GX177">
            <v>853901</v>
          </cell>
          <cell r="GY177">
            <v>0</v>
          </cell>
        </row>
        <row r="178">
          <cell r="I178">
            <v>1</v>
          </cell>
          <cell r="N178">
            <v>1</v>
          </cell>
          <cell r="P178">
            <v>1</v>
          </cell>
          <cell r="R178">
            <v>672</v>
          </cell>
          <cell r="T178">
            <v>108</v>
          </cell>
          <cell r="V178">
            <v>661</v>
          </cell>
          <cell r="X178">
            <v>2</v>
          </cell>
          <cell r="Z178">
            <v>1</v>
          </cell>
          <cell r="AB178">
            <v>661</v>
          </cell>
          <cell r="AD178">
            <v>2</v>
          </cell>
          <cell r="AF178">
            <v>1</v>
          </cell>
          <cell r="AH178">
            <v>1</v>
          </cell>
          <cell r="AJ178">
            <v>1</v>
          </cell>
          <cell r="AL178">
            <v>0</v>
          </cell>
          <cell r="AN178">
            <v>0</v>
          </cell>
          <cell r="AP178">
            <v>0</v>
          </cell>
          <cell r="AR178">
            <v>0</v>
          </cell>
          <cell r="AT178">
            <v>0</v>
          </cell>
          <cell r="AV178">
            <v>0</v>
          </cell>
          <cell r="AX178">
            <v>0</v>
          </cell>
          <cell r="AZ178">
            <v>0</v>
          </cell>
          <cell r="BB178">
            <v>0</v>
          </cell>
          <cell r="BD178">
            <v>0</v>
          </cell>
          <cell r="BF178">
            <v>0</v>
          </cell>
          <cell r="BH178">
            <v>0</v>
          </cell>
          <cell r="BJ178">
            <v>0</v>
          </cell>
          <cell r="BL178">
            <v>0</v>
          </cell>
          <cell r="BN178">
            <v>0</v>
          </cell>
          <cell r="BP178">
            <v>0</v>
          </cell>
          <cell r="BR178">
            <v>0</v>
          </cell>
          <cell r="BT178">
            <v>0</v>
          </cell>
          <cell r="BV178">
            <v>0</v>
          </cell>
          <cell r="BX178">
            <v>0</v>
          </cell>
          <cell r="BZ178">
            <v>0</v>
          </cell>
          <cell r="CB178">
            <v>0</v>
          </cell>
          <cell r="CD178">
            <v>0</v>
          </cell>
          <cell r="CF178">
            <v>0</v>
          </cell>
          <cell r="CH178">
            <v>0</v>
          </cell>
          <cell r="CJ178">
            <v>0</v>
          </cell>
          <cell r="CL178">
            <v>0</v>
          </cell>
          <cell r="CN178">
            <v>0</v>
          </cell>
          <cell r="CP178">
            <v>0</v>
          </cell>
          <cell r="CR178">
            <v>0</v>
          </cell>
          <cell r="CT178">
            <v>0</v>
          </cell>
          <cell r="CV178">
            <v>0</v>
          </cell>
          <cell r="CX178">
            <v>0</v>
          </cell>
          <cell r="CZ178">
            <v>0</v>
          </cell>
          <cell r="DB178">
            <v>0</v>
          </cell>
          <cell r="DD178">
            <v>0</v>
          </cell>
          <cell r="DF178">
            <v>0</v>
          </cell>
          <cell r="DH178">
            <v>0</v>
          </cell>
          <cell r="DJ178">
            <v>0</v>
          </cell>
          <cell r="DL178">
            <v>0</v>
          </cell>
          <cell r="DN178">
            <v>0</v>
          </cell>
          <cell r="DP178">
            <v>0</v>
          </cell>
          <cell r="DR178">
            <v>0</v>
          </cell>
          <cell r="DT178">
            <v>0</v>
          </cell>
          <cell r="DV178">
            <v>0</v>
          </cell>
          <cell r="DX178">
            <v>0</v>
          </cell>
          <cell r="DZ178">
            <v>0</v>
          </cell>
          <cell r="EB178">
            <v>0</v>
          </cell>
          <cell r="ED178">
            <v>0</v>
          </cell>
          <cell r="EF178">
            <v>0</v>
          </cell>
          <cell r="EH178">
            <v>0</v>
          </cell>
          <cell r="EJ178">
            <v>0</v>
          </cell>
          <cell r="EL178">
            <v>0</v>
          </cell>
          <cell r="EN178">
            <v>0</v>
          </cell>
          <cell r="EP178">
            <v>0</v>
          </cell>
          <cell r="ER178">
            <v>0</v>
          </cell>
          <cell r="ET178">
            <v>0</v>
          </cell>
          <cell r="EV178">
            <v>0</v>
          </cell>
          <cell r="EX178">
            <v>0</v>
          </cell>
          <cell r="EZ178">
            <v>0</v>
          </cell>
          <cell r="FB178">
            <v>0</v>
          </cell>
          <cell r="FD178">
            <v>0</v>
          </cell>
          <cell r="FF178">
            <v>0</v>
          </cell>
          <cell r="FH178">
            <v>0</v>
          </cell>
          <cell r="FJ178">
            <v>0</v>
          </cell>
          <cell r="FL178">
            <v>0</v>
          </cell>
          <cell r="FN178">
            <v>0</v>
          </cell>
          <cell r="FP178">
            <v>0</v>
          </cell>
          <cell r="FR178">
            <v>0</v>
          </cell>
          <cell r="FT178">
            <v>0</v>
          </cell>
          <cell r="FV178">
            <v>0</v>
          </cell>
          <cell r="GD178">
            <v>14</v>
          </cell>
          <cell r="GF178">
            <v>4</v>
          </cell>
          <cell r="GH178">
            <v>1</v>
          </cell>
          <cell r="GJ178">
            <v>7</v>
          </cell>
          <cell r="GM178">
            <v>46.01</v>
          </cell>
          <cell r="GN17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49.檢查勞工個人防護具：█有 □無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W178" t="str">
            <v>（一）施工廠商施工前檢查事項辦理情形：█完成 □未完成 （二）其他工地安全衛生督導事項：</v>
          </cell>
          <cell r="GX178">
            <v>853901</v>
          </cell>
          <cell r="GY178">
            <v>0</v>
          </cell>
        </row>
        <row r="179">
          <cell r="I179">
            <v>1</v>
          </cell>
          <cell r="N179">
            <v>1</v>
          </cell>
          <cell r="P179">
            <v>1</v>
          </cell>
          <cell r="R179">
            <v>672</v>
          </cell>
          <cell r="T179">
            <v>108</v>
          </cell>
          <cell r="V179">
            <v>661</v>
          </cell>
          <cell r="X179">
            <v>2</v>
          </cell>
          <cell r="Z179">
            <v>1</v>
          </cell>
          <cell r="AB179">
            <v>661</v>
          </cell>
          <cell r="AD179">
            <v>2</v>
          </cell>
          <cell r="AF179">
            <v>1</v>
          </cell>
          <cell r="AH179">
            <v>1</v>
          </cell>
          <cell r="AJ179">
            <v>1</v>
          </cell>
          <cell r="AL179">
            <v>0</v>
          </cell>
          <cell r="AN179">
            <v>0</v>
          </cell>
          <cell r="AP179">
            <v>0</v>
          </cell>
          <cell r="AR179">
            <v>0</v>
          </cell>
          <cell r="AT179">
            <v>0</v>
          </cell>
          <cell r="AV179">
            <v>0</v>
          </cell>
          <cell r="AX179">
            <v>0</v>
          </cell>
          <cell r="AZ179">
            <v>0</v>
          </cell>
          <cell r="BB179">
            <v>0</v>
          </cell>
          <cell r="BD179">
            <v>0</v>
          </cell>
          <cell r="BF179">
            <v>0</v>
          </cell>
          <cell r="BH179">
            <v>0</v>
          </cell>
          <cell r="BJ179">
            <v>0</v>
          </cell>
          <cell r="BL179">
            <v>0</v>
          </cell>
          <cell r="BN179">
            <v>0</v>
          </cell>
          <cell r="BP179">
            <v>0</v>
          </cell>
          <cell r="BR179">
            <v>0</v>
          </cell>
          <cell r="BT179">
            <v>0</v>
          </cell>
          <cell r="BV179">
            <v>0</v>
          </cell>
          <cell r="BX179">
            <v>0</v>
          </cell>
          <cell r="BZ179">
            <v>0</v>
          </cell>
          <cell r="CB179">
            <v>0</v>
          </cell>
          <cell r="CD179">
            <v>0</v>
          </cell>
          <cell r="CF179">
            <v>0</v>
          </cell>
          <cell r="CH179">
            <v>0</v>
          </cell>
          <cell r="CJ179">
            <v>0</v>
          </cell>
          <cell r="CL179">
            <v>0</v>
          </cell>
          <cell r="CN179">
            <v>0</v>
          </cell>
          <cell r="CP179">
            <v>0</v>
          </cell>
          <cell r="CR179">
            <v>0</v>
          </cell>
          <cell r="CT179">
            <v>0</v>
          </cell>
          <cell r="CV179">
            <v>0</v>
          </cell>
          <cell r="CX179">
            <v>0</v>
          </cell>
          <cell r="CZ179">
            <v>0</v>
          </cell>
          <cell r="DB179">
            <v>0</v>
          </cell>
          <cell r="DD179">
            <v>0</v>
          </cell>
          <cell r="DF179">
            <v>0</v>
          </cell>
          <cell r="DH179">
            <v>0</v>
          </cell>
          <cell r="DJ179">
            <v>0</v>
          </cell>
          <cell r="DL179">
            <v>0</v>
          </cell>
          <cell r="DN179">
            <v>0</v>
          </cell>
          <cell r="DP179">
            <v>0</v>
          </cell>
          <cell r="DR179">
            <v>0</v>
          </cell>
          <cell r="DT179">
            <v>0</v>
          </cell>
          <cell r="DV179">
            <v>0</v>
          </cell>
          <cell r="DX179">
            <v>0</v>
          </cell>
          <cell r="DZ179">
            <v>0</v>
          </cell>
          <cell r="EB179">
            <v>0</v>
          </cell>
          <cell r="ED179">
            <v>0</v>
          </cell>
          <cell r="EF179">
            <v>0</v>
          </cell>
          <cell r="EH179">
            <v>0</v>
          </cell>
          <cell r="EJ179">
            <v>0</v>
          </cell>
          <cell r="EL179">
            <v>0</v>
          </cell>
          <cell r="EN179">
            <v>0</v>
          </cell>
          <cell r="EP179">
            <v>0</v>
          </cell>
          <cell r="ER179">
            <v>0</v>
          </cell>
          <cell r="ET179">
            <v>0</v>
          </cell>
          <cell r="EV179">
            <v>0</v>
          </cell>
          <cell r="EX179">
            <v>0</v>
          </cell>
          <cell r="EZ179">
            <v>0</v>
          </cell>
          <cell r="FB179">
            <v>0</v>
          </cell>
          <cell r="FD179">
            <v>0</v>
          </cell>
          <cell r="FF179">
            <v>0</v>
          </cell>
          <cell r="FH179">
            <v>0</v>
          </cell>
          <cell r="FJ179">
            <v>0</v>
          </cell>
          <cell r="FL179">
            <v>0</v>
          </cell>
          <cell r="FN179">
            <v>0</v>
          </cell>
          <cell r="FP179">
            <v>0</v>
          </cell>
          <cell r="FR179">
            <v>0</v>
          </cell>
          <cell r="FT179">
            <v>0</v>
          </cell>
          <cell r="FV179">
            <v>0</v>
          </cell>
          <cell r="GD179">
            <v>14</v>
          </cell>
          <cell r="GF179">
            <v>4</v>
          </cell>
          <cell r="GH179">
            <v>1</v>
          </cell>
          <cell r="GJ179">
            <v>7</v>
          </cell>
          <cell r="GM179">
            <v>47.01</v>
          </cell>
          <cell r="GN17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50.檢查勞工個人防護具：█有 □無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W179" t="str">
            <v>（一）施工廠商施工前檢查事項辦理情形：█完成 □未完成 （二）其他工地安全衛生督導事項：</v>
          </cell>
          <cell r="GX179">
            <v>853901</v>
          </cell>
          <cell r="GY179">
            <v>0</v>
          </cell>
        </row>
        <row r="180">
          <cell r="I180">
            <v>1</v>
          </cell>
          <cell r="N180">
            <v>1</v>
          </cell>
          <cell r="P180">
            <v>1</v>
          </cell>
          <cell r="R180">
            <v>672</v>
          </cell>
          <cell r="T180">
            <v>108</v>
          </cell>
          <cell r="V180">
            <v>661</v>
          </cell>
          <cell r="X180">
            <v>2</v>
          </cell>
          <cell r="Z180">
            <v>1</v>
          </cell>
          <cell r="AB180">
            <v>661</v>
          </cell>
          <cell r="AD180">
            <v>2</v>
          </cell>
          <cell r="AF180">
            <v>1</v>
          </cell>
          <cell r="AH180">
            <v>1</v>
          </cell>
          <cell r="AJ180">
            <v>1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0</v>
          </cell>
          <cell r="AX180">
            <v>0</v>
          </cell>
          <cell r="AZ180">
            <v>0</v>
          </cell>
          <cell r="BB180">
            <v>0</v>
          </cell>
          <cell r="BD180">
            <v>0</v>
          </cell>
          <cell r="BF180">
            <v>0</v>
          </cell>
          <cell r="BH180">
            <v>0</v>
          </cell>
          <cell r="BJ180">
            <v>0</v>
          </cell>
          <cell r="BL180">
            <v>0</v>
          </cell>
          <cell r="BN180">
            <v>0</v>
          </cell>
          <cell r="BP180">
            <v>0</v>
          </cell>
          <cell r="BR180">
            <v>0</v>
          </cell>
          <cell r="BT180">
            <v>0</v>
          </cell>
          <cell r="BV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V180">
            <v>0</v>
          </cell>
          <cell r="CX180">
            <v>0</v>
          </cell>
          <cell r="CZ180">
            <v>0</v>
          </cell>
          <cell r="DB180">
            <v>0</v>
          </cell>
          <cell r="DD180">
            <v>0</v>
          </cell>
          <cell r="DF180">
            <v>0</v>
          </cell>
          <cell r="DH180">
            <v>0</v>
          </cell>
          <cell r="DJ180">
            <v>0</v>
          </cell>
          <cell r="DL180">
            <v>0</v>
          </cell>
          <cell r="DN180">
            <v>0</v>
          </cell>
          <cell r="DP180">
            <v>0</v>
          </cell>
          <cell r="DR180">
            <v>0</v>
          </cell>
          <cell r="DT180">
            <v>0</v>
          </cell>
          <cell r="DV180">
            <v>0</v>
          </cell>
          <cell r="DX180">
            <v>0</v>
          </cell>
          <cell r="DZ180">
            <v>0</v>
          </cell>
          <cell r="EB180">
            <v>0</v>
          </cell>
          <cell r="ED180">
            <v>0</v>
          </cell>
          <cell r="EF180">
            <v>0</v>
          </cell>
          <cell r="EH180">
            <v>0</v>
          </cell>
          <cell r="EJ180">
            <v>0</v>
          </cell>
          <cell r="EL180">
            <v>0</v>
          </cell>
          <cell r="EN180">
            <v>0</v>
          </cell>
          <cell r="EP180">
            <v>0</v>
          </cell>
          <cell r="ER180">
            <v>0</v>
          </cell>
          <cell r="ET180">
            <v>0</v>
          </cell>
          <cell r="EV180">
            <v>0</v>
          </cell>
          <cell r="EX180">
            <v>0</v>
          </cell>
          <cell r="EZ180">
            <v>0</v>
          </cell>
          <cell r="FB180">
            <v>0</v>
          </cell>
          <cell r="FD180">
            <v>0</v>
          </cell>
          <cell r="FF180">
            <v>0</v>
          </cell>
          <cell r="FH180">
            <v>0</v>
          </cell>
          <cell r="FJ180">
            <v>0</v>
          </cell>
          <cell r="FL180">
            <v>0</v>
          </cell>
          <cell r="FN180">
            <v>0</v>
          </cell>
          <cell r="FP180">
            <v>0</v>
          </cell>
          <cell r="FR180">
            <v>0</v>
          </cell>
          <cell r="FT180">
            <v>0</v>
          </cell>
          <cell r="FV180">
            <v>0</v>
          </cell>
          <cell r="GD180">
            <v>14</v>
          </cell>
          <cell r="GF180">
            <v>4</v>
          </cell>
          <cell r="GH180">
            <v>1</v>
          </cell>
          <cell r="GJ180">
            <v>7</v>
          </cell>
          <cell r="GM180">
            <v>48.01</v>
          </cell>
          <cell r="GN18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51.檢查勞工個人防護具：█有 □無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W180" t="str">
            <v>（一）施工廠商施工前檢查事項辦理情形：█完成 □未完成 （二）其他工地安全衛生督導事項：</v>
          </cell>
          <cell r="GX180">
            <v>853901</v>
          </cell>
          <cell r="GY180">
            <v>0</v>
          </cell>
        </row>
        <row r="181">
          <cell r="I181">
            <v>1</v>
          </cell>
          <cell r="N181">
            <v>1</v>
          </cell>
          <cell r="P181">
            <v>1</v>
          </cell>
          <cell r="R181">
            <v>672</v>
          </cell>
          <cell r="T181">
            <v>108</v>
          </cell>
          <cell r="V181">
            <v>661</v>
          </cell>
          <cell r="X181">
            <v>2</v>
          </cell>
          <cell r="Z181">
            <v>1</v>
          </cell>
          <cell r="AB181">
            <v>661</v>
          </cell>
          <cell r="AD181">
            <v>2</v>
          </cell>
          <cell r="AF181">
            <v>1</v>
          </cell>
          <cell r="AH181">
            <v>1</v>
          </cell>
          <cell r="AJ181">
            <v>1</v>
          </cell>
          <cell r="AL181">
            <v>0</v>
          </cell>
          <cell r="AN181">
            <v>0</v>
          </cell>
          <cell r="AP181">
            <v>0</v>
          </cell>
          <cell r="AR181">
            <v>0</v>
          </cell>
          <cell r="AT181">
            <v>0</v>
          </cell>
          <cell r="AV181">
            <v>0</v>
          </cell>
          <cell r="AX181">
            <v>0</v>
          </cell>
          <cell r="AZ181">
            <v>0</v>
          </cell>
          <cell r="BB181">
            <v>0</v>
          </cell>
          <cell r="BD181">
            <v>0</v>
          </cell>
          <cell r="BF181">
            <v>0</v>
          </cell>
          <cell r="BH181">
            <v>0</v>
          </cell>
          <cell r="BJ181">
            <v>0</v>
          </cell>
          <cell r="BL181">
            <v>0</v>
          </cell>
          <cell r="BN181">
            <v>0</v>
          </cell>
          <cell r="BP181">
            <v>0</v>
          </cell>
          <cell r="BR181">
            <v>0</v>
          </cell>
          <cell r="BT181">
            <v>0</v>
          </cell>
          <cell r="BV181">
            <v>0</v>
          </cell>
          <cell r="BX181">
            <v>0</v>
          </cell>
          <cell r="BZ181">
            <v>0</v>
          </cell>
          <cell r="CB181">
            <v>0</v>
          </cell>
          <cell r="CD181">
            <v>0</v>
          </cell>
          <cell r="CF181">
            <v>0</v>
          </cell>
          <cell r="CH181">
            <v>0</v>
          </cell>
          <cell r="CJ181">
            <v>0</v>
          </cell>
          <cell r="CL181">
            <v>0</v>
          </cell>
          <cell r="CN181">
            <v>0</v>
          </cell>
          <cell r="CP181">
            <v>0</v>
          </cell>
          <cell r="CR181">
            <v>0</v>
          </cell>
          <cell r="CT181">
            <v>0</v>
          </cell>
          <cell r="CV181">
            <v>0</v>
          </cell>
          <cell r="CX181">
            <v>0</v>
          </cell>
          <cell r="CZ181">
            <v>0</v>
          </cell>
          <cell r="DB181">
            <v>0</v>
          </cell>
          <cell r="DD181">
            <v>0</v>
          </cell>
          <cell r="DF181">
            <v>0</v>
          </cell>
          <cell r="DH181">
            <v>0</v>
          </cell>
          <cell r="DJ181">
            <v>0</v>
          </cell>
          <cell r="DL181">
            <v>0</v>
          </cell>
          <cell r="DN181">
            <v>0</v>
          </cell>
          <cell r="DP181">
            <v>0</v>
          </cell>
          <cell r="DR181">
            <v>0</v>
          </cell>
          <cell r="DT181">
            <v>0</v>
          </cell>
          <cell r="DV181">
            <v>0</v>
          </cell>
          <cell r="DX181">
            <v>0</v>
          </cell>
          <cell r="DZ181">
            <v>0</v>
          </cell>
          <cell r="EB181">
            <v>0</v>
          </cell>
          <cell r="ED181">
            <v>0</v>
          </cell>
          <cell r="EF181">
            <v>0</v>
          </cell>
          <cell r="EH181">
            <v>0</v>
          </cell>
          <cell r="EJ181">
            <v>0</v>
          </cell>
          <cell r="EL181">
            <v>0</v>
          </cell>
          <cell r="EN181">
            <v>0</v>
          </cell>
          <cell r="EP181">
            <v>0</v>
          </cell>
          <cell r="ER181">
            <v>0</v>
          </cell>
          <cell r="ET181">
            <v>0</v>
          </cell>
          <cell r="EV181">
            <v>0</v>
          </cell>
          <cell r="EX181">
            <v>0</v>
          </cell>
          <cell r="EZ181">
            <v>0</v>
          </cell>
          <cell r="FB181">
            <v>0</v>
          </cell>
          <cell r="FD181">
            <v>0</v>
          </cell>
          <cell r="FF181">
            <v>0</v>
          </cell>
          <cell r="FH181">
            <v>0</v>
          </cell>
          <cell r="FJ181">
            <v>0</v>
          </cell>
          <cell r="FL181">
            <v>0</v>
          </cell>
          <cell r="FN181">
            <v>0</v>
          </cell>
          <cell r="FP181">
            <v>0</v>
          </cell>
          <cell r="FR181">
            <v>0</v>
          </cell>
          <cell r="FT181">
            <v>0</v>
          </cell>
          <cell r="FV181">
            <v>0</v>
          </cell>
          <cell r="GD181">
            <v>14</v>
          </cell>
          <cell r="GF181">
            <v>4</v>
          </cell>
          <cell r="GH181">
            <v>1</v>
          </cell>
          <cell r="GJ181">
            <v>7</v>
          </cell>
          <cell r="GM181">
            <v>49.01</v>
          </cell>
          <cell r="GN18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52.檢查勞工個人防護具：█有 □無</v>
          </cell>
          <cell r="GP181">
            <v>0</v>
          </cell>
          <cell r="GQ181">
            <v>0</v>
          </cell>
          <cell r="GR181">
            <v>0</v>
          </cell>
          <cell r="GS181" t="e">
            <v>#REF!</v>
          </cell>
          <cell r="GT181">
            <v>0</v>
          </cell>
          <cell r="GW181" t="str">
            <v>（一）施工廠商施工前檢查事項辦理情形：█完成 □未完成 （二）其他工地安全衛生督導事項：</v>
          </cell>
          <cell r="GX181">
            <v>853901</v>
          </cell>
          <cell r="GY181">
            <v>0</v>
          </cell>
        </row>
        <row r="182">
          <cell r="I182">
            <v>1</v>
          </cell>
          <cell r="N182">
            <v>1</v>
          </cell>
          <cell r="P182">
            <v>1</v>
          </cell>
          <cell r="R182">
            <v>672</v>
          </cell>
          <cell r="T182">
            <v>108</v>
          </cell>
          <cell r="V182">
            <v>661</v>
          </cell>
          <cell r="X182">
            <v>2</v>
          </cell>
          <cell r="Z182">
            <v>1</v>
          </cell>
          <cell r="AB182">
            <v>661</v>
          </cell>
          <cell r="AD182">
            <v>2</v>
          </cell>
          <cell r="AF182">
            <v>1</v>
          </cell>
          <cell r="AH182">
            <v>1</v>
          </cell>
          <cell r="AJ182">
            <v>1</v>
          </cell>
          <cell r="AL182">
            <v>0</v>
          </cell>
          <cell r="AN182">
            <v>0</v>
          </cell>
          <cell r="AP182">
            <v>0</v>
          </cell>
          <cell r="AR182">
            <v>0</v>
          </cell>
          <cell r="AT182">
            <v>0</v>
          </cell>
          <cell r="AV182">
            <v>0</v>
          </cell>
          <cell r="AX182">
            <v>0</v>
          </cell>
          <cell r="AZ182">
            <v>0</v>
          </cell>
          <cell r="BB182">
            <v>0</v>
          </cell>
          <cell r="BD182">
            <v>0</v>
          </cell>
          <cell r="BF182">
            <v>0</v>
          </cell>
          <cell r="BH182">
            <v>0</v>
          </cell>
          <cell r="BJ182">
            <v>0</v>
          </cell>
          <cell r="BL182">
            <v>0</v>
          </cell>
          <cell r="BN182">
            <v>0</v>
          </cell>
          <cell r="BP182">
            <v>0</v>
          </cell>
          <cell r="BR182">
            <v>0</v>
          </cell>
          <cell r="BT182">
            <v>0</v>
          </cell>
          <cell r="BV182">
            <v>0</v>
          </cell>
          <cell r="BX182">
            <v>0</v>
          </cell>
          <cell r="BZ182">
            <v>0</v>
          </cell>
          <cell r="CB182">
            <v>0</v>
          </cell>
          <cell r="CD182">
            <v>0</v>
          </cell>
          <cell r="CF182">
            <v>0</v>
          </cell>
          <cell r="CH182">
            <v>0</v>
          </cell>
          <cell r="CJ182">
            <v>0</v>
          </cell>
          <cell r="CL182">
            <v>0</v>
          </cell>
          <cell r="CN182">
            <v>0</v>
          </cell>
          <cell r="CP182">
            <v>0</v>
          </cell>
          <cell r="CR182">
            <v>0</v>
          </cell>
          <cell r="CT182">
            <v>0</v>
          </cell>
          <cell r="CV182">
            <v>0</v>
          </cell>
          <cell r="CX182">
            <v>0</v>
          </cell>
          <cell r="CZ182">
            <v>0</v>
          </cell>
          <cell r="DB182">
            <v>0</v>
          </cell>
          <cell r="DD182">
            <v>0</v>
          </cell>
          <cell r="DF182">
            <v>0</v>
          </cell>
          <cell r="DH182">
            <v>0</v>
          </cell>
          <cell r="DJ182">
            <v>0</v>
          </cell>
          <cell r="DL182">
            <v>0</v>
          </cell>
          <cell r="DN182">
            <v>0</v>
          </cell>
          <cell r="DP182">
            <v>0</v>
          </cell>
          <cell r="DR182">
            <v>0</v>
          </cell>
          <cell r="DT182">
            <v>0</v>
          </cell>
          <cell r="DV182">
            <v>0</v>
          </cell>
          <cell r="DX182">
            <v>0</v>
          </cell>
          <cell r="DZ182">
            <v>0</v>
          </cell>
          <cell r="EB182">
            <v>0</v>
          </cell>
          <cell r="ED182">
            <v>0</v>
          </cell>
          <cell r="EF182">
            <v>0</v>
          </cell>
          <cell r="EH182">
            <v>0</v>
          </cell>
          <cell r="EJ182">
            <v>0</v>
          </cell>
          <cell r="EL182">
            <v>0</v>
          </cell>
          <cell r="EN182">
            <v>0</v>
          </cell>
          <cell r="EP182">
            <v>0</v>
          </cell>
          <cell r="ER182">
            <v>0</v>
          </cell>
          <cell r="ET182">
            <v>0</v>
          </cell>
          <cell r="EV182">
            <v>0</v>
          </cell>
          <cell r="EX182">
            <v>0</v>
          </cell>
          <cell r="EZ182">
            <v>0</v>
          </cell>
          <cell r="FB182">
            <v>0</v>
          </cell>
          <cell r="FD182">
            <v>0</v>
          </cell>
          <cell r="FF182">
            <v>0</v>
          </cell>
          <cell r="FH182">
            <v>0</v>
          </cell>
          <cell r="FJ182">
            <v>0</v>
          </cell>
          <cell r="FL182">
            <v>0</v>
          </cell>
          <cell r="FN182">
            <v>0</v>
          </cell>
          <cell r="FP182">
            <v>0</v>
          </cell>
          <cell r="FR182">
            <v>0</v>
          </cell>
          <cell r="FT182">
            <v>0</v>
          </cell>
          <cell r="FV182">
            <v>0</v>
          </cell>
          <cell r="GD182">
            <v>14</v>
          </cell>
          <cell r="GF182">
            <v>4</v>
          </cell>
          <cell r="GH182">
            <v>1</v>
          </cell>
          <cell r="GJ182">
            <v>7</v>
          </cell>
          <cell r="GM182">
            <v>50.01</v>
          </cell>
          <cell r="GN18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53.檢查勞工個人防護具：█有 □無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W182" t="str">
            <v>（一）施工廠商施工前檢查事項辦理情形：█完成 □未完成 （二）其他工地安全衛生督導事項：</v>
          </cell>
          <cell r="GX182">
            <v>853901</v>
          </cell>
          <cell r="GY182">
            <v>0</v>
          </cell>
        </row>
        <row r="183">
          <cell r="I183">
            <v>1</v>
          </cell>
          <cell r="N183">
            <v>1</v>
          </cell>
          <cell r="P183">
            <v>1</v>
          </cell>
          <cell r="R183">
            <v>672</v>
          </cell>
          <cell r="T183">
            <v>108</v>
          </cell>
          <cell r="V183">
            <v>661</v>
          </cell>
          <cell r="X183">
            <v>2</v>
          </cell>
          <cell r="Z183">
            <v>1</v>
          </cell>
          <cell r="AB183">
            <v>661</v>
          </cell>
          <cell r="AD183">
            <v>2</v>
          </cell>
          <cell r="AF183">
            <v>1</v>
          </cell>
          <cell r="AH183">
            <v>1</v>
          </cell>
          <cell r="AJ183">
            <v>1</v>
          </cell>
          <cell r="AL183">
            <v>0</v>
          </cell>
          <cell r="AN183">
            <v>0</v>
          </cell>
          <cell r="AP183">
            <v>0</v>
          </cell>
          <cell r="AR183">
            <v>0</v>
          </cell>
          <cell r="AT183">
            <v>0</v>
          </cell>
          <cell r="AV183">
            <v>0</v>
          </cell>
          <cell r="AX183">
            <v>0</v>
          </cell>
          <cell r="AZ183">
            <v>0</v>
          </cell>
          <cell r="BB183">
            <v>0</v>
          </cell>
          <cell r="BD183">
            <v>0</v>
          </cell>
          <cell r="BF183">
            <v>0</v>
          </cell>
          <cell r="BH183">
            <v>0</v>
          </cell>
          <cell r="BJ183">
            <v>0</v>
          </cell>
          <cell r="BL183">
            <v>0</v>
          </cell>
          <cell r="BN183">
            <v>0</v>
          </cell>
          <cell r="BP183">
            <v>0</v>
          </cell>
          <cell r="BR183">
            <v>0</v>
          </cell>
          <cell r="BT183">
            <v>0</v>
          </cell>
          <cell r="BV183">
            <v>0</v>
          </cell>
          <cell r="BX183">
            <v>0</v>
          </cell>
          <cell r="BZ183">
            <v>0</v>
          </cell>
          <cell r="CB183">
            <v>0</v>
          </cell>
          <cell r="CD183">
            <v>0</v>
          </cell>
          <cell r="CF183">
            <v>0</v>
          </cell>
          <cell r="CH183">
            <v>0</v>
          </cell>
          <cell r="CJ183">
            <v>0</v>
          </cell>
          <cell r="CL183">
            <v>0</v>
          </cell>
          <cell r="CN183">
            <v>0</v>
          </cell>
          <cell r="CP183">
            <v>0</v>
          </cell>
          <cell r="CR183">
            <v>0</v>
          </cell>
          <cell r="CT183">
            <v>0</v>
          </cell>
          <cell r="CV183">
            <v>0</v>
          </cell>
          <cell r="CX183">
            <v>0</v>
          </cell>
          <cell r="CZ183">
            <v>0</v>
          </cell>
          <cell r="DB183">
            <v>0</v>
          </cell>
          <cell r="DD183">
            <v>0</v>
          </cell>
          <cell r="DF183">
            <v>0</v>
          </cell>
          <cell r="DH183">
            <v>0</v>
          </cell>
          <cell r="DJ183">
            <v>0</v>
          </cell>
          <cell r="DL183">
            <v>0</v>
          </cell>
          <cell r="DN183">
            <v>0</v>
          </cell>
          <cell r="DP183">
            <v>0</v>
          </cell>
          <cell r="DR183">
            <v>0</v>
          </cell>
          <cell r="DT183">
            <v>0</v>
          </cell>
          <cell r="DV183">
            <v>0</v>
          </cell>
          <cell r="DX183">
            <v>0</v>
          </cell>
          <cell r="DZ183">
            <v>0</v>
          </cell>
          <cell r="EB183">
            <v>0</v>
          </cell>
          <cell r="ED183">
            <v>0</v>
          </cell>
          <cell r="EF183">
            <v>0</v>
          </cell>
          <cell r="EH183">
            <v>0</v>
          </cell>
          <cell r="EJ183">
            <v>0</v>
          </cell>
          <cell r="EL183">
            <v>0</v>
          </cell>
          <cell r="EN183">
            <v>0</v>
          </cell>
          <cell r="EP183">
            <v>0</v>
          </cell>
          <cell r="ER183">
            <v>0</v>
          </cell>
          <cell r="ET183">
            <v>0</v>
          </cell>
          <cell r="EV183">
            <v>0</v>
          </cell>
          <cell r="EX183">
            <v>0</v>
          </cell>
          <cell r="EZ183">
            <v>0</v>
          </cell>
          <cell r="FB183">
            <v>0</v>
          </cell>
          <cell r="FD183">
            <v>0</v>
          </cell>
          <cell r="FF183">
            <v>0</v>
          </cell>
          <cell r="FH183">
            <v>0</v>
          </cell>
          <cell r="FJ183">
            <v>0</v>
          </cell>
          <cell r="FL183">
            <v>0</v>
          </cell>
          <cell r="FN183">
            <v>0</v>
          </cell>
          <cell r="FP183">
            <v>0</v>
          </cell>
          <cell r="FR183">
            <v>0</v>
          </cell>
          <cell r="FT183">
            <v>0</v>
          </cell>
          <cell r="FV183">
            <v>0</v>
          </cell>
          <cell r="GD183">
            <v>14</v>
          </cell>
          <cell r="GF183">
            <v>4</v>
          </cell>
          <cell r="GH183">
            <v>1</v>
          </cell>
          <cell r="GJ183">
            <v>7</v>
          </cell>
          <cell r="GM183">
            <v>51.01</v>
          </cell>
          <cell r="GN18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54.檢查勞工個人防護具：█有 □無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W183" t="str">
            <v>（一）施工廠商施工前檢查事項辦理情形：█完成 □未完成 （二）其他工地安全衛生督導事項：</v>
          </cell>
          <cell r="GX183">
            <v>853901</v>
          </cell>
          <cell r="GY183">
            <v>0</v>
          </cell>
        </row>
        <row r="184">
          <cell r="I184">
            <v>1</v>
          </cell>
          <cell r="N184">
            <v>1</v>
          </cell>
          <cell r="P184">
            <v>1</v>
          </cell>
          <cell r="R184">
            <v>672</v>
          </cell>
          <cell r="T184">
            <v>108</v>
          </cell>
          <cell r="V184">
            <v>661</v>
          </cell>
          <cell r="X184">
            <v>2</v>
          </cell>
          <cell r="Z184">
            <v>1</v>
          </cell>
          <cell r="AB184">
            <v>661</v>
          </cell>
          <cell r="AD184">
            <v>2</v>
          </cell>
          <cell r="AF184">
            <v>1</v>
          </cell>
          <cell r="AH184">
            <v>1</v>
          </cell>
          <cell r="AJ184">
            <v>1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0</v>
          </cell>
          <cell r="AV184">
            <v>0</v>
          </cell>
          <cell r="AX184">
            <v>0</v>
          </cell>
          <cell r="AZ184">
            <v>0</v>
          </cell>
          <cell r="BB184">
            <v>0</v>
          </cell>
          <cell r="BD184">
            <v>0</v>
          </cell>
          <cell r="BF184">
            <v>0</v>
          </cell>
          <cell r="BH184">
            <v>0</v>
          </cell>
          <cell r="BJ184">
            <v>0</v>
          </cell>
          <cell r="BL184">
            <v>0</v>
          </cell>
          <cell r="BN184">
            <v>0</v>
          </cell>
          <cell r="BP184">
            <v>0</v>
          </cell>
          <cell r="BR184">
            <v>0</v>
          </cell>
          <cell r="BT184">
            <v>0</v>
          </cell>
          <cell r="BV184">
            <v>0</v>
          </cell>
          <cell r="BX184">
            <v>0</v>
          </cell>
          <cell r="BZ184">
            <v>0</v>
          </cell>
          <cell r="CB184">
            <v>0</v>
          </cell>
          <cell r="CD184">
            <v>0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0</v>
          </cell>
          <cell r="CV184">
            <v>0</v>
          </cell>
          <cell r="CX184">
            <v>0</v>
          </cell>
          <cell r="CZ184">
            <v>0</v>
          </cell>
          <cell r="DB184">
            <v>0</v>
          </cell>
          <cell r="DD184">
            <v>0</v>
          </cell>
          <cell r="DF184">
            <v>0</v>
          </cell>
          <cell r="DH184">
            <v>0</v>
          </cell>
          <cell r="DJ184">
            <v>0</v>
          </cell>
          <cell r="DL184">
            <v>0</v>
          </cell>
          <cell r="DN184">
            <v>0</v>
          </cell>
          <cell r="DP184">
            <v>0</v>
          </cell>
          <cell r="DR184">
            <v>0</v>
          </cell>
          <cell r="DT184">
            <v>0</v>
          </cell>
          <cell r="DV184">
            <v>0</v>
          </cell>
          <cell r="DX184">
            <v>0</v>
          </cell>
          <cell r="DZ184">
            <v>0</v>
          </cell>
          <cell r="EB184">
            <v>0</v>
          </cell>
          <cell r="ED184">
            <v>0</v>
          </cell>
          <cell r="EF184">
            <v>0</v>
          </cell>
          <cell r="EH184">
            <v>0</v>
          </cell>
          <cell r="EJ184">
            <v>0</v>
          </cell>
          <cell r="EL184">
            <v>0</v>
          </cell>
          <cell r="EN184">
            <v>0</v>
          </cell>
          <cell r="EP184">
            <v>0</v>
          </cell>
          <cell r="ER184">
            <v>0</v>
          </cell>
          <cell r="ET184">
            <v>0</v>
          </cell>
          <cell r="EV184">
            <v>0</v>
          </cell>
          <cell r="EX184">
            <v>0</v>
          </cell>
          <cell r="EZ184">
            <v>0</v>
          </cell>
          <cell r="FB184">
            <v>0</v>
          </cell>
          <cell r="FD184">
            <v>0</v>
          </cell>
          <cell r="FF184">
            <v>0</v>
          </cell>
          <cell r="FH184">
            <v>0</v>
          </cell>
          <cell r="FJ184">
            <v>0</v>
          </cell>
          <cell r="FL184">
            <v>0</v>
          </cell>
          <cell r="FN184">
            <v>0</v>
          </cell>
          <cell r="FP184">
            <v>0</v>
          </cell>
          <cell r="FR184">
            <v>0</v>
          </cell>
          <cell r="FT184">
            <v>0</v>
          </cell>
          <cell r="FV184">
            <v>0</v>
          </cell>
          <cell r="GD184">
            <v>14</v>
          </cell>
          <cell r="GF184">
            <v>4</v>
          </cell>
          <cell r="GH184">
            <v>1</v>
          </cell>
          <cell r="GJ184">
            <v>7</v>
          </cell>
          <cell r="GM184">
            <v>52.01</v>
          </cell>
          <cell r="GN18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55.檢查勞工個人防護具：█有 □無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W184" t="str">
            <v>（一）施工廠商施工前檢查事項辦理情形：█完成 □未完成 （二）其他工地安全衛生督導事項：</v>
          </cell>
          <cell r="GX184">
            <v>853901</v>
          </cell>
          <cell r="GY184">
            <v>0</v>
          </cell>
        </row>
        <row r="185">
          <cell r="I185">
            <v>1</v>
          </cell>
          <cell r="N185">
            <v>1</v>
          </cell>
          <cell r="P185">
            <v>1</v>
          </cell>
          <cell r="R185">
            <v>672</v>
          </cell>
          <cell r="T185">
            <v>108</v>
          </cell>
          <cell r="V185">
            <v>661</v>
          </cell>
          <cell r="X185">
            <v>2</v>
          </cell>
          <cell r="Z185">
            <v>1</v>
          </cell>
          <cell r="AB185">
            <v>661</v>
          </cell>
          <cell r="AD185">
            <v>2</v>
          </cell>
          <cell r="AF185">
            <v>1</v>
          </cell>
          <cell r="AH185">
            <v>1</v>
          </cell>
          <cell r="AJ185">
            <v>1</v>
          </cell>
          <cell r="AL185">
            <v>0</v>
          </cell>
          <cell r="AN185">
            <v>0</v>
          </cell>
          <cell r="AP185">
            <v>0</v>
          </cell>
          <cell r="AR185">
            <v>0</v>
          </cell>
          <cell r="AT185">
            <v>0</v>
          </cell>
          <cell r="AV185">
            <v>0</v>
          </cell>
          <cell r="AX185">
            <v>0</v>
          </cell>
          <cell r="AZ185">
            <v>0</v>
          </cell>
          <cell r="BB185">
            <v>0</v>
          </cell>
          <cell r="BD185">
            <v>0</v>
          </cell>
          <cell r="BF185">
            <v>0</v>
          </cell>
          <cell r="BH185">
            <v>0</v>
          </cell>
          <cell r="BJ185">
            <v>0</v>
          </cell>
          <cell r="BL185">
            <v>0</v>
          </cell>
          <cell r="BN185">
            <v>0</v>
          </cell>
          <cell r="BP185">
            <v>0</v>
          </cell>
          <cell r="BR185">
            <v>0</v>
          </cell>
          <cell r="BT185">
            <v>0</v>
          </cell>
          <cell r="BV185">
            <v>0</v>
          </cell>
          <cell r="BX185">
            <v>0</v>
          </cell>
          <cell r="BZ185">
            <v>0</v>
          </cell>
          <cell r="CB185">
            <v>0</v>
          </cell>
          <cell r="CD185">
            <v>0</v>
          </cell>
          <cell r="CF185">
            <v>0</v>
          </cell>
          <cell r="CH185">
            <v>0</v>
          </cell>
          <cell r="CJ185">
            <v>0</v>
          </cell>
          <cell r="CL185">
            <v>0</v>
          </cell>
          <cell r="CN185">
            <v>0</v>
          </cell>
          <cell r="CP185">
            <v>0</v>
          </cell>
          <cell r="CR185">
            <v>0</v>
          </cell>
          <cell r="CT185">
            <v>0</v>
          </cell>
          <cell r="CV185">
            <v>0</v>
          </cell>
          <cell r="CX185">
            <v>0</v>
          </cell>
          <cell r="CZ185">
            <v>0</v>
          </cell>
          <cell r="DB185">
            <v>0</v>
          </cell>
          <cell r="DD185">
            <v>0</v>
          </cell>
          <cell r="DF185">
            <v>0</v>
          </cell>
          <cell r="DH185">
            <v>0</v>
          </cell>
          <cell r="DJ185">
            <v>0</v>
          </cell>
          <cell r="DL185">
            <v>0</v>
          </cell>
          <cell r="DN185">
            <v>0</v>
          </cell>
          <cell r="DP185">
            <v>0</v>
          </cell>
          <cell r="DR185">
            <v>0</v>
          </cell>
          <cell r="DT185">
            <v>0</v>
          </cell>
          <cell r="DV185">
            <v>0</v>
          </cell>
          <cell r="DX185">
            <v>0</v>
          </cell>
          <cell r="DZ185">
            <v>0</v>
          </cell>
          <cell r="EB185">
            <v>0</v>
          </cell>
          <cell r="ED185">
            <v>0</v>
          </cell>
          <cell r="EF185">
            <v>0</v>
          </cell>
          <cell r="EH185">
            <v>0</v>
          </cell>
          <cell r="EJ185">
            <v>0</v>
          </cell>
          <cell r="EL185">
            <v>0</v>
          </cell>
          <cell r="EN185">
            <v>0</v>
          </cell>
          <cell r="EP185">
            <v>0</v>
          </cell>
          <cell r="ER185">
            <v>0</v>
          </cell>
          <cell r="ET185">
            <v>0</v>
          </cell>
          <cell r="EV185">
            <v>0</v>
          </cell>
          <cell r="EX185">
            <v>0</v>
          </cell>
          <cell r="EZ185">
            <v>0</v>
          </cell>
          <cell r="FB185">
            <v>0</v>
          </cell>
          <cell r="FD185">
            <v>0</v>
          </cell>
          <cell r="FF185">
            <v>0</v>
          </cell>
          <cell r="FH185">
            <v>0</v>
          </cell>
          <cell r="FJ185">
            <v>0</v>
          </cell>
          <cell r="FL185">
            <v>0</v>
          </cell>
          <cell r="FN185">
            <v>0</v>
          </cell>
          <cell r="FP185">
            <v>0</v>
          </cell>
          <cell r="FR185">
            <v>0</v>
          </cell>
          <cell r="FT185">
            <v>0</v>
          </cell>
          <cell r="FV185">
            <v>0</v>
          </cell>
          <cell r="GD185">
            <v>14</v>
          </cell>
          <cell r="GF185">
            <v>4</v>
          </cell>
          <cell r="GH185">
            <v>1</v>
          </cell>
          <cell r="GJ185">
            <v>7</v>
          </cell>
          <cell r="GM185">
            <v>53.01</v>
          </cell>
          <cell r="GN18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56.檢查勞工個人防護具：█有 □無</v>
          </cell>
          <cell r="GP185">
            <v>0</v>
          </cell>
          <cell r="GQ185" t="e">
            <v>#REF!</v>
          </cell>
          <cell r="GR185">
            <v>0</v>
          </cell>
          <cell r="GS185">
            <v>0</v>
          </cell>
          <cell r="GT185">
            <v>0</v>
          </cell>
          <cell r="GW185" t="str">
            <v>（一）施工廠商施工前檢查事項辦理情形：█完成 □未完成 （二）其他工地安全衛生督導事項：</v>
          </cell>
          <cell r="GX185">
            <v>853901</v>
          </cell>
          <cell r="GY185">
            <v>0</v>
          </cell>
        </row>
        <row r="186">
          <cell r="I186">
            <v>1</v>
          </cell>
          <cell r="N186">
            <v>1</v>
          </cell>
          <cell r="P186">
            <v>1</v>
          </cell>
          <cell r="R186">
            <v>672</v>
          </cell>
          <cell r="T186">
            <v>108</v>
          </cell>
          <cell r="V186">
            <v>661</v>
          </cell>
          <cell r="X186">
            <v>2</v>
          </cell>
          <cell r="Z186">
            <v>1</v>
          </cell>
          <cell r="AB186">
            <v>661</v>
          </cell>
          <cell r="AD186">
            <v>2</v>
          </cell>
          <cell r="AF186">
            <v>1</v>
          </cell>
          <cell r="AH186">
            <v>1</v>
          </cell>
          <cell r="AJ186">
            <v>1</v>
          </cell>
          <cell r="AL186">
            <v>0</v>
          </cell>
          <cell r="AN186">
            <v>0</v>
          </cell>
          <cell r="AP186">
            <v>0</v>
          </cell>
          <cell r="AR186">
            <v>0</v>
          </cell>
          <cell r="AT186">
            <v>0</v>
          </cell>
          <cell r="AV186">
            <v>0</v>
          </cell>
          <cell r="AX186">
            <v>0</v>
          </cell>
          <cell r="AZ186">
            <v>0</v>
          </cell>
          <cell r="BB186">
            <v>0</v>
          </cell>
          <cell r="BD186">
            <v>0</v>
          </cell>
          <cell r="BF186">
            <v>0</v>
          </cell>
          <cell r="BH186">
            <v>0</v>
          </cell>
          <cell r="BJ186">
            <v>0</v>
          </cell>
          <cell r="BL186">
            <v>0</v>
          </cell>
          <cell r="BN186">
            <v>0</v>
          </cell>
          <cell r="BP186">
            <v>0</v>
          </cell>
          <cell r="BR186">
            <v>0</v>
          </cell>
          <cell r="BT186">
            <v>0</v>
          </cell>
          <cell r="BV186">
            <v>0</v>
          </cell>
          <cell r="BX186">
            <v>0</v>
          </cell>
          <cell r="BZ186">
            <v>0</v>
          </cell>
          <cell r="CB186">
            <v>0</v>
          </cell>
          <cell r="CD186">
            <v>0</v>
          </cell>
          <cell r="CF186">
            <v>0</v>
          </cell>
          <cell r="CH186">
            <v>0</v>
          </cell>
          <cell r="CJ186">
            <v>0</v>
          </cell>
          <cell r="CL186">
            <v>0</v>
          </cell>
          <cell r="CN186">
            <v>0</v>
          </cell>
          <cell r="CP186">
            <v>0</v>
          </cell>
          <cell r="CR186">
            <v>0</v>
          </cell>
          <cell r="CT186">
            <v>0</v>
          </cell>
          <cell r="CV186">
            <v>0</v>
          </cell>
          <cell r="CX186">
            <v>0</v>
          </cell>
          <cell r="CZ186">
            <v>0</v>
          </cell>
          <cell r="DB186">
            <v>0</v>
          </cell>
          <cell r="DD186">
            <v>0</v>
          </cell>
          <cell r="DF186">
            <v>0</v>
          </cell>
          <cell r="DH186">
            <v>0</v>
          </cell>
          <cell r="DJ186">
            <v>0</v>
          </cell>
          <cell r="DL186">
            <v>0</v>
          </cell>
          <cell r="DN186">
            <v>0</v>
          </cell>
          <cell r="DP186">
            <v>0</v>
          </cell>
          <cell r="DR186">
            <v>0</v>
          </cell>
          <cell r="DT186">
            <v>0</v>
          </cell>
          <cell r="DV186">
            <v>0</v>
          </cell>
          <cell r="DX186">
            <v>0</v>
          </cell>
          <cell r="DZ186">
            <v>0</v>
          </cell>
          <cell r="EB186">
            <v>0</v>
          </cell>
          <cell r="ED186">
            <v>0</v>
          </cell>
          <cell r="EF186">
            <v>0</v>
          </cell>
          <cell r="EH186">
            <v>0</v>
          </cell>
          <cell r="EJ186">
            <v>0</v>
          </cell>
          <cell r="EL186">
            <v>0</v>
          </cell>
          <cell r="EN186">
            <v>0</v>
          </cell>
          <cell r="EP186">
            <v>0</v>
          </cell>
          <cell r="ER186">
            <v>0</v>
          </cell>
          <cell r="ET186">
            <v>0</v>
          </cell>
          <cell r="EV186">
            <v>0</v>
          </cell>
          <cell r="EX186">
            <v>0</v>
          </cell>
          <cell r="EZ186">
            <v>0</v>
          </cell>
          <cell r="FB186">
            <v>0</v>
          </cell>
          <cell r="FD186">
            <v>0</v>
          </cell>
          <cell r="FF186">
            <v>0</v>
          </cell>
          <cell r="FH186">
            <v>0</v>
          </cell>
          <cell r="FJ186">
            <v>0</v>
          </cell>
          <cell r="FL186">
            <v>0</v>
          </cell>
          <cell r="FN186">
            <v>0</v>
          </cell>
          <cell r="FP186">
            <v>0</v>
          </cell>
          <cell r="FR186">
            <v>0</v>
          </cell>
          <cell r="FT186">
            <v>0</v>
          </cell>
          <cell r="FV186">
            <v>0</v>
          </cell>
          <cell r="GD186">
            <v>14</v>
          </cell>
          <cell r="GF186">
            <v>4</v>
          </cell>
          <cell r="GH186">
            <v>1</v>
          </cell>
          <cell r="GJ186">
            <v>7</v>
          </cell>
          <cell r="GM186">
            <v>54.01</v>
          </cell>
          <cell r="GN18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57.檢查勞工個人防護具：█有 □無</v>
          </cell>
          <cell r="GP186">
            <v>0</v>
          </cell>
          <cell r="GQ186" t="e">
            <v>#REF!</v>
          </cell>
          <cell r="GR186">
            <v>0</v>
          </cell>
          <cell r="GS186">
            <v>0</v>
          </cell>
          <cell r="GT186">
            <v>0</v>
          </cell>
          <cell r="GW186" t="str">
            <v>（一）施工廠商施工前檢查事項辦理情形：█完成 □未完成 （二）其他工地安全衛生督導事項：</v>
          </cell>
          <cell r="GX186">
            <v>853901</v>
          </cell>
          <cell r="GY186">
            <v>0</v>
          </cell>
        </row>
        <row r="187">
          <cell r="N187">
            <v>1</v>
          </cell>
          <cell r="P187">
            <v>1</v>
          </cell>
          <cell r="R187">
            <v>672</v>
          </cell>
          <cell r="T187">
            <v>108</v>
          </cell>
          <cell r="V187">
            <v>661</v>
          </cell>
          <cell r="X187">
            <v>2</v>
          </cell>
          <cell r="Z187">
            <v>1</v>
          </cell>
          <cell r="AB187">
            <v>661</v>
          </cell>
          <cell r="AD187">
            <v>2</v>
          </cell>
          <cell r="AF187">
            <v>1</v>
          </cell>
          <cell r="AH187">
            <v>1</v>
          </cell>
          <cell r="AJ187">
            <v>1</v>
          </cell>
          <cell r="AL187">
            <v>0</v>
          </cell>
          <cell r="AN187">
            <v>0</v>
          </cell>
          <cell r="AP187">
            <v>0</v>
          </cell>
          <cell r="AR187">
            <v>0</v>
          </cell>
          <cell r="AT187">
            <v>0</v>
          </cell>
          <cell r="AV187">
            <v>0</v>
          </cell>
          <cell r="AX187">
            <v>0</v>
          </cell>
          <cell r="AZ187">
            <v>0</v>
          </cell>
          <cell r="BB187">
            <v>0</v>
          </cell>
          <cell r="BD187">
            <v>0</v>
          </cell>
          <cell r="BF187">
            <v>0</v>
          </cell>
          <cell r="BH187">
            <v>0</v>
          </cell>
          <cell r="BJ187">
            <v>0</v>
          </cell>
          <cell r="BL187">
            <v>0</v>
          </cell>
          <cell r="BN187">
            <v>0</v>
          </cell>
          <cell r="BP187">
            <v>0</v>
          </cell>
          <cell r="BR187">
            <v>0</v>
          </cell>
          <cell r="BT187">
            <v>0</v>
          </cell>
          <cell r="BV187">
            <v>0</v>
          </cell>
          <cell r="BX187">
            <v>0</v>
          </cell>
          <cell r="BZ187">
            <v>0</v>
          </cell>
          <cell r="CB187">
            <v>0</v>
          </cell>
          <cell r="CD187">
            <v>0</v>
          </cell>
          <cell r="CF187">
            <v>0</v>
          </cell>
          <cell r="CH187">
            <v>0</v>
          </cell>
          <cell r="CJ187">
            <v>0</v>
          </cell>
          <cell r="CL187">
            <v>0</v>
          </cell>
          <cell r="CN187">
            <v>0</v>
          </cell>
          <cell r="CP187">
            <v>0</v>
          </cell>
          <cell r="CR187">
            <v>0</v>
          </cell>
          <cell r="CT187">
            <v>0</v>
          </cell>
          <cell r="CV187">
            <v>0</v>
          </cell>
          <cell r="CX187">
            <v>0</v>
          </cell>
          <cell r="CZ187">
            <v>0</v>
          </cell>
          <cell r="DB187">
            <v>0</v>
          </cell>
          <cell r="DD187">
            <v>0</v>
          </cell>
          <cell r="DF187">
            <v>0</v>
          </cell>
          <cell r="DH187">
            <v>0</v>
          </cell>
          <cell r="DJ187">
            <v>0</v>
          </cell>
          <cell r="DL187">
            <v>0</v>
          </cell>
          <cell r="DN187">
            <v>0</v>
          </cell>
          <cell r="DP187">
            <v>0</v>
          </cell>
          <cell r="DR187">
            <v>0</v>
          </cell>
          <cell r="DT187">
            <v>0</v>
          </cell>
          <cell r="DV187">
            <v>0</v>
          </cell>
          <cell r="DX187">
            <v>0</v>
          </cell>
          <cell r="DZ187">
            <v>0</v>
          </cell>
          <cell r="EB187">
            <v>0</v>
          </cell>
          <cell r="ED187">
            <v>0</v>
          </cell>
          <cell r="EF187">
            <v>0</v>
          </cell>
          <cell r="EH187">
            <v>0</v>
          </cell>
          <cell r="EJ187">
            <v>0</v>
          </cell>
          <cell r="EL187">
            <v>0</v>
          </cell>
          <cell r="EN187">
            <v>0</v>
          </cell>
          <cell r="EP187">
            <v>0</v>
          </cell>
          <cell r="ER187">
            <v>0</v>
          </cell>
          <cell r="ET187">
            <v>0</v>
          </cell>
          <cell r="EV187">
            <v>0</v>
          </cell>
          <cell r="EX187">
            <v>0</v>
          </cell>
          <cell r="EZ187">
            <v>0</v>
          </cell>
          <cell r="FB187">
            <v>0</v>
          </cell>
          <cell r="FD187">
            <v>0</v>
          </cell>
          <cell r="FF187">
            <v>0</v>
          </cell>
          <cell r="FH187">
            <v>0</v>
          </cell>
          <cell r="FJ187">
            <v>0</v>
          </cell>
          <cell r="FL187">
            <v>0</v>
          </cell>
          <cell r="FN187">
            <v>0</v>
          </cell>
          <cell r="FP187">
            <v>0</v>
          </cell>
          <cell r="FR187">
            <v>0</v>
          </cell>
          <cell r="FT187">
            <v>0</v>
          </cell>
          <cell r="FV187">
            <v>0</v>
          </cell>
          <cell r="GD187">
            <v>14</v>
          </cell>
          <cell r="GF187">
            <v>4</v>
          </cell>
          <cell r="GH187">
            <v>1</v>
          </cell>
          <cell r="GJ187">
            <v>7</v>
          </cell>
          <cell r="GM187">
            <v>55.01</v>
          </cell>
          <cell r="GN18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58.檢查勞工個人防護具：█有 □無</v>
          </cell>
          <cell r="GP187">
            <v>0</v>
          </cell>
          <cell r="GQ187" t="e">
            <v>#REF!</v>
          </cell>
          <cell r="GR187">
            <v>-1</v>
          </cell>
          <cell r="GS187">
            <v>0</v>
          </cell>
          <cell r="GT187">
            <v>0</v>
          </cell>
          <cell r="GW187" t="str">
            <v>（一）施工廠商施工前檢查事項辦理情形：█完成 □未完成 （二）其他工地安全衛生督導事項：</v>
          </cell>
          <cell r="GX187">
            <v>853901</v>
          </cell>
          <cell r="GY187">
            <v>0</v>
          </cell>
        </row>
        <row r="188">
          <cell r="N188">
            <v>1</v>
          </cell>
          <cell r="P188">
            <v>1</v>
          </cell>
          <cell r="R188">
            <v>672</v>
          </cell>
          <cell r="T188">
            <v>108</v>
          </cell>
          <cell r="V188">
            <v>661</v>
          </cell>
          <cell r="X188">
            <v>2</v>
          </cell>
          <cell r="Z188">
            <v>1</v>
          </cell>
          <cell r="AB188">
            <v>661</v>
          </cell>
          <cell r="AD188">
            <v>2</v>
          </cell>
          <cell r="AF188">
            <v>1</v>
          </cell>
          <cell r="AH188">
            <v>1</v>
          </cell>
          <cell r="AJ188">
            <v>1</v>
          </cell>
          <cell r="AL188">
            <v>0</v>
          </cell>
          <cell r="AN188">
            <v>0</v>
          </cell>
          <cell r="AP188">
            <v>0</v>
          </cell>
          <cell r="AR188">
            <v>0</v>
          </cell>
          <cell r="AT188">
            <v>0</v>
          </cell>
          <cell r="AV188">
            <v>0</v>
          </cell>
          <cell r="AX188">
            <v>0</v>
          </cell>
          <cell r="AZ188">
            <v>0</v>
          </cell>
          <cell r="BB188">
            <v>0</v>
          </cell>
          <cell r="BD188">
            <v>0</v>
          </cell>
          <cell r="BF188">
            <v>0</v>
          </cell>
          <cell r="BH188">
            <v>0</v>
          </cell>
          <cell r="BJ188">
            <v>0</v>
          </cell>
          <cell r="BL188">
            <v>0</v>
          </cell>
          <cell r="BN188">
            <v>0</v>
          </cell>
          <cell r="BP188">
            <v>0</v>
          </cell>
          <cell r="BR188">
            <v>0</v>
          </cell>
          <cell r="BT188">
            <v>0</v>
          </cell>
          <cell r="BV188">
            <v>0</v>
          </cell>
          <cell r="BX188">
            <v>0</v>
          </cell>
          <cell r="BZ188">
            <v>0</v>
          </cell>
          <cell r="CB188">
            <v>0</v>
          </cell>
          <cell r="CD188">
            <v>0</v>
          </cell>
          <cell r="CF188">
            <v>0</v>
          </cell>
          <cell r="CH188">
            <v>0</v>
          </cell>
          <cell r="CJ188">
            <v>0</v>
          </cell>
          <cell r="CL188">
            <v>0</v>
          </cell>
          <cell r="CN188">
            <v>0</v>
          </cell>
          <cell r="CP188">
            <v>0</v>
          </cell>
          <cell r="CR188">
            <v>0</v>
          </cell>
          <cell r="CT188">
            <v>0</v>
          </cell>
          <cell r="CV188">
            <v>0</v>
          </cell>
          <cell r="CX188">
            <v>0</v>
          </cell>
          <cell r="CZ188">
            <v>0</v>
          </cell>
          <cell r="DB188">
            <v>0</v>
          </cell>
          <cell r="DD188">
            <v>0</v>
          </cell>
          <cell r="DF188">
            <v>0</v>
          </cell>
          <cell r="DH188">
            <v>0</v>
          </cell>
          <cell r="DJ188">
            <v>0</v>
          </cell>
          <cell r="DL188">
            <v>0</v>
          </cell>
          <cell r="DN188">
            <v>0</v>
          </cell>
          <cell r="DP188">
            <v>0</v>
          </cell>
          <cell r="DR188">
            <v>0</v>
          </cell>
          <cell r="DT188">
            <v>0</v>
          </cell>
          <cell r="DV188">
            <v>0</v>
          </cell>
          <cell r="DX188">
            <v>0</v>
          </cell>
          <cell r="DZ188">
            <v>0</v>
          </cell>
          <cell r="EB188">
            <v>0</v>
          </cell>
          <cell r="ED188">
            <v>0</v>
          </cell>
          <cell r="EF188">
            <v>0</v>
          </cell>
          <cell r="EH188">
            <v>0</v>
          </cell>
          <cell r="EJ188">
            <v>0</v>
          </cell>
          <cell r="EL188">
            <v>0</v>
          </cell>
          <cell r="EN188">
            <v>0</v>
          </cell>
          <cell r="EP188">
            <v>0</v>
          </cell>
          <cell r="ER188">
            <v>0</v>
          </cell>
          <cell r="ET188">
            <v>0</v>
          </cell>
          <cell r="EV188">
            <v>0</v>
          </cell>
          <cell r="EX188">
            <v>0</v>
          </cell>
          <cell r="EZ188">
            <v>0</v>
          </cell>
          <cell r="FB188">
            <v>0</v>
          </cell>
          <cell r="FD188">
            <v>0</v>
          </cell>
          <cell r="FF188">
            <v>0</v>
          </cell>
          <cell r="FH188">
            <v>0</v>
          </cell>
          <cell r="FJ188">
            <v>0</v>
          </cell>
          <cell r="FL188">
            <v>0</v>
          </cell>
          <cell r="FN188">
            <v>0</v>
          </cell>
          <cell r="FP188">
            <v>0</v>
          </cell>
          <cell r="FR188">
            <v>0</v>
          </cell>
          <cell r="FT188">
            <v>0</v>
          </cell>
          <cell r="FV188">
            <v>0</v>
          </cell>
          <cell r="GD188">
            <v>14</v>
          </cell>
          <cell r="GF188">
            <v>4</v>
          </cell>
          <cell r="GH188">
            <v>1</v>
          </cell>
          <cell r="GJ188">
            <v>7</v>
          </cell>
          <cell r="GM188">
            <v>56.01</v>
          </cell>
          <cell r="GN18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59.檢查勞工個人防護具：█有 □無</v>
          </cell>
          <cell r="GP188">
            <v>0</v>
          </cell>
          <cell r="GQ188" t="e">
            <v>#REF!</v>
          </cell>
          <cell r="GR188">
            <v>0</v>
          </cell>
          <cell r="GS188">
            <v>0</v>
          </cell>
          <cell r="GT188">
            <v>0</v>
          </cell>
          <cell r="GW188" t="str">
            <v>（一）施工廠商施工前檢查事項辦理情形：█完成 □未完成 （二）其他工地安全衛生督導事項：</v>
          </cell>
          <cell r="GX188">
            <v>853901</v>
          </cell>
          <cell r="GY188">
            <v>0</v>
          </cell>
        </row>
        <row r="189">
          <cell r="N189">
            <v>1</v>
          </cell>
          <cell r="P189">
            <v>1</v>
          </cell>
          <cell r="R189">
            <v>672</v>
          </cell>
          <cell r="T189">
            <v>108</v>
          </cell>
          <cell r="V189">
            <v>661</v>
          </cell>
          <cell r="X189">
            <v>2</v>
          </cell>
          <cell r="Z189">
            <v>1</v>
          </cell>
          <cell r="AB189">
            <v>661</v>
          </cell>
          <cell r="AD189">
            <v>2</v>
          </cell>
          <cell r="AF189">
            <v>1</v>
          </cell>
          <cell r="AH189">
            <v>1</v>
          </cell>
          <cell r="AJ189">
            <v>1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0</v>
          </cell>
          <cell r="AV189">
            <v>0</v>
          </cell>
          <cell r="AX189">
            <v>0</v>
          </cell>
          <cell r="AZ189">
            <v>0</v>
          </cell>
          <cell r="BB189">
            <v>0</v>
          </cell>
          <cell r="BD189">
            <v>0</v>
          </cell>
          <cell r="BF189">
            <v>0</v>
          </cell>
          <cell r="BH189">
            <v>0</v>
          </cell>
          <cell r="BJ189">
            <v>0</v>
          </cell>
          <cell r="BL189">
            <v>0</v>
          </cell>
          <cell r="BN189">
            <v>0</v>
          </cell>
          <cell r="BP189">
            <v>0</v>
          </cell>
          <cell r="BR189">
            <v>0</v>
          </cell>
          <cell r="BT189">
            <v>0</v>
          </cell>
          <cell r="BV189">
            <v>0</v>
          </cell>
          <cell r="BX189">
            <v>0</v>
          </cell>
          <cell r="BZ189">
            <v>0</v>
          </cell>
          <cell r="CB189">
            <v>0</v>
          </cell>
          <cell r="CD189">
            <v>0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0</v>
          </cell>
          <cell r="CV189">
            <v>0</v>
          </cell>
          <cell r="CX189">
            <v>0</v>
          </cell>
          <cell r="CZ189">
            <v>0</v>
          </cell>
          <cell r="DB189">
            <v>0</v>
          </cell>
          <cell r="DD189">
            <v>0</v>
          </cell>
          <cell r="DF189">
            <v>0</v>
          </cell>
          <cell r="DH189">
            <v>0</v>
          </cell>
          <cell r="DJ189">
            <v>0</v>
          </cell>
          <cell r="DL189">
            <v>0</v>
          </cell>
          <cell r="DN189">
            <v>0</v>
          </cell>
          <cell r="DP189">
            <v>0</v>
          </cell>
          <cell r="DR189">
            <v>0</v>
          </cell>
          <cell r="DT189">
            <v>0</v>
          </cell>
          <cell r="DV189">
            <v>0</v>
          </cell>
          <cell r="DX189">
            <v>0</v>
          </cell>
          <cell r="DZ189">
            <v>0</v>
          </cell>
          <cell r="EB189">
            <v>0</v>
          </cell>
          <cell r="ED189">
            <v>0</v>
          </cell>
          <cell r="EF189">
            <v>0</v>
          </cell>
          <cell r="EH189">
            <v>0</v>
          </cell>
          <cell r="EJ189">
            <v>0</v>
          </cell>
          <cell r="EL189">
            <v>0</v>
          </cell>
          <cell r="EN189">
            <v>0</v>
          </cell>
          <cell r="EP189">
            <v>0</v>
          </cell>
          <cell r="ER189">
            <v>0</v>
          </cell>
          <cell r="ET189">
            <v>0</v>
          </cell>
          <cell r="EV189">
            <v>0</v>
          </cell>
          <cell r="EX189">
            <v>0</v>
          </cell>
          <cell r="EZ189">
            <v>0</v>
          </cell>
          <cell r="FB189">
            <v>0</v>
          </cell>
          <cell r="FD189">
            <v>0</v>
          </cell>
          <cell r="FF189">
            <v>0</v>
          </cell>
          <cell r="FH189">
            <v>0</v>
          </cell>
          <cell r="FJ189">
            <v>0</v>
          </cell>
          <cell r="FL189">
            <v>0</v>
          </cell>
          <cell r="FN189">
            <v>0</v>
          </cell>
          <cell r="FP189">
            <v>0</v>
          </cell>
          <cell r="FR189">
            <v>0</v>
          </cell>
          <cell r="FT189">
            <v>0</v>
          </cell>
          <cell r="FV189">
            <v>0</v>
          </cell>
          <cell r="GD189">
            <v>14</v>
          </cell>
          <cell r="GF189">
            <v>4</v>
          </cell>
          <cell r="GH189">
            <v>1</v>
          </cell>
          <cell r="GJ189">
            <v>7</v>
          </cell>
          <cell r="GM189">
            <v>57.01</v>
          </cell>
          <cell r="GN18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60.檢查勞工個人防護具：█有 □無</v>
          </cell>
          <cell r="GP189">
            <v>0</v>
          </cell>
          <cell r="GQ189" t="e">
            <v>#REF!</v>
          </cell>
          <cell r="GR189">
            <v>0</v>
          </cell>
          <cell r="GS189">
            <v>0</v>
          </cell>
          <cell r="GT189">
            <v>0</v>
          </cell>
          <cell r="GW189" t="str">
            <v>（一）施工廠商施工前檢查事項辦理情形：█完成 □未完成 （二）其他工地安全衛生督導事項：</v>
          </cell>
          <cell r="GX189">
            <v>853901</v>
          </cell>
          <cell r="GY189">
            <v>0</v>
          </cell>
        </row>
        <row r="190">
          <cell r="N190">
            <v>1</v>
          </cell>
          <cell r="P190">
            <v>1</v>
          </cell>
          <cell r="R190">
            <v>672</v>
          </cell>
          <cell r="T190">
            <v>108</v>
          </cell>
          <cell r="V190">
            <v>661</v>
          </cell>
          <cell r="X190">
            <v>2</v>
          </cell>
          <cell r="Z190">
            <v>1</v>
          </cell>
          <cell r="AB190">
            <v>661</v>
          </cell>
          <cell r="AD190">
            <v>2</v>
          </cell>
          <cell r="AF190">
            <v>1</v>
          </cell>
          <cell r="AH190">
            <v>1</v>
          </cell>
          <cell r="AJ190">
            <v>1</v>
          </cell>
          <cell r="AL190">
            <v>0</v>
          </cell>
          <cell r="AN190">
            <v>0</v>
          </cell>
          <cell r="AP190">
            <v>0</v>
          </cell>
          <cell r="AR190">
            <v>0</v>
          </cell>
          <cell r="AT190">
            <v>0</v>
          </cell>
          <cell r="AV190">
            <v>0</v>
          </cell>
          <cell r="AX190">
            <v>0</v>
          </cell>
          <cell r="AZ190">
            <v>0</v>
          </cell>
          <cell r="BB190">
            <v>0</v>
          </cell>
          <cell r="BD190">
            <v>0</v>
          </cell>
          <cell r="BF190">
            <v>0</v>
          </cell>
          <cell r="BH190">
            <v>0</v>
          </cell>
          <cell r="BJ190">
            <v>0</v>
          </cell>
          <cell r="BL190">
            <v>0</v>
          </cell>
          <cell r="BN190">
            <v>0</v>
          </cell>
          <cell r="BP190">
            <v>0</v>
          </cell>
          <cell r="BR190">
            <v>0</v>
          </cell>
          <cell r="BT190">
            <v>0</v>
          </cell>
          <cell r="BV190">
            <v>0</v>
          </cell>
          <cell r="BX190">
            <v>0</v>
          </cell>
          <cell r="BZ190">
            <v>0</v>
          </cell>
          <cell r="CB190">
            <v>0</v>
          </cell>
          <cell r="CD190">
            <v>0</v>
          </cell>
          <cell r="CF190">
            <v>0</v>
          </cell>
          <cell r="CH190">
            <v>0</v>
          </cell>
          <cell r="CJ190">
            <v>0</v>
          </cell>
          <cell r="CL190">
            <v>0</v>
          </cell>
          <cell r="CN190">
            <v>0</v>
          </cell>
          <cell r="CP190">
            <v>0</v>
          </cell>
          <cell r="CR190">
            <v>0</v>
          </cell>
          <cell r="CT190">
            <v>0</v>
          </cell>
          <cell r="CV190">
            <v>0</v>
          </cell>
          <cell r="CX190">
            <v>0</v>
          </cell>
          <cell r="CZ190">
            <v>0</v>
          </cell>
          <cell r="DB190">
            <v>0</v>
          </cell>
          <cell r="DD190">
            <v>0</v>
          </cell>
          <cell r="DF190">
            <v>0</v>
          </cell>
          <cell r="DH190">
            <v>0</v>
          </cell>
          <cell r="DJ190">
            <v>0</v>
          </cell>
          <cell r="DL190">
            <v>0</v>
          </cell>
          <cell r="DN190">
            <v>0</v>
          </cell>
          <cell r="DP190">
            <v>0</v>
          </cell>
          <cell r="DR190">
            <v>0</v>
          </cell>
          <cell r="DT190">
            <v>0</v>
          </cell>
          <cell r="DV190">
            <v>0</v>
          </cell>
          <cell r="DX190">
            <v>0</v>
          </cell>
          <cell r="DZ190">
            <v>0</v>
          </cell>
          <cell r="EB190">
            <v>0</v>
          </cell>
          <cell r="ED190">
            <v>0</v>
          </cell>
          <cell r="EF190">
            <v>0</v>
          </cell>
          <cell r="EH190">
            <v>0</v>
          </cell>
          <cell r="EJ190">
            <v>0</v>
          </cell>
          <cell r="EL190">
            <v>0</v>
          </cell>
          <cell r="EN190">
            <v>0</v>
          </cell>
          <cell r="EP190">
            <v>0</v>
          </cell>
          <cell r="ER190">
            <v>0</v>
          </cell>
          <cell r="ET190">
            <v>0</v>
          </cell>
          <cell r="EV190">
            <v>0</v>
          </cell>
          <cell r="EX190">
            <v>0</v>
          </cell>
          <cell r="EZ190">
            <v>0</v>
          </cell>
          <cell r="FB190">
            <v>0</v>
          </cell>
          <cell r="FD190">
            <v>0</v>
          </cell>
          <cell r="FF190">
            <v>0</v>
          </cell>
          <cell r="FH190">
            <v>0</v>
          </cell>
          <cell r="FJ190">
            <v>0</v>
          </cell>
          <cell r="FL190">
            <v>0</v>
          </cell>
          <cell r="FN190">
            <v>0</v>
          </cell>
          <cell r="FP190">
            <v>0</v>
          </cell>
          <cell r="FR190">
            <v>0</v>
          </cell>
          <cell r="FT190">
            <v>0</v>
          </cell>
          <cell r="FV190">
            <v>0</v>
          </cell>
          <cell r="GD190">
            <v>14</v>
          </cell>
          <cell r="GF190">
            <v>4</v>
          </cell>
          <cell r="GH190">
            <v>1</v>
          </cell>
          <cell r="GJ190">
            <v>7</v>
          </cell>
          <cell r="GM190">
            <v>58.01</v>
          </cell>
          <cell r="GN19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61.檢查勞工個人防護具：█有 □無</v>
          </cell>
          <cell r="GP190">
            <v>0</v>
          </cell>
          <cell r="GQ190" t="e">
            <v>#REF!</v>
          </cell>
          <cell r="GR190">
            <v>0</v>
          </cell>
          <cell r="GS190">
            <v>0</v>
          </cell>
          <cell r="GT190">
            <v>0</v>
          </cell>
          <cell r="GW190" t="str">
            <v>（一）施工廠商施工前檢查事項辦理情形：█完成 □未完成 （二）其他工地安全衛生督導事項：</v>
          </cell>
          <cell r="GX190">
            <v>853901</v>
          </cell>
          <cell r="GY190">
            <v>0</v>
          </cell>
        </row>
        <row r="191">
          <cell r="N191">
            <v>1</v>
          </cell>
          <cell r="P191">
            <v>1</v>
          </cell>
          <cell r="R191">
            <v>672</v>
          </cell>
          <cell r="T191">
            <v>108</v>
          </cell>
          <cell r="V191">
            <v>661</v>
          </cell>
          <cell r="X191">
            <v>2</v>
          </cell>
          <cell r="Z191">
            <v>1</v>
          </cell>
          <cell r="AB191">
            <v>661</v>
          </cell>
          <cell r="AD191">
            <v>2</v>
          </cell>
          <cell r="AF191">
            <v>1</v>
          </cell>
          <cell r="AH191">
            <v>1</v>
          </cell>
          <cell r="AJ191">
            <v>1</v>
          </cell>
          <cell r="AL191">
            <v>0</v>
          </cell>
          <cell r="AN191">
            <v>0</v>
          </cell>
          <cell r="AP191">
            <v>0</v>
          </cell>
          <cell r="AR191">
            <v>0</v>
          </cell>
          <cell r="AT191">
            <v>0</v>
          </cell>
          <cell r="AV191">
            <v>0</v>
          </cell>
          <cell r="AX191">
            <v>0</v>
          </cell>
          <cell r="AZ191">
            <v>0</v>
          </cell>
          <cell r="BB191">
            <v>0</v>
          </cell>
          <cell r="BD191">
            <v>0</v>
          </cell>
          <cell r="BF191">
            <v>0</v>
          </cell>
          <cell r="BH191">
            <v>0</v>
          </cell>
          <cell r="BJ191">
            <v>0</v>
          </cell>
          <cell r="BL191">
            <v>0</v>
          </cell>
          <cell r="BN191">
            <v>0</v>
          </cell>
          <cell r="BP191">
            <v>0</v>
          </cell>
          <cell r="BR191">
            <v>0</v>
          </cell>
          <cell r="BT191">
            <v>0</v>
          </cell>
          <cell r="BV191">
            <v>0</v>
          </cell>
          <cell r="BX191">
            <v>0</v>
          </cell>
          <cell r="BZ191">
            <v>0</v>
          </cell>
          <cell r="CB191">
            <v>0</v>
          </cell>
          <cell r="CD191">
            <v>0</v>
          </cell>
          <cell r="CF191">
            <v>0</v>
          </cell>
          <cell r="CH191">
            <v>0</v>
          </cell>
          <cell r="CJ191">
            <v>0</v>
          </cell>
          <cell r="CL191">
            <v>0</v>
          </cell>
          <cell r="CN191">
            <v>0</v>
          </cell>
          <cell r="CP191">
            <v>0</v>
          </cell>
          <cell r="CR191">
            <v>0</v>
          </cell>
          <cell r="CT191">
            <v>0</v>
          </cell>
          <cell r="CV191">
            <v>0</v>
          </cell>
          <cell r="CX191">
            <v>0</v>
          </cell>
          <cell r="CZ191">
            <v>0</v>
          </cell>
          <cell r="DB191">
            <v>0</v>
          </cell>
          <cell r="DD191">
            <v>0</v>
          </cell>
          <cell r="DF191">
            <v>0</v>
          </cell>
          <cell r="DH191">
            <v>0</v>
          </cell>
          <cell r="DJ191">
            <v>0</v>
          </cell>
          <cell r="DL191">
            <v>0</v>
          </cell>
          <cell r="DN191">
            <v>0</v>
          </cell>
          <cell r="DP191">
            <v>0</v>
          </cell>
          <cell r="DR191">
            <v>0</v>
          </cell>
          <cell r="DT191">
            <v>0</v>
          </cell>
          <cell r="DV191">
            <v>0</v>
          </cell>
          <cell r="DX191">
            <v>0</v>
          </cell>
          <cell r="DZ191">
            <v>0</v>
          </cell>
          <cell r="EB191">
            <v>0</v>
          </cell>
          <cell r="ED191">
            <v>0</v>
          </cell>
          <cell r="EF191">
            <v>0</v>
          </cell>
          <cell r="EH191">
            <v>0</v>
          </cell>
          <cell r="EJ191">
            <v>0</v>
          </cell>
          <cell r="EL191">
            <v>0</v>
          </cell>
          <cell r="EN191">
            <v>0</v>
          </cell>
          <cell r="EP191">
            <v>0</v>
          </cell>
          <cell r="ER191">
            <v>0</v>
          </cell>
          <cell r="ET191">
            <v>0</v>
          </cell>
          <cell r="EV191">
            <v>0</v>
          </cell>
          <cell r="EX191">
            <v>0</v>
          </cell>
          <cell r="EZ191">
            <v>0</v>
          </cell>
          <cell r="FB191">
            <v>0</v>
          </cell>
          <cell r="FD191">
            <v>0</v>
          </cell>
          <cell r="FF191">
            <v>0</v>
          </cell>
          <cell r="FH191">
            <v>0</v>
          </cell>
          <cell r="FJ191">
            <v>0</v>
          </cell>
          <cell r="FL191">
            <v>0</v>
          </cell>
          <cell r="FN191">
            <v>0</v>
          </cell>
          <cell r="FP191">
            <v>0</v>
          </cell>
          <cell r="FR191">
            <v>0</v>
          </cell>
          <cell r="FT191">
            <v>0</v>
          </cell>
          <cell r="FV191">
            <v>0</v>
          </cell>
          <cell r="GD191">
            <v>14</v>
          </cell>
          <cell r="GF191">
            <v>4</v>
          </cell>
          <cell r="GH191">
            <v>1</v>
          </cell>
          <cell r="GJ191">
            <v>7</v>
          </cell>
          <cell r="GM191">
            <v>59.01</v>
          </cell>
          <cell r="GN19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62.檢查勞工個人防護具：█有 □無</v>
          </cell>
          <cell r="GP191">
            <v>0</v>
          </cell>
          <cell r="GQ191" t="e">
            <v>#REF!</v>
          </cell>
          <cell r="GR191">
            <v>0</v>
          </cell>
          <cell r="GS191">
            <v>0</v>
          </cell>
          <cell r="GT191">
            <v>0</v>
          </cell>
          <cell r="GW191" t="str">
            <v>（一）施工廠商施工前檢查事項辦理情形：█完成 □未完成 （二）其他工地安全衛生督導事項：</v>
          </cell>
          <cell r="GX191">
            <v>853901</v>
          </cell>
          <cell r="GY191">
            <v>0</v>
          </cell>
        </row>
        <row r="192">
          <cell r="N192">
            <v>1</v>
          </cell>
          <cell r="P192">
            <v>1</v>
          </cell>
          <cell r="R192">
            <v>672</v>
          </cell>
          <cell r="T192">
            <v>108</v>
          </cell>
          <cell r="V192">
            <v>661</v>
          </cell>
          <cell r="X192">
            <v>2</v>
          </cell>
          <cell r="Z192">
            <v>1</v>
          </cell>
          <cell r="AB192">
            <v>661</v>
          </cell>
          <cell r="AD192">
            <v>2</v>
          </cell>
          <cell r="AF192">
            <v>1</v>
          </cell>
          <cell r="AH192">
            <v>1</v>
          </cell>
          <cell r="AJ192">
            <v>1</v>
          </cell>
          <cell r="AL192">
            <v>0</v>
          </cell>
          <cell r="AN192">
            <v>0</v>
          </cell>
          <cell r="AP192">
            <v>0</v>
          </cell>
          <cell r="AR192">
            <v>0</v>
          </cell>
          <cell r="AT192">
            <v>0</v>
          </cell>
          <cell r="AV192">
            <v>0</v>
          </cell>
          <cell r="AX192">
            <v>0</v>
          </cell>
          <cell r="AZ192">
            <v>0</v>
          </cell>
          <cell r="BB192">
            <v>0</v>
          </cell>
          <cell r="BD192">
            <v>0</v>
          </cell>
          <cell r="BF192">
            <v>0</v>
          </cell>
          <cell r="BH192">
            <v>0</v>
          </cell>
          <cell r="BJ192">
            <v>0</v>
          </cell>
          <cell r="BL192">
            <v>0</v>
          </cell>
          <cell r="BN192">
            <v>0</v>
          </cell>
          <cell r="BP192">
            <v>0</v>
          </cell>
          <cell r="BR192">
            <v>0</v>
          </cell>
          <cell r="BT192">
            <v>0</v>
          </cell>
          <cell r="BV192">
            <v>0</v>
          </cell>
          <cell r="BX192">
            <v>0</v>
          </cell>
          <cell r="BZ192">
            <v>0</v>
          </cell>
          <cell r="CB192">
            <v>0</v>
          </cell>
          <cell r="CD192">
            <v>0</v>
          </cell>
          <cell r="CF192">
            <v>0</v>
          </cell>
          <cell r="CH192">
            <v>0</v>
          </cell>
          <cell r="CJ192">
            <v>0</v>
          </cell>
          <cell r="CL192">
            <v>0</v>
          </cell>
          <cell r="CN192">
            <v>0</v>
          </cell>
          <cell r="CP192">
            <v>0</v>
          </cell>
          <cell r="CR192">
            <v>0</v>
          </cell>
          <cell r="CT192">
            <v>0</v>
          </cell>
          <cell r="CV192">
            <v>0</v>
          </cell>
          <cell r="CX192">
            <v>0</v>
          </cell>
          <cell r="CZ192">
            <v>0</v>
          </cell>
          <cell r="DB192">
            <v>0</v>
          </cell>
          <cell r="DD192">
            <v>0</v>
          </cell>
          <cell r="DF192">
            <v>0</v>
          </cell>
          <cell r="DH192">
            <v>0</v>
          </cell>
          <cell r="DJ192">
            <v>0</v>
          </cell>
          <cell r="DL192">
            <v>0</v>
          </cell>
          <cell r="DN192">
            <v>0</v>
          </cell>
          <cell r="DP192">
            <v>0</v>
          </cell>
          <cell r="DR192">
            <v>0</v>
          </cell>
          <cell r="DT192">
            <v>0</v>
          </cell>
          <cell r="DV192">
            <v>0</v>
          </cell>
          <cell r="DX192">
            <v>0</v>
          </cell>
          <cell r="DZ192">
            <v>0</v>
          </cell>
          <cell r="EB192">
            <v>0</v>
          </cell>
          <cell r="ED192">
            <v>0</v>
          </cell>
          <cell r="EF192">
            <v>0</v>
          </cell>
          <cell r="EH192">
            <v>0</v>
          </cell>
          <cell r="EJ192">
            <v>0</v>
          </cell>
          <cell r="EL192">
            <v>0</v>
          </cell>
          <cell r="EN192">
            <v>0</v>
          </cell>
          <cell r="EP192">
            <v>0</v>
          </cell>
          <cell r="ER192">
            <v>0</v>
          </cell>
          <cell r="ET192">
            <v>0</v>
          </cell>
          <cell r="EV192">
            <v>0</v>
          </cell>
          <cell r="EX192">
            <v>0</v>
          </cell>
          <cell r="EZ192">
            <v>0</v>
          </cell>
          <cell r="FB192">
            <v>0</v>
          </cell>
          <cell r="FD192">
            <v>0</v>
          </cell>
          <cell r="FF192">
            <v>0</v>
          </cell>
          <cell r="FH192">
            <v>0</v>
          </cell>
          <cell r="FJ192">
            <v>0</v>
          </cell>
          <cell r="FL192">
            <v>0</v>
          </cell>
          <cell r="FN192">
            <v>0</v>
          </cell>
          <cell r="FP192">
            <v>0</v>
          </cell>
          <cell r="FR192">
            <v>0</v>
          </cell>
          <cell r="FT192">
            <v>0</v>
          </cell>
          <cell r="FV192">
            <v>0</v>
          </cell>
          <cell r="GD192">
            <v>14</v>
          </cell>
          <cell r="GF192">
            <v>4</v>
          </cell>
          <cell r="GH192">
            <v>1</v>
          </cell>
          <cell r="GJ192">
            <v>7</v>
          </cell>
          <cell r="GM192">
            <v>60.01</v>
          </cell>
          <cell r="GN19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63.檢查勞工個人防護具：█有 □無</v>
          </cell>
          <cell r="GP192">
            <v>0</v>
          </cell>
          <cell r="GQ192" t="e">
            <v>#REF!</v>
          </cell>
          <cell r="GR192">
            <v>0</v>
          </cell>
          <cell r="GS192">
            <v>0</v>
          </cell>
          <cell r="GT192">
            <v>0</v>
          </cell>
          <cell r="GW192" t="str">
            <v>（一）施工廠商施工前檢查事項辦理情形：█完成 □未完成 （二）其他工地安全衛生督導事項：</v>
          </cell>
          <cell r="GX192">
            <v>853901</v>
          </cell>
          <cell r="GY192">
            <v>0</v>
          </cell>
        </row>
        <row r="193">
          <cell r="N193">
            <v>1</v>
          </cell>
          <cell r="P193">
            <v>1</v>
          </cell>
          <cell r="R193">
            <v>672</v>
          </cell>
          <cell r="T193">
            <v>108</v>
          </cell>
          <cell r="V193">
            <v>661</v>
          </cell>
          <cell r="X193">
            <v>2</v>
          </cell>
          <cell r="Z193">
            <v>1</v>
          </cell>
          <cell r="AB193">
            <v>661</v>
          </cell>
          <cell r="AD193">
            <v>2</v>
          </cell>
          <cell r="AF193">
            <v>1</v>
          </cell>
          <cell r="AH193">
            <v>1</v>
          </cell>
          <cell r="AJ193">
            <v>1</v>
          </cell>
          <cell r="AL193">
            <v>0</v>
          </cell>
          <cell r="AN193">
            <v>0</v>
          </cell>
          <cell r="AP193">
            <v>0</v>
          </cell>
          <cell r="AR193">
            <v>0</v>
          </cell>
          <cell r="AT193">
            <v>0</v>
          </cell>
          <cell r="AV193">
            <v>0</v>
          </cell>
          <cell r="AX193">
            <v>0</v>
          </cell>
          <cell r="AZ193">
            <v>0</v>
          </cell>
          <cell r="BB193">
            <v>0</v>
          </cell>
          <cell r="BD193">
            <v>0</v>
          </cell>
          <cell r="BF193">
            <v>0</v>
          </cell>
          <cell r="BH193">
            <v>0</v>
          </cell>
          <cell r="BJ193">
            <v>0</v>
          </cell>
          <cell r="BL193">
            <v>0</v>
          </cell>
          <cell r="BN193">
            <v>0</v>
          </cell>
          <cell r="BP193">
            <v>0</v>
          </cell>
          <cell r="BR193">
            <v>0</v>
          </cell>
          <cell r="BT193">
            <v>0</v>
          </cell>
          <cell r="BV193">
            <v>0</v>
          </cell>
          <cell r="BX193">
            <v>0</v>
          </cell>
          <cell r="BZ193">
            <v>0</v>
          </cell>
          <cell r="CB193">
            <v>0</v>
          </cell>
          <cell r="CD193">
            <v>0</v>
          </cell>
          <cell r="CF193">
            <v>0</v>
          </cell>
          <cell r="CH193">
            <v>0</v>
          </cell>
          <cell r="CJ193">
            <v>0</v>
          </cell>
          <cell r="CL193">
            <v>0</v>
          </cell>
          <cell r="CN193">
            <v>0</v>
          </cell>
          <cell r="CP193">
            <v>0</v>
          </cell>
          <cell r="CR193">
            <v>0</v>
          </cell>
          <cell r="CT193">
            <v>0</v>
          </cell>
          <cell r="CV193">
            <v>0</v>
          </cell>
          <cell r="CX193">
            <v>0</v>
          </cell>
          <cell r="CZ193">
            <v>0</v>
          </cell>
          <cell r="DB193">
            <v>0</v>
          </cell>
          <cell r="DD193">
            <v>0</v>
          </cell>
          <cell r="DF193">
            <v>0</v>
          </cell>
          <cell r="DH193">
            <v>0</v>
          </cell>
          <cell r="DJ193">
            <v>0</v>
          </cell>
          <cell r="DL193">
            <v>0</v>
          </cell>
          <cell r="DN193">
            <v>0</v>
          </cell>
          <cell r="DP193">
            <v>0</v>
          </cell>
          <cell r="DR193">
            <v>0</v>
          </cell>
          <cell r="DT193">
            <v>0</v>
          </cell>
          <cell r="DV193">
            <v>0</v>
          </cell>
          <cell r="DX193">
            <v>0</v>
          </cell>
          <cell r="DZ193">
            <v>0</v>
          </cell>
          <cell r="EB193">
            <v>0</v>
          </cell>
          <cell r="ED193">
            <v>0</v>
          </cell>
          <cell r="EF193">
            <v>0</v>
          </cell>
          <cell r="EH193">
            <v>0</v>
          </cell>
          <cell r="EJ193">
            <v>0</v>
          </cell>
          <cell r="EL193">
            <v>0</v>
          </cell>
          <cell r="EN193">
            <v>0</v>
          </cell>
          <cell r="EP193">
            <v>0</v>
          </cell>
          <cell r="ER193">
            <v>0</v>
          </cell>
          <cell r="ET193">
            <v>0</v>
          </cell>
          <cell r="EV193">
            <v>0</v>
          </cell>
          <cell r="EX193">
            <v>0</v>
          </cell>
          <cell r="EZ193">
            <v>0</v>
          </cell>
          <cell r="FB193">
            <v>0</v>
          </cell>
          <cell r="FD193">
            <v>0</v>
          </cell>
          <cell r="FF193">
            <v>0</v>
          </cell>
          <cell r="FH193">
            <v>0</v>
          </cell>
          <cell r="FJ193">
            <v>0</v>
          </cell>
          <cell r="FL193">
            <v>0</v>
          </cell>
          <cell r="FN193">
            <v>0</v>
          </cell>
          <cell r="FP193">
            <v>0</v>
          </cell>
          <cell r="FR193">
            <v>0</v>
          </cell>
          <cell r="FT193">
            <v>0</v>
          </cell>
          <cell r="FV193">
            <v>0</v>
          </cell>
          <cell r="GD193">
            <v>14</v>
          </cell>
          <cell r="GF193">
            <v>4</v>
          </cell>
          <cell r="GH193">
            <v>1</v>
          </cell>
          <cell r="GJ193">
            <v>7</v>
          </cell>
          <cell r="GM193">
            <v>61.01</v>
          </cell>
          <cell r="GN19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64.檢查勞工個人防護具：█有 □無</v>
          </cell>
          <cell r="GP193">
            <v>0</v>
          </cell>
          <cell r="GQ193" t="e">
            <v>#REF!</v>
          </cell>
          <cell r="GR193">
            <v>0</v>
          </cell>
          <cell r="GS193">
            <v>0</v>
          </cell>
          <cell r="GT193">
            <v>0</v>
          </cell>
          <cell r="GW193" t="str">
            <v>（一）施工廠商施工前檢查事項辦理情形：█完成 □未完成 （二）其他工地安全衛生督導事項：</v>
          </cell>
          <cell r="GX193">
            <v>853901</v>
          </cell>
          <cell r="GY193">
            <v>0</v>
          </cell>
        </row>
        <row r="194">
          <cell r="N194">
            <v>1</v>
          </cell>
          <cell r="P194">
            <v>1</v>
          </cell>
          <cell r="R194">
            <v>672</v>
          </cell>
          <cell r="T194">
            <v>108</v>
          </cell>
          <cell r="V194">
            <v>661</v>
          </cell>
          <cell r="X194">
            <v>2</v>
          </cell>
          <cell r="Z194">
            <v>1</v>
          </cell>
          <cell r="AB194">
            <v>661</v>
          </cell>
          <cell r="AD194">
            <v>2</v>
          </cell>
          <cell r="AF194">
            <v>1</v>
          </cell>
          <cell r="AH194">
            <v>1</v>
          </cell>
          <cell r="AJ194">
            <v>1</v>
          </cell>
          <cell r="AL194">
            <v>0</v>
          </cell>
          <cell r="AN194">
            <v>0</v>
          </cell>
          <cell r="AP194">
            <v>0</v>
          </cell>
          <cell r="AR194">
            <v>0</v>
          </cell>
          <cell r="AT194">
            <v>0</v>
          </cell>
          <cell r="AV194">
            <v>0</v>
          </cell>
          <cell r="AX194">
            <v>0</v>
          </cell>
          <cell r="AZ194">
            <v>0</v>
          </cell>
          <cell r="BB194">
            <v>0</v>
          </cell>
          <cell r="BD194">
            <v>0</v>
          </cell>
          <cell r="BF194">
            <v>0</v>
          </cell>
          <cell r="BH194">
            <v>0</v>
          </cell>
          <cell r="BJ194">
            <v>0</v>
          </cell>
          <cell r="BL194">
            <v>0</v>
          </cell>
          <cell r="BN194">
            <v>0</v>
          </cell>
          <cell r="BP194">
            <v>0</v>
          </cell>
          <cell r="BR194">
            <v>0</v>
          </cell>
          <cell r="BT194">
            <v>0</v>
          </cell>
          <cell r="BV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0</v>
          </cell>
          <cell r="CP194">
            <v>0</v>
          </cell>
          <cell r="CR194">
            <v>0</v>
          </cell>
          <cell r="CT194">
            <v>0</v>
          </cell>
          <cell r="CV194">
            <v>0</v>
          </cell>
          <cell r="CX194">
            <v>0</v>
          </cell>
          <cell r="CZ194">
            <v>0</v>
          </cell>
          <cell r="DB194">
            <v>0</v>
          </cell>
          <cell r="DD194">
            <v>0</v>
          </cell>
          <cell r="DF194">
            <v>0</v>
          </cell>
          <cell r="DH194">
            <v>0</v>
          </cell>
          <cell r="DJ194">
            <v>0</v>
          </cell>
          <cell r="DL194">
            <v>0</v>
          </cell>
          <cell r="DN194">
            <v>0</v>
          </cell>
          <cell r="DP194">
            <v>0</v>
          </cell>
          <cell r="DR194">
            <v>0</v>
          </cell>
          <cell r="DT194">
            <v>0</v>
          </cell>
          <cell r="DV194">
            <v>0</v>
          </cell>
          <cell r="DX194">
            <v>0</v>
          </cell>
          <cell r="DZ194">
            <v>0</v>
          </cell>
          <cell r="EB194">
            <v>0</v>
          </cell>
          <cell r="ED194">
            <v>0</v>
          </cell>
          <cell r="EF194">
            <v>0</v>
          </cell>
          <cell r="EH194">
            <v>0</v>
          </cell>
          <cell r="EJ194">
            <v>0</v>
          </cell>
          <cell r="EL194">
            <v>0</v>
          </cell>
          <cell r="EN194">
            <v>0</v>
          </cell>
          <cell r="EP194">
            <v>0</v>
          </cell>
          <cell r="ER194">
            <v>0</v>
          </cell>
          <cell r="ET194">
            <v>0</v>
          </cell>
          <cell r="EV194">
            <v>0</v>
          </cell>
          <cell r="EX194">
            <v>0</v>
          </cell>
          <cell r="EZ194">
            <v>0</v>
          </cell>
          <cell r="FB194">
            <v>0</v>
          </cell>
          <cell r="FD194">
            <v>0</v>
          </cell>
          <cell r="FF194">
            <v>0</v>
          </cell>
          <cell r="FH194">
            <v>0</v>
          </cell>
          <cell r="FJ194">
            <v>0</v>
          </cell>
          <cell r="FL194">
            <v>0</v>
          </cell>
          <cell r="FN194">
            <v>0</v>
          </cell>
          <cell r="FP194">
            <v>0</v>
          </cell>
          <cell r="FR194">
            <v>0</v>
          </cell>
          <cell r="FT194">
            <v>0</v>
          </cell>
          <cell r="FV194">
            <v>0</v>
          </cell>
          <cell r="GD194">
            <v>14</v>
          </cell>
          <cell r="GF194">
            <v>4</v>
          </cell>
          <cell r="GH194">
            <v>1</v>
          </cell>
          <cell r="GJ194">
            <v>7</v>
          </cell>
          <cell r="GM194">
            <v>62.01</v>
          </cell>
          <cell r="GN19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65.檢查勞工個人防護具：█有 □無</v>
          </cell>
          <cell r="GP194">
            <v>0</v>
          </cell>
          <cell r="GQ194" t="e">
            <v>#REF!</v>
          </cell>
          <cell r="GR194">
            <v>0</v>
          </cell>
          <cell r="GS194">
            <v>0</v>
          </cell>
          <cell r="GT194">
            <v>0</v>
          </cell>
          <cell r="GW194" t="str">
            <v>（一）施工廠商施工前檢查事項辦理情形：█完成 □未完成 （二）其他工地安全衛生督導事項：</v>
          </cell>
          <cell r="GX194">
            <v>853901</v>
          </cell>
          <cell r="GY194">
            <v>0</v>
          </cell>
        </row>
        <row r="195">
          <cell r="N195">
            <v>1</v>
          </cell>
          <cell r="P195">
            <v>1</v>
          </cell>
          <cell r="R195">
            <v>672</v>
          </cell>
          <cell r="T195">
            <v>108</v>
          </cell>
          <cell r="V195">
            <v>661</v>
          </cell>
          <cell r="X195">
            <v>2</v>
          </cell>
          <cell r="Z195">
            <v>1</v>
          </cell>
          <cell r="AB195">
            <v>661</v>
          </cell>
          <cell r="AD195">
            <v>2</v>
          </cell>
          <cell r="AF195">
            <v>1</v>
          </cell>
          <cell r="AH195">
            <v>1</v>
          </cell>
          <cell r="AJ195">
            <v>1</v>
          </cell>
          <cell r="AL195">
            <v>0</v>
          </cell>
          <cell r="AN195">
            <v>0</v>
          </cell>
          <cell r="AP195">
            <v>0</v>
          </cell>
          <cell r="AR195">
            <v>0</v>
          </cell>
          <cell r="AT195">
            <v>0</v>
          </cell>
          <cell r="AV195">
            <v>0</v>
          </cell>
          <cell r="AX195">
            <v>0</v>
          </cell>
          <cell r="AZ195">
            <v>0</v>
          </cell>
          <cell r="BB195">
            <v>0</v>
          </cell>
          <cell r="BD195">
            <v>0</v>
          </cell>
          <cell r="BF195">
            <v>0</v>
          </cell>
          <cell r="BH195">
            <v>0</v>
          </cell>
          <cell r="BJ195">
            <v>0</v>
          </cell>
          <cell r="BL195">
            <v>0</v>
          </cell>
          <cell r="BN195">
            <v>0</v>
          </cell>
          <cell r="BP195">
            <v>0</v>
          </cell>
          <cell r="BR195">
            <v>0</v>
          </cell>
          <cell r="BT195">
            <v>0</v>
          </cell>
          <cell r="BV195">
            <v>0</v>
          </cell>
          <cell r="BX195">
            <v>0</v>
          </cell>
          <cell r="BZ195">
            <v>0</v>
          </cell>
          <cell r="CB195">
            <v>0</v>
          </cell>
          <cell r="CD195">
            <v>0</v>
          </cell>
          <cell r="CF195">
            <v>0</v>
          </cell>
          <cell r="CH195">
            <v>0</v>
          </cell>
          <cell r="CJ195">
            <v>0</v>
          </cell>
          <cell r="CL195">
            <v>0</v>
          </cell>
          <cell r="CN195">
            <v>0</v>
          </cell>
          <cell r="CP195">
            <v>0</v>
          </cell>
          <cell r="CR195">
            <v>0</v>
          </cell>
          <cell r="CT195">
            <v>0</v>
          </cell>
          <cell r="CV195">
            <v>0</v>
          </cell>
          <cell r="CX195">
            <v>0</v>
          </cell>
          <cell r="CZ195">
            <v>0</v>
          </cell>
          <cell r="DB195">
            <v>0</v>
          </cell>
          <cell r="DD195">
            <v>0</v>
          </cell>
          <cell r="DF195">
            <v>0</v>
          </cell>
          <cell r="DH195">
            <v>0</v>
          </cell>
          <cell r="DJ195">
            <v>0</v>
          </cell>
          <cell r="DL195">
            <v>0</v>
          </cell>
          <cell r="DN195">
            <v>0</v>
          </cell>
          <cell r="DP195">
            <v>0</v>
          </cell>
          <cell r="DR195">
            <v>0</v>
          </cell>
          <cell r="DT195">
            <v>0</v>
          </cell>
          <cell r="DV195">
            <v>0</v>
          </cell>
          <cell r="DX195">
            <v>0</v>
          </cell>
          <cell r="DZ195">
            <v>0</v>
          </cell>
          <cell r="EB195">
            <v>0</v>
          </cell>
          <cell r="ED195">
            <v>0</v>
          </cell>
          <cell r="EF195">
            <v>0</v>
          </cell>
          <cell r="EH195">
            <v>0</v>
          </cell>
          <cell r="EJ195">
            <v>0</v>
          </cell>
          <cell r="EL195">
            <v>0</v>
          </cell>
          <cell r="EN195">
            <v>0</v>
          </cell>
          <cell r="EP195">
            <v>0</v>
          </cell>
          <cell r="ER195">
            <v>0</v>
          </cell>
          <cell r="ET195">
            <v>0</v>
          </cell>
          <cell r="EV195">
            <v>0</v>
          </cell>
          <cell r="EX195">
            <v>0</v>
          </cell>
          <cell r="EZ195">
            <v>0</v>
          </cell>
          <cell r="FB195">
            <v>0</v>
          </cell>
          <cell r="FD195">
            <v>0</v>
          </cell>
          <cell r="FF195">
            <v>0</v>
          </cell>
          <cell r="FH195">
            <v>0</v>
          </cell>
          <cell r="FJ195">
            <v>0</v>
          </cell>
          <cell r="FL195">
            <v>0</v>
          </cell>
          <cell r="FN195">
            <v>0</v>
          </cell>
          <cell r="FP195">
            <v>0</v>
          </cell>
          <cell r="FR195">
            <v>0</v>
          </cell>
          <cell r="FT195">
            <v>0</v>
          </cell>
          <cell r="FV195">
            <v>0</v>
          </cell>
          <cell r="GD195">
            <v>14</v>
          </cell>
          <cell r="GF195">
            <v>4</v>
          </cell>
          <cell r="GH195">
            <v>1</v>
          </cell>
          <cell r="GJ195">
            <v>7</v>
          </cell>
          <cell r="GM195">
            <v>63.01</v>
          </cell>
          <cell r="GN19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66.檢查勞工個人防護具：█有 □無</v>
          </cell>
          <cell r="GP195">
            <v>0</v>
          </cell>
          <cell r="GQ195" t="e">
            <v>#REF!</v>
          </cell>
          <cell r="GR195">
            <v>0</v>
          </cell>
          <cell r="GS195">
            <v>0</v>
          </cell>
          <cell r="GT195">
            <v>0</v>
          </cell>
          <cell r="GW195" t="str">
            <v>（一）施工廠商施工前檢查事項辦理情形：█完成 □未完成 （二）其他工地安全衛生督導事項：</v>
          </cell>
          <cell r="GX195">
            <v>853901</v>
          </cell>
          <cell r="GY195">
            <v>0</v>
          </cell>
        </row>
        <row r="196">
          <cell r="N196">
            <v>1</v>
          </cell>
          <cell r="P196">
            <v>1</v>
          </cell>
          <cell r="R196">
            <v>672</v>
          </cell>
          <cell r="T196">
            <v>108</v>
          </cell>
          <cell r="V196">
            <v>661</v>
          </cell>
          <cell r="X196">
            <v>2</v>
          </cell>
          <cell r="Z196">
            <v>1</v>
          </cell>
          <cell r="AB196">
            <v>661</v>
          </cell>
          <cell r="AD196">
            <v>2</v>
          </cell>
          <cell r="AF196">
            <v>1</v>
          </cell>
          <cell r="AH196">
            <v>1</v>
          </cell>
          <cell r="AJ196">
            <v>1</v>
          </cell>
          <cell r="AL196">
            <v>0</v>
          </cell>
          <cell r="AN196">
            <v>0</v>
          </cell>
          <cell r="AP196">
            <v>0</v>
          </cell>
          <cell r="AR196">
            <v>0</v>
          </cell>
          <cell r="AT196">
            <v>0</v>
          </cell>
          <cell r="AV196">
            <v>0</v>
          </cell>
          <cell r="AX196">
            <v>0</v>
          </cell>
          <cell r="AZ196">
            <v>0</v>
          </cell>
          <cell r="BB196">
            <v>0</v>
          </cell>
          <cell r="BD196">
            <v>0</v>
          </cell>
          <cell r="BF196">
            <v>0</v>
          </cell>
          <cell r="BH196">
            <v>0</v>
          </cell>
          <cell r="BJ196">
            <v>0</v>
          </cell>
          <cell r="BL196">
            <v>0</v>
          </cell>
          <cell r="BN196">
            <v>0</v>
          </cell>
          <cell r="BP196">
            <v>0</v>
          </cell>
          <cell r="BR196">
            <v>0</v>
          </cell>
          <cell r="BT196">
            <v>0</v>
          </cell>
          <cell r="BV196">
            <v>0</v>
          </cell>
          <cell r="BX196">
            <v>0</v>
          </cell>
          <cell r="BZ196">
            <v>0</v>
          </cell>
          <cell r="CB196">
            <v>0</v>
          </cell>
          <cell r="CD196">
            <v>0</v>
          </cell>
          <cell r="CF196">
            <v>0</v>
          </cell>
          <cell r="CH196">
            <v>0</v>
          </cell>
          <cell r="CJ196">
            <v>0</v>
          </cell>
          <cell r="CL196">
            <v>0</v>
          </cell>
          <cell r="CN196">
            <v>0</v>
          </cell>
          <cell r="CP196">
            <v>0</v>
          </cell>
          <cell r="CR196">
            <v>0</v>
          </cell>
          <cell r="CT196">
            <v>0</v>
          </cell>
          <cell r="CV196">
            <v>0</v>
          </cell>
          <cell r="CX196">
            <v>0</v>
          </cell>
          <cell r="CZ196">
            <v>0</v>
          </cell>
          <cell r="DB196">
            <v>0</v>
          </cell>
          <cell r="DD196">
            <v>0</v>
          </cell>
          <cell r="DF196">
            <v>0</v>
          </cell>
          <cell r="DH196">
            <v>0</v>
          </cell>
          <cell r="DJ196">
            <v>0</v>
          </cell>
          <cell r="DL196">
            <v>0</v>
          </cell>
          <cell r="DN196">
            <v>0</v>
          </cell>
          <cell r="DP196">
            <v>0</v>
          </cell>
          <cell r="DR196">
            <v>0</v>
          </cell>
          <cell r="DT196">
            <v>0</v>
          </cell>
          <cell r="DV196">
            <v>0</v>
          </cell>
          <cell r="DX196">
            <v>0</v>
          </cell>
          <cell r="DZ196">
            <v>0</v>
          </cell>
          <cell r="EB196">
            <v>0</v>
          </cell>
          <cell r="ED196">
            <v>0</v>
          </cell>
          <cell r="EF196">
            <v>0</v>
          </cell>
          <cell r="EH196">
            <v>0</v>
          </cell>
          <cell r="EJ196">
            <v>0</v>
          </cell>
          <cell r="EL196">
            <v>0</v>
          </cell>
          <cell r="EN196">
            <v>0</v>
          </cell>
          <cell r="EP196">
            <v>0</v>
          </cell>
          <cell r="ER196">
            <v>0</v>
          </cell>
          <cell r="ET196">
            <v>0</v>
          </cell>
          <cell r="EV196">
            <v>0</v>
          </cell>
          <cell r="EX196">
            <v>0</v>
          </cell>
          <cell r="EZ196">
            <v>0</v>
          </cell>
          <cell r="FB196">
            <v>0</v>
          </cell>
          <cell r="FD196">
            <v>0</v>
          </cell>
          <cell r="FF196">
            <v>0</v>
          </cell>
          <cell r="FH196">
            <v>0</v>
          </cell>
          <cell r="FJ196">
            <v>0</v>
          </cell>
          <cell r="FL196">
            <v>0</v>
          </cell>
          <cell r="FN196">
            <v>0</v>
          </cell>
          <cell r="FP196">
            <v>0</v>
          </cell>
          <cell r="FR196">
            <v>0</v>
          </cell>
          <cell r="FT196">
            <v>0</v>
          </cell>
          <cell r="FV196">
            <v>0</v>
          </cell>
          <cell r="GD196">
            <v>14</v>
          </cell>
          <cell r="GF196">
            <v>4</v>
          </cell>
          <cell r="GH196">
            <v>1</v>
          </cell>
          <cell r="GJ196">
            <v>7</v>
          </cell>
          <cell r="GM196">
            <v>64.010000000000005</v>
          </cell>
          <cell r="GN19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67.檢查勞工個人防護具：█有 □無</v>
          </cell>
          <cell r="GP196">
            <v>0</v>
          </cell>
          <cell r="GQ196" t="e">
            <v>#REF!</v>
          </cell>
          <cell r="GR196">
            <v>0</v>
          </cell>
          <cell r="GS196">
            <v>0</v>
          </cell>
          <cell r="GT196">
            <v>0</v>
          </cell>
          <cell r="GW196" t="str">
            <v>（一）施工廠商施工前檢查事項辦理情形：█完成 □未完成 （二）其他工地安全衛生督導事項：</v>
          </cell>
          <cell r="GX196">
            <v>853901</v>
          </cell>
          <cell r="GY196">
            <v>0</v>
          </cell>
        </row>
        <row r="197">
          <cell r="N197">
            <v>1</v>
          </cell>
          <cell r="P197">
            <v>1</v>
          </cell>
          <cell r="R197">
            <v>672</v>
          </cell>
          <cell r="T197">
            <v>108</v>
          </cell>
          <cell r="V197">
            <v>661</v>
          </cell>
          <cell r="X197">
            <v>2</v>
          </cell>
          <cell r="Z197">
            <v>1</v>
          </cell>
          <cell r="AB197">
            <v>661</v>
          </cell>
          <cell r="AD197">
            <v>2</v>
          </cell>
          <cell r="AF197">
            <v>1</v>
          </cell>
          <cell r="AH197">
            <v>1</v>
          </cell>
          <cell r="AJ197">
            <v>1</v>
          </cell>
          <cell r="AL197">
            <v>0</v>
          </cell>
          <cell r="AN197">
            <v>0</v>
          </cell>
          <cell r="AP197">
            <v>0</v>
          </cell>
          <cell r="AR197">
            <v>0</v>
          </cell>
          <cell r="AT197">
            <v>0</v>
          </cell>
          <cell r="AV197">
            <v>0</v>
          </cell>
          <cell r="AX197">
            <v>0</v>
          </cell>
          <cell r="AZ197">
            <v>0</v>
          </cell>
          <cell r="BB197">
            <v>0</v>
          </cell>
          <cell r="BD197">
            <v>0</v>
          </cell>
          <cell r="BF197">
            <v>0</v>
          </cell>
          <cell r="BH197">
            <v>0</v>
          </cell>
          <cell r="BJ197">
            <v>0</v>
          </cell>
          <cell r="BL197">
            <v>0</v>
          </cell>
          <cell r="BN197">
            <v>0</v>
          </cell>
          <cell r="BP197">
            <v>0</v>
          </cell>
          <cell r="BR197">
            <v>0</v>
          </cell>
          <cell r="BT197">
            <v>0</v>
          </cell>
          <cell r="BV197">
            <v>0</v>
          </cell>
          <cell r="BX197">
            <v>0</v>
          </cell>
          <cell r="BZ197">
            <v>0</v>
          </cell>
          <cell r="CB197">
            <v>0</v>
          </cell>
          <cell r="CD197">
            <v>0</v>
          </cell>
          <cell r="CF197">
            <v>0</v>
          </cell>
          <cell r="CH197">
            <v>0</v>
          </cell>
          <cell r="CJ197">
            <v>0</v>
          </cell>
          <cell r="CL197">
            <v>0</v>
          </cell>
          <cell r="CN197">
            <v>0</v>
          </cell>
          <cell r="CP197">
            <v>0</v>
          </cell>
          <cell r="CR197">
            <v>0</v>
          </cell>
          <cell r="CT197">
            <v>0</v>
          </cell>
          <cell r="CV197">
            <v>0</v>
          </cell>
          <cell r="CX197">
            <v>0</v>
          </cell>
          <cell r="CZ197">
            <v>0</v>
          </cell>
          <cell r="DB197">
            <v>0</v>
          </cell>
          <cell r="DD197">
            <v>0</v>
          </cell>
          <cell r="DF197">
            <v>0</v>
          </cell>
          <cell r="DH197">
            <v>0</v>
          </cell>
          <cell r="DJ197">
            <v>0</v>
          </cell>
          <cell r="DL197">
            <v>0</v>
          </cell>
          <cell r="DN197">
            <v>0</v>
          </cell>
          <cell r="DP197">
            <v>0</v>
          </cell>
          <cell r="DR197">
            <v>0</v>
          </cell>
          <cell r="DT197">
            <v>0</v>
          </cell>
          <cell r="DV197">
            <v>0</v>
          </cell>
          <cell r="DX197">
            <v>0</v>
          </cell>
          <cell r="DZ197">
            <v>0</v>
          </cell>
          <cell r="EB197">
            <v>0</v>
          </cell>
          <cell r="ED197">
            <v>0</v>
          </cell>
          <cell r="EF197">
            <v>0</v>
          </cell>
          <cell r="EH197">
            <v>0</v>
          </cell>
          <cell r="EJ197">
            <v>0</v>
          </cell>
          <cell r="EL197">
            <v>0</v>
          </cell>
          <cell r="EN197">
            <v>0</v>
          </cell>
          <cell r="EP197">
            <v>0</v>
          </cell>
          <cell r="ER197">
            <v>0</v>
          </cell>
          <cell r="ET197">
            <v>0</v>
          </cell>
          <cell r="EV197">
            <v>0</v>
          </cell>
          <cell r="EX197">
            <v>0</v>
          </cell>
          <cell r="EZ197">
            <v>0</v>
          </cell>
          <cell r="FB197">
            <v>0</v>
          </cell>
          <cell r="FD197">
            <v>0</v>
          </cell>
          <cell r="FF197">
            <v>0</v>
          </cell>
          <cell r="FH197">
            <v>0</v>
          </cell>
          <cell r="FJ197">
            <v>0</v>
          </cell>
          <cell r="FL197">
            <v>0</v>
          </cell>
          <cell r="FN197">
            <v>0</v>
          </cell>
          <cell r="FP197">
            <v>0</v>
          </cell>
          <cell r="FR197">
            <v>0</v>
          </cell>
          <cell r="FT197">
            <v>0</v>
          </cell>
          <cell r="FV197">
            <v>0</v>
          </cell>
          <cell r="GD197">
            <v>14</v>
          </cell>
          <cell r="GF197">
            <v>4</v>
          </cell>
          <cell r="GH197">
            <v>1</v>
          </cell>
          <cell r="GJ197">
            <v>7</v>
          </cell>
          <cell r="GM197">
            <v>65.010000000000005</v>
          </cell>
          <cell r="GN19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68.檢查勞工個人防護具：█有 □無</v>
          </cell>
          <cell r="GP197">
            <v>0</v>
          </cell>
          <cell r="GQ197" t="e">
            <v>#REF!</v>
          </cell>
          <cell r="GR197">
            <v>0</v>
          </cell>
          <cell r="GS197">
            <v>0</v>
          </cell>
          <cell r="GT197">
            <v>0</v>
          </cell>
          <cell r="GW197" t="str">
            <v>（一）施工廠商施工前檢查事項辦理情形：█完成 □未完成 （二）其他工地安全衛生督導事項：</v>
          </cell>
          <cell r="GX197">
            <v>853901</v>
          </cell>
          <cell r="GY197">
            <v>0</v>
          </cell>
        </row>
        <row r="198">
          <cell r="N198">
            <v>1</v>
          </cell>
          <cell r="P198">
            <v>1</v>
          </cell>
          <cell r="R198">
            <v>672</v>
          </cell>
          <cell r="T198">
            <v>108</v>
          </cell>
          <cell r="V198">
            <v>661</v>
          </cell>
          <cell r="X198">
            <v>2</v>
          </cell>
          <cell r="Z198">
            <v>1</v>
          </cell>
          <cell r="AB198">
            <v>661</v>
          </cell>
          <cell r="AD198">
            <v>2</v>
          </cell>
          <cell r="AF198">
            <v>1</v>
          </cell>
          <cell r="AH198">
            <v>1</v>
          </cell>
          <cell r="AJ198">
            <v>1</v>
          </cell>
          <cell r="AL198">
            <v>0</v>
          </cell>
          <cell r="AN198">
            <v>0</v>
          </cell>
          <cell r="AP198">
            <v>0</v>
          </cell>
          <cell r="AR198">
            <v>0</v>
          </cell>
          <cell r="AT198">
            <v>0</v>
          </cell>
          <cell r="AV198">
            <v>0</v>
          </cell>
          <cell r="AX198">
            <v>0</v>
          </cell>
          <cell r="AZ198">
            <v>0</v>
          </cell>
          <cell r="BB198">
            <v>0</v>
          </cell>
          <cell r="BD198">
            <v>0</v>
          </cell>
          <cell r="BF198">
            <v>0</v>
          </cell>
          <cell r="BH198">
            <v>0</v>
          </cell>
          <cell r="BJ198">
            <v>0</v>
          </cell>
          <cell r="BL198">
            <v>0</v>
          </cell>
          <cell r="BN198">
            <v>0</v>
          </cell>
          <cell r="BP198">
            <v>0</v>
          </cell>
          <cell r="BR198">
            <v>0</v>
          </cell>
          <cell r="BT198">
            <v>0</v>
          </cell>
          <cell r="BV198">
            <v>0</v>
          </cell>
          <cell r="BX198">
            <v>0</v>
          </cell>
          <cell r="BZ198">
            <v>0</v>
          </cell>
          <cell r="CB198">
            <v>0</v>
          </cell>
          <cell r="CD198">
            <v>0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0</v>
          </cell>
          <cell r="CP198">
            <v>0</v>
          </cell>
          <cell r="CR198">
            <v>0</v>
          </cell>
          <cell r="CT198">
            <v>0</v>
          </cell>
          <cell r="CV198">
            <v>0</v>
          </cell>
          <cell r="CX198">
            <v>0</v>
          </cell>
          <cell r="CZ198">
            <v>0</v>
          </cell>
          <cell r="DB198">
            <v>0</v>
          </cell>
          <cell r="DD198">
            <v>0</v>
          </cell>
          <cell r="DF198">
            <v>0</v>
          </cell>
          <cell r="DH198">
            <v>0</v>
          </cell>
          <cell r="DJ198">
            <v>0</v>
          </cell>
          <cell r="DL198">
            <v>0</v>
          </cell>
          <cell r="DN198">
            <v>0</v>
          </cell>
          <cell r="DP198">
            <v>0</v>
          </cell>
          <cell r="DR198">
            <v>0</v>
          </cell>
          <cell r="DT198">
            <v>0</v>
          </cell>
          <cell r="DV198">
            <v>0</v>
          </cell>
          <cell r="DX198">
            <v>0</v>
          </cell>
          <cell r="DZ198">
            <v>0</v>
          </cell>
          <cell r="EB198">
            <v>0</v>
          </cell>
          <cell r="ED198">
            <v>0</v>
          </cell>
          <cell r="EF198">
            <v>0</v>
          </cell>
          <cell r="EH198">
            <v>0</v>
          </cell>
          <cell r="EJ198">
            <v>0</v>
          </cell>
          <cell r="EL198">
            <v>0</v>
          </cell>
          <cell r="EN198">
            <v>0</v>
          </cell>
          <cell r="EP198">
            <v>0</v>
          </cell>
          <cell r="ER198">
            <v>0</v>
          </cell>
          <cell r="ET198">
            <v>0</v>
          </cell>
          <cell r="EV198">
            <v>0</v>
          </cell>
          <cell r="EX198">
            <v>0</v>
          </cell>
          <cell r="EZ198">
            <v>0</v>
          </cell>
          <cell r="FB198">
            <v>0</v>
          </cell>
          <cell r="FD198">
            <v>0</v>
          </cell>
          <cell r="FF198">
            <v>0</v>
          </cell>
          <cell r="FH198">
            <v>0</v>
          </cell>
          <cell r="FJ198">
            <v>0</v>
          </cell>
          <cell r="FL198">
            <v>0</v>
          </cell>
          <cell r="FN198">
            <v>0</v>
          </cell>
          <cell r="FP198">
            <v>0</v>
          </cell>
          <cell r="FR198">
            <v>0</v>
          </cell>
          <cell r="FT198">
            <v>0</v>
          </cell>
          <cell r="FV198">
            <v>0</v>
          </cell>
          <cell r="GD198">
            <v>14</v>
          </cell>
          <cell r="GF198">
            <v>4</v>
          </cell>
          <cell r="GH198">
            <v>1</v>
          </cell>
          <cell r="GJ198">
            <v>7</v>
          </cell>
          <cell r="GM198">
            <v>66.010000000000005</v>
          </cell>
          <cell r="GN19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69.檢查勞工個人防護具：█有 □無</v>
          </cell>
          <cell r="GP198">
            <v>0</v>
          </cell>
          <cell r="GQ198" t="e">
            <v>#REF!</v>
          </cell>
          <cell r="GR198">
            <v>0</v>
          </cell>
          <cell r="GS198">
            <v>0</v>
          </cell>
          <cell r="GT198">
            <v>0</v>
          </cell>
          <cell r="GW198" t="str">
            <v>（一）施工廠商施工前檢查事項辦理情形：█完成 □未完成 （二）其他工地安全衛生督導事項：</v>
          </cell>
          <cell r="GX198">
            <v>853901</v>
          </cell>
          <cell r="GY198">
            <v>0</v>
          </cell>
        </row>
        <row r="199">
          <cell r="N199">
            <v>1</v>
          </cell>
          <cell r="P199">
            <v>1</v>
          </cell>
          <cell r="R199">
            <v>672</v>
          </cell>
          <cell r="T199">
            <v>108</v>
          </cell>
          <cell r="V199">
            <v>661</v>
          </cell>
          <cell r="X199">
            <v>2</v>
          </cell>
          <cell r="Z199">
            <v>1</v>
          </cell>
          <cell r="AB199">
            <v>661</v>
          </cell>
          <cell r="AD199">
            <v>2</v>
          </cell>
          <cell r="AF199">
            <v>1</v>
          </cell>
          <cell r="AH199">
            <v>1</v>
          </cell>
          <cell r="AJ199">
            <v>1</v>
          </cell>
          <cell r="AL199">
            <v>0</v>
          </cell>
          <cell r="AN199">
            <v>0</v>
          </cell>
          <cell r="AP199">
            <v>0</v>
          </cell>
          <cell r="AR199">
            <v>0</v>
          </cell>
          <cell r="AT199">
            <v>0</v>
          </cell>
          <cell r="AV199">
            <v>0</v>
          </cell>
          <cell r="AX199">
            <v>0</v>
          </cell>
          <cell r="AZ199">
            <v>0</v>
          </cell>
          <cell r="BB199">
            <v>0</v>
          </cell>
          <cell r="BD199">
            <v>0</v>
          </cell>
          <cell r="BF199">
            <v>0</v>
          </cell>
          <cell r="BH199">
            <v>0</v>
          </cell>
          <cell r="BJ199">
            <v>0</v>
          </cell>
          <cell r="BL199">
            <v>0</v>
          </cell>
          <cell r="BN199">
            <v>0</v>
          </cell>
          <cell r="BP199">
            <v>0</v>
          </cell>
          <cell r="BR199">
            <v>0</v>
          </cell>
          <cell r="BT199">
            <v>0</v>
          </cell>
          <cell r="BV199">
            <v>0</v>
          </cell>
          <cell r="BX199">
            <v>0</v>
          </cell>
          <cell r="BZ199">
            <v>0</v>
          </cell>
          <cell r="CB199">
            <v>0</v>
          </cell>
          <cell r="CD199">
            <v>0</v>
          </cell>
          <cell r="CF199">
            <v>0</v>
          </cell>
          <cell r="CH199">
            <v>0</v>
          </cell>
          <cell r="CJ199">
            <v>0</v>
          </cell>
          <cell r="CL199">
            <v>0</v>
          </cell>
          <cell r="CN199">
            <v>0</v>
          </cell>
          <cell r="CP199">
            <v>0</v>
          </cell>
          <cell r="CR199">
            <v>0</v>
          </cell>
          <cell r="CT199">
            <v>0</v>
          </cell>
          <cell r="CV199">
            <v>0</v>
          </cell>
          <cell r="CX199">
            <v>0</v>
          </cell>
          <cell r="CZ199">
            <v>0</v>
          </cell>
          <cell r="DB199">
            <v>0</v>
          </cell>
          <cell r="DD199">
            <v>0</v>
          </cell>
          <cell r="DF199">
            <v>0</v>
          </cell>
          <cell r="DH199">
            <v>0</v>
          </cell>
          <cell r="DJ199">
            <v>0</v>
          </cell>
          <cell r="DL199">
            <v>0</v>
          </cell>
          <cell r="DN199">
            <v>0</v>
          </cell>
          <cell r="DP199">
            <v>0</v>
          </cell>
          <cell r="DR199">
            <v>0</v>
          </cell>
          <cell r="DT199">
            <v>0</v>
          </cell>
          <cell r="DV199">
            <v>0</v>
          </cell>
          <cell r="DX199">
            <v>0</v>
          </cell>
          <cell r="DZ199">
            <v>0</v>
          </cell>
          <cell r="EB199">
            <v>0</v>
          </cell>
          <cell r="ED199">
            <v>0</v>
          </cell>
          <cell r="EF199">
            <v>0</v>
          </cell>
          <cell r="EH199">
            <v>0</v>
          </cell>
          <cell r="EJ199">
            <v>0</v>
          </cell>
          <cell r="EL199">
            <v>0</v>
          </cell>
          <cell r="EN199">
            <v>0</v>
          </cell>
          <cell r="EP199">
            <v>0</v>
          </cell>
          <cell r="ER199">
            <v>0</v>
          </cell>
          <cell r="ET199">
            <v>0</v>
          </cell>
          <cell r="EV199">
            <v>0</v>
          </cell>
          <cell r="EX199">
            <v>0</v>
          </cell>
          <cell r="EZ199">
            <v>0</v>
          </cell>
          <cell r="FB199">
            <v>0</v>
          </cell>
          <cell r="FD199">
            <v>0</v>
          </cell>
          <cell r="FF199">
            <v>0</v>
          </cell>
          <cell r="FH199">
            <v>0</v>
          </cell>
          <cell r="FJ199">
            <v>0</v>
          </cell>
          <cell r="FL199">
            <v>0</v>
          </cell>
          <cell r="FN199">
            <v>0</v>
          </cell>
          <cell r="FP199">
            <v>0</v>
          </cell>
          <cell r="FR199">
            <v>0</v>
          </cell>
          <cell r="FT199">
            <v>0</v>
          </cell>
          <cell r="FV199">
            <v>0</v>
          </cell>
          <cell r="GD199">
            <v>14</v>
          </cell>
          <cell r="GF199">
            <v>4</v>
          </cell>
          <cell r="GH199">
            <v>1</v>
          </cell>
          <cell r="GJ199">
            <v>7</v>
          </cell>
          <cell r="GM199">
            <v>67.010000000000005</v>
          </cell>
          <cell r="GN19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70.檢查勞工個人防護具：█有 □無</v>
          </cell>
          <cell r="GP199">
            <v>0</v>
          </cell>
          <cell r="GQ199" t="e">
            <v>#REF!</v>
          </cell>
          <cell r="GR199">
            <v>0</v>
          </cell>
          <cell r="GS199">
            <v>0</v>
          </cell>
          <cell r="GT199">
            <v>0</v>
          </cell>
          <cell r="GW199" t="str">
            <v>（一）施工廠商施工前檢查事項辦理情形：█完成 □未完成 （二）其他工地安全衛生督導事項：</v>
          </cell>
          <cell r="GX199">
            <v>853901</v>
          </cell>
          <cell r="GY199">
            <v>0</v>
          </cell>
        </row>
        <row r="200">
          <cell r="N200">
            <v>1</v>
          </cell>
          <cell r="P200">
            <v>1</v>
          </cell>
          <cell r="R200">
            <v>672</v>
          </cell>
          <cell r="T200">
            <v>108</v>
          </cell>
          <cell r="V200">
            <v>661</v>
          </cell>
          <cell r="X200">
            <v>2</v>
          </cell>
          <cell r="Z200">
            <v>1</v>
          </cell>
          <cell r="AB200">
            <v>661</v>
          </cell>
          <cell r="AD200">
            <v>2</v>
          </cell>
          <cell r="AF200">
            <v>1</v>
          </cell>
          <cell r="AH200">
            <v>1</v>
          </cell>
          <cell r="AJ200">
            <v>1</v>
          </cell>
          <cell r="AL200">
            <v>0</v>
          </cell>
          <cell r="AN200">
            <v>0</v>
          </cell>
          <cell r="AP200">
            <v>0</v>
          </cell>
          <cell r="AR200">
            <v>0</v>
          </cell>
          <cell r="AT200">
            <v>0</v>
          </cell>
          <cell r="AV200">
            <v>0</v>
          </cell>
          <cell r="AX200">
            <v>0</v>
          </cell>
          <cell r="AZ200">
            <v>0</v>
          </cell>
          <cell r="BB200">
            <v>0</v>
          </cell>
          <cell r="BD200">
            <v>0</v>
          </cell>
          <cell r="BF200">
            <v>0</v>
          </cell>
          <cell r="BH200">
            <v>0</v>
          </cell>
          <cell r="BJ200">
            <v>0</v>
          </cell>
          <cell r="BL200">
            <v>0</v>
          </cell>
          <cell r="BN200">
            <v>0</v>
          </cell>
          <cell r="BP200">
            <v>0</v>
          </cell>
          <cell r="BR200">
            <v>0</v>
          </cell>
          <cell r="BT200">
            <v>0</v>
          </cell>
          <cell r="BV200">
            <v>0</v>
          </cell>
          <cell r="BX200">
            <v>0</v>
          </cell>
          <cell r="BZ200">
            <v>0</v>
          </cell>
          <cell r="CB200">
            <v>0</v>
          </cell>
          <cell r="CD200">
            <v>0</v>
          </cell>
          <cell r="CF200">
            <v>0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>
            <v>0</v>
          </cell>
          <cell r="CT200">
            <v>0</v>
          </cell>
          <cell r="CV200">
            <v>0</v>
          </cell>
          <cell r="CX200">
            <v>0</v>
          </cell>
          <cell r="CZ200">
            <v>0</v>
          </cell>
          <cell r="DB200">
            <v>0</v>
          </cell>
          <cell r="DD200">
            <v>0</v>
          </cell>
          <cell r="DF200">
            <v>0</v>
          </cell>
          <cell r="DH200">
            <v>0</v>
          </cell>
          <cell r="DJ200">
            <v>0</v>
          </cell>
          <cell r="DL200">
            <v>0</v>
          </cell>
          <cell r="DN200">
            <v>0</v>
          </cell>
          <cell r="DP200">
            <v>0</v>
          </cell>
          <cell r="DR200">
            <v>0</v>
          </cell>
          <cell r="DT200">
            <v>0</v>
          </cell>
          <cell r="DV200">
            <v>0</v>
          </cell>
          <cell r="DX200">
            <v>0</v>
          </cell>
          <cell r="DZ200">
            <v>0</v>
          </cell>
          <cell r="EB200">
            <v>0</v>
          </cell>
          <cell r="ED200">
            <v>0</v>
          </cell>
          <cell r="EF200">
            <v>0</v>
          </cell>
          <cell r="EH200">
            <v>0</v>
          </cell>
          <cell r="EJ200">
            <v>0</v>
          </cell>
          <cell r="EL200">
            <v>0</v>
          </cell>
          <cell r="EN200">
            <v>0</v>
          </cell>
          <cell r="EP200">
            <v>0</v>
          </cell>
          <cell r="ER200">
            <v>0</v>
          </cell>
          <cell r="ET200">
            <v>0</v>
          </cell>
          <cell r="EV200">
            <v>0</v>
          </cell>
          <cell r="EX200">
            <v>0</v>
          </cell>
          <cell r="EZ200">
            <v>0</v>
          </cell>
          <cell r="FB200">
            <v>0</v>
          </cell>
          <cell r="FD200">
            <v>0</v>
          </cell>
          <cell r="FF200">
            <v>0</v>
          </cell>
          <cell r="FH200">
            <v>0</v>
          </cell>
          <cell r="FJ200">
            <v>0</v>
          </cell>
          <cell r="FL200">
            <v>0</v>
          </cell>
          <cell r="FN200">
            <v>0</v>
          </cell>
          <cell r="FP200">
            <v>0</v>
          </cell>
          <cell r="FR200">
            <v>0</v>
          </cell>
          <cell r="FT200">
            <v>0</v>
          </cell>
          <cell r="FV200">
            <v>0</v>
          </cell>
          <cell r="GD200">
            <v>14</v>
          </cell>
          <cell r="GF200">
            <v>4</v>
          </cell>
          <cell r="GH200">
            <v>1</v>
          </cell>
          <cell r="GJ200">
            <v>7</v>
          </cell>
          <cell r="GM200">
            <v>68.010000000000005</v>
          </cell>
          <cell r="GN20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71.檢查勞工個人防護具：█有 □無</v>
          </cell>
          <cell r="GP200">
            <v>0</v>
          </cell>
          <cell r="GQ200" t="e">
            <v>#REF!</v>
          </cell>
          <cell r="GR200">
            <v>0</v>
          </cell>
          <cell r="GS200">
            <v>0</v>
          </cell>
          <cell r="GT200">
            <v>0</v>
          </cell>
          <cell r="GW200" t="str">
            <v>（一）施工廠商施工前檢查事項辦理情形：█完成 □未完成 （二）其他工地安全衛生督導事項：</v>
          </cell>
          <cell r="GX200">
            <v>853901</v>
          </cell>
          <cell r="GY200">
            <v>0</v>
          </cell>
        </row>
        <row r="201">
          <cell r="N201">
            <v>1</v>
          </cell>
          <cell r="P201">
            <v>1</v>
          </cell>
          <cell r="R201">
            <v>672</v>
          </cell>
          <cell r="T201">
            <v>108</v>
          </cell>
          <cell r="V201">
            <v>661</v>
          </cell>
          <cell r="X201">
            <v>2</v>
          </cell>
          <cell r="Z201">
            <v>1</v>
          </cell>
          <cell r="AB201">
            <v>661</v>
          </cell>
          <cell r="AD201">
            <v>2</v>
          </cell>
          <cell r="AF201">
            <v>1</v>
          </cell>
          <cell r="AH201">
            <v>1</v>
          </cell>
          <cell r="AJ201">
            <v>1</v>
          </cell>
          <cell r="AL201">
            <v>0</v>
          </cell>
          <cell r="AN201">
            <v>0</v>
          </cell>
          <cell r="AP201">
            <v>0</v>
          </cell>
          <cell r="AR201">
            <v>0</v>
          </cell>
          <cell r="AT201">
            <v>0</v>
          </cell>
          <cell r="AV201">
            <v>0</v>
          </cell>
          <cell r="AX201">
            <v>0</v>
          </cell>
          <cell r="AZ201">
            <v>0</v>
          </cell>
          <cell r="BB201">
            <v>0</v>
          </cell>
          <cell r="BD201">
            <v>0</v>
          </cell>
          <cell r="BF201">
            <v>0</v>
          </cell>
          <cell r="BH201">
            <v>0</v>
          </cell>
          <cell r="BJ201">
            <v>0</v>
          </cell>
          <cell r="BL201">
            <v>0</v>
          </cell>
          <cell r="BN201">
            <v>0</v>
          </cell>
          <cell r="BP201">
            <v>0</v>
          </cell>
          <cell r="BR201">
            <v>0</v>
          </cell>
          <cell r="BT201">
            <v>0</v>
          </cell>
          <cell r="BV201">
            <v>0</v>
          </cell>
          <cell r="BX201">
            <v>0</v>
          </cell>
          <cell r="BZ201">
            <v>0</v>
          </cell>
          <cell r="CB201">
            <v>0</v>
          </cell>
          <cell r="CD201">
            <v>0</v>
          </cell>
          <cell r="CF201">
            <v>0</v>
          </cell>
          <cell r="CH201">
            <v>0</v>
          </cell>
          <cell r="CJ201">
            <v>0</v>
          </cell>
          <cell r="CL201">
            <v>0</v>
          </cell>
          <cell r="CN201">
            <v>0</v>
          </cell>
          <cell r="CP201">
            <v>0</v>
          </cell>
          <cell r="CR201">
            <v>0</v>
          </cell>
          <cell r="CT201">
            <v>0</v>
          </cell>
          <cell r="CV201">
            <v>0</v>
          </cell>
          <cell r="CX201">
            <v>0</v>
          </cell>
          <cell r="CZ201">
            <v>0</v>
          </cell>
          <cell r="DB201">
            <v>0</v>
          </cell>
          <cell r="DD201">
            <v>0</v>
          </cell>
          <cell r="DF201">
            <v>0</v>
          </cell>
          <cell r="DH201">
            <v>0</v>
          </cell>
          <cell r="DJ201">
            <v>0</v>
          </cell>
          <cell r="DL201">
            <v>0</v>
          </cell>
          <cell r="DN201">
            <v>0</v>
          </cell>
          <cell r="DP201">
            <v>0</v>
          </cell>
          <cell r="DR201">
            <v>0</v>
          </cell>
          <cell r="DT201">
            <v>0</v>
          </cell>
          <cell r="DV201">
            <v>0</v>
          </cell>
          <cell r="DX201">
            <v>0</v>
          </cell>
          <cell r="DZ201">
            <v>0</v>
          </cell>
          <cell r="EB201">
            <v>0</v>
          </cell>
          <cell r="ED201">
            <v>0</v>
          </cell>
          <cell r="EF201">
            <v>0</v>
          </cell>
          <cell r="EH201">
            <v>0</v>
          </cell>
          <cell r="EJ201">
            <v>0</v>
          </cell>
          <cell r="EL201">
            <v>0</v>
          </cell>
          <cell r="EN201">
            <v>0</v>
          </cell>
          <cell r="EP201">
            <v>0</v>
          </cell>
          <cell r="ER201">
            <v>0</v>
          </cell>
          <cell r="ET201">
            <v>0</v>
          </cell>
          <cell r="EV201">
            <v>0</v>
          </cell>
          <cell r="EX201">
            <v>0</v>
          </cell>
          <cell r="EZ201">
            <v>0</v>
          </cell>
          <cell r="FB201">
            <v>0</v>
          </cell>
          <cell r="FD201">
            <v>0</v>
          </cell>
          <cell r="FF201">
            <v>0</v>
          </cell>
          <cell r="FH201">
            <v>0</v>
          </cell>
          <cell r="FJ201">
            <v>0</v>
          </cell>
          <cell r="FL201">
            <v>0</v>
          </cell>
          <cell r="FN201">
            <v>0</v>
          </cell>
          <cell r="FP201">
            <v>0</v>
          </cell>
          <cell r="FR201">
            <v>0</v>
          </cell>
          <cell r="FT201">
            <v>0</v>
          </cell>
          <cell r="FV201">
            <v>0</v>
          </cell>
          <cell r="GD201">
            <v>14</v>
          </cell>
          <cell r="GF201">
            <v>4</v>
          </cell>
          <cell r="GH201">
            <v>1</v>
          </cell>
          <cell r="GJ201">
            <v>7</v>
          </cell>
          <cell r="GM201">
            <v>69.010000000000005</v>
          </cell>
          <cell r="GN20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72.檢查勞工個人防護具：█有 □無</v>
          </cell>
          <cell r="GP201">
            <v>0</v>
          </cell>
          <cell r="GQ201" t="e">
            <v>#REF!</v>
          </cell>
          <cell r="GR201">
            <v>0</v>
          </cell>
          <cell r="GS201">
            <v>0</v>
          </cell>
          <cell r="GT201">
            <v>0</v>
          </cell>
          <cell r="GW201" t="str">
            <v>（一）施工廠商施工前檢查事項辦理情形：█完成 □未完成 （二）其他工地安全衛生督導事項：</v>
          </cell>
          <cell r="GX201">
            <v>853901</v>
          </cell>
          <cell r="GY201">
            <v>0</v>
          </cell>
        </row>
        <row r="202">
          <cell r="N202">
            <v>1</v>
          </cell>
          <cell r="P202">
            <v>1</v>
          </cell>
          <cell r="R202">
            <v>672</v>
          </cell>
          <cell r="T202">
            <v>108</v>
          </cell>
          <cell r="V202">
            <v>661</v>
          </cell>
          <cell r="X202">
            <v>2</v>
          </cell>
          <cell r="Z202">
            <v>1</v>
          </cell>
          <cell r="AB202">
            <v>661</v>
          </cell>
          <cell r="AD202">
            <v>2</v>
          </cell>
          <cell r="AF202">
            <v>1</v>
          </cell>
          <cell r="AH202">
            <v>1</v>
          </cell>
          <cell r="AJ202">
            <v>1</v>
          </cell>
          <cell r="AL202">
            <v>0</v>
          </cell>
          <cell r="AN202">
            <v>0</v>
          </cell>
          <cell r="AP202">
            <v>0</v>
          </cell>
          <cell r="AR202">
            <v>0</v>
          </cell>
          <cell r="AT202">
            <v>0</v>
          </cell>
          <cell r="AV202">
            <v>0</v>
          </cell>
          <cell r="AX202">
            <v>0</v>
          </cell>
          <cell r="AZ202">
            <v>0</v>
          </cell>
          <cell r="BB202">
            <v>0</v>
          </cell>
          <cell r="BD202">
            <v>0</v>
          </cell>
          <cell r="BF202">
            <v>0</v>
          </cell>
          <cell r="BH202">
            <v>0</v>
          </cell>
          <cell r="BJ202">
            <v>0</v>
          </cell>
          <cell r="BL202">
            <v>0</v>
          </cell>
          <cell r="BN202">
            <v>0</v>
          </cell>
          <cell r="BP202">
            <v>0</v>
          </cell>
          <cell r="BR202">
            <v>0</v>
          </cell>
          <cell r="BT202">
            <v>0</v>
          </cell>
          <cell r="BV202">
            <v>0</v>
          </cell>
          <cell r="BX202">
            <v>0</v>
          </cell>
          <cell r="BZ202">
            <v>0</v>
          </cell>
          <cell r="CB202">
            <v>0</v>
          </cell>
          <cell r="CD202">
            <v>0</v>
          </cell>
          <cell r="CF202">
            <v>0</v>
          </cell>
          <cell r="CH202">
            <v>0</v>
          </cell>
          <cell r="CJ202">
            <v>0</v>
          </cell>
          <cell r="CL202">
            <v>0</v>
          </cell>
          <cell r="CN202">
            <v>0</v>
          </cell>
          <cell r="CP202">
            <v>0</v>
          </cell>
          <cell r="CR202">
            <v>0</v>
          </cell>
          <cell r="CT202">
            <v>0</v>
          </cell>
          <cell r="CV202">
            <v>0</v>
          </cell>
          <cell r="CX202">
            <v>0</v>
          </cell>
          <cell r="CZ202">
            <v>0</v>
          </cell>
          <cell r="DB202">
            <v>0</v>
          </cell>
          <cell r="DD202">
            <v>0</v>
          </cell>
          <cell r="DF202">
            <v>0</v>
          </cell>
          <cell r="DH202">
            <v>0</v>
          </cell>
          <cell r="DJ202">
            <v>0</v>
          </cell>
          <cell r="DL202">
            <v>0</v>
          </cell>
          <cell r="DN202">
            <v>0</v>
          </cell>
          <cell r="DP202">
            <v>0</v>
          </cell>
          <cell r="DR202">
            <v>0</v>
          </cell>
          <cell r="DT202">
            <v>0</v>
          </cell>
          <cell r="DV202">
            <v>0</v>
          </cell>
          <cell r="DX202">
            <v>0</v>
          </cell>
          <cell r="DZ202">
            <v>0</v>
          </cell>
          <cell r="EB202">
            <v>0</v>
          </cell>
          <cell r="ED202">
            <v>0</v>
          </cell>
          <cell r="EF202">
            <v>0</v>
          </cell>
          <cell r="EH202">
            <v>0</v>
          </cell>
          <cell r="EJ202">
            <v>0</v>
          </cell>
          <cell r="EL202">
            <v>0</v>
          </cell>
          <cell r="EN202">
            <v>0</v>
          </cell>
          <cell r="EP202">
            <v>0</v>
          </cell>
          <cell r="ER202">
            <v>0</v>
          </cell>
          <cell r="ET202">
            <v>0</v>
          </cell>
          <cell r="EV202">
            <v>0</v>
          </cell>
          <cell r="EX202">
            <v>0</v>
          </cell>
          <cell r="EZ202">
            <v>0</v>
          </cell>
          <cell r="FB202">
            <v>0</v>
          </cell>
          <cell r="FD202">
            <v>0</v>
          </cell>
          <cell r="FF202">
            <v>0</v>
          </cell>
          <cell r="FH202">
            <v>0</v>
          </cell>
          <cell r="FJ202">
            <v>0</v>
          </cell>
          <cell r="FL202">
            <v>0</v>
          </cell>
          <cell r="FN202">
            <v>0</v>
          </cell>
          <cell r="FP202">
            <v>0</v>
          </cell>
          <cell r="FR202">
            <v>0</v>
          </cell>
          <cell r="FT202">
            <v>0</v>
          </cell>
          <cell r="FV202">
            <v>0</v>
          </cell>
          <cell r="GD202">
            <v>14</v>
          </cell>
          <cell r="GF202">
            <v>4</v>
          </cell>
          <cell r="GH202">
            <v>1</v>
          </cell>
          <cell r="GJ202">
            <v>7</v>
          </cell>
          <cell r="GM202">
            <v>70.010000000000005</v>
          </cell>
          <cell r="GN20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73.檢查勞工個人防護具：█有 □無</v>
          </cell>
          <cell r="GP202">
            <v>0</v>
          </cell>
          <cell r="GQ202" t="e">
            <v>#REF!</v>
          </cell>
          <cell r="GR202">
            <v>0</v>
          </cell>
          <cell r="GS202">
            <v>0</v>
          </cell>
          <cell r="GT202">
            <v>0</v>
          </cell>
          <cell r="GW202" t="str">
            <v>（一）施工廠商施工前檢查事項辦理情形：█完成 □未完成 （二）其他工地安全衛生督導事項：</v>
          </cell>
          <cell r="GX202">
            <v>853901</v>
          </cell>
          <cell r="GY202">
            <v>0</v>
          </cell>
        </row>
        <row r="203">
          <cell r="N203">
            <v>1</v>
          </cell>
          <cell r="P203">
            <v>1</v>
          </cell>
          <cell r="R203">
            <v>672</v>
          </cell>
          <cell r="T203">
            <v>108</v>
          </cell>
          <cell r="V203">
            <v>661</v>
          </cell>
          <cell r="X203">
            <v>2</v>
          </cell>
          <cell r="Z203">
            <v>1</v>
          </cell>
          <cell r="AB203">
            <v>661</v>
          </cell>
          <cell r="AD203">
            <v>2</v>
          </cell>
          <cell r="AF203">
            <v>1</v>
          </cell>
          <cell r="AH203">
            <v>1</v>
          </cell>
          <cell r="AJ203">
            <v>1</v>
          </cell>
          <cell r="AL203">
            <v>0</v>
          </cell>
          <cell r="AN203">
            <v>0</v>
          </cell>
          <cell r="AP203">
            <v>0</v>
          </cell>
          <cell r="AR203">
            <v>0</v>
          </cell>
          <cell r="AT203">
            <v>0</v>
          </cell>
          <cell r="AV203">
            <v>0</v>
          </cell>
          <cell r="AX203">
            <v>0</v>
          </cell>
          <cell r="AZ203">
            <v>0</v>
          </cell>
          <cell r="BB203">
            <v>0</v>
          </cell>
          <cell r="BD203">
            <v>0</v>
          </cell>
          <cell r="BF203">
            <v>0</v>
          </cell>
          <cell r="BH203">
            <v>0</v>
          </cell>
          <cell r="BJ203">
            <v>0</v>
          </cell>
          <cell r="BL203">
            <v>0</v>
          </cell>
          <cell r="BN203">
            <v>0</v>
          </cell>
          <cell r="BP203">
            <v>0</v>
          </cell>
          <cell r="BR203">
            <v>0</v>
          </cell>
          <cell r="BT203">
            <v>0</v>
          </cell>
          <cell r="BV203">
            <v>0</v>
          </cell>
          <cell r="BX203">
            <v>0</v>
          </cell>
          <cell r="BZ203">
            <v>0</v>
          </cell>
          <cell r="CB203">
            <v>0</v>
          </cell>
          <cell r="CD203">
            <v>0</v>
          </cell>
          <cell r="CF203">
            <v>0</v>
          </cell>
          <cell r="CH203">
            <v>0</v>
          </cell>
          <cell r="CJ203">
            <v>0</v>
          </cell>
          <cell r="CL203">
            <v>0</v>
          </cell>
          <cell r="CN203">
            <v>0</v>
          </cell>
          <cell r="CP203">
            <v>0</v>
          </cell>
          <cell r="CR203">
            <v>0</v>
          </cell>
          <cell r="CT203">
            <v>0</v>
          </cell>
          <cell r="CV203">
            <v>0</v>
          </cell>
          <cell r="CX203">
            <v>0</v>
          </cell>
          <cell r="CZ203">
            <v>0</v>
          </cell>
          <cell r="DB203">
            <v>0</v>
          </cell>
          <cell r="DD203">
            <v>0</v>
          </cell>
          <cell r="DF203">
            <v>0</v>
          </cell>
          <cell r="DH203">
            <v>0</v>
          </cell>
          <cell r="DJ203">
            <v>0</v>
          </cell>
          <cell r="DL203">
            <v>0</v>
          </cell>
          <cell r="DN203">
            <v>0</v>
          </cell>
          <cell r="DP203">
            <v>0</v>
          </cell>
          <cell r="DR203">
            <v>0</v>
          </cell>
          <cell r="DT203">
            <v>0</v>
          </cell>
          <cell r="DV203">
            <v>0</v>
          </cell>
          <cell r="DX203">
            <v>0</v>
          </cell>
          <cell r="DZ203">
            <v>0</v>
          </cell>
          <cell r="EB203">
            <v>0</v>
          </cell>
          <cell r="ED203">
            <v>0</v>
          </cell>
          <cell r="EF203">
            <v>0</v>
          </cell>
          <cell r="EH203">
            <v>0</v>
          </cell>
          <cell r="EJ203">
            <v>0</v>
          </cell>
          <cell r="EL203">
            <v>0</v>
          </cell>
          <cell r="EN203">
            <v>0</v>
          </cell>
          <cell r="EP203">
            <v>0</v>
          </cell>
          <cell r="ER203">
            <v>0</v>
          </cell>
          <cell r="ET203">
            <v>0</v>
          </cell>
          <cell r="EV203">
            <v>0</v>
          </cell>
          <cell r="EX203">
            <v>0</v>
          </cell>
          <cell r="EZ203">
            <v>0</v>
          </cell>
          <cell r="FB203">
            <v>0</v>
          </cell>
          <cell r="FD203">
            <v>0</v>
          </cell>
          <cell r="FF203">
            <v>0</v>
          </cell>
          <cell r="FH203">
            <v>0</v>
          </cell>
          <cell r="FJ203">
            <v>0</v>
          </cell>
          <cell r="FL203">
            <v>0</v>
          </cell>
          <cell r="FN203">
            <v>0</v>
          </cell>
          <cell r="FP203">
            <v>0</v>
          </cell>
          <cell r="FR203">
            <v>0</v>
          </cell>
          <cell r="FT203">
            <v>0</v>
          </cell>
          <cell r="FV203">
            <v>0</v>
          </cell>
          <cell r="GD203">
            <v>14</v>
          </cell>
          <cell r="GF203">
            <v>4</v>
          </cell>
          <cell r="GH203">
            <v>1</v>
          </cell>
          <cell r="GJ203">
            <v>7</v>
          </cell>
          <cell r="GM203">
            <v>71.010000000000005</v>
          </cell>
          <cell r="GN20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74.檢查勞工個人防護具：█有 □無</v>
          </cell>
          <cell r="GP203">
            <v>0</v>
          </cell>
          <cell r="GQ203" t="e">
            <v>#REF!</v>
          </cell>
          <cell r="GR203">
            <v>0</v>
          </cell>
          <cell r="GS203">
            <v>0</v>
          </cell>
          <cell r="GT203">
            <v>0</v>
          </cell>
          <cell r="GW203" t="str">
            <v>（一）施工廠商施工前檢查事項辦理情形：█完成 □未完成 （二）其他工地安全衛生督導事項：</v>
          </cell>
          <cell r="GX203">
            <v>853901</v>
          </cell>
          <cell r="GY203">
            <v>0</v>
          </cell>
        </row>
        <row r="204">
          <cell r="N204">
            <v>1</v>
          </cell>
          <cell r="P204">
            <v>1</v>
          </cell>
          <cell r="R204">
            <v>672</v>
          </cell>
          <cell r="T204">
            <v>108</v>
          </cell>
          <cell r="V204">
            <v>661</v>
          </cell>
          <cell r="X204">
            <v>2</v>
          </cell>
          <cell r="Z204">
            <v>1</v>
          </cell>
          <cell r="AB204">
            <v>661</v>
          </cell>
          <cell r="AD204">
            <v>2</v>
          </cell>
          <cell r="AF204">
            <v>1</v>
          </cell>
          <cell r="AH204">
            <v>1</v>
          </cell>
          <cell r="AJ204">
            <v>1</v>
          </cell>
          <cell r="AL204">
            <v>0</v>
          </cell>
          <cell r="AN204">
            <v>0</v>
          </cell>
          <cell r="AP204">
            <v>0</v>
          </cell>
          <cell r="AR204">
            <v>0</v>
          </cell>
          <cell r="AT204">
            <v>0</v>
          </cell>
          <cell r="AV204">
            <v>0</v>
          </cell>
          <cell r="AX204">
            <v>0</v>
          </cell>
          <cell r="AZ204">
            <v>0</v>
          </cell>
          <cell r="BB204">
            <v>0</v>
          </cell>
          <cell r="BD204">
            <v>0</v>
          </cell>
          <cell r="BF204">
            <v>0</v>
          </cell>
          <cell r="BH204">
            <v>0</v>
          </cell>
          <cell r="BJ204">
            <v>0</v>
          </cell>
          <cell r="BL204">
            <v>0</v>
          </cell>
          <cell r="BN204">
            <v>0</v>
          </cell>
          <cell r="BP204">
            <v>0</v>
          </cell>
          <cell r="BR204">
            <v>0</v>
          </cell>
          <cell r="BT204">
            <v>0</v>
          </cell>
          <cell r="BV204">
            <v>0</v>
          </cell>
          <cell r="BX204">
            <v>0</v>
          </cell>
          <cell r="BZ204">
            <v>0</v>
          </cell>
          <cell r="CB204">
            <v>0</v>
          </cell>
          <cell r="CD204">
            <v>0</v>
          </cell>
          <cell r="CF204">
            <v>0</v>
          </cell>
          <cell r="CH204">
            <v>0</v>
          </cell>
          <cell r="CJ204">
            <v>0</v>
          </cell>
          <cell r="CL204">
            <v>0</v>
          </cell>
          <cell r="CN204">
            <v>0</v>
          </cell>
          <cell r="CP204">
            <v>0</v>
          </cell>
          <cell r="CR204">
            <v>0</v>
          </cell>
          <cell r="CT204">
            <v>0</v>
          </cell>
          <cell r="CV204">
            <v>0</v>
          </cell>
          <cell r="CX204">
            <v>0</v>
          </cell>
          <cell r="CZ204">
            <v>0</v>
          </cell>
          <cell r="DB204">
            <v>0</v>
          </cell>
          <cell r="DD204">
            <v>0</v>
          </cell>
          <cell r="DF204">
            <v>0</v>
          </cell>
          <cell r="DH204">
            <v>0</v>
          </cell>
          <cell r="DJ204">
            <v>0</v>
          </cell>
          <cell r="DL204">
            <v>0</v>
          </cell>
          <cell r="DN204">
            <v>0</v>
          </cell>
          <cell r="DP204">
            <v>0</v>
          </cell>
          <cell r="DR204">
            <v>0</v>
          </cell>
          <cell r="DT204">
            <v>0</v>
          </cell>
          <cell r="DV204">
            <v>0</v>
          </cell>
          <cell r="DX204">
            <v>0</v>
          </cell>
          <cell r="DZ204">
            <v>0</v>
          </cell>
          <cell r="EB204">
            <v>0</v>
          </cell>
          <cell r="ED204">
            <v>0</v>
          </cell>
          <cell r="EF204">
            <v>0</v>
          </cell>
          <cell r="EH204">
            <v>0</v>
          </cell>
          <cell r="EJ204">
            <v>0</v>
          </cell>
          <cell r="EL204">
            <v>0</v>
          </cell>
          <cell r="EN204">
            <v>0</v>
          </cell>
          <cell r="EP204">
            <v>0</v>
          </cell>
          <cell r="ER204">
            <v>0</v>
          </cell>
          <cell r="ET204">
            <v>0</v>
          </cell>
          <cell r="EV204">
            <v>0</v>
          </cell>
          <cell r="EX204">
            <v>0</v>
          </cell>
          <cell r="EZ204">
            <v>0</v>
          </cell>
          <cell r="FB204">
            <v>0</v>
          </cell>
          <cell r="FD204">
            <v>0</v>
          </cell>
          <cell r="FF204">
            <v>0</v>
          </cell>
          <cell r="FH204">
            <v>0</v>
          </cell>
          <cell r="FJ204">
            <v>0</v>
          </cell>
          <cell r="FL204">
            <v>0</v>
          </cell>
          <cell r="FN204">
            <v>0</v>
          </cell>
          <cell r="FP204">
            <v>0</v>
          </cell>
          <cell r="FR204">
            <v>0</v>
          </cell>
          <cell r="FT204">
            <v>0</v>
          </cell>
          <cell r="FV204">
            <v>0</v>
          </cell>
          <cell r="GD204">
            <v>14</v>
          </cell>
          <cell r="GF204">
            <v>4</v>
          </cell>
          <cell r="GH204">
            <v>1</v>
          </cell>
          <cell r="GJ204">
            <v>7</v>
          </cell>
          <cell r="GM204">
            <v>72.010000000000005</v>
          </cell>
          <cell r="GN20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75.檢查勞工個人防護具：█有 □無</v>
          </cell>
          <cell r="GP204">
            <v>0</v>
          </cell>
          <cell r="GQ204" t="e">
            <v>#REF!</v>
          </cell>
          <cell r="GR204">
            <v>0</v>
          </cell>
          <cell r="GS204">
            <v>0</v>
          </cell>
          <cell r="GT204">
            <v>0</v>
          </cell>
          <cell r="GW204" t="str">
            <v>（一）施工廠商施工前檢查事項辦理情形：█完成 □未完成 （二）其他工地安全衛生督導事項：</v>
          </cell>
          <cell r="GX204">
            <v>853901</v>
          </cell>
          <cell r="GY204">
            <v>0</v>
          </cell>
        </row>
        <row r="205">
          <cell r="N205">
            <v>1</v>
          </cell>
          <cell r="P205">
            <v>1</v>
          </cell>
          <cell r="R205">
            <v>672</v>
          </cell>
          <cell r="T205">
            <v>108</v>
          </cell>
          <cell r="V205">
            <v>661</v>
          </cell>
          <cell r="X205">
            <v>2</v>
          </cell>
          <cell r="Z205">
            <v>1</v>
          </cell>
          <cell r="AB205">
            <v>661</v>
          </cell>
          <cell r="AD205">
            <v>2</v>
          </cell>
          <cell r="AF205">
            <v>1</v>
          </cell>
          <cell r="AH205">
            <v>1</v>
          </cell>
          <cell r="AJ205">
            <v>1</v>
          </cell>
          <cell r="AL205">
            <v>0</v>
          </cell>
          <cell r="AN205">
            <v>0</v>
          </cell>
          <cell r="AP205">
            <v>0</v>
          </cell>
          <cell r="AR205">
            <v>0</v>
          </cell>
          <cell r="AT205">
            <v>0</v>
          </cell>
          <cell r="AV205">
            <v>0</v>
          </cell>
          <cell r="AX205">
            <v>0</v>
          </cell>
          <cell r="AZ205">
            <v>0</v>
          </cell>
          <cell r="BB205">
            <v>0</v>
          </cell>
          <cell r="BD205">
            <v>0</v>
          </cell>
          <cell r="BF205">
            <v>0</v>
          </cell>
          <cell r="BH205">
            <v>0</v>
          </cell>
          <cell r="BJ205">
            <v>0</v>
          </cell>
          <cell r="BL205">
            <v>0</v>
          </cell>
          <cell r="BN205">
            <v>0</v>
          </cell>
          <cell r="BP205">
            <v>0</v>
          </cell>
          <cell r="BR205">
            <v>0</v>
          </cell>
          <cell r="BT205">
            <v>0</v>
          </cell>
          <cell r="BV205">
            <v>0</v>
          </cell>
          <cell r="BX205">
            <v>0</v>
          </cell>
          <cell r="BZ205">
            <v>0</v>
          </cell>
          <cell r="CB205">
            <v>0</v>
          </cell>
          <cell r="CD205">
            <v>0</v>
          </cell>
          <cell r="CF205">
            <v>0</v>
          </cell>
          <cell r="CH205">
            <v>0</v>
          </cell>
          <cell r="CJ205">
            <v>0</v>
          </cell>
          <cell r="CL205">
            <v>0</v>
          </cell>
          <cell r="CN205">
            <v>0</v>
          </cell>
          <cell r="CP205">
            <v>0</v>
          </cell>
          <cell r="CR205">
            <v>0</v>
          </cell>
          <cell r="CT205">
            <v>0</v>
          </cell>
          <cell r="CV205">
            <v>0</v>
          </cell>
          <cell r="CX205">
            <v>0</v>
          </cell>
          <cell r="CZ205">
            <v>0</v>
          </cell>
          <cell r="DB205">
            <v>0</v>
          </cell>
          <cell r="DD205">
            <v>0</v>
          </cell>
          <cell r="DF205">
            <v>0</v>
          </cell>
          <cell r="DH205">
            <v>0</v>
          </cell>
          <cell r="DJ205">
            <v>0</v>
          </cell>
          <cell r="DL205">
            <v>0</v>
          </cell>
          <cell r="DN205">
            <v>0</v>
          </cell>
          <cell r="DP205">
            <v>0</v>
          </cell>
          <cell r="DR205">
            <v>0</v>
          </cell>
          <cell r="DT205">
            <v>0</v>
          </cell>
          <cell r="DV205">
            <v>0</v>
          </cell>
          <cell r="DX205">
            <v>0</v>
          </cell>
          <cell r="DZ205">
            <v>0</v>
          </cell>
          <cell r="EB205">
            <v>0</v>
          </cell>
          <cell r="ED205">
            <v>0</v>
          </cell>
          <cell r="EF205">
            <v>0</v>
          </cell>
          <cell r="EH205">
            <v>0</v>
          </cell>
          <cell r="EJ205">
            <v>0</v>
          </cell>
          <cell r="EL205">
            <v>0</v>
          </cell>
          <cell r="EN205">
            <v>0</v>
          </cell>
          <cell r="EP205">
            <v>0</v>
          </cell>
          <cell r="ER205">
            <v>0</v>
          </cell>
          <cell r="ET205">
            <v>0</v>
          </cell>
          <cell r="EV205">
            <v>0</v>
          </cell>
          <cell r="EX205">
            <v>0</v>
          </cell>
          <cell r="EZ205">
            <v>0</v>
          </cell>
          <cell r="FB205">
            <v>0</v>
          </cell>
          <cell r="FD205">
            <v>0</v>
          </cell>
          <cell r="FF205">
            <v>0</v>
          </cell>
          <cell r="FH205">
            <v>0</v>
          </cell>
          <cell r="FJ205">
            <v>0</v>
          </cell>
          <cell r="FL205">
            <v>0</v>
          </cell>
          <cell r="FN205">
            <v>0</v>
          </cell>
          <cell r="FP205">
            <v>0</v>
          </cell>
          <cell r="FR205">
            <v>0</v>
          </cell>
          <cell r="FT205">
            <v>0</v>
          </cell>
          <cell r="FV205">
            <v>0</v>
          </cell>
          <cell r="GD205">
            <v>14</v>
          </cell>
          <cell r="GF205">
            <v>4</v>
          </cell>
          <cell r="GH205">
            <v>1</v>
          </cell>
          <cell r="GJ205">
            <v>7</v>
          </cell>
          <cell r="GM205">
            <v>73.010000000000005</v>
          </cell>
          <cell r="GN20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76.檢查勞工個人防護具：█有 □無</v>
          </cell>
          <cell r="GP205">
            <v>0</v>
          </cell>
          <cell r="GQ205" t="e">
            <v>#REF!</v>
          </cell>
          <cell r="GR205">
            <v>0</v>
          </cell>
          <cell r="GS205">
            <v>0</v>
          </cell>
          <cell r="GT205">
            <v>0</v>
          </cell>
          <cell r="GW205" t="str">
            <v>（一）施工廠商施工前檢查事項辦理情形：█完成 □未完成 （二）其他工地安全衛生督導事項：</v>
          </cell>
          <cell r="GX205">
            <v>853901</v>
          </cell>
          <cell r="GY205">
            <v>0</v>
          </cell>
        </row>
        <row r="206">
          <cell r="N206">
            <v>1</v>
          </cell>
          <cell r="P206">
            <v>1</v>
          </cell>
          <cell r="R206">
            <v>672</v>
          </cell>
          <cell r="T206">
            <v>108</v>
          </cell>
          <cell r="V206">
            <v>661</v>
          </cell>
          <cell r="X206">
            <v>2</v>
          </cell>
          <cell r="Z206">
            <v>1</v>
          </cell>
          <cell r="AB206">
            <v>661</v>
          </cell>
          <cell r="AD206">
            <v>2</v>
          </cell>
          <cell r="AF206">
            <v>1</v>
          </cell>
          <cell r="AH206">
            <v>1</v>
          </cell>
          <cell r="AJ206">
            <v>1</v>
          </cell>
          <cell r="AL206">
            <v>0</v>
          </cell>
          <cell r="AN206">
            <v>0</v>
          </cell>
          <cell r="AP206">
            <v>0</v>
          </cell>
          <cell r="AR206">
            <v>0</v>
          </cell>
          <cell r="AT206">
            <v>0</v>
          </cell>
          <cell r="AV206">
            <v>0</v>
          </cell>
          <cell r="AX206">
            <v>0</v>
          </cell>
          <cell r="AZ206">
            <v>0</v>
          </cell>
          <cell r="BB206">
            <v>0</v>
          </cell>
          <cell r="BD206">
            <v>0</v>
          </cell>
          <cell r="BF206">
            <v>0</v>
          </cell>
          <cell r="BH206">
            <v>0</v>
          </cell>
          <cell r="BJ206">
            <v>0</v>
          </cell>
          <cell r="BL206">
            <v>0</v>
          </cell>
          <cell r="BN206">
            <v>0</v>
          </cell>
          <cell r="BP206">
            <v>0</v>
          </cell>
          <cell r="BR206">
            <v>0</v>
          </cell>
          <cell r="BT206">
            <v>0</v>
          </cell>
          <cell r="BV206">
            <v>0</v>
          </cell>
          <cell r="BX206">
            <v>0</v>
          </cell>
          <cell r="BZ206">
            <v>0</v>
          </cell>
          <cell r="CB206">
            <v>0</v>
          </cell>
          <cell r="CD206">
            <v>0</v>
          </cell>
          <cell r="CF206">
            <v>0</v>
          </cell>
          <cell r="CH206">
            <v>0</v>
          </cell>
          <cell r="CJ206">
            <v>0</v>
          </cell>
          <cell r="CL206">
            <v>0</v>
          </cell>
          <cell r="CN206">
            <v>0</v>
          </cell>
          <cell r="CP206">
            <v>0</v>
          </cell>
          <cell r="CR206">
            <v>0</v>
          </cell>
          <cell r="CT206">
            <v>0</v>
          </cell>
          <cell r="CV206">
            <v>0</v>
          </cell>
          <cell r="CX206">
            <v>0</v>
          </cell>
          <cell r="CZ206">
            <v>0</v>
          </cell>
          <cell r="DB206">
            <v>0</v>
          </cell>
          <cell r="DD206">
            <v>0</v>
          </cell>
          <cell r="DF206">
            <v>0</v>
          </cell>
          <cell r="DH206">
            <v>0</v>
          </cell>
          <cell r="DJ206">
            <v>0</v>
          </cell>
          <cell r="DL206">
            <v>0</v>
          </cell>
          <cell r="DN206">
            <v>0</v>
          </cell>
          <cell r="DP206">
            <v>0</v>
          </cell>
          <cell r="DR206">
            <v>0</v>
          </cell>
          <cell r="DT206">
            <v>0</v>
          </cell>
          <cell r="DV206">
            <v>0</v>
          </cell>
          <cell r="DX206">
            <v>0</v>
          </cell>
          <cell r="DZ206">
            <v>0</v>
          </cell>
          <cell r="EB206">
            <v>0</v>
          </cell>
          <cell r="ED206">
            <v>0</v>
          </cell>
          <cell r="EF206">
            <v>0</v>
          </cell>
          <cell r="EH206">
            <v>0</v>
          </cell>
          <cell r="EJ206">
            <v>0</v>
          </cell>
          <cell r="EL206">
            <v>0</v>
          </cell>
          <cell r="EN206">
            <v>0</v>
          </cell>
          <cell r="EP206">
            <v>0</v>
          </cell>
          <cell r="ER206">
            <v>0</v>
          </cell>
          <cell r="ET206">
            <v>0</v>
          </cell>
          <cell r="EV206">
            <v>0</v>
          </cell>
          <cell r="EX206">
            <v>0</v>
          </cell>
          <cell r="EZ206">
            <v>0</v>
          </cell>
          <cell r="FB206">
            <v>0</v>
          </cell>
          <cell r="FD206">
            <v>0</v>
          </cell>
          <cell r="FF206">
            <v>0</v>
          </cell>
          <cell r="FH206">
            <v>0</v>
          </cell>
          <cell r="FJ206">
            <v>0</v>
          </cell>
          <cell r="FL206">
            <v>0</v>
          </cell>
          <cell r="FN206">
            <v>0</v>
          </cell>
          <cell r="FP206">
            <v>0</v>
          </cell>
          <cell r="FR206">
            <v>0</v>
          </cell>
          <cell r="FT206">
            <v>0</v>
          </cell>
          <cell r="FV206">
            <v>0</v>
          </cell>
          <cell r="GD206">
            <v>14</v>
          </cell>
          <cell r="GF206">
            <v>4</v>
          </cell>
          <cell r="GH206">
            <v>1</v>
          </cell>
          <cell r="GJ206">
            <v>7</v>
          </cell>
          <cell r="GM206">
            <v>74.010000000000005</v>
          </cell>
          <cell r="GN20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77.檢查勞工個人防護具：█有 □無</v>
          </cell>
          <cell r="GP206">
            <v>0</v>
          </cell>
          <cell r="GQ206" t="e">
            <v>#REF!</v>
          </cell>
          <cell r="GR206">
            <v>0</v>
          </cell>
          <cell r="GS206">
            <v>0</v>
          </cell>
          <cell r="GT206">
            <v>0</v>
          </cell>
          <cell r="GW206" t="str">
            <v>（一）施工廠商施工前檢查事項辦理情形：█完成 □未完成 （二）其他工地安全衛生督導事項：</v>
          </cell>
          <cell r="GX206">
            <v>853901</v>
          </cell>
          <cell r="GY206">
            <v>0</v>
          </cell>
        </row>
        <row r="207">
          <cell r="N207">
            <v>1</v>
          </cell>
          <cell r="P207">
            <v>1</v>
          </cell>
          <cell r="R207">
            <v>672</v>
          </cell>
          <cell r="T207">
            <v>108</v>
          </cell>
          <cell r="V207">
            <v>661</v>
          </cell>
          <cell r="X207">
            <v>2</v>
          </cell>
          <cell r="Z207">
            <v>1</v>
          </cell>
          <cell r="AB207">
            <v>661</v>
          </cell>
          <cell r="AD207">
            <v>2</v>
          </cell>
          <cell r="AF207">
            <v>1</v>
          </cell>
          <cell r="AH207">
            <v>1</v>
          </cell>
          <cell r="AJ207">
            <v>1</v>
          </cell>
          <cell r="AL207">
            <v>0</v>
          </cell>
          <cell r="AN207">
            <v>0</v>
          </cell>
          <cell r="AP207">
            <v>0</v>
          </cell>
          <cell r="AR207">
            <v>0</v>
          </cell>
          <cell r="AT207">
            <v>0</v>
          </cell>
          <cell r="AV207">
            <v>0</v>
          </cell>
          <cell r="AX207">
            <v>0</v>
          </cell>
          <cell r="AZ207">
            <v>0</v>
          </cell>
          <cell r="BB207">
            <v>0</v>
          </cell>
          <cell r="BD207">
            <v>0</v>
          </cell>
          <cell r="BF207">
            <v>0</v>
          </cell>
          <cell r="BH207">
            <v>0</v>
          </cell>
          <cell r="BJ207">
            <v>0</v>
          </cell>
          <cell r="BL207">
            <v>0</v>
          </cell>
          <cell r="BN207">
            <v>0</v>
          </cell>
          <cell r="BP207">
            <v>0</v>
          </cell>
          <cell r="BR207">
            <v>0</v>
          </cell>
          <cell r="BT207">
            <v>0</v>
          </cell>
          <cell r="BV207">
            <v>0</v>
          </cell>
          <cell r="BX207">
            <v>0</v>
          </cell>
          <cell r="BZ207">
            <v>0</v>
          </cell>
          <cell r="CB207">
            <v>0</v>
          </cell>
          <cell r="CD207">
            <v>0</v>
          </cell>
          <cell r="CF207">
            <v>0</v>
          </cell>
          <cell r="CH207">
            <v>0</v>
          </cell>
          <cell r="CJ207">
            <v>0</v>
          </cell>
          <cell r="CL207">
            <v>0</v>
          </cell>
          <cell r="CN207">
            <v>0</v>
          </cell>
          <cell r="CP207">
            <v>0</v>
          </cell>
          <cell r="CR207">
            <v>0</v>
          </cell>
          <cell r="CT207">
            <v>0</v>
          </cell>
          <cell r="CV207">
            <v>0</v>
          </cell>
          <cell r="CX207">
            <v>0</v>
          </cell>
          <cell r="CZ207">
            <v>0</v>
          </cell>
          <cell r="DB207">
            <v>0</v>
          </cell>
          <cell r="DD207">
            <v>0</v>
          </cell>
          <cell r="DF207">
            <v>0</v>
          </cell>
          <cell r="DH207">
            <v>0</v>
          </cell>
          <cell r="DJ207">
            <v>0</v>
          </cell>
          <cell r="DL207">
            <v>0</v>
          </cell>
          <cell r="DN207">
            <v>0</v>
          </cell>
          <cell r="DP207">
            <v>0</v>
          </cell>
          <cell r="DR207">
            <v>0</v>
          </cell>
          <cell r="DT207">
            <v>0</v>
          </cell>
          <cell r="DV207">
            <v>0</v>
          </cell>
          <cell r="DX207">
            <v>0</v>
          </cell>
          <cell r="DZ207">
            <v>0</v>
          </cell>
          <cell r="EB207">
            <v>0</v>
          </cell>
          <cell r="ED207">
            <v>0</v>
          </cell>
          <cell r="EF207">
            <v>0</v>
          </cell>
          <cell r="EH207">
            <v>0</v>
          </cell>
          <cell r="EJ207">
            <v>0</v>
          </cell>
          <cell r="EL207">
            <v>0</v>
          </cell>
          <cell r="EN207">
            <v>0</v>
          </cell>
          <cell r="EP207">
            <v>0</v>
          </cell>
          <cell r="ER207">
            <v>0</v>
          </cell>
          <cell r="ET207">
            <v>0</v>
          </cell>
          <cell r="EV207">
            <v>0</v>
          </cell>
          <cell r="EX207">
            <v>0</v>
          </cell>
          <cell r="EZ207">
            <v>0</v>
          </cell>
          <cell r="FB207">
            <v>0</v>
          </cell>
          <cell r="FD207">
            <v>0</v>
          </cell>
          <cell r="FF207">
            <v>0</v>
          </cell>
          <cell r="FH207">
            <v>0</v>
          </cell>
          <cell r="FJ207">
            <v>0</v>
          </cell>
          <cell r="FL207">
            <v>0</v>
          </cell>
          <cell r="FN207">
            <v>0</v>
          </cell>
          <cell r="FP207">
            <v>0</v>
          </cell>
          <cell r="FR207">
            <v>0</v>
          </cell>
          <cell r="FT207">
            <v>0</v>
          </cell>
          <cell r="FV207">
            <v>0</v>
          </cell>
          <cell r="GD207">
            <v>14</v>
          </cell>
          <cell r="GF207">
            <v>4</v>
          </cell>
          <cell r="GH207">
            <v>1</v>
          </cell>
          <cell r="GJ207">
            <v>7</v>
          </cell>
          <cell r="GM207">
            <v>75.010000000000005</v>
          </cell>
          <cell r="GN20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78.檢查勞工個人防護具：█有 □無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W207" t="str">
            <v>（一）施工廠商施工前檢查事項辦理情形：█完成 □未完成 （二）其他工地安全衛生督導事項：</v>
          </cell>
          <cell r="GX207">
            <v>853901</v>
          </cell>
          <cell r="GY207">
            <v>0</v>
          </cell>
        </row>
        <row r="208">
          <cell r="N208">
            <v>1</v>
          </cell>
          <cell r="P208">
            <v>1</v>
          </cell>
          <cell r="R208">
            <v>672</v>
          </cell>
          <cell r="T208">
            <v>108</v>
          </cell>
          <cell r="V208">
            <v>661</v>
          </cell>
          <cell r="X208">
            <v>2</v>
          </cell>
          <cell r="Z208">
            <v>1</v>
          </cell>
          <cell r="AB208">
            <v>661</v>
          </cell>
          <cell r="AD208">
            <v>2</v>
          </cell>
          <cell r="AF208">
            <v>1</v>
          </cell>
          <cell r="AH208">
            <v>1</v>
          </cell>
          <cell r="AJ208">
            <v>1</v>
          </cell>
          <cell r="AL208">
            <v>0</v>
          </cell>
          <cell r="AN208">
            <v>0</v>
          </cell>
          <cell r="AP208">
            <v>0</v>
          </cell>
          <cell r="AR208">
            <v>0</v>
          </cell>
          <cell r="AT208">
            <v>0</v>
          </cell>
          <cell r="AV208">
            <v>0</v>
          </cell>
          <cell r="AX208">
            <v>0</v>
          </cell>
          <cell r="AZ208">
            <v>0</v>
          </cell>
          <cell r="BB208">
            <v>0</v>
          </cell>
          <cell r="BD208">
            <v>0</v>
          </cell>
          <cell r="BF208">
            <v>0</v>
          </cell>
          <cell r="BH208">
            <v>0</v>
          </cell>
          <cell r="BJ208">
            <v>0</v>
          </cell>
          <cell r="BL208">
            <v>0</v>
          </cell>
          <cell r="BN208">
            <v>0</v>
          </cell>
          <cell r="BP208">
            <v>0</v>
          </cell>
          <cell r="BR208">
            <v>0</v>
          </cell>
          <cell r="BT208">
            <v>0</v>
          </cell>
          <cell r="BV208">
            <v>0</v>
          </cell>
          <cell r="BX208">
            <v>0</v>
          </cell>
          <cell r="BZ208">
            <v>0</v>
          </cell>
          <cell r="CB208">
            <v>0</v>
          </cell>
          <cell r="CD208">
            <v>0</v>
          </cell>
          <cell r="CF208">
            <v>0</v>
          </cell>
          <cell r="CH208">
            <v>0</v>
          </cell>
          <cell r="CJ208">
            <v>0</v>
          </cell>
          <cell r="CL208">
            <v>0</v>
          </cell>
          <cell r="CN208">
            <v>0</v>
          </cell>
          <cell r="CP208">
            <v>0</v>
          </cell>
          <cell r="CR208">
            <v>0</v>
          </cell>
          <cell r="CT208">
            <v>0</v>
          </cell>
          <cell r="CV208">
            <v>0</v>
          </cell>
          <cell r="CX208">
            <v>0</v>
          </cell>
          <cell r="CZ208">
            <v>0</v>
          </cell>
          <cell r="DB208">
            <v>0</v>
          </cell>
          <cell r="DD208">
            <v>0</v>
          </cell>
          <cell r="DF208">
            <v>0</v>
          </cell>
          <cell r="DH208">
            <v>0</v>
          </cell>
          <cell r="DJ208">
            <v>0</v>
          </cell>
          <cell r="DL208">
            <v>0</v>
          </cell>
          <cell r="DN208">
            <v>0</v>
          </cell>
          <cell r="DP208">
            <v>0</v>
          </cell>
          <cell r="DR208">
            <v>0</v>
          </cell>
          <cell r="DT208">
            <v>0</v>
          </cell>
          <cell r="DV208">
            <v>0</v>
          </cell>
          <cell r="DX208">
            <v>0</v>
          </cell>
          <cell r="DZ208">
            <v>0</v>
          </cell>
          <cell r="EB208">
            <v>0</v>
          </cell>
          <cell r="ED208">
            <v>0</v>
          </cell>
          <cell r="EF208">
            <v>0</v>
          </cell>
          <cell r="EH208">
            <v>0</v>
          </cell>
          <cell r="EJ208">
            <v>0</v>
          </cell>
          <cell r="EL208">
            <v>0</v>
          </cell>
          <cell r="EN208">
            <v>0</v>
          </cell>
          <cell r="EP208">
            <v>0</v>
          </cell>
          <cell r="ER208">
            <v>0</v>
          </cell>
          <cell r="ET208">
            <v>0</v>
          </cell>
          <cell r="EV208">
            <v>0</v>
          </cell>
          <cell r="EX208">
            <v>0</v>
          </cell>
          <cell r="EZ208">
            <v>0</v>
          </cell>
          <cell r="FB208">
            <v>0</v>
          </cell>
          <cell r="FD208">
            <v>0</v>
          </cell>
          <cell r="FF208">
            <v>0</v>
          </cell>
          <cell r="FH208">
            <v>0</v>
          </cell>
          <cell r="FJ208">
            <v>0</v>
          </cell>
          <cell r="FL208">
            <v>0</v>
          </cell>
          <cell r="FN208">
            <v>0</v>
          </cell>
          <cell r="FP208">
            <v>0</v>
          </cell>
          <cell r="FR208">
            <v>0</v>
          </cell>
          <cell r="FT208">
            <v>0</v>
          </cell>
          <cell r="FV208">
            <v>0</v>
          </cell>
          <cell r="GD208">
            <v>14</v>
          </cell>
          <cell r="GF208">
            <v>4</v>
          </cell>
          <cell r="GH208">
            <v>1</v>
          </cell>
          <cell r="GJ208">
            <v>7</v>
          </cell>
          <cell r="GM208">
            <v>76.010000000000005</v>
          </cell>
          <cell r="GN20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79.檢查勞工個人防護具：█有 □無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W208" t="str">
            <v>（一）施工廠商施工前檢查事項辦理情形：█完成 □未完成 （二）其他工地安全衛生督導事項：</v>
          </cell>
          <cell r="GX208">
            <v>853901</v>
          </cell>
          <cell r="GY208">
            <v>0</v>
          </cell>
        </row>
        <row r="209">
          <cell r="N209">
            <v>1</v>
          </cell>
          <cell r="P209">
            <v>1</v>
          </cell>
          <cell r="R209">
            <v>672</v>
          </cell>
          <cell r="T209">
            <v>108</v>
          </cell>
          <cell r="V209">
            <v>661</v>
          </cell>
          <cell r="X209">
            <v>2</v>
          </cell>
          <cell r="Z209">
            <v>1</v>
          </cell>
          <cell r="AB209">
            <v>661</v>
          </cell>
          <cell r="AD209">
            <v>2</v>
          </cell>
          <cell r="AF209">
            <v>1</v>
          </cell>
          <cell r="AH209">
            <v>1</v>
          </cell>
          <cell r="AJ209">
            <v>1</v>
          </cell>
          <cell r="AL209">
            <v>0</v>
          </cell>
          <cell r="AN209">
            <v>0</v>
          </cell>
          <cell r="AP209">
            <v>0</v>
          </cell>
          <cell r="AR209">
            <v>0</v>
          </cell>
          <cell r="AT209">
            <v>0</v>
          </cell>
          <cell r="AV209">
            <v>0</v>
          </cell>
          <cell r="AX209">
            <v>0</v>
          </cell>
          <cell r="AZ209">
            <v>0</v>
          </cell>
          <cell r="BB209">
            <v>0</v>
          </cell>
          <cell r="BD209">
            <v>0</v>
          </cell>
          <cell r="BF209">
            <v>0</v>
          </cell>
          <cell r="BH209">
            <v>0</v>
          </cell>
          <cell r="BJ209">
            <v>0</v>
          </cell>
          <cell r="BL209">
            <v>0</v>
          </cell>
          <cell r="BN209">
            <v>0</v>
          </cell>
          <cell r="BP209">
            <v>0</v>
          </cell>
          <cell r="BR209">
            <v>0</v>
          </cell>
          <cell r="BT209">
            <v>0</v>
          </cell>
          <cell r="BV209">
            <v>0</v>
          </cell>
          <cell r="BX209">
            <v>0</v>
          </cell>
          <cell r="BZ209">
            <v>0</v>
          </cell>
          <cell r="CB209">
            <v>0</v>
          </cell>
          <cell r="CD209">
            <v>0</v>
          </cell>
          <cell r="CF209">
            <v>0</v>
          </cell>
          <cell r="CH209">
            <v>0</v>
          </cell>
          <cell r="CJ209">
            <v>0</v>
          </cell>
          <cell r="CL209">
            <v>0</v>
          </cell>
          <cell r="CN209">
            <v>0</v>
          </cell>
          <cell r="CP209">
            <v>0</v>
          </cell>
          <cell r="CR209">
            <v>0</v>
          </cell>
          <cell r="CT209">
            <v>0</v>
          </cell>
          <cell r="CV209">
            <v>0</v>
          </cell>
          <cell r="CX209">
            <v>0</v>
          </cell>
          <cell r="CZ209">
            <v>0</v>
          </cell>
          <cell r="DB209">
            <v>0</v>
          </cell>
          <cell r="DD209">
            <v>0</v>
          </cell>
          <cell r="DF209">
            <v>0</v>
          </cell>
          <cell r="DH209">
            <v>0</v>
          </cell>
          <cell r="DJ209">
            <v>0</v>
          </cell>
          <cell r="DL209">
            <v>0</v>
          </cell>
          <cell r="DN209">
            <v>0</v>
          </cell>
          <cell r="DP209">
            <v>0</v>
          </cell>
          <cell r="DR209">
            <v>0</v>
          </cell>
          <cell r="DT209">
            <v>0</v>
          </cell>
          <cell r="DV209">
            <v>0</v>
          </cell>
          <cell r="DX209">
            <v>0</v>
          </cell>
          <cell r="DZ209">
            <v>0</v>
          </cell>
          <cell r="EB209">
            <v>0</v>
          </cell>
          <cell r="ED209">
            <v>0</v>
          </cell>
          <cell r="EF209">
            <v>0</v>
          </cell>
          <cell r="EH209">
            <v>0</v>
          </cell>
          <cell r="EJ209">
            <v>0</v>
          </cell>
          <cell r="EL209">
            <v>0</v>
          </cell>
          <cell r="EN209">
            <v>0</v>
          </cell>
          <cell r="EP209">
            <v>0</v>
          </cell>
          <cell r="ER209">
            <v>0</v>
          </cell>
          <cell r="ET209">
            <v>0</v>
          </cell>
          <cell r="EV209">
            <v>0</v>
          </cell>
          <cell r="EX209">
            <v>0</v>
          </cell>
          <cell r="EZ209">
            <v>0</v>
          </cell>
          <cell r="FB209">
            <v>0</v>
          </cell>
          <cell r="FD209">
            <v>0</v>
          </cell>
          <cell r="FF209">
            <v>0</v>
          </cell>
          <cell r="FH209">
            <v>0</v>
          </cell>
          <cell r="FJ209">
            <v>0</v>
          </cell>
          <cell r="FL209">
            <v>0</v>
          </cell>
          <cell r="FN209">
            <v>0</v>
          </cell>
          <cell r="FP209">
            <v>0</v>
          </cell>
          <cell r="FR209">
            <v>0</v>
          </cell>
          <cell r="FT209">
            <v>0</v>
          </cell>
          <cell r="FV209">
            <v>0</v>
          </cell>
          <cell r="GD209">
            <v>14</v>
          </cell>
          <cell r="GF209">
            <v>4</v>
          </cell>
          <cell r="GH209">
            <v>1</v>
          </cell>
          <cell r="GJ209">
            <v>7</v>
          </cell>
          <cell r="GM209">
            <v>77.010000000000005</v>
          </cell>
          <cell r="GN20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80.檢查勞工個人防護具：█有 □無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W209" t="str">
            <v>（一）施工廠商施工前檢查事項辦理情形：█完成 □未完成 （二）其他工地安全衛生督導事項：</v>
          </cell>
          <cell r="GX209">
            <v>853901</v>
          </cell>
          <cell r="GY209">
            <v>0</v>
          </cell>
        </row>
        <row r="210">
          <cell r="N210">
            <v>1</v>
          </cell>
          <cell r="P210">
            <v>1</v>
          </cell>
          <cell r="R210">
            <v>672</v>
          </cell>
          <cell r="T210">
            <v>108</v>
          </cell>
          <cell r="V210">
            <v>661</v>
          </cell>
          <cell r="X210">
            <v>2</v>
          </cell>
          <cell r="Z210">
            <v>1</v>
          </cell>
          <cell r="AB210">
            <v>661</v>
          </cell>
          <cell r="AD210">
            <v>2</v>
          </cell>
          <cell r="AF210">
            <v>1</v>
          </cell>
          <cell r="AH210">
            <v>1</v>
          </cell>
          <cell r="AJ210">
            <v>1</v>
          </cell>
          <cell r="AL210">
            <v>0</v>
          </cell>
          <cell r="AN210">
            <v>0</v>
          </cell>
          <cell r="AP210">
            <v>0</v>
          </cell>
          <cell r="AR210">
            <v>0</v>
          </cell>
          <cell r="AT210">
            <v>0</v>
          </cell>
          <cell r="AV210">
            <v>0</v>
          </cell>
          <cell r="AX210">
            <v>0</v>
          </cell>
          <cell r="AZ210">
            <v>0</v>
          </cell>
          <cell r="BB210">
            <v>0</v>
          </cell>
          <cell r="BD210">
            <v>0</v>
          </cell>
          <cell r="BF210">
            <v>0</v>
          </cell>
          <cell r="BH210">
            <v>0</v>
          </cell>
          <cell r="BJ210">
            <v>0</v>
          </cell>
          <cell r="BL210">
            <v>0</v>
          </cell>
          <cell r="BN210">
            <v>0</v>
          </cell>
          <cell r="BP210">
            <v>0</v>
          </cell>
          <cell r="BR210">
            <v>0</v>
          </cell>
          <cell r="BT210">
            <v>0</v>
          </cell>
          <cell r="BV210">
            <v>0</v>
          </cell>
          <cell r="BX210">
            <v>0</v>
          </cell>
          <cell r="BZ210">
            <v>0</v>
          </cell>
          <cell r="CB210">
            <v>0</v>
          </cell>
          <cell r="CD210">
            <v>0</v>
          </cell>
          <cell r="CF210">
            <v>0</v>
          </cell>
          <cell r="CH210">
            <v>0</v>
          </cell>
          <cell r="CJ210">
            <v>0</v>
          </cell>
          <cell r="CL210">
            <v>0</v>
          </cell>
          <cell r="CN210">
            <v>0</v>
          </cell>
          <cell r="CP210">
            <v>0</v>
          </cell>
          <cell r="CR210">
            <v>0</v>
          </cell>
          <cell r="CT210">
            <v>0</v>
          </cell>
          <cell r="CV210">
            <v>0</v>
          </cell>
          <cell r="CX210">
            <v>0</v>
          </cell>
          <cell r="CZ210">
            <v>0</v>
          </cell>
          <cell r="DB210">
            <v>0</v>
          </cell>
          <cell r="DD210">
            <v>0</v>
          </cell>
          <cell r="DF210">
            <v>0</v>
          </cell>
          <cell r="DH210">
            <v>0</v>
          </cell>
          <cell r="DJ210">
            <v>0</v>
          </cell>
          <cell r="DL210">
            <v>0</v>
          </cell>
          <cell r="DN210">
            <v>0</v>
          </cell>
          <cell r="DP210">
            <v>0</v>
          </cell>
          <cell r="DR210">
            <v>0</v>
          </cell>
          <cell r="DT210">
            <v>0</v>
          </cell>
          <cell r="DV210">
            <v>0</v>
          </cell>
          <cell r="DX210">
            <v>0</v>
          </cell>
          <cell r="DZ210">
            <v>0</v>
          </cell>
          <cell r="EB210">
            <v>0</v>
          </cell>
          <cell r="ED210">
            <v>0</v>
          </cell>
          <cell r="EF210">
            <v>0</v>
          </cell>
          <cell r="EH210">
            <v>0</v>
          </cell>
          <cell r="EJ210">
            <v>0</v>
          </cell>
          <cell r="EL210">
            <v>0</v>
          </cell>
          <cell r="EN210">
            <v>0</v>
          </cell>
          <cell r="EP210">
            <v>0</v>
          </cell>
          <cell r="ER210">
            <v>0</v>
          </cell>
          <cell r="ET210">
            <v>0</v>
          </cell>
          <cell r="EV210">
            <v>0</v>
          </cell>
          <cell r="EX210">
            <v>0</v>
          </cell>
          <cell r="EZ210">
            <v>0</v>
          </cell>
          <cell r="FB210">
            <v>0</v>
          </cell>
          <cell r="FD210">
            <v>0</v>
          </cell>
          <cell r="FF210">
            <v>0</v>
          </cell>
          <cell r="FH210">
            <v>0</v>
          </cell>
          <cell r="FJ210">
            <v>0</v>
          </cell>
          <cell r="FL210">
            <v>0</v>
          </cell>
          <cell r="FN210">
            <v>0</v>
          </cell>
          <cell r="FP210">
            <v>0</v>
          </cell>
          <cell r="FR210">
            <v>0</v>
          </cell>
          <cell r="FT210">
            <v>0</v>
          </cell>
          <cell r="FV210">
            <v>0</v>
          </cell>
          <cell r="GD210">
            <v>14</v>
          </cell>
          <cell r="GF210">
            <v>4</v>
          </cell>
          <cell r="GH210">
            <v>1</v>
          </cell>
          <cell r="GJ210">
            <v>7</v>
          </cell>
          <cell r="GM210">
            <v>78.010000000000005</v>
          </cell>
          <cell r="GN21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81.檢查勞工個人防護具：█有 □無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W210" t="str">
            <v>（一）施工廠商施工前檢查事項辦理情形：█完成 □未完成 （二）其他工地安全衛生督導事項：</v>
          </cell>
          <cell r="GX210">
            <v>853901</v>
          </cell>
          <cell r="GY210">
            <v>0</v>
          </cell>
        </row>
        <row r="211">
          <cell r="N211">
            <v>1</v>
          </cell>
          <cell r="P211">
            <v>1</v>
          </cell>
          <cell r="R211">
            <v>672</v>
          </cell>
          <cell r="T211">
            <v>108</v>
          </cell>
          <cell r="V211">
            <v>661</v>
          </cell>
          <cell r="X211">
            <v>2</v>
          </cell>
          <cell r="Z211">
            <v>1</v>
          </cell>
          <cell r="AB211">
            <v>661</v>
          </cell>
          <cell r="AD211">
            <v>2</v>
          </cell>
          <cell r="AF211">
            <v>1</v>
          </cell>
          <cell r="AH211">
            <v>1</v>
          </cell>
          <cell r="AJ211">
            <v>1</v>
          </cell>
          <cell r="AL211">
            <v>0</v>
          </cell>
          <cell r="AN211">
            <v>0</v>
          </cell>
          <cell r="AP211">
            <v>0</v>
          </cell>
          <cell r="AR211">
            <v>0</v>
          </cell>
          <cell r="AT211">
            <v>0</v>
          </cell>
          <cell r="AV211">
            <v>0</v>
          </cell>
          <cell r="AX211">
            <v>0</v>
          </cell>
          <cell r="AZ211">
            <v>0</v>
          </cell>
          <cell r="BB211">
            <v>0</v>
          </cell>
          <cell r="BD211">
            <v>0</v>
          </cell>
          <cell r="BF211">
            <v>0</v>
          </cell>
          <cell r="BH211">
            <v>0</v>
          </cell>
          <cell r="BJ211">
            <v>0</v>
          </cell>
          <cell r="BL211">
            <v>0</v>
          </cell>
          <cell r="BN211">
            <v>0</v>
          </cell>
          <cell r="BP211">
            <v>0</v>
          </cell>
          <cell r="BR211">
            <v>0</v>
          </cell>
          <cell r="BT211">
            <v>0</v>
          </cell>
          <cell r="BV211">
            <v>0</v>
          </cell>
          <cell r="BX211">
            <v>0</v>
          </cell>
          <cell r="BZ211">
            <v>0</v>
          </cell>
          <cell r="CB211">
            <v>0</v>
          </cell>
          <cell r="CD211">
            <v>0</v>
          </cell>
          <cell r="CF211">
            <v>0</v>
          </cell>
          <cell r="CH211">
            <v>0</v>
          </cell>
          <cell r="CJ211">
            <v>0</v>
          </cell>
          <cell r="CL211">
            <v>0</v>
          </cell>
          <cell r="CN211">
            <v>0</v>
          </cell>
          <cell r="CP211">
            <v>0</v>
          </cell>
          <cell r="CR211">
            <v>0</v>
          </cell>
          <cell r="CT211">
            <v>0</v>
          </cell>
          <cell r="CV211">
            <v>0</v>
          </cell>
          <cell r="CX211">
            <v>0</v>
          </cell>
          <cell r="CZ211">
            <v>0</v>
          </cell>
          <cell r="DB211">
            <v>0</v>
          </cell>
          <cell r="DD211">
            <v>0</v>
          </cell>
          <cell r="DF211">
            <v>0</v>
          </cell>
          <cell r="DH211">
            <v>0</v>
          </cell>
          <cell r="DJ211">
            <v>0</v>
          </cell>
          <cell r="DL211">
            <v>0</v>
          </cell>
          <cell r="DN211">
            <v>0</v>
          </cell>
          <cell r="DP211">
            <v>0</v>
          </cell>
          <cell r="DR211">
            <v>0</v>
          </cell>
          <cell r="DT211">
            <v>0</v>
          </cell>
          <cell r="DV211">
            <v>0</v>
          </cell>
          <cell r="DX211">
            <v>0</v>
          </cell>
          <cell r="DZ211">
            <v>0</v>
          </cell>
          <cell r="EB211">
            <v>0</v>
          </cell>
          <cell r="ED211">
            <v>0</v>
          </cell>
          <cell r="EF211">
            <v>0</v>
          </cell>
          <cell r="EH211">
            <v>0</v>
          </cell>
          <cell r="EJ211">
            <v>0</v>
          </cell>
          <cell r="EL211">
            <v>0</v>
          </cell>
          <cell r="EN211">
            <v>0</v>
          </cell>
          <cell r="EP211">
            <v>0</v>
          </cell>
          <cell r="ER211">
            <v>0</v>
          </cell>
          <cell r="ET211">
            <v>0</v>
          </cell>
          <cell r="EV211">
            <v>0</v>
          </cell>
          <cell r="EX211">
            <v>0</v>
          </cell>
          <cell r="EZ211">
            <v>0</v>
          </cell>
          <cell r="FB211">
            <v>0</v>
          </cell>
          <cell r="FD211">
            <v>0</v>
          </cell>
          <cell r="FF211">
            <v>0</v>
          </cell>
          <cell r="FH211">
            <v>0</v>
          </cell>
          <cell r="FJ211">
            <v>0</v>
          </cell>
          <cell r="FL211">
            <v>0</v>
          </cell>
          <cell r="FN211">
            <v>0</v>
          </cell>
          <cell r="FP211">
            <v>0</v>
          </cell>
          <cell r="FR211">
            <v>0</v>
          </cell>
          <cell r="FT211">
            <v>0</v>
          </cell>
          <cell r="FV211">
            <v>0</v>
          </cell>
          <cell r="GD211">
            <v>14</v>
          </cell>
          <cell r="GF211">
            <v>4</v>
          </cell>
          <cell r="GH211">
            <v>1</v>
          </cell>
          <cell r="GJ211">
            <v>7</v>
          </cell>
          <cell r="GM211">
            <v>79.010000000000005</v>
          </cell>
          <cell r="GN21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82.檢查勞工個人防護具：█有 □無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W211" t="str">
            <v>（一）施工廠商施工前檢查事項辦理情形：█完成 □未完成 （二）其他工地安全衛生督導事項：</v>
          </cell>
          <cell r="GX211">
            <v>853901</v>
          </cell>
          <cell r="GY211">
            <v>0</v>
          </cell>
        </row>
        <row r="212">
          <cell r="N212">
            <v>1</v>
          </cell>
          <cell r="P212">
            <v>1</v>
          </cell>
          <cell r="R212">
            <v>672</v>
          </cell>
          <cell r="T212">
            <v>108</v>
          </cell>
          <cell r="V212">
            <v>661</v>
          </cell>
          <cell r="X212">
            <v>2</v>
          </cell>
          <cell r="Z212">
            <v>1</v>
          </cell>
          <cell r="AB212">
            <v>661</v>
          </cell>
          <cell r="AD212">
            <v>2</v>
          </cell>
          <cell r="AF212">
            <v>1</v>
          </cell>
          <cell r="AH212">
            <v>1</v>
          </cell>
          <cell r="AJ212">
            <v>1</v>
          </cell>
          <cell r="AL212">
            <v>0</v>
          </cell>
          <cell r="AN212">
            <v>0</v>
          </cell>
          <cell r="AP212">
            <v>0</v>
          </cell>
          <cell r="AR212">
            <v>0</v>
          </cell>
          <cell r="AT212">
            <v>0</v>
          </cell>
          <cell r="AV212">
            <v>0</v>
          </cell>
          <cell r="AX212">
            <v>0</v>
          </cell>
          <cell r="AZ212">
            <v>0</v>
          </cell>
          <cell r="BB212">
            <v>0</v>
          </cell>
          <cell r="BD212">
            <v>0</v>
          </cell>
          <cell r="BF212">
            <v>0</v>
          </cell>
          <cell r="BH212">
            <v>0</v>
          </cell>
          <cell r="BJ212">
            <v>0</v>
          </cell>
          <cell r="BL212">
            <v>0</v>
          </cell>
          <cell r="BN212">
            <v>0</v>
          </cell>
          <cell r="BP212">
            <v>0</v>
          </cell>
          <cell r="BR212">
            <v>0</v>
          </cell>
          <cell r="BT212">
            <v>0</v>
          </cell>
          <cell r="BV212">
            <v>0</v>
          </cell>
          <cell r="BX212">
            <v>0</v>
          </cell>
          <cell r="BZ212">
            <v>0</v>
          </cell>
          <cell r="CB212">
            <v>0</v>
          </cell>
          <cell r="CD212">
            <v>0</v>
          </cell>
          <cell r="CF212">
            <v>0</v>
          </cell>
          <cell r="CH212">
            <v>0</v>
          </cell>
          <cell r="CJ212">
            <v>0</v>
          </cell>
          <cell r="CL212">
            <v>0</v>
          </cell>
          <cell r="CN212">
            <v>0</v>
          </cell>
          <cell r="CP212">
            <v>0</v>
          </cell>
          <cell r="CR212">
            <v>0</v>
          </cell>
          <cell r="CT212">
            <v>0</v>
          </cell>
          <cell r="CV212">
            <v>0</v>
          </cell>
          <cell r="CX212">
            <v>0</v>
          </cell>
          <cell r="CZ212">
            <v>0</v>
          </cell>
          <cell r="DB212">
            <v>0</v>
          </cell>
          <cell r="DD212">
            <v>0</v>
          </cell>
          <cell r="DF212">
            <v>0</v>
          </cell>
          <cell r="DH212">
            <v>0</v>
          </cell>
          <cell r="DJ212">
            <v>0</v>
          </cell>
          <cell r="DL212">
            <v>0</v>
          </cell>
          <cell r="DN212">
            <v>0</v>
          </cell>
          <cell r="DP212">
            <v>0</v>
          </cell>
          <cell r="DR212">
            <v>0</v>
          </cell>
          <cell r="DT212">
            <v>0</v>
          </cell>
          <cell r="DV212">
            <v>0</v>
          </cell>
          <cell r="DX212">
            <v>0</v>
          </cell>
          <cell r="DZ212">
            <v>0</v>
          </cell>
          <cell r="EB212">
            <v>0</v>
          </cell>
          <cell r="ED212">
            <v>0</v>
          </cell>
          <cell r="EF212">
            <v>0</v>
          </cell>
          <cell r="EH212">
            <v>0</v>
          </cell>
          <cell r="EJ212">
            <v>0</v>
          </cell>
          <cell r="EL212">
            <v>0</v>
          </cell>
          <cell r="EN212">
            <v>0</v>
          </cell>
          <cell r="EP212">
            <v>0</v>
          </cell>
          <cell r="ER212">
            <v>0</v>
          </cell>
          <cell r="ET212">
            <v>0</v>
          </cell>
          <cell r="EV212">
            <v>0</v>
          </cell>
          <cell r="EX212">
            <v>0</v>
          </cell>
          <cell r="EZ212">
            <v>0</v>
          </cell>
          <cell r="FB212">
            <v>0</v>
          </cell>
          <cell r="FD212">
            <v>0</v>
          </cell>
          <cell r="FF212">
            <v>0</v>
          </cell>
          <cell r="FH212">
            <v>0</v>
          </cell>
          <cell r="FJ212">
            <v>0</v>
          </cell>
          <cell r="FL212">
            <v>0</v>
          </cell>
          <cell r="FN212">
            <v>0</v>
          </cell>
          <cell r="FP212">
            <v>0</v>
          </cell>
          <cell r="FR212">
            <v>0</v>
          </cell>
          <cell r="FT212">
            <v>0</v>
          </cell>
          <cell r="FV212">
            <v>0</v>
          </cell>
          <cell r="GD212">
            <v>14</v>
          </cell>
          <cell r="GF212">
            <v>4</v>
          </cell>
          <cell r="GH212">
            <v>1</v>
          </cell>
          <cell r="GJ212">
            <v>7</v>
          </cell>
          <cell r="GM212">
            <v>80.010000000000005</v>
          </cell>
          <cell r="GN21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83.檢查勞工個人防護具：█有 □無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W212" t="str">
            <v>（一）施工廠商施工前檢查事項辦理情形：█完成 □未完成 （二）其他工地安全衛生督導事項：</v>
          </cell>
          <cell r="GX212">
            <v>853901</v>
          </cell>
          <cell r="GY212">
            <v>0</v>
          </cell>
        </row>
        <row r="213">
          <cell r="N213">
            <v>1</v>
          </cell>
          <cell r="P213">
            <v>1</v>
          </cell>
          <cell r="R213">
            <v>672</v>
          </cell>
          <cell r="T213">
            <v>108</v>
          </cell>
          <cell r="V213">
            <v>661</v>
          </cell>
          <cell r="X213">
            <v>2</v>
          </cell>
          <cell r="Z213">
            <v>1</v>
          </cell>
          <cell r="AB213">
            <v>661</v>
          </cell>
          <cell r="AD213">
            <v>2</v>
          </cell>
          <cell r="AF213">
            <v>1</v>
          </cell>
          <cell r="AH213">
            <v>1</v>
          </cell>
          <cell r="AJ213">
            <v>1</v>
          </cell>
          <cell r="AL213">
            <v>0</v>
          </cell>
          <cell r="AN213">
            <v>0</v>
          </cell>
          <cell r="AP213">
            <v>0</v>
          </cell>
          <cell r="AR213">
            <v>0</v>
          </cell>
          <cell r="AT213">
            <v>0</v>
          </cell>
          <cell r="AV213">
            <v>0</v>
          </cell>
          <cell r="AX213">
            <v>0</v>
          </cell>
          <cell r="AZ213">
            <v>0</v>
          </cell>
          <cell r="BB213">
            <v>0</v>
          </cell>
          <cell r="BD213">
            <v>0</v>
          </cell>
          <cell r="BF213">
            <v>0</v>
          </cell>
          <cell r="BH213">
            <v>0</v>
          </cell>
          <cell r="BJ213">
            <v>0</v>
          </cell>
          <cell r="BL213">
            <v>0</v>
          </cell>
          <cell r="BN213">
            <v>0</v>
          </cell>
          <cell r="BP213">
            <v>0</v>
          </cell>
          <cell r="BR213">
            <v>0</v>
          </cell>
          <cell r="BT213">
            <v>0</v>
          </cell>
          <cell r="BV213">
            <v>0</v>
          </cell>
          <cell r="BX213">
            <v>0</v>
          </cell>
          <cell r="BZ213">
            <v>0</v>
          </cell>
          <cell r="CB213">
            <v>0</v>
          </cell>
          <cell r="CD213">
            <v>0</v>
          </cell>
          <cell r="CF213">
            <v>0</v>
          </cell>
          <cell r="CH213">
            <v>0</v>
          </cell>
          <cell r="CJ213">
            <v>0</v>
          </cell>
          <cell r="CL213">
            <v>0</v>
          </cell>
          <cell r="CN213">
            <v>0</v>
          </cell>
          <cell r="CP213">
            <v>0</v>
          </cell>
          <cell r="CR213">
            <v>0</v>
          </cell>
          <cell r="CT213">
            <v>0</v>
          </cell>
          <cell r="CV213">
            <v>0</v>
          </cell>
          <cell r="CX213">
            <v>0</v>
          </cell>
          <cell r="CZ213">
            <v>0</v>
          </cell>
          <cell r="DB213">
            <v>0</v>
          </cell>
          <cell r="DD213">
            <v>0</v>
          </cell>
          <cell r="DF213">
            <v>0</v>
          </cell>
          <cell r="DH213">
            <v>0</v>
          </cell>
          <cell r="DJ213">
            <v>0</v>
          </cell>
          <cell r="DL213">
            <v>0</v>
          </cell>
          <cell r="DN213">
            <v>0</v>
          </cell>
          <cell r="DP213">
            <v>0</v>
          </cell>
          <cell r="DR213">
            <v>0</v>
          </cell>
          <cell r="DT213">
            <v>0</v>
          </cell>
          <cell r="DV213">
            <v>0</v>
          </cell>
          <cell r="DX213">
            <v>0</v>
          </cell>
          <cell r="DZ213">
            <v>0</v>
          </cell>
          <cell r="EB213">
            <v>0</v>
          </cell>
          <cell r="ED213">
            <v>0</v>
          </cell>
          <cell r="EF213">
            <v>0</v>
          </cell>
          <cell r="EH213">
            <v>0</v>
          </cell>
          <cell r="EJ213">
            <v>0</v>
          </cell>
          <cell r="EL213">
            <v>0</v>
          </cell>
          <cell r="EN213">
            <v>0</v>
          </cell>
          <cell r="EP213">
            <v>0</v>
          </cell>
          <cell r="ER213">
            <v>0</v>
          </cell>
          <cell r="ET213">
            <v>0</v>
          </cell>
          <cell r="EV213">
            <v>0</v>
          </cell>
          <cell r="EX213">
            <v>0</v>
          </cell>
          <cell r="EZ213">
            <v>0</v>
          </cell>
          <cell r="FB213">
            <v>0</v>
          </cell>
          <cell r="FD213">
            <v>0</v>
          </cell>
          <cell r="FF213">
            <v>0</v>
          </cell>
          <cell r="FH213">
            <v>0</v>
          </cell>
          <cell r="FJ213">
            <v>0</v>
          </cell>
          <cell r="FL213">
            <v>0</v>
          </cell>
          <cell r="FN213">
            <v>0</v>
          </cell>
          <cell r="FP213">
            <v>0</v>
          </cell>
          <cell r="FR213">
            <v>0</v>
          </cell>
          <cell r="FT213">
            <v>0</v>
          </cell>
          <cell r="FV213">
            <v>0</v>
          </cell>
          <cell r="GD213">
            <v>14</v>
          </cell>
          <cell r="GF213">
            <v>4</v>
          </cell>
          <cell r="GH213">
            <v>1</v>
          </cell>
          <cell r="GJ213">
            <v>7</v>
          </cell>
          <cell r="GM213">
            <v>81.010000000000005</v>
          </cell>
          <cell r="GN21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84.檢查勞工個人防護具：█有 □無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W213" t="str">
            <v>（一）施工廠商施工前檢查事項辦理情形：█完成 □未完成 （二）其他工地安全衛生督導事項：</v>
          </cell>
          <cell r="GX213">
            <v>853901</v>
          </cell>
          <cell r="GY213">
            <v>0</v>
          </cell>
        </row>
        <row r="214">
          <cell r="N214">
            <v>1</v>
          </cell>
          <cell r="P214">
            <v>1</v>
          </cell>
          <cell r="R214">
            <v>672</v>
          </cell>
          <cell r="T214">
            <v>108</v>
          </cell>
          <cell r="V214">
            <v>661</v>
          </cell>
          <cell r="X214">
            <v>2</v>
          </cell>
          <cell r="Z214">
            <v>1</v>
          </cell>
          <cell r="AB214">
            <v>661</v>
          </cell>
          <cell r="AD214">
            <v>2</v>
          </cell>
          <cell r="AF214">
            <v>1</v>
          </cell>
          <cell r="AH214">
            <v>1</v>
          </cell>
          <cell r="AJ214">
            <v>1</v>
          </cell>
          <cell r="AL214">
            <v>0</v>
          </cell>
          <cell r="AN214">
            <v>0</v>
          </cell>
          <cell r="AP214">
            <v>0</v>
          </cell>
          <cell r="AR214">
            <v>0</v>
          </cell>
          <cell r="AT214">
            <v>0</v>
          </cell>
          <cell r="AV214">
            <v>0</v>
          </cell>
          <cell r="AX214">
            <v>0</v>
          </cell>
          <cell r="AZ214">
            <v>0</v>
          </cell>
          <cell r="BB214">
            <v>0</v>
          </cell>
          <cell r="BD214">
            <v>0</v>
          </cell>
          <cell r="BF214">
            <v>0</v>
          </cell>
          <cell r="BH214">
            <v>0</v>
          </cell>
          <cell r="BJ214">
            <v>0</v>
          </cell>
          <cell r="BL214">
            <v>0</v>
          </cell>
          <cell r="BN214">
            <v>0</v>
          </cell>
          <cell r="BP214">
            <v>0</v>
          </cell>
          <cell r="BR214">
            <v>0</v>
          </cell>
          <cell r="BT214">
            <v>0</v>
          </cell>
          <cell r="BV214">
            <v>0</v>
          </cell>
          <cell r="BX214">
            <v>0</v>
          </cell>
          <cell r="BZ214">
            <v>0</v>
          </cell>
          <cell r="CB214">
            <v>0</v>
          </cell>
          <cell r="CD214">
            <v>0</v>
          </cell>
          <cell r="CF214">
            <v>0</v>
          </cell>
          <cell r="CH214">
            <v>0</v>
          </cell>
          <cell r="CJ214">
            <v>0</v>
          </cell>
          <cell r="CL214">
            <v>0</v>
          </cell>
          <cell r="CN214">
            <v>0</v>
          </cell>
          <cell r="CP214">
            <v>0</v>
          </cell>
          <cell r="CR214">
            <v>0</v>
          </cell>
          <cell r="CT214">
            <v>0</v>
          </cell>
          <cell r="CV214">
            <v>0</v>
          </cell>
          <cell r="CX214">
            <v>0</v>
          </cell>
          <cell r="CZ214">
            <v>0</v>
          </cell>
          <cell r="DB214">
            <v>0</v>
          </cell>
          <cell r="DD214">
            <v>0</v>
          </cell>
          <cell r="DF214">
            <v>0</v>
          </cell>
          <cell r="DH214">
            <v>0</v>
          </cell>
          <cell r="DJ214">
            <v>0</v>
          </cell>
          <cell r="DL214">
            <v>0</v>
          </cell>
          <cell r="DN214">
            <v>0</v>
          </cell>
          <cell r="DP214">
            <v>0</v>
          </cell>
          <cell r="DR214">
            <v>0</v>
          </cell>
          <cell r="DT214">
            <v>0</v>
          </cell>
          <cell r="DV214">
            <v>0</v>
          </cell>
          <cell r="DX214">
            <v>0</v>
          </cell>
          <cell r="DZ214">
            <v>0</v>
          </cell>
          <cell r="EB214">
            <v>0</v>
          </cell>
          <cell r="ED214">
            <v>0</v>
          </cell>
          <cell r="EF214">
            <v>0</v>
          </cell>
          <cell r="EH214">
            <v>0</v>
          </cell>
          <cell r="EJ214">
            <v>0</v>
          </cell>
          <cell r="EL214">
            <v>0</v>
          </cell>
          <cell r="EN214">
            <v>0</v>
          </cell>
          <cell r="EP214">
            <v>0</v>
          </cell>
          <cell r="ER214">
            <v>0</v>
          </cell>
          <cell r="ET214">
            <v>0</v>
          </cell>
          <cell r="EV214">
            <v>0</v>
          </cell>
          <cell r="EX214">
            <v>0</v>
          </cell>
          <cell r="EZ214">
            <v>0</v>
          </cell>
          <cell r="FB214">
            <v>0</v>
          </cell>
          <cell r="FD214">
            <v>0</v>
          </cell>
          <cell r="FF214">
            <v>0</v>
          </cell>
          <cell r="FH214">
            <v>0</v>
          </cell>
          <cell r="FJ214">
            <v>0</v>
          </cell>
          <cell r="FL214">
            <v>0</v>
          </cell>
          <cell r="FN214">
            <v>0</v>
          </cell>
          <cell r="FP214">
            <v>0</v>
          </cell>
          <cell r="FR214">
            <v>0</v>
          </cell>
          <cell r="FT214">
            <v>0</v>
          </cell>
          <cell r="FV214">
            <v>0</v>
          </cell>
          <cell r="GD214">
            <v>14</v>
          </cell>
          <cell r="GF214">
            <v>4</v>
          </cell>
          <cell r="GH214">
            <v>1</v>
          </cell>
          <cell r="GJ214">
            <v>7</v>
          </cell>
          <cell r="GM214">
            <v>82.01</v>
          </cell>
          <cell r="GN21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85.檢查勞工個人防護具：█有 □無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W214" t="str">
            <v>（一）施工廠商施工前檢查事項辦理情形：█完成 □未完成 （二）其他工地安全衛生督導事項：</v>
          </cell>
          <cell r="GX214">
            <v>853901</v>
          </cell>
          <cell r="GY214">
            <v>0</v>
          </cell>
        </row>
        <row r="215">
          <cell r="N215">
            <v>1</v>
          </cell>
          <cell r="P215">
            <v>1</v>
          </cell>
          <cell r="R215">
            <v>672</v>
          </cell>
          <cell r="T215">
            <v>108</v>
          </cell>
          <cell r="V215">
            <v>661</v>
          </cell>
          <cell r="X215">
            <v>2</v>
          </cell>
          <cell r="Z215">
            <v>1</v>
          </cell>
          <cell r="AB215">
            <v>661</v>
          </cell>
          <cell r="AD215">
            <v>2</v>
          </cell>
          <cell r="AF215">
            <v>1</v>
          </cell>
          <cell r="AH215">
            <v>1</v>
          </cell>
          <cell r="AJ215">
            <v>1</v>
          </cell>
          <cell r="AL215">
            <v>0</v>
          </cell>
          <cell r="AN215">
            <v>0</v>
          </cell>
          <cell r="AP215">
            <v>0</v>
          </cell>
          <cell r="AR215">
            <v>0</v>
          </cell>
          <cell r="AT215">
            <v>0</v>
          </cell>
          <cell r="AV215">
            <v>0</v>
          </cell>
          <cell r="AX215">
            <v>0</v>
          </cell>
          <cell r="AZ215">
            <v>0</v>
          </cell>
          <cell r="BB215">
            <v>0</v>
          </cell>
          <cell r="BD215">
            <v>0</v>
          </cell>
          <cell r="BF215">
            <v>0</v>
          </cell>
          <cell r="BH215">
            <v>0</v>
          </cell>
          <cell r="BJ215">
            <v>0</v>
          </cell>
          <cell r="BL215">
            <v>0</v>
          </cell>
          <cell r="BN215">
            <v>0</v>
          </cell>
          <cell r="BP215">
            <v>0</v>
          </cell>
          <cell r="BR215">
            <v>0</v>
          </cell>
          <cell r="BT215">
            <v>0</v>
          </cell>
          <cell r="BV215">
            <v>0</v>
          </cell>
          <cell r="BX215">
            <v>0</v>
          </cell>
          <cell r="BZ215">
            <v>0</v>
          </cell>
          <cell r="CB215">
            <v>0</v>
          </cell>
          <cell r="CD215">
            <v>0</v>
          </cell>
          <cell r="CF215">
            <v>0</v>
          </cell>
          <cell r="CH215">
            <v>0</v>
          </cell>
          <cell r="CJ215">
            <v>0</v>
          </cell>
          <cell r="CL215">
            <v>0</v>
          </cell>
          <cell r="CN215">
            <v>0</v>
          </cell>
          <cell r="CP215">
            <v>0</v>
          </cell>
          <cell r="CR215">
            <v>0</v>
          </cell>
          <cell r="CT215">
            <v>0</v>
          </cell>
          <cell r="CV215">
            <v>0</v>
          </cell>
          <cell r="CX215">
            <v>0</v>
          </cell>
          <cell r="CZ215">
            <v>0</v>
          </cell>
          <cell r="DB215">
            <v>0</v>
          </cell>
          <cell r="DD215">
            <v>0</v>
          </cell>
          <cell r="DF215">
            <v>0</v>
          </cell>
          <cell r="DH215">
            <v>0</v>
          </cell>
          <cell r="DJ215">
            <v>0</v>
          </cell>
          <cell r="DL215">
            <v>0</v>
          </cell>
          <cell r="DN215">
            <v>0</v>
          </cell>
          <cell r="DP215">
            <v>0</v>
          </cell>
          <cell r="DR215">
            <v>0</v>
          </cell>
          <cell r="DT215">
            <v>0</v>
          </cell>
          <cell r="DV215">
            <v>0</v>
          </cell>
          <cell r="DX215">
            <v>0</v>
          </cell>
          <cell r="DZ215">
            <v>0</v>
          </cell>
          <cell r="EB215">
            <v>0</v>
          </cell>
          <cell r="ED215">
            <v>0</v>
          </cell>
          <cell r="EF215">
            <v>0</v>
          </cell>
          <cell r="EH215">
            <v>0</v>
          </cell>
          <cell r="EJ215">
            <v>0</v>
          </cell>
          <cell r="EL215">
            <v>0</v>
          </cell>
          <cell r="EN215">
            <v>0</v>
          </cell>
          <cell r="EP215">
            <v>0</v>
          </cell>
          <cell r="ER215">
            <v>0</v>
          </cell>
          <cell r="ET215">
            <v>0</v>
          </cell>
          <cell r="EV215">
            <v>0</v>
          </cell>
          <cell r="EX215">
            <v>0</v>
          </cell>
          <cell r="EZ215">
            <v>0</v>
          </cell>
          <cell r="FB215">
            <v>0</v>
          </cell>
          <cell r="FD215">
            <v>0</v>
          </cell>
          <cell r="FF215">
            <v>0</v>
          </cell>
          <cell r="FH215">
            <v>0</v>
          </cell>
          <cell r="FJ215">
            <v>0</v>
          </cell>
          <cell r="FL215">
            <v>0</v>
          </cell>
          <cell r="FN215">
            <v>0</v>
          </cell>
          <cell r="FP215">
            <v>0</v>
          </cell>
          <cell r="FR215">
            <v>0</v>
          </cell>
          <cell r="FT215">
            <v>0</v>
          </cell>
          <cell r="FV215">
            <v>0</v>
          </cell>
          <cell r="GD215">
            <v>14</v>
          </cell>
          <cell r="GF215">
            <v>4</v>
          </cell>
          <cell r="GH215">
            <v>1</v>
          </cell>
          <cell r="GJ215">
            <v>7</v>
          </cell>
          <cell r="GM215">
            <v>83.01</v>
          </cell>
          <cell r="GN21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86.檢查勞工個人防護具：█有 □無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W215" t="str">
            <v>（一）施工廠商施工前檢查事項辦理情形：█完成 □未完成 （二）其他工地安全衛生督導事項：</v>
          </cell>
          <cell r="GX215">
            <v>853901</v>
          </cell>
          <cell r="GY215">
            <v>0</v>
          </cell>
        </row>
        <row r="216">
          <cell r="N216">
            <v>1</v>
          </cell>
          <cell r="P216">
            <v>1</v>
          </cell>
          <cell r="R216">
            <v>672</v>
          </cell>
          <cell r="T216">
            <v>108</v>
          </cell>
          <cell r="V216">
            <v>661</v>
          </cell>
          <cell r="X216">
            <v>2</v>
          </cell>
          <cell r="Z216">
            <v>1</v>
          </cell>
          <cell r="AB216">
            <v>661</v>
          </cell>
          <cell r="AD216">
            <v>2</v>
          </cell>
          <cell r="AF216">
            <v>1</v>
          </cell>
          <cell r="AH216">
            <v>1</v>
          </cell>
          <cell r="AJ216">
            <v>1</v>
          </cell>
          <cell r="AL216">
            <v>0</v>
          </cell>
          <cell r="AN216">
            <v>0</v>
          </cell>
          <cell r="AP216">
            <v>0</v>
          </cell>
          <cell r="AR216">
            <v>0</v>
          </cell>
          <cell r="AT216">
            <v>0</v>
          </cell>
          <cell r="AV216">
            <v>0</v>
          </cell>
          <cell r="AX216">
            <v>0</v>
          </cell>
          <cell r="AZ216">
            <v>0</v>
          </cell>
          <cell r="BB216">
            <v>0</v>
          </cell>
          <cell r="BD216">
            <v>0</v>
          </cell>
          <cell r="BF216">
            <v>0</v>
          </cell>
          <cell r="BH216">
            <v>0</v>
          </cell>
          <cell r="BJ216">
            <v>0</v>
          </cell>
          <cell r="BL216">
            <v>0</v>
          </cell>
          <cell r="BN216">
            <v>0</v>
          </cell>
          <cell r="BP216">
            <v>0</v>
          </cell>
          <cell r="BR216">
            <v>0</v>
          </cell>
          <cell r="BT216">
            <v>0</v>
          </cell>
          <cell r="BV216">
            <v>0</v>
          </cell>
          <cell r="BX216">
            <v>0</v>
          </cell>
          <cell r="BZ216">
            <v>0</v>
          </cell>
          <cell r="CB216">
            <v>0</v>
          </cell>
          <cell r="CD216">
            <v>0</v>
          </cell>
          <cell r="CF216">
            <v>0</v>
          </cell>
          <cell r="CH216">
            <v>0</v>
          </cell>
          <cell r="CJ216">
            <v>0</v>
          </cell>
          <cell r="CL216">
            <v>0</v>
          </cell>
          <cell r="CN216">
            <v>0</v>
          </cell>
          <cell r="CP216">
            <v>0</v>
          </cell>
          <cell r="CR216">
            <v>0</v>
          </cell>
          <cell r="CT216">
            <v>0</v>
          </cell>
          <cell r="CV216">
            <v>0</v>
          </cell>
          <cell r="CX216">
            <v>0</v>
          </cell>
          <cell r="CZ216">
            <v>0</v>
          </cell>
          <cell r="DB216">
            <v>0</v>
          </cell>
          <cell r="DD216">
            <v>0</v>
          </cell>
          <cell r="DF216">
            <v>0</v>
          </cell>
          <cell r="DH216">
            <v>0</v>
          </cell>
          <cell r="DJ216">
            <v>0</v>
          </cell>
          <cell r="DL216">
            <v>0</v>
          </cell>
          <cell r="DN216">
            <v>0</v>
          </cell>
          <cell r="DP216">
            <v>0</v>
          </cell>
          <cell r="DR216">
            <v>0</v>
          </cell>
          <cell r="DT216">
            <v>0</v>
          </cell>
          <cell r="DV216">
            <v>0</v>
          </cell>
          <cell r="DX216">
            <v>0</v>
          </cell>
          <cell r="DZ216">
            <v>0</v>
          </cell>
          <cell r="EB216">
            <v>0</v>
          </cell>
          <cell r="ED216">
            <v>0</v>
          </cell>
          <cell r="EF216">
            <v>0</v>
          </cell>
          <cell r="EH216">
            <v>0</v>
          </cell>
          <cell r="EJ216">
            <v>0</v>
          </cell>
          <cell r="EL216">
            <v>0</v>
          </cell>
          <cell r="EN216">
            <v>0</v>
          </cell>
          <cell r="EP216">
            <v>0</v>
          </cell>
          <cell r="ER216">
            <v>0</v>
          </cell>
          <cell r="ET216">
            <v>0</v>
          </cell>
          <cell r="EV216">
            <v>0</v>
          </cell>
          <cell r="EX216">
            <v>0</v>
          </cell>
          <cell r="EZ216">
            <v>0</v>
          </cell>
          <cell r="FB216">
            <v>0</v>
          </cell>
          <cell r="FD216">
            <v>0</v>
          </cell>
          <cell r="FF216">
            <v>0</v>
          </cell>
          <cell r="FH216">
            <v>0</v>
          </cell>
          <cell r="FJ216">
            <v>0</v>
          </cell>
          <cell r="FL216">
            <v>0</v>
          </cell>
          <cell r="FN216">
            <v>0</v>
          </cell>
          <cell r="FP216">
            <v>0</v>
          </cell>
          <cell r="FR216">
            <v>0</v>
          </cell>
          <cell r="FT216">
            <v>0</v>
          </cell>
          <cell r="FV216">
            <v>0</v>
          </cell>
          <cell r="GD216">
            <v>14</v>
          </cell>
          <cell r="GF216">
            <v>4</v>
          </cell>
          <cell r="GH216">
            <v>1</v>
          </cell>
          <cell r="GJ216">
            <v>7</v>
          </cell>
          <cell r="GM216">
            <v>84.01</v>
          </cell>
          <cell r="GN21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87.檢查勞工個人防護具：█有 □無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W216" t="str">
            <v>（一）施工廠商施工前檢查事項辦理情形：█完成 □未完成 （二）其他工地安全衛生督導事項：</v>
          </cell>
          <cell r="GX216">
            <v>853901</v>
          </cell>
          <cell r="GY216">
            <v>0</v>
          </cell>
        </row>
        <row r="217">
          <cell r="N217">
            <v>1</v>
          </cell>
          <cell r="P217">
            <v>1</v>
          </cell>
          <cell r="R217">
            <v>672</v>
          </cell>
          <cell r="T217">
            <v>108</v>
          </cell>
          <cell r="V217">
            <v>661</v>
          </cell>
          <cell r="X217">
            <v>2</v>
          </cell>
          <cell r="Z217">
            <v>1</v>
          </cell>
          <cell r="AB217">
            <v>661</v>
          </cell>
          <cell r="AD217">
            <v>2</v>
          </cell>
          <cell r="AF217">
            <v>1</v>
          </cell>
          <cell r="AH217">
            <v>1</v>
          </cell>
          <cell r="AJ217">
            <v>1</v>
          </cell>
          <cell r="AL217">
            <v>0</v>
          </cell>
          <cell r="AN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AZ217">
            <v>0</v>
          </cell>
          <cell r="BB217">
            <v>0</v>
          </cell>
          <cell r="BD217">
            <v>0</v>
          </cell>
          <cell r="BF217">
            <v>0</v>
          </cell>
          <cell r="BH217">
            <v>0</v>
          </cell>
          <cell r="BJ217">
            <v>0</v>
          </cell>
          <cell r="BL217">
            <v>0</v>
          </cell>
          <cell r="BN217">
            <v>0</v>
          </cell>
          <cell r="BP217">
            <v>0</v>
          </cell>
          <cell r="BR217">
            <v>0</v>
          </cell>
          <cell r="BT217">
            <v>0</v>
          </cell>
          <cell r="BV217">
            <v>0</v>
          </cell>
          <cell r="BX217">
            <v>0</v>
          </cell>
          <cell r="BZ217">
            <v>0</v>
          </cell>
          <cell r="CB217">
            <v>0</v>
          </cell>
          <cell r="CD217">
            <v>0</v>
          </cell>
          <cell r="CF217">
            <v>0</v>
          </cell>
          <cell r="CH217">
            <v>0</v>
          </cell>
          <cell r="CJ217">
            <v>0</v>
          </cell>
          <cell r="CL217">
            <v>0</v>
          </cell>
          <cell r="CN217">
            <v>0</v>
          </cell>
          <cell r="CP217">
            <v>0</v>
          </cell>
          <cell r="CR217">
            <v>0</v>
          </cell>
          <cell r="CT217">
            <v>0</v>
          </cell>
          <cell r="CV217">
            <v>0</v>
          </cell>
          <cell r="CX217">
            <v>0</v>
          </cell>
          <cell r="CZ217">
            <v>0</v>
          </cell>
          <cell r="DB217">
            <v>0</v>
          </cell>
          <cell r="DD217">
            <v>0</v>
          </cell>
          <cell r="DF217">
            <v>0</v>
          </cell>
          <cell r="DH217">
            <v>0</v>
          </cell>
          <cell r="DJ217">
            <v>0</v>
          </cell>
          <cell r="DL217">
            <v>0</v>
          </cell>
          <cell r="DN217">
            <v>0</v>
          </cell>
          <cell r="DP217">
            <v>0</v>
          </cell>
          <cell r="DR217">
            <v>0</v>
          </cell>
          <cell r="DT217">
            <v>0</v>
          </cell>
          <cell r="DV217">
            <v>0</v>
          </cell>
          <cell r="DX217">
            <v>0</v>
          </cell>
          <cell r="DZ217">
            <v>0</v>
          </cell>
          <cell r="EB217">
            <v>0</v>
          </cell>
          <cell r="ED217">
            <v>0</v>
          </cell>
          <cell r="EF217">
            <v>0</v>
          </cell>
          <cell r="EH217">
            <v>0</v>
          </cell>
          <cell r="EJ217">
            <v>0</v>
          </cell>
          <cell r="EL217">
            <v>0</v>
          </cell>
          <cell r="EN217">
            <v>0</v>
          </cell>
          <cell r="EP217">
            <v>0</v>
          </cell>
          <cell r="ER217">
            <v>0</v>
          </cell>
          <cell r="ET217">
            <v>0</v>
          </cell>
          <cell r="EV217">
            <v>0</v>
          </cell>
          <cell r="EX217">
            <v>0</v>
          </cell>
          <cell r="EZ217">
            <v>0</v>
          </cell>
          <cell r="FB217">
            <v>0</v>
          </cell>
          <cell r="FD217">
            <v>0</v>
          </cell>
          <cell r="FF217">
            <v>0</v>
          </cell>
          <cell r="FH217">
            <v>0</v>
          </cell>
          <cell r="FJ217">
            <v>0</v>
          </cell>
          <cell r="FL217">
            <v>0</v>
          </cell>
          <cell r="FN217">
            <v>0</v>
          </cell>
          <cell r="FP217">
            <v>0</v>
          </cell>
          <cell r="FR217">
            <v>0</v>
          </cell>
          <cell r="FT217">
            <v>0</v>
          </cell>
          <cell r="FV217">
            <v>0</v>
          </cell>
          <cell r="GD217">
            <v>14</v>
          </cell>
          <cell r="GF217">
            <v>4</v>
          </cell>
          <cell r="GH217">
            <v>1</v>
          </cell>
          <cell r="GJ217">
            <v>7</v>
          </cell>
          <cell r="GM217">
            <v>85.01</v>
          </cell>
          <cell r="GN21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88.檢查勞工個人防護具：█有 □無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W217" t="str">
            <v>（一）施工廠商施工前檢查事項辦理情形：█完成 □未完成 （二）其他工地安全衛生督導事項：</v>
          </cell>
          <cell r="GX217">
            <v>853901</v>
          </cell>
          <cell r="GY217">
            <v>0</v>
          </cell>
        </row>
        <row r="218">
          <cell r="N218">
            <v>1</v>
          </cell>
          <cell r="P218">
            <v>1</v>
          </cell>
          <cell r="R218">
            <v>672</v>
          </cell>
          <cell r="T218">
            <v>108</v>
          </cell>
          <cell r="V218">
            <v>661</v>
          </cell>
          <cell r="X218">
            <v>2</v>
          </cell>
          <cell r="Z218">
            <v>1</v>
          </cell>
          <cell r="AB218">
            <v>661</v>
          </cell>
          <cell r="AD218">
            <v>2</v>
          </cell>
          <cell r="AF218">
            <v>1</v>
          </cell>
          <cell r="AH218">
            <v>1</v>
          </cell>
          <cell r="AJ218">
            <v>1</v>
          </cell>
          <cell r="AL218">
            <v>0</v>
          </cell>
          <cell r="AN218">
            <v>0</v>
          </cell>
          <cell r="AP218">
            <v>0</v>
          </cell>
          <cell r="AR218">
            <v>0</v>
          </cell>
          <cell r="AT218">
            <v>0</v>
          </cell>
          <cell r="AV218">
            <v>0</v>
          </cell>
          <cell r="AX218">
            <v>0</v>
          </cell>
          <cell r="AZ218">
            <v>0</v>
          </cell>
          <cell r="BB218">
            <v>0</v>
          </cell>
          <cell r="BD218">
            <v>0</v>
          </cell>
          <cell r="BF218">
            <v>0</v>
          </cell>
          <cell r="BH218">
            <v>0</v>
          </cell>
          <cell r="BJ218">
            <v>0</v>
          </cell>
          <cell r="BL218">
            <v>0</v>
          </cell>
          <cell r="BN218">
            <v>0</v>
          </cell>
          <cell r="BP218">
            <v>0</v>
          </cell>
          <cell r="BR218">
            <v>0</v>
          </cell>
          <cell r="BT218">
            <v>0</v>
          </cell>
          <cell r="BV218">
            <v>0</v>
          </cell>
          <cell r="BX218">
            <v>0</v>
          </cell>
          <cell r="BZ218">
            <v>0</v>
          </cell>
          <cell r="CB218">
            <v>0</v>
          </cell>
          <cell r="CD218">
            <v>0</v>
          </cell>
          <cell r="CF218">
            <v>0</v>
          </cell>
          <cell r="CH218">
            <v>0</v>
          </cell>
          <cell r="CJ218">
            <v>0</v>
          </cell>
          <cell r="CL218">
            <v>0</v>
          </cell>
          <cell r="CN218">
            <v>0</v>
          </cell>
          <cell r="CP218">
            <v>0</v>
          </cell>
          <cell r="CR218">
            <v>0</v>
          </cell>
          <cell r="CT218">
            <v>0</v>
          </cell>
          <cell r="CV218">
            <v>0</v>
          </cell>
          <cell r="CX218">
            <v>0</v>
          </cell>
          <cell r="CZ218">
            <v>0</v>
          </cell>
          <cell r="DB218">
            <v>0</v>
          </cell>
          <cell r="DD218">
            <v>0</v>
          </cell>
          <cell r="DF218">
            <v>0</v>
          </cell>
          <cell r="DH218">
            <v>0</v>
          </cell>
          <cell r="DJ218">
            <v>0</v>
          </cell>
          <cell r="DL218">
            <v>0</v>
          </cell>
          <cell r="DN218">
            <v>0</v>
          </cell>
          <cell r="DP218">
            <v>0</v>
          </cell>
          <cell r="DR218">
            <v>0</v>
          </cell>
          <cell r="DT218">
            <v>0</v>
          </cell>
          <cell r="DV218">
            <v>0</v>
          </cell>
          <cell r="DX218">
            <v>0</v>
          </cell>
          <cell r="DZ218">
            <v>0</v>
          </cell>
          <cell r="EB218">
            <v>0</v>
          </cell>
          <cell r="ED218">
            <v>0</v>
          </cell>
          <cell r="EF218">
            <v>0</v>
          </cell>
          <cell r="EH218">
            <v>0</v>
          </cell>
          <cell r="EJ218">
            <v>0</v>
          </cell>
          <cell r="EL218">
            <v>0</v>
          </cell>
          <cell r="EN218">
            <v>0</v>
          </cell>
          <cell r="EP218">
            <v>0</v>
          </cell>
          <cell r="ER218">
            <v>0</v>
          </cell>
          <cell r="ET218">
            <v>0</v>
          </cell>
          <cell r="EV218">
            <v>0</v>
          </cell>
          <cell r="EX218">
            <v>0</v>
          </cell>
          <cell r="EZ218">
            <v>0</v>
          </cell>
          <cell r="FB218">
            <v>0</v>
          </cell>
          <cell r="FD218">
            <v>0</v>
          </cell>
          <cell r="FF218">
            <v>0</v>
          </cell>
          <cell r="FH218">
            <v>0</v>
          </cell>
          <cell r="FJ218">
            <v>0</v>
          </cell>
          <cell r="FL218">
            <v>0</v>
          </cell>
          <cell r="FN218">
            <v>0</v>
          </cell>
          <cell r="FP218">
            <v>0</v>
          </cell>
          <cell r="FR218">
            <v>0</v>
          </cell>
          <cell r="FT218">
            <v>0</v>
          </cell>
          <cell r="FV218">
            <v>0</v>
          </cell>
          <cell r="GD218">
            <v>14</v>
          </cell>
          <cell r="GF218">
            <v>4</v>
          </cell>
          <cell r="GH218">
            <v>1</v>
          </cell>
          <cell r="GJ218">
            <v>7</v>
          </cell>
          <cell r="GM218">
            <v>86.01</v>
          </cell>
          <cell r="GN21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89.檢查勞工個人防護具：█有 □無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W218" t="str">
            <v>（一）施工廠商施工前檢查事項辦理情形：█完成 □未完成 （二）其他工地安全衛生督導事項：</v>
          </cell>
          <cell r="GX218">
            <v>853901</v>
          </cell>
          <cell r="GY218">
            <v>0</v>
          </cell>
        </row>
        <row r="219">
          <cell r="N219">
            <v>1</v>
          </cell>
          <cell r="P219">
            <v>1</v>
          </cell>
          <cell r="R219">
            <v>672</v>
          </cell>
          <cell r="T219">
            <v>108</v>
          </cell>
          <cell r="V219">
            <v>661</v>
          </cell>
          <cell r="X219">
            <v>2</v>
          </cell>
          <cell r="Z219">
            <v>1</v>
          </cell>
          <cell r="AB219">
            <v>661</v>
          </cell>
          <cell r="AD219">
            <v>2</v>
          </cell>
          <cell r="AF219">
            <v>1</v>
          </cell>
          <cell r="AH219">
            <v>1</v>
          </cell>
          <cell r="AJ219">
            <v>1</v>
          </cell>
          <cell r="AL219">
            <v>0</v>
          </cell>
          <cell r="AN219">
            <v>0</v>
          </cell>
          <cell r="AP219">
            <v>0</v>
          </cell>
          <cell r="AR219">
            <v>0</v>
          </cell>
          <cell r="AT219">
            <v>0</v>
          </cell>
          <cell r="AV219">
            <v>0</v>
          </cell>
          <cell r="AX219">
            <v>0</v>
          </cell>
          <cell r="AZ219">
            <v>0</v>
          </cell>
          <cell r="BB219">
            <v>0</v>
          </cell>
          <cell r="BD219">
            <v>0</v>
          </cell>
          <cell r="BF219">
            <v>0</v>
          </cell>
          <cell r="BH219">
            <v>0</v>
          </cell>
          <cell r="BJ219">
            <v>0</v>
          </cell>
          <cell r="BL219">
            <v>0</v>
          </cell>
          <cell r="BN219">
            <v>0</v>
          </cell>
          <cell r="BP219">
            <v>0</v>
          </cell>
          <cell r="BR219">
            <v>0</v>
          </cell>
          <cell r="BT219">
            <v>0</v>
          </cell>
          <cell r="BV219">
            <v>0</v>
          </cell>
          <cell r="BX219">
            <v>0</v>
          </cell>
          <cell r="BZ219">
            <v>0</v>
          </cell>
          <cell r="CB219">
            <v>0</v>
          </cell>
          <cell r="CD219">
            <v>0</v>
          </cell>
          <cell r="CF219">
            <v>0</v>
          </cell>
          <cell r="CH219">
            <v>0</v>
          </cell>
          <cell r="CJ219">
            <v>0</v>
          </cell>
          <cell r="CL219">
            <v>0</v>
          </cell>
          <cell r="CN219">
            <v>0</v>
          </cell>
          <cell r="CP219">
            <v>0</v>
          </cell>
          <cell r="CR219">
            <v>0</v>
          </cell>
          <cell r="CT219">
            <v>0</v>
          </cell>
          <cell r="CV219">
            <v>0</v>
          </cell>
          <cell r="CX219">
            <v>0</v>
          </cell>
          <cell r="CZ219">
            <v>0</v>
          </cell>
          <cell r="DB219">
            <v>0</v>
          </cell>
          <cell r="DD219">
            <v>0</v>
          </cell>
          <cell r="DF219">
            <v>0</v>
          </cell>
          <cell r="DH219">
            <v>0</v>
          </cell>
          <cell r="DJ219">
            <v>0</v>
          </cell>
          <cell r="DL219">
            <v>0</v>
          </cell>
          <cell r="DN219">
            <v>0</v>
          </cell>
          <cell r="DP219">
            <v>0</v>
          </cell>
          <cell r="DR219">
            <v>0</v>
          </cell>
          <cell r="DT219">
            <v>0</v>
          </cell>
          <cell r="DV219">
            <v>0</v>
          </cell>
          <cell r="DX219">
            <v>0</v>
          </cell>
          <cell r="DZ219">
            <v>0</v>
          </cell>
          <cell r="EB219">
            <v>0</v>
          </cell>
          <cell r="ED219">
            <v>0</v>
          </cell>
          <cell r="EF219">
            <v>0</v>
          </cell>
          <cell r="EH219">
            <v>0</v>
          </cell>
          <cell r="EJ219">
            <v>0</v>
          </cell>
          <cell r="EL219">
            <v>0</v>
          </cell>
          <cell r="EN219">
            <v>0</v>
          </cell>
          <cell r="EP219">
            <v>0</v>
          </cell>
          <cell r="ER219">
            <v>0</v>
          </cell>
          <cell r="ET219">
            <v>0</v>
          </cell>
          <cell r="EV219">
            <v>0</v>
          </cell>
          <cell r="EX219">
            <v>0</v>
          </cell>
          <cell r="EZ219">
            <v>0</v>
          </cell>
          <cell r="FB219">
            <v>0</v>
          </cell>
          <cell r="FD219">
            <v>0</v>
          </cell>
          <cell r="FF219">
            <v>0</v>
          </cell>
          <cell r="FH219">
            <v>0</v>
          </cell>
          <cell r="FJ219">
            <v>0</v>
          </cell>
          <cell r="FL219">
            <v>0</v>
          </cell>
          <cell r="FN219">
            <v>0</v>
          </cell>
          <cell r="FP219">
            <v>0</v>
          </cell>
          <cell r="FR219">
            <v>0</v>
          </cell>
          <cell r="FT219">
            <v>0</v>
          </cell>
          <cell r="FV219">
            <v>0</v>
          </cell>
          <cell r="GD219">
            <v>14</v>
          </cell>
          <cell r="GF219">
            <v>4</v>
          </cell>
          <cell r="GH219">
            <v>1</v>
          </cell>
          <cell r="GJ219">
            <v>7</v>
          </cell>
          <cell r="GM219">
            <v>87.01</v>
          </cell>
          <cell r="GN21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90.檢查勞工個人防護具：█有 □無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W219" t="str">
            <v>（一）施工廠商施工前檢查事項辦理情形：█完成 □未完成 （二）其他工地安全衛生督導事項：</v>
          </cell>
          <cell r="GX219">
            <v>853901</v>
          </cell>
          <cell r="GY219">
            <v>0</v>
          </cell>
        </row>
        <row r="220">
          <cell r="N220">
            <v>1</v>
          </cell>
          <cell r="P220">
            <v>1</v>
          </cell>
          <cell r="R220">
            <v>672</v>
          </cell>
          <cell r="T220">
            <v>108</v>
          </cell>
          <cell r="V220">
            <v>661</v>
          </cell>
          <cell r="X220">
            <v>2</v>
          </cell>
          <cell r="Z220">
            <v>1</v>
          </cell>
          <cell r="AB220">
            <v>661</v>
          </cell>
          <cell r="AD220">
            <v>2</v>
          </cell>
          <cell r="AF220">
            <v>1</v>
          </cell>
          <cell r="AH220">
            <v>1</v>
          </cell>
          <cell r="AJ220">
            <v>1</v>
          </cell>
          <cell r="AL220">
            <v>0</v>
          </cell>
          <cell r="AN220">
            <v>0</v>
          </cell>
          <cell r="AP220">
            <v>0</v>
          </cell>
          <cell r="AR220">
            <v>0</v>
          </cell>
          <cell r="AT220">
            <v>0</v>
          </cell>
          <cell r="AV220">
            <v>0</v>
          </cell>
          <cell r="AX220">
            <v>0</v>
          </cell>
          <cell r="AZ220">
            <v>0</v>
          </cell>
          <cell r="BB220">
            <v>0</v>
          </cell>
          <cell r="BD220">
            <v>0</v>
          </cell>
          <cell r="BF220">
            <v>0</v>
          </cell>
          <cell r="BH220">
            <v>0</v>
          </cell>
          <cell r="BJ220">
            <v>0</v>
          </cell>
          <cell r="BL220">
            <v>0</v>
          </cell>
          <cell r="BN220">
            <v>0</v>
          </cell>
          <cell r="BP220">
            <v>0</v>
          </cell>
          <cell r="BR220">
            <v>0</v>
          </cell>
          <cell r="BT220">
            <v>0</v>
          </cell>
          <cell r="BV220">
            <v>0</v>
          </cell>
          <cell r="BX220">
            <v>0</v>
          </cell>
          <cell r="BZ220">
            <v>0</v>
          </cell>
          <cell r="CB220">
            <v>0</v>
          </cell>
          <cell r="CD220">
            <v>0</v>
          </cell>
          <cell r="CF220">
            <v>0</v>
          </cell>
          <cell r="CH220">
            <v>0</v>
          </cell>
          <cell r="CJ220">
            <v>0</v>
          </cell>
          <cell r="CL220">
            <v>0</v>
          </cell>
          <cell r="CN220">
            <v>0</v>
          </cell>
          <cell r="CP220">
            <v>0</v>
          </cell>
          <cell r="CR220">
            <v>0</v>
          </cell>
          <cell r="CT220">
            <v>0</v>
          </cell>
          <cell r="CV220">
            <v>0</v>
          </cell>
          <cell r="CX220">
            <v>0</v>
          </cell>
          <cell r="CZ220">
            <v>0</v>
          </cell>
          <cell r="DB220">
            <v>0</v>
          </cell>
          <cell r="DD220">
            <v>0</v>
          </cell>
          <cell r="DF220">
            <v>0</v>
          </cell>
          <cell r="DH220">
            <v>0</v>
          </cell>
          <cell r="DJ220">
            <v>0</v>
          </cell>
          <cell r="DL220">
            <v>0</v>
          </cell>
          <cell r="DN220">
            <v>0</v>
          </cell>
          <cell r="DP220">
            <v>0</v>
          </cell>
          <cell r="DR220">
            <v>0</v>
          </cell>
          <cell r="DT220">
            <v>0</v>
          </cell>
          <cell r="DV220">
            <v>0</v>
          </cell>
          <cell r="DX220">
            <v>0</v>
          </cell>
          <cell r="DZ220">
            <v>0</v>
          </cell>
          <cell r="EB220">
            <v>0</v>
          </cell>
          <cell r="ED220">
            <v>0</v>
          </cell>
          <cell r="EF220">
            <v>0</v>
          </cell>
          <cell r="EH220">
            <v>0</v>
          </cell>
          <cell r="EJ220">
            <v>0</v>
          </cell>
          <cell r="EL220">
            <v>0</v>
          </cell>
          <cell r="EN220">
            <v>0</v>
          </cell>
          <cell r="EP220">
            <v>0</v>
          </cell>
          <cell r="ER220">
            <v>0</v>
          </cell>
          <cell r="ET220">
            <v>0</v>
          </cell>
          <cell r="EV220">
            <v>0</v>
          </cell>
          <cell r="EX220">
            <v>0</v>
          </cell>
          <cell r="EZ220">
            <v>0</v>
          </cell>
          <cell r="FB220">
            <v>0</v>
          </cell>
          <cell r="FD220">
            <v>0</v>
          </cell>
          <cell r="FF220">
            <v>0</v>
          </cell>
          <cell r="FH220">
            <v>0</v>
          </cell>
          <cell r="FJ220">
            <v>0</v>
          </cell>
          <cell r="FL220">
            <v>0</v>
          </cell>
          <cell r="FN220">
            <v>0</v>
          </cell>
          <cell r="FP220">
            <v>0</v>
          </cell>
          <cell r="FR220">
            <v>0</v>
          </cell>
          <cell r="FT220">
            <v>0</v>
          </cell>
          <cell r="FV220">
            <v>0</v>
          </cell>
          <cell r="GD220">
            <v>14</v>
          </cell>
          <cell r="GF220">
            <v>4</v>
          </cell>
          <cell r="GH220">
            <v>1</v>
          </cell>
          <cell r="GJ220">
            <v>7</v>
          </cell>
          <cell r="GM220">
            <v>88.01</v>
          </cell>
          <cell r="GN22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91.檢查勞工個人防護具：█有 □無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W220" t="str">
            <v>（一）施工廠商施工前檢查事項辦理情形：█完成 □未完成 （二）其他工地安全衛生督導事項：</v>
          </cell>
          <cell r="GX220">
            <v>853901</v>
          </cell>
          <cell r="GY220">
            <v>0</v>
          </cell>
        </row>
        <row r="221">
          <cell r="N221">
            <v>1</v>
          </cell>
          <cell r="P221">
            <v>1</v>
          </cell>
          <cell r="R221">
            <v>672</v>
          </cell>
          <cell r="T221">
            <v>108</v>
          </cell>
          <cell r="V221">
            <v>661</v>
          </cell>
          <cell r="X221">
            <v>2</v>
          </cell>
          <cell r="Z221">
            <v>1</v>
          </cell>
          <cell r="AB221">
            <v>661</v>
          </cell>
          <cell r="AD221">
            <v>2</v>
          </cell>
          <cell r="AF221">
            <v>1</v>
          </cell>
          <cell r="AH221">
            <v>1</v>
          </cell>
          <cell r="AJ221">
            <v>1</v>
          </cell>
          <cell r="AL221">
            <v>0</v>
          </cell>
          <cell r="AN221">
            <v>0</v>
          </cell>
          <cell r="AP221">
            <v>0</v>
          </cell>
          <cell r="AR221">
            <v>0</v>
          </cell>
          <cell r="AT221">
            <v>0</v>
          </cell>
          <cell r="AV221">
            <v>0</v>
          </cell>
          <cell r="AX221">
            <v>0</v>
          </cell>
          <cell r="AZ221">
            <v>0</v>
          </cell>
          <cell r="BB221">
            <v>0</v>
          </cell>
          <cell r="BD221">
            <v>0</v>
          </cell>
          <cell r="BF221">
            <v>0</v>
          </cell>
          <cell r="BH221">
            <v>0</v>
          </cell>
          <cell r="BJ221">
            <v>0</v>
          </cell>
          <cell r="BL221">
            <v>0</v>
          </cell>
          <cell r="BN221">
            <v>0</v>
          </cell>
          <cell r="BP221">
            <v>0</v>
          </cell>
          <cell r="BR221">
            <v>0</v>
          </cell>
          <cell r="BT221">
            <v>0</v>
          </cell>
          <cell r="BV221">
            <v>0</v>
          </cell>
          <cell r="BX221">
            <v>0</v>
          </cell>
          <cell r="BZ221">
            <v>0</v>
          </cell>
          <cell r="CB221">
            <v>0</v>
          </cell>
          <cell r="CD221">
            <v>0</v>
          </cell>
          <cell r="CF221">
            <v>0</v>
          </cell>
          <cell r="CH221">
            <v>0</v>
          </cell>
          <cell r="CJ221">
            <v>0</v>
          </cell>
          <cell r="CL221">
            <v>0</v>
          </cell>
          <cell r="CN221">
            <v>0</v>
          </cell>
          <cell r="CP221">
            <v>0</v>
          </cell>
          <cell r="CR221">
            <v>0</v>
          </cell>
          <cell r="CT221">
            <v>0</v>
          </cell>
          <cell r="CV221">
            <v>0</v>
          </cell>
          <cell r="CX221">
            <v>0</v>
          </cell>
          <cell r="CZ221">
            <v>0</v>
          </cell>
          <cell r="DB221">
            <v>0</v>
          </cell>
          <cell r="DD221">
            <v>0</v>
          </cell>
          <cell r="DF221">
            <v>0</v>
          </cell>
          <cell r="DH221">
            <v>0</v>
          </cell>
          <cell r="DJ221">
            <v>0</v>
          </cell>
          <cell r="DL221">
            <v>0</v>
          </cell>
          <cell r="DN221">
            <v>0</v>
          </cell>
          <cell r="DP221">
            <v>0</v>
          </cell>
          <cell r="DR221">
            <v>0</v>
          </cell>
          <cell r="DT221">
            <v>0</v>
          </cell>
          <cell r="DV221">
            <v>0</v>
          </cell>
          <cell r="DX221">
            <v>0</v>
          </cell>
          <cell r="DZ221">
            <v>0</v>
          </cell>
          <cell r="EB221">
            <v>0</v>
          </cell>
          <cell r="ED221">
            <v>0</v>
          </cell>
          <cell r="EF221">
            <v>0</v>
          </cell>
          <cell r="EH221">
            <v>0</v>
          </cell>
          <cell r="EJ221">
            <v>0</v>
          </cell>
          <cell r="EL221">
            <v>0</v>
          </cell>
          <cell r="EN221">
            <v>0</v>
          </cell>
          <cell r="EP221">
            <v>0</v>
          </cell>
          <cell r="ER221">
            <v>0</v>
          </cell>
          <cell r="ET221">
            <v>0</v>
          </cell>
          <cell r="EV221">
            <v>0</v>
          </cell>
          <cell r="EX221">
            <v>0</v>
          </cell>
          <cell r="EZ221">
            <v>0</v>
          </cell>
          <cell r="FB221">
            <v>0</v>
          </cell>
          <cell r="FD221">
            <v>0</v>
          </cell>
          <cell r="FF221">
            <v>0</v>
          </cell>
          <cell r="FH221">
            <v>0</v>
          </cell>
          <cell r="FJ221">
            <v>0</v>
          </cell>
          <cell r="FL221">
            <v>0</v>
          </cell>
          <cell r="FN221">
            <v>0</v>
          </cell>
          <cell r="FP221">
            <v>0</v>
          </cell>
          <cell r="FR221">
            <v>0</v>
          </cell>
          <cell r="FT221">
            <v>0</v>
          </cell>
          <cell r="FV221">
            <v>0</v>
          </cell>
          <cell r="GD221">
            <v>14</v>
          </cell>
          <cell r="GF221">
            <v>4</v>
          </cell>
          <cell r="GH221">
            <v>1</v>
          </cell>
          <cell r="GJ221">
            <v>7</v>
          </cell>
          <cell r="GM221">
            <v>89.01</v>
          </cell>
          <cell r="GN22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92.檢查勞工個人防護具：█有 □無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W221" t="str">
            <v>（一）施工廠商施工前檢查事項辦理情形：█完成 □未完成 （二）其他工地安全衛生督導事項：</v>
          </cell>
          <cell r="GX221">
            <v>853901</v>
          </cell>
          <cell r="GY221">
            <v>0</v>
          </cell>
        </row>
        <row r="222">
          <cell r="N222">
            <v>1</v>
          </cell>
          <cell r="P222">
            <v>1</v>
          </cell>
          <cell r="R222">
            <v>672</v>
          </cell>
          <cell r="T222">
            <v>108</v>
          </cell>
          <cell r="V222">
            <v>661</v>
          </cell>
          <cell r="X222">
            <v>2</v>
          </cell>
          <cell r="Z222">
            <v>1</v>
          </cell>
          <cell r="AB222">
            <v>661</v>
          </cell>
          <cell r="AD222">
            <v>2</v>
          </cell>
          <cell r="AF222">
            <v>1</v>
          </cell>
          <cell r="AH222">
            <v>1</v>
          </cell>
          <cell r="AJ222">
            <v>1</v>
          </cell>
          <cell r="AL222">
            <v>0</v>
          </cell>
          <cell r="AN222">
            <v>0</v>
          </cell>
          <cell r="AP222">
            <v>0</v>
          </cell>
          <cell r="AR222">
            <v>0</v>
          </cell>
          <cell r="AT222">
            <v>0</v>
          </cell>
          <cell r="AV222">
            <v>0</v>
          </cell>
          <cell r="AX222">
            <v>0</v>
          </cell>
          <cell r="AZ222">
            <v>0</v>
          </cell>
          <cell r="BB222">
            <v>0</v>
          </cell>
          <cell r="BD222">
            <v>0</v>
          </cell>
          <cell r="BF222">
            <v>0</v>
          </cell>
          <cell r="BH222">
            <v>0</v>
          </cell>
          <cell r="BJ222">
            <v>0</v>
          </cell>
          <cell r="BL222">
            <v>0</v>
          </cell>
          <cell r="BN222">
            <v>0</v>
          </cell>
          <cell r="BP222">
            <v>0</v>
          </cell>
          <cell r="BR222">
            <v>0</v>
          </cell>
          <cell r="BT222">
            <v>0</v>
          </cell>
          <cell r="BV222">
            <v>0</v>
          </cell>
          <cell r="BX222">
            <v>0</v>
          </cell>
          <cell r="BZ222">
            <v>0</v>
          </cell>
          <cell r="CB222">
            <v>0</v>
          </cell>
          <cell r="CD222">
            <v>0</v>
          </cell>
          <cell r="CF222">
            <v>0</v>
          </cell>
          <cell r="CH222">
            <v>0</v>
          </cell>
          <cell r="CJ222">
            <v>0</v>
          </cell>
          <cell r="CL222">
            <v>0</v>
          </cell>
          <cell r="CN222">
            <v>0</v>
          </cell>
          <cell r="CP222">
            <v>0</v>
          </cell>
          <cell r="CR222">
            <v>0</v>
          </cell>
          <cell r="CT222">
            <v>0</v>
          </cell>
          <cell r="CV222">
            <v>0</v>
          </cell>
          <cell r="CX222">
            <v>0</v>
          </cell>
          <cell r="CZ222">
            <v>0</v>
          </cell>
          <cell r="DB222">
            <v>0</v>
          </cell>
          <cell r="DD222">
            <v>0</v>
          </cell>
          <cell r="DF222">
            <v>0</v>
          </cell>
          <cell r="DH222">
            <v>0</v>
          </cell>
          <cell r="DJ222">
            <v>0</v>
          </cell>
          <cell r="DL222">
            <v>0</v>
          </cell>
          <cell r="DN222">
            <v>0</v>
          </cell>
          <cell r="DP222">
            <v>0</v>
          </cell>
          <cell r="DR222">
            <v>0</v>
          </cell>
          <cell r="DT222">
            <v>0</v>
          </cell>
          <cell r="DV222">
            <v>0</v>
          </cell>
          <cell r="DX222">
            <v>0</v>
          </cell>
          <cell r="DZ222">
            <v>0</v>
          </cell>
          <cell r="EB222">
            <v>0</v>
          </cell>
          <cell r="ED222">
            <v>0</v>
          </cell>
          <cell r="EF222">
            <v>0</v>
          </cell>
          <cell r="EH222">
            <v>0</v>
          </cell>
          <cell r="EJ222">
            <v>0</v>
          </cell>
          <cell r="EL222">
            <v>0</v>
          </cell>
          <cell r="EN222">
            <v>0</v>
          </cell>
          <cell r="EP222">
            <v>0</v>
          </cell>
          <cell r="ER222">
            <v>0</v>
          </cell>
          <cell r="ET222">
            <v>0</v>
          </cell>
          <cell r="EV222">
            <v>0</v>
          </cell>
          <cell r="EX222">
            <v>0</v>
          </cell>
          <cell r="EZ222">
            <v>0</v>
          </cell>
          <cell r="FB222">
            <v>0</v>
          </cell>
          <cell r="FD222">
            <v>0</v>
          </cell>
          <cell r="FF222">
            <v>0</v>
          </cell>
          <cell r="FH222">
            <v>0</v>
          </cell>
          <cell r="FJ222">
            <v>0</v>
          </cell>
          <cell r="FL222">
            <v>0</v>
          </cell>
          <cell r="FN222">
            <v>0</v>
          </cell>
          <cell r="FP222">
            <v>0</v>
          </cell>
          <cell r="FR222">
            <v>0</v>
          </cell>
          <cell r="FT222">
            <v>0</v>
          </cell>
          <cell r="FV222">
            <v>0</v>
          </cell>
          <cell r="GD222">
            <v>14</v>
          </cell>
          <cell r="GF222">
            <v>4</v>
          </cell>
          <cell r="GH222">
            <v>1</v>
          </cell>
          <cell r="GJ222">
            <v>7</v>
          </cell>
          <cell r="GM222">
            <v>90.01</v>
          </cell>
          <cell r="GN22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93.檢查勞工個人防護具：█有 □無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W222" t="str">
            <v>（一）施工廠商施工前檢查事項辦理情形：█完成 □未完成 （二）其他工地安全衛生督導事項：</v>
          </cell>
          <cell r="GX222">
            <v>853901</v>
          </cell>
          <cell r="GY222">
            <v>0</v>
          </cell>
        </row>
        <row r="223">
          <cell r="N223">
            <v>1</v>
          </cell>
          <cell r="P223">
            <v>1</v>
          </cell>
          <cell r="R223">
            <v>672</v>
          </cell>
          <cell r="T223">
            <v>108</v>
          </cell>
          <cell r="V223">
            <v>661</v>
          </cell>
          <cell r="X223">
            <v>2</v>
          </cell>
          <cell r="Z223">
            <v>1</v>
          </cell>
          <cell r="AB223">
            <v>661</v>
          </cell>
          <cell r="AD223">
            <v>2</v>
          </cell>
          <cell r="AF223">
            <v>1</v>
          </cell>
          <cell r="AH223">
            <v>1</v>
          </cell>
          <cell r="AJ223">
            <v>1</v>
          </cell>
          <cell r="AL223">
            <v>0</v>
          </cell>
          <cell r="AN223">
            <v>0</v>
          </cell>
          <cell r="AP223">
            <v>0</v>
          </cell>
          <cell r="AR223">
            <v>0</v>
          </cell>
          <cell r="AT223">
            <v>0</v>
          </cell>
          <cell r="AV223">
            <v>0</v>
          </cell>
          <cell r="AX223">
            <v>0</v>
          </cell>
          <cell r="AZ223">
            <v>0</v>
          </cell>
          <cell r="BB223">
            <v>0</v>
          </cell>
          <cell r="BD223">
            <v>0</v>
          </cell>
          <cell r="BF223">
            <v>0</v>
          </cell>
          <cell r="BH223">
            <v>0</v>
          </cell>
          <cell r="BJ223">
            <v>0</v>
          </cell>
          <cell r="BL223">
            <v>0</v>
          </cell>
          <cell r="BN223">
            <v>0</v>
          </cell>
          <cell r="BP223">
            <v>0</v>
          </cell>
          <cell r="BR223">
            <v>0</v>
          </cell>
          <cell r="BT223">
            <v>0</v>
          </cell>
          <cell r="BV223">
            <v>0</v>
          </cell>
          <cell r="BX223">
            <v>0</v>
          </cell>
          <cell r="BZ223">
            <v>0</v>
          </cell>
          <cell r="CB223">
            <v>0</v>
          </cell>
          <cell r="CD223">
            <v>0</v>
          </cell>
          <cell r="CF223">
            <v>0</v>
          </cell>
          <cell r="CH223">
            <v>0</v>
          </cell>
          <cell r="CJ223">
            <v>0</v>
          </cell>
          <cell r="CL223">
            <v>0</v>
          </cell>
          <cell r="CN223">
            <v>0</v>
          </cell>
          <cell r="CP223">
            <v>0</v>
          </cell>
          <cell r="CR223">
            <v>0</v>
          </cell>
          <cell r="CT223">
            <v>0</v>
          </cell>
          <cell r="CV223">
            <v>0</v>
          </cell>
          <cell r="CX223">
            <v>0</v>
          </cell>
          <cell r="CZ223">
            <v>0</v>
          </cell>
          <cell r="DB223">
            <v>0</v>
          </cell>
          <cell r="DD223">
            <v>0</v>
          </cell>
          <cell r="DF223">
            <v>0</v>
          </cell>
          <cell r="DH223">
            <v>0</v>
          </cell>
          <cell r="DJ223">
            <v>0</v>
          </cell>
          <cell r="DL223">
            <v>0</v>
          </cell>
          <cell r="DN223">
            <v>0</v>
          </cell>
          <cell r="DP223">
            <v>0</v>
          </cell>
          <cell r="DR223">
            <v>0</v>
          </cell>
          <cell r="DT223">
            <v>0</v>
          </cell>
          <cell r="DV223">
            <v>0</v>
          </cell>
          <cell r="DX223">
            <v>0</v>
          </cell>
          <cell r="DZ223">
            <v>0</v>
          </cell>
          <cell r="EB223">
            <v>0</v>
          </cell>
          <cell r="ED223">
            <v>0</v>
          </cell>
          <cell r="EF223">
            <v>0</v>
          </cell>
          <cell r="EH223">
            <v>0</v>
          </cell>
          <cell r="EJ223">
            <v>0</v>
          </cell>
          <cell r="EL223">
            <v>0</v>
          </cell>
          <cell r="EN223">
            <v>0</v>
          </cell>
          <cell r="EP223">
            <v>0</v>
          </cell>
          <cell r="ER223">
            <v>0</v>
          </cell>
          <cell r="ET223">
            <v>0</v>
          </cell>
          <cell r="EV223">
            <v>0</v>
          </cell>
          <cell r="EX223">
            <v>0</v>
          </cell>
          <cell r="EZ223">
            <v>0</v>
          </cell>
          <cell r="FB223">
            <v>0</v>
          </cell>
          <cell r="FD223">
            <v>0</v>
          </cell>
          <cell r="FF223">
            <v>0</v>
          </cell>
          <cell r="FH223">
            <v>0</v>
          </cell>
          <cell r="FJ223">
            <v>0</v>
          </cell>
          <cell r="FL223">
            <v>0</v>
          </cell>
          <cell r="FN223">
            <v>0</v>
          </cell>
          <cell r="FP223">
            <v>0</v>
          </cell>
          <cell r="FR223">
            <v>0</v>
          </cell>
          <cell r="FT223">
            <v>0</v>
          </cell>
          <cell r="FV223">
            <v>0</v>
          </cell>
          <cell r="GD223">
            <v>14</v>
          </cell>
          <cell r="GF223">
            <v>4</v>
          </cell>
          <cell r="GH223">
            <v>1</v>
          </cell>
          <cell r="GJ223">
            <v>7</v>
          </cell>
          <cell r="GM223">
            <v>91.01</v>
          </cell>
          <cell r="GN22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94.檢查勞工個人防護具：█有 □無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W223" t="str">
            <v>（一）施工廠商施工前檢查事項辦理情形：█完成 □未完成 （二）其他工地安全衛生督導事項：</v>
          </cell>
          <cell r="GX223">
            <v>853901</v>
          </cell>
          <cell r="GY223">
            <v>0</v>
          </cell>
        </row>
        <row r="224">
          <cell r="N224">
            <v>1</v>
          </cell>
          <cell r="P224">
            <v>1</v>
          </cell>
          <cell r="R224">
            <v>672</v>
          </cell>
          <cell r="T224">
            <v>108</v>
          </cell>
          <cell r="V224">
            <v>661</v>
          </cell>
          <cell r="X224">
            <v>2</v>
          </cell>
          <cell r="Z224">
            <v>1</v>
          </cell>
          <cell r="AB224">
            <v>661</v>
          </cell>
          <cell r="AD224">
            <v>2</v>
          </cell>
          <cell r="AF224">
            <v>1</v>
          </cell>
          <cell r="AH224">
            <v>1</v>
          </cell>
          <cell r="AJ224">
            <v>1</v>
          </cell>
          <cell r="AL224">
            <v>0</v>
          </cell>
          <cell r="AN224">
            <v>0</v>
          </cell>
          <cell r="AP224">
            <v>0</v>
          </cell>
          <cell r="AR224">
            <v>0</v>
          </cell>
          <cell r="AT224">
            <v>0</v>
          </cell>
          <cell r="AV224">
            <v>0</v>
          </cell>
          <cell r="AX224">
            <v>0</v>
          </cell>
          <cell r="AZ224">
            <v>0</v>
          </cell>
          <cell r="BB224">
            <v>0</v>
          </cell>
          <cell r="BD224">
            <v>0</v>
          </cell>
          <cell r="BF224">
            <v>0</v>
          </cell>
          <cell r="BH224">
            <v>0</v>
          </cell>
          <cell r="BJ224">
            <v>0</v>
          </cell>
          <cell r="BL224">
            <v>0</v>
          </cell>
          <cell r="BN224">
            <v>0</v>
          </cell>
          <cell r="BP224">
            <v>0</v>
          </cell>
          <cell r="BR224">
            <v>0</v>
          </cell>
          <cell r="BT224">
            <v>0</v>
          </cell>
          <cell r="BV224">
            <v>0</v>
          </cell>
          <cell r="BX224">
            <v>0</v>
          </cell>
          <cell r="BZ224">
            <v>0</v>
          </cell>
          <cell r="CB224">
            <v>0</v>
          </cell>
          <cell r="CD224">
            <v>0</v>
          </cell>
          <cell r="CF224">
            <v>0</v>
          </cell>
          <cell r="CH224">
            <v>0</v>
          </cell>
          <cell r="CJ224">
            <v>0</v>
          </cell>
          <cell r="CL224">
            <v>0</v>
          </cell>
          <cell r="CN224">
            <v>0</v>
          </cell>
          <cell r="CP224">
            <v>0</v>
          </cell>
          <cell r="CR224">
            <v>0</v>
          </cell>
          <cell r="CT224">
            <v>0</v>
          </cell>
          <cell r="CV224">
            <v>0</v>
          </cell>
          <cell r="CX224">
            <v>0</v>
          </cell>
          <cell r="CZ224">
            <v>0</v>
          </cell>
          <cell r="DB224">
            <v>0</v>
          </cell>
          <cell r="DD224">
            <v>0</v>
          </cell>
          <cell r="DF224">
            <v>0</v>
          </cell>
          <cell r="DH224">
            <v>0</v>
          </cell>
          <cell r="DJ224">
            <v>0</v>
          </cell>
          <cell r="DL224">
            <v>0</v>
          </cell>
          <cell r="DN224">
            <v>0</v>
          </cell>
          <cell r="DP224">
            <v>0</v>
          </cell>
          <cell r="DR224">
            <v>0</v>
          </cell>
          <cell r="DT224">
            <v>0</v>
          </cell>
          <cell r="DV224">
            <v>0</v>
          </cell>
          <cell r="DX224">
            <v>0</v>
          </cell>
          <cell r="DZ224">
            <v>0</v>
          </cell>
          <cell r="EB224">
            <v>0</v>
          </cell>
          <cell r="ED224">
            <v>0</v>
          </cell>
          <cell r="EF224">
            <v>0</v>
          </cell>
          <cell r="EH224">
            <v>0</v>
          </cell>
          <cell r="EJ224">
            <v>0</v>
          </cell>
          <cell r="EL224">
            <v>0</v>
          </cell>
          <cell r="EN224">
            <v>0</v>
          </cell>
          <cell r="EP224">
            <v>0</v>
          </cell>
          <cell r="ER224">
            <v>0</v>
          </cell>
          <cell r="ET224">
            <v>0</v>
          </cell>
          <cell r="EV224">
            <v>0</v>
          </cell>
          <cell r="EX224">
            <v>0</v>
          </cell>
          <cell r="EZ224">
            <v>0</v>
          </cell>
          <cell r="FB224">
            <v>0</v>
          </cell>
          <cell r="FD224">
            <v>0</v>
          </cell>
          <cell r="FF224">
            <v>0</v>
          </cell>
          <cell r="FH224">
            <v>0</v>
          </cell>
          <cell r="FJ224">
            <v>0</v>
          </cell>
          <cell r="FL224">
            <v>0</v>
          </cell>
          <cell r="FN224">
            <v>0</v>
          </cell>
          <cell r="FP224">
            <v>0</v>
          </cell>
          <cell r="FR224">
            <v>0</v>
          </cell>
          <cell r="FT224">
            <v>0</v>
          </cell>
          <cell r="FV224">
            <v>0</v>
          </cell>
          <cell r="GD224">
            <v>14</v>
          </cell>
          <cell r="GF224">
            <v>4</v>
          </cell>
          <cell r="GH224">
            <v>1</v>
          </cell>
          <cell r="GJ224">
            <v>7</v>
          </cell>
          <cell r="GM224">
            <v>92.01</v>
          </cell>
          <cell r="GN22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95.檢查勞工個人防護具：█有 □無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W224" t="str">
            <v>（一）施工廠商施工前檢查事項辦理情形：█完成 □未完成 （二）其他工地安全衛生督導事項：</v>
          </cell>
          <cell r="GX224">
            <v>853901</v>
          </cell>
          <cell r="GY224">
            <v>0</v>
          </cell>
        </row>
        <row r="225">
          <cell r="N225">
            <v>1</v>
          </cell>
          <cell r="P225">
            <v>1</v>
          </cell>
          <cell r="R225">
            <v>672</v>
          </cell>
          <cell r="T225">
            <v>108</v>
          </cell>
          <cell r="V225">
            <v>661</v>
          </cell>
          <cell r="X225">
            <v>2</v>
          </cell>
          <cell r="Z225">
            <v>1</v>
          </cell>
          <cell r="AB225">
            <v>661</v>
          </cell>
          <cell r="AD225">
            <v>2</v>
          </cell>
          <cell r="AF225">
            <v>1</v>
          </cell>
          <cell r="AH225">
            <v>1</v>
          </cell>
          <cell r="AJ225">
            <v>1</v>
          </cell>
          <cell r="AL225">
            <v>0</v>
          </cell>
          <cell r="AN225">
            <v>0</v>
          </cell>
          <cell r="AP225">
            <v>0</v>
          </cell>
          <cell r="AR225">
            <v>0</v>
          </cell>
          <cell r="AT225">
            <v>0</v>
          </cell>
          <cell r="AV225">
            <v>0</v>
          </cell>
          <cell r="AX225">
            <v>0</v>
          </cell>
          <cell r="AZ225">
            <v>0</v>
          </cell>
          <cell r="BB225">
            <v>0</v>
          </cell>
          <cell r="BD225">
            <v>0</v>
          </cell>
          <cell r="BF225">
            <v>0</v>
          </cell>
          <cell r="BH225">
            <v>0</v>
          </cell>
          <cell r="BJ225">
            <v>0</v>
          </cell>
          <cell r="BL225">
            <v>0</v>
          </cell>
          <cell r="BN225">
            <v>0</v>
          </cell>
          <cell r="BP225">
            <v>0</v>
          </cell>
          <cell r="BR225">
            <v>0</v>
          </cell>
          <cell r="BT225">
            <v>0</v>
          </cell>
          <cell r="BV225">
            <v>0</v>
          </cell>
          <cell r="BX225">
            <v>0</v>
          </cell>
          <cell r="BZ225">
            <v>0</v>
          </cell>
          <cell r="CB225">
            <v>0</v>
          </cell>
          <cell r="CD225">
            <v>0</v>
          </cell>
          <cell r="CF225">
            <v>0</v>
          </cell>
          <cell r="CH225">
            <v>0</v>
          </cell>
          <cell r="CJ225">
            <v>0</v>
          </cell>
          <cell r="CL225">
            <v>0</v>
          </cell>
          <cell r="CN225">
            <v>0</v>
          </cell>
          <cell r="CP225">
            <v>0</v>
          </cell>
          <cell r="CR225">
            <v>0</v>
          </cell>
          <cell r="CT225">
            <v>0</v>
          </cell>
          <cell r="CV225">
            <v>0</v>
          </cell>
          <cell r="CX225">
            <v>0</v>
          </cell>
          <cell r="CZ225">
            <v>0</v>
          </cell>
          <cell r="DB225">
            <v>0</v>
          </cell>
          <cell r="DD225">
            <v>0</v>
          </cell>
          <cell r="DF225">
            <v>0</v>
          </cell>
          <cell r="DH225">
            <v>0</v>
          </cell>
          <cell r="DJ225">
            <v>0</v>
          </cell>
          <cell r="DL225">
            <v>0</v>
          </cell>
          <cell r="DN225">
            <v>0</v>
          </cell>
          <cell r="DP225">
            <v>0</v>
          </cell>
          <cell r="DR225">
            <v>0</v>
          </cell>
          <cell r="DT225">
            <v>0</v>
          </cell>
          <cell r="DV225">
            <v>0</v>
          </cell>
          <cell r="DX225">
            <v>0</v>
          </cell>
          <cell r="DZ225">
            <v>0</v>
          </cell>
          <cell r="EB225">
            <v>0</v>
          </cell>
          <cell r="ED225">
            <v>0</v>
          </cell>
          <cell r="EF225">
            <v>0</v>
          </cell>
          <cell r="EH225">
            <v>0</v>
          </cell>
          <cell r="EJ225">
            <v>0</v>
          </cell>
          <cell r="EL225">
            <v>0</v>
          </cell>
          <cell r="EN225">
            <v>0</v>
          </cell>
          <cell r="EP225">
            <v>0</v>
          </cell>
          <cell r="ER225">
            <v>0</v>
          </cell>
          <cell r="ET225">
            <v>0</v>
          </cell>
          <cell r="EV225">
            <v>0</v>
          </cell>
          <cell r="EX225">
            <v>0</v>
          </cell>
          <cell r="EZ225">
            <v>0</v>
          </cell>
          <cell r="FB225">
            <v>0</v>
          </cell>
          <cell r="FD225">
            <v>0</v>
          </cell>
          <cell r="FF225">
            <v>0</v>
          </cell>
          <cell r="FH225">
            <v>0</v>
          </cell>
          <cell r="FJ225">
            <v>0</v>
          </cell>
          <cell r="FL225">
            <v>0</v>
          </cell>
          <cell r="FN225">
            <v>0</v>
          </cell>
          <cell r="FP225">
            <v>0</v>
          </cell>
          <cell r="FR225">
            <v>0</v>
          </cell>
          <cell r="FT225">
            <v>0</v>
          </cell>
          <cell r="FV225">
            <v>0</v>
          </cell>
          <cell r="GD225">
            <v>14</v>
          </cell>
          <cell r="GF225">
            <v>4</v>
          </cell>
          <cell r="GH225">
            <v>1</v>
          </cell>
          <cell r="GJ225">
            <v>7</v>
          </cell>
          <cell r="GM225">
            <v>93.01</v>
          </cell>
          <cell r="GN22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96.檢查勞工個人防護具：█有 □無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W225" t="str">
            <v>（一）施工廠商施工前檢查事項辦理情形：█完成 □未完成 （二）其他工地安全衛生督導事項：</v>
          </cell>
          <cell r="GX225">
            <v>853901</v>
          </cell>
          <cell r="GY225">
            <v>0</v>
          </cell>
        </row>
        <row r="226">
          <cell r="N226">
            <v>1</v>
          </cell>
          <cell r="P226">
            <v>1</v>
          </cell>
          <cell r="R226">
            <v>672</v>
          </cell>
          <cell r="T226">
            <v>108</v>
          </cell>
          <cell r="V226">
            <v>661</v>
          </cell>
          <cell r="X226">
            <v>2</v>
          </cell>
          <cell r="Z226">
            <v>1</v>
          </cell>
          <cell r="AB226">
            <v>661</v>
          </cell>
          <cell r="AD226">
            <v>2</v>
          </cell>
          <cell r="AF226">
            <v>1</v>
          </cell>
          <cell r="AH226">
            <v>1</v>
          </cell>
          <cell r="AJ226">
            <v>1</v>
          </cell>
          <cell r="AL226">
            <v>0</v>
          </cell>
          <cell r="AN226">
            <v>0</v>
          </cell>
          <cell r="AP226">
            <v>0</v>
          </cell>
          <cell r="AR226">
            <v>0</v>
          </cell>
          <cell r="AT226">
            <v>0</v>
          </cell>
          <cell r="AV226">
            <v>0</v>
          </cell>
          <cell r="AX226">
            <v>0</v>
          </cell>
          <cell r="AZ226">
            <v>0</v>
          </cell>
          <cell r="BB226">
            <v>0</v>
          </cell>
          <cell r="BD226">
            <v>0</v>
          </cell>
          <cell r="BF226">
            <v>0</v>
          </cell>
          <cell r="BH226">
            <v>0</v>
          </cell>
          <cell r="BJ226">
            <v>0</v>
          </cell>
          <cell r="BL226">
            <v>0</v>
          </cell>
          <cell r="BN226">
            <v>0</v>
          </cell>
          <cell r="BP226">
            <v>0</v>
          </cell>
          <cell r="BR226">
            <v>0</v>
          </cell>
          <cell r="BT226">
            <v>0</v>
          </cell>
          <cell r="BV226">
            <v>0</v>
          </cell>
          <cell r="BX226">
            <v>0</v>
          </cell>
          <cell r="BZ226">
            <v>0</v>
          </cell>
          <cell r="CB226">
            <v>0</v>
          </cell>
          <cell r="CD226">
            <v>0</v>
          </cell>
          <cell r="CF226">
            <v>0</v>
          </cell>
          <cell r="CH226">
            <v>0</v>
          </cell>
          <cell r="CJ226">
            <v>0</v>
          </cell>
          <cell r="CL226">
            <v>0</v>
          </cell>
          <cell r="CN226">
            <v>0</v>
          </cell>
          <cell r="CP226">
            <v>0</v>
          </cell>
          <cell r="CR226">
            <v>0</v>
          </cell>
          <cell r="CT226">
            <v>0</v>
          </cell>
          <cell r="CV226">
            <v>0</v>
          </cell>
          <cell r="CX226">
            <v>0</v>
          </cell>
          <cell r="CZ226">
            <v>0</v>
          </cell>
          <cell r="DB226">
            <v>0</v>
          </cell>
          <cell r="DD226">
            <v>0</v>
          </cell>
          <cell r="DF226">
            <v>0</v>
          </cell>
          <cell r="DH226">
            <v>0</v>
          </cell>
          <cell r="DJ226">
            <v>0</v>
          </cell>
          <cell r="DL226">
            <v>0</v>
          </cell>
          <cell r="DN226">
            <v>0</v>
          </cell>
          <cell r="DP226">
            <v>0</v>
          </cell>
          <cell r="DR226">
            <v>0</v>
          </cell>
          <cell r="DT226">
            <v>0</v>
          </cell>
          <cell r="DV226">
            <v>0</v>
          </cell>
          <cell r="DX226">
            <v>0</v>
          </cell>
          <cell r="DZ226">
            <v>0</v>
          </cell>
          <cell r="EB226">
            <v>0</v>
          </cell>
          <cell r="ED226">
            <v>0</v>
          </cell>
          <cell r="EF226">
            <v>0</v>
          </cell>
          <cell r="EH226">
            <v>0</v>
          </cell>
          <cell r="EJ226">
            <v>0</v>
          </cell>
          <cell r="EL226">
            <v>0</v>
          </cell>
          <cell r="EN226">
            <v>0</v>
          </cell>
          <cell r="EP226">
            <v>0</v>
          </cell>
          <cell r="ER226">
            <v>0</v>
          </cell>
          <cell r="ET226">
            <v>0</v>
          </cell>
          <cell r="EV226">
            <v>0</v>
          </cell>
          <cell r="EX226">
            <v>0</v>
          </cell>
          <cell r="EZ226">
            <v>0</v>
          </cell>
          <cell r="FB226">
            <v>0</v>
          </cell>
          <cell r="FD226">
            <v>0</v>
          </cell>
          <cell r="FF226">
            <v>0</v>
          </cell>
          <cell r="FH226">
            <v>0</v>
          </cell>
          <cell r="FJ226">
            <v>0</v>
          </cell>
          <cell r="FL226">
            <v>0</v>
          </cell>
          <cell r="FN226">
            <v>0</v>
          </cell>
          <cell r="FP226">
            <v>0</v>
          </cell>
          <cell r="FR226">
            <v>0</v>
          </cell>
          <cell r="FT226">
            <v>0</v>
          </cell>
          <cell r="FV226">
            <v>0</v>
          </cell>
          <cell r="GD226">
            <v>14</v>
          </cell>
          <cell r="GF226">
            <v>4</v>
          </cell>
          <cell r="GH226">
            <v>1</v>
          </cell>
          <cell r="GJ226">
            <v>7</v>
          </cell>
          <cell r="GM226">
            <v>94.01</v>
          </cell>
          <cell r="GN22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97.檢查勞工個人防護具：█有 □無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W226" t="str">
            <v>（一）施工廠商施工前檢查事項辦理情形：█完成 □未完成 （二）其他工地安全衛生督導事項：</v>
          </cell>
          <cell r="GX226">
            <v>853901</v>
          </cell>
          <cell r="GY226">
            <v>0</v>
          </cell>
        </row>
        <row r="227">
          <cell r="N227">
            <v>1</v>
          </cell>
          <cell r="P227">
            <v>1</v>
          </cell>
          <cell r="R227">
            <v>672</v>
          </cell>
          <cell r="T227">
            <v>108</v>
          </cell>
          <cell r="V227">
            <v>661</v>
          </cell>
          <cell r="X227">
            <v>2</v>
          </cell>
          <cell r="Z227">
            <v>1</v>
          </cell>
          <cell r="AB227">
            <v>661</v>
          </cell>
          <cell r="AD227">
            <v>2</v>
          </cell>
          <cell r="AF227">
            <v>1</v>
          </cell>
          <cell r="AH227">
            <v>1</v>
          </cell>
          <cell r="AJ227">
            <v>1</v>
          </cell>
          <cell r="AL227">
            <v>0</v>
          </cell>
          <cell r="AN227">
            <v>0</v>
          </cell>
          <cell r="AP227">
            <v>0</v>
          </cell>
          <cell r="AR227">
            <v>0</v>
          </cell>
          <cell r="AT227">
            <v>0</v>
          </cell>
          <cell r="AV227">
            <v>0</v>
          </cell>
          <cell r="AX227">
            <v>0</v>
          </cell>
          <cell r="AZ227">
            <v>0</v>
          </cell>
          <cell r="BB227">
            <v>0</v>
          </cell>
          <cell r="BD227">
            <v>0</v>
          </cell>
          <cell r="BF227">
            <v>0</v>
          </cell>
          <cell r="BH227">
            <v>0</v>
          </cell>
          <cell r="BJ227">
            <v>0</v>
          </cell>
          <cell r="BL227">
            <v>0</v>
          </cell>
          <cell r="BN227">
            <v>0</v>
          </cell>
          <cell r="BP227">
            <v>0</v>
          </cell>
          <cell r="BR227">
            <v>0</v>
          </cell>
          <cell r="BT227">
            <v>0</v>
          </cell>
          <cell r="BV227">
            <v>0</v>
          </cell>
          <cell r="BX227">
            <v>0</v>
          </cell>
          <cell r="BZ227">
            <v>0</v>
          </cell>
          <cell r="CB227">
            <v>0</v>
          </cell>
          <cell r="CD227">
            <v>0</v>
          </cell>
          <cell r="CF227">
            <v>0</v>
          </cell>
          <cell r="CH227">
            <v>0</v>
          </cell>
          <cell r="CJ227">
            <v>0</v>
          </cell>
          <cell r="CL227">
            <v>0</v>
          </cell>
          <cell r="CN227">
            <v>0</v>
          </cell>
          <cell r="CP227">
            <v>0</v>
          </cell>
          <cell r="CR227">
            <v>0</v>
          </cell>
          <cell r="CT227">
            <v>0</v>
          </cell>
          <cell r="CV227">
            <v>0</v>
          </cell>
          <cell r="CX227">
            <v>0</v>
          </cell>
          <cell r="CZ227">
            <v>0</v>
          </cell>
          <cell r="DB227">
            <v>0</v>
          </cell>
          <cell r="DD227">
            <v>0</v>
          </cell>
          <cell r="DF227">
            <v>0</v>
          </cell>
          <cell r="DH227">
            <v>0</v>
          </cell>
          <cell r="DJ227">
            <v>0</v>
          </cell>
          <cell r="DL227">
            <v>0</v>
          </cell>
          <cell r="DN227">
            <v>0</v>
          </cell>
          <cell r="DP227">
            <v>0</v>
          </cell>
          <cell r="DR227">
            <v>0</v>
          </cell>
          <cell r="DT227">
            <v>0</v>
          </cell>
          <cell r="DV227">
            <v>0</v>
          </cell>
          <cell r="DX227">
            <v>0</v>
          </cell>
          <cell r="DZ227">
            <v>0</v>
          </cell>
          <cell r="EB227">
            <v>0</v>
          </cell>
          <cell r="ED227">
            <v>0</v>
          </cell>
          <cell r="EF227">
            <v>0</v>
          </cell>
          <cell r="EH227">
            <v>0</v>
          </cell>
          <cell r="EJ227">
            <v>0</v>
          </cell>
          <cell r="EL227">
            <v>0</v>
          </cell>
          <cell r="EN227">
            <v>0</v>
          </cell>
          <cell r="EP227">
            <v>0</v>
          </cell>
          <cell r="ER227">
            <v>0</v>
          </cell>
          <cell r="ET227">
            <v>0</v>
          </cell>
          <cell r="EV227">
            <v>0</v>
          </cell>
          <cell r="EX227">
            <v>0</v>
          </cell>
          <cell r="EZ227">
            <v>0</v>
          </cell>
          <cell r="FB227">
            <v>0</v>
          </cell>
          <cell r="FD227">
            <v>0</v>
          </cell>
          <cell r="FF227">
            <v>0</v>
          </cell>
          <cell r="FH227">
            <v>0</v>
          </cell>
          <cell r="FJ227">
            <v>0</v>
          </cell>
          <cell r="FL227">
            <v>0</v>
          </cell>
          <cell r="FN227">
            <v>0</v>
          </cell>
          <cell r="FP227">
            <v>0</v>
          </cell>
          <cell r="FR227">
            <v>0</v>
          </cell>
          <cell r="FT227">
            <v>0</v>
          </cell>
          <cell r="FV227">
            <v>0</v>
          </cell>
          <cell r="GD227">
            <v>14</v>
          </cell>
          <cell r="GF227">
            <v>4</v>
          </cell>
          <cell r="GH227">
            <v>1</v>
          </cell>
          <cell r="GJ227">
            <v>7</v>
          </cell>
          <cell r="GM227">
            <v>95.01</v>
          </cell>
          <cell r="GN22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98.檢查勞工個人防護具：█有 □無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W227" t="str">
            <v>（一）施工廠商施工前檢查事項辦理情形：█完成 □未完成 （二）其他工地安全衛生督導事項：</v>
          </cell>
          <cell r="GX227">
            <v>853901</v>
          </cell>
          <cell r="GY227">
            <v>0</v>
          </cell>
        </row>
        <row r="228">
          <cell r="N228">
            <v>1</v>
          </cell>
          <cell r="P228">
            <v>1</v>
          </cell>
          <cell r="R228">
            <v>672</v>
          </cell>
          <cell r="T228">
            <v>108</v>
          </cell>
          <cell r="V228">
            <v>661</v>
          </cell>
          <cell r="X228">
            <v>2</v>
          </cell>
          <cell r="Z228">
            <v>1</v>
          </cell>
          <cell r="AB228">
            <v>661</v>
          </cell>
          <cell r="AD228">
            <v>2</v>
          </cell>
          <cell r="AF228">
            <v>1</v>
          </cell>
          <cell r="AH228">
            <v>1</v>
          </cell>
          <cell r="AJ228">
            <v>1</v>
          </cell>
          <cell r="AL228">
            <v>0</v>
          </cell>
          <cell r="AN228">
            <v>0</v>
          </cell>
          <cell r="AP228">
            <v>0</v>
          </cell>
          <cell r="AR228">
            <v>0</v>
          </cell>
          <cell r="AT228">
            <v>0</v>
          </cell>
          <cell r="AV228">
            <v>0</v>
          </cell>
          <cell r="AX228">
            <v>0</v>
          </cell>
          <cell r="AZ228">
            <v>0</v>
          </cell>
          <cell r="BB228">
            <v>0</v>
          </cell>
          <cell r="BD228">
            <v>0</v>
          </cell>
          <cell r="BF228">
            <v>0</v>
          </cell>
          <cell r="BH228">
            <v>0</v>
          </cell>
          <cell r="BJ228">
            <v>0</v>
          </cell>
          <cell r="BL228">
            <v>0</v>
          </cell>
          <cell r="BN228">
            <v>0</v>
          </cell>
          <cell r="BP228">
            <v>0</v>
          </cell>
          <cell r="BR228">
            <v>0</v>
          </cell>
          <cell r="BT228">
            <v>0</v>
          </cell>
          <cell r="BV228">
            <v>0</v>
          </cell>
          <cell r="BX228">
            <v>0</v>
          </cell>
          <cell r="BZ228">
            <v>0</v>
          </cell>
          <cell r="CB228">
            <v>0</v>
          </cell>
          <cell r="CD228">
            <v>0</v>
          </cell>
          <cell r="CF228">
            <v>0</v>
          </cell>
          <cell r="CH228">
            <v>0</v>
          </cell>
          <cell r="CJ228">
            <v>0</v>
          </cell>
          <cell r="CL228">
            <v>0</v>
          </cell>
          <cell r="CN228">
            <v>0</v>
          </cell>
          <cell r="CP228">
            <v>0</v>
          </cell>
          <cell r="CR228">
            <v>0</v>
          </cell>
          <cell r="CT228">
            <v>0</v>
          </cell>
          <cell r="CV228">
            <v>0</v>
          </cell>
          <cell r="CX228">
            <v>0</v>
          </cell>
          <cell r="CZ228">
            <v>0</v>
          </cell>
          <cell r="DB228">
            <v>0</v>
          </cell>
          <cell r="DD228">
            <v>0</v>
          </cell>
          <cell r="DF228">
            <v>0</v>
          </cell>
          <cell r="DH228">
            <v>0</v>
          </cell>
          <cell r="DJ228">
            <v>0</v>
          </cell>
          <cell r="DL228">
            <v>0</v>
          </cell>
          <cell r="DN228">
            <v>0</v>
          </cell>
          <cell r="DP228">
            <v>0</v>
          </cell>
          <cell r="DR228">
            <v>0</v>
          </cell>
          <cell r="DT228">
            <v>0</v>
          </cell>
          <cell r="DV228">
            <v>0</v>
          </cell>
          <cell r="DX228">
            <v>0</v>
          </cell>
          <cell r="DZ228">
            <v>0</v>
          </cell>
          <cell r="EB228">
            <v>0</v>
          </cell>
          <cell r="ED228">
            <v>0</v>
          </cell>
          <cell r="EF228">
            <v>0</v>
          </cell>
          <cell r="EH228">
            <v>0</v>
          </cell>
          <cell r="EJ228">
            <v>0</v>
          </cell>
          <cell r="EL228">
            <v>0</v>
          </cell>
          <cell r="EN228">
            <v>0</v>
          </cell>
          <cell r="EP228">
            <v>0</v>
          </cell>
          <cell r="ER228">
            <v>0</v>
          </cell>
          <cell r="ET228">
            <v>0</v>
          </cell>
          <cell r="EV228">
            <v>0</v>
          </cell>
          <cell r="EX228">
            <v>0</v>
          </cell>
          <cell r="EZ228">
            <v>0</v>
          </cell>
          <cell r="FB228">
            <v>0</v>
          </cell>
          <cell r="FD228">
            <v>0</v>
          </cell>
          <cell r="FF228">
            <v>0</v>
          </cell>
          <cell r="FH228">
            <v>0</v>
          </cell>
          <cell r="FJ228">
            <v>0</v>
          </cell>
          <cell r="FL228">
            <v>0</v>
          </cell>
          <cell r="FN228">
            <v>0</v>
          </cell>
          <cell r="FP228">
            <v>0</v>
          </cell>
          <cell r="FR228">
            <v>0</v>
          </cell>
          <cell r="FT228">
            <v>0</v>
          </cell>
          <cell r="FV228">
            <v>0</v>
          </cell>
          <cell r="GD228">
            <v>14</v>
          </cell>
          <cell r="GF228">
            <v>4</v>
          </cell>
          <cell r="GH228">
            <v>1</v>
          </cell>
          <cell r="GJ228">
            <v>7</v>
          </cell>
          <cell r="GM228">
            <v>96.01</v>
          </cell>
          <cell r="GN22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99.檢查勞工個人防護具：█有 □無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W228" t="str">
            <v>（一）施工廠商施工前檢查事項辦理情形：█完成 □未完成 （二）其他工地安全衛生督導事項：</v>
          </cell>
          <cell r="GX228">
            <v>853901</v>
          </cell>
          <cell r="GY228">
            <v>0</v>
          </cell>
        </row>
        <row r="229">
          <cell r="N229">
            <v>1</v>
          </cell>
          <cell r="P229">
            <v>1</v>
          </cell>
          <cell r="R229">
            <v>672</v>
          </cell>
          <cell r="T229">
            <v>108</v>
          </cell>
          <cell r="V229">
            <v>661</v>
          </cell>
          <cell r="X229">
            <v>2</v>
          </cell>
          <cell r="Z229">
            <v>1</v>
          </cell>
          <cell r="AB229">
            <v>661</v>
          </cell>
          <cell r="AD229">
            <v>2</v>
          </cell>
          <cell r="AF229">
            <v>1</v>
          </cell>
          <cell r="AH229">
            <v>1</v>
          </cell>
          <cell r="AJ229">
            <v>1</v>
          </cell>
          <cell r="AL229">
            <v>0</v>
          </cell>
          <cell r="AN229">
            <v>0</v>
          </cell>
          <cell r="AP229">
            <v>0</v>
          </cell>
          <cell r="AR229">
            <v>0</v>
          </cell>
          <cell r="AT229">
            <v>0</v>
          </cell>
          <cell r="AV229">
            <v>0</v>
          </cell>
          <cell r="AX229">
            <v>0</v>
          </cell>
          <cell r="AZ229">
            <v>0</v>
          </cell>
          <cell r="BB229">
            <v>0</v>
          </cell>
          <cell r="BD229">
            <v>0</v>
          </cell>
          <cell r="BF229">
            <v>0</v>
          </cell>
          <cell r="BH229">
            <v>0</v>
          </cell>
          <cell r="BJ229">
            <v>0</v>
          </cell>
          <cell r="BL229">
            <v>0</v>
          </cell>
          <cell r="BN229">
            <v>0</v>
          </cell>
          <cell r="BP229">
            <v>0</v>
          </cell>
          <cell r="BR229">
            <v>0</v>
          </cell>
          <cell r="BT229">
            <v>0</v>
          </cell>
          <cell r="BV229">
            <v>0</v>
          </cell>
          <cell r="BX229">
            <v>0</v>
          </cell>
          <cell r="BZ229">
            <v>0</v>
          </cell>
          <cell r="CB229">
            <v>0</v>
          </cell>
          <cell r="CD229">
            <v>0</v>
          </cell>
          <cell r="CF229">
            <v>0</v>
          </cell>
          <cell r="CH229">
            <v>0</v>
          </cell>
          <cell r="CJ229">
            <v>0</v>
          </cell>
          <cell r="CL229">
            <v>0</v>
          </cell>
          <cell r="CN229">
            <v>0</v>
          </cell>
          <cell r="CP229">
            <v>0</v>
          </cell>
          <cell r="CR229">
            <v>0</v>
          </cell>
          <cell r="CT229">
            <v>0</v>
          </cell>
          <cell r="CV229">
            <v>0</v>
          </cell>
          <cell r="CX229">
            <v>0</v>
          </cell>
          <cell r="CZ229">
            <v>0</v>
          </cell>
          <cell r="DB229">
            <v>0</v>
          </cell>
          <cell r="DD229">
            <v>0</v>
          </cell>
          <cell r="DF229">
            <v>0</v>
          </cell>
          <cell r="DH229">
            <v>0</v>
          </cell>
          <cell r="DJ229">
            <v>0</v>
          </cell>
          <cell r="DL229">
            <v>0</v>
          </cell>
          <cell r="DN229">
            <v>0</v>
          </cell>
          <cell r="DP229">
            <v>0</v>
          </cell>
          <cell r="DR229">
            <v>0</v>
          </cell>
          <cell r="DT229">
            <v>0</v>
          </cell>
          <cell r="DV229">
            <v>0</v>
          </cell>
          <cell r="DX229">
            <v>0</v>
          </cell>
          <cell r="DZ229">
            <v>0</v>
          </cell>
          <cell r="EB229">
            <v>0</v>
          </cell>
          <cell r="ED229">
            <v>0</v>
          </cell>
          <cell r="EF229">
            <v>0</v>
          </cell>
          <cell r="EH229">
            <v>0</v>
          </cell>
          <cell r="EJ229">
            <v>0</v>
          </cell>
          <cell r="EL229">
            <v>0</v>
          </cell>
          <cell r="EN229">
            <v>0</v>
          </cell>
          <cell r="EP229">
            <v>0</v>
          </cell>
          <cell r="ER229">
            <v>0</v>
          </cell>
          <cell r="ET229">
            <v>0</v>
          </cell>
          <cell r="EV229">
            <v>0</v>
          </cell>
          <cell r="EX229">
            <v>0</v>
          </cell>
          <cell r="EZ229">
            <v>0</v>
          </cell>
          <cell r="FB229">
            <v>0</v>
          </cell>
          <cell r="FD229">
            <v>0</v>
          </cell>
          <cell r="FF229">
            <v>0</v>
          </cell>
          <cell r="FH229">
            <v>0</v>
          </cell>
          <cell r="FJ229">
            <v>0</v>
          </cell>
          <cell r="FL229">
            <v>0</v>
          </cell>
          <cell r="FN229">
            <v>0</v>
          </cell>
          <cell r="FP229">
            <v>0</v>
          </cell>
          <cell r="FR229">
            <v>0</v>
          </cell>
          <cell r="FT229">
            <v>0</v>
          </cell>
          <cell r="FV229">
            <v>0</v>
          </cell>
          <cell r="GD229">
            <v>14</v>
          </cell>
          <cell r="GF229">
            <v>4</v>
          </cell>
          <cell r="GH229">
            <v>1</v>
          </cell>
          <cell r="GJ229">
            <v>7</v>
          </cell>
          <cell r="GM229">
            <v>97.01</v>
          </cell>
          <cell r="GN22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100.檢查勞工個人防護具：█有 □無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W229" t="str">
            <v>（一）施工廠商施工前檢查事項辦理情形：█完成 □未完成 （二）其他工地安全衛生督導事項：</v>
          </cell>
          <cell r="GX229">
            <v>853901</v>
          </cell>
          <cell r="GY229">
            <v>0</v>
          </cell>
        </row>
        <row r="230">
          <cell r="N230">
            <v>1</v>
          </cell>
          <cell r="P230">
            <v>1</v>
          </cell>
          <cell r="R230">
            <v>672</v>
          </cell>
          <cell r="T230">
            <v>108</v>
          </cell>
          <cell r="V230">
            <v>661</v>
          </cell>
          <cell r="X230">
            <v>2</v>
          </cell>
          <cell r="Z230">
            <v>1</v>
          </cell>
          <cell r="AB230">
            <v>661</v>
          </cell>
          <cell r="AD230">
            <v>2</v>
          </cell>
          <cell r="AF230">
            <v>1</v>
          </cell>
          <cell r="AH230">
            <v>1</v>
          </cell>
          <cell r="AJ230">
            <v>1</v>
          </cell>
          <cell r="AL230">
            <v>0</v>
          </cell>
          <cell r="AN230">
            <v>0</v>
          </cell>
          <cell r="AP230">
            <v>0</v>
          </cell>
          <cell r="AR230">
            <v>0</v>
          </cell>
          <cell r="AT230">
            <v>0</v>
          </cell>
          <cell r="AV230">
            <v>0</v>
          </cell>
          <cell r="AX230">
            <v>0</v>
          </cell>
          <cell r="AZ230">
            <v>0</v>
          </cell>
          <cell r="BB230">
            <v>0</v>
          </cell>
          <cell r="BD230">
            <v>0</v>
          </cell>
          <cell r="BF230">
            <v>0</v>
          </cell>
          <cell r="BH230">
            <v>0</v>
          </cell>
          <cell r="BJ230">
            <v>0</v>
          </cell>
          <cell r="BL230">
            <v>0</v>
          </cell>
          <cell r="BN230">
            <v>0</v>
          </cell>
          <cell r="BP230">
            <v>0</v>
          </cell>
          <cell r="BR230">
            <v>0</v>
          </cell>
          <cell r="BT230">
            <v>0</v>
          </cell>
          <cell r="BV230">
            <v>0</v>
          </cell>
          <cell r="BX230">
            <v>0</v>
          </cell>
          <cell r="BZ230">
            <v>0</v>
          </cell>
          <cell r="CB230">
            <v>0</v>
          </cell>
          <cell r="CD230">
            <v>0</v>
          </cell>
          <cell r="CF230">
            <v>0</v>
          </cell>
          <cell r="CH230">
            <v>0</v>
          </cell>
          <cell r="CJ230">
            <v>0</v>
          </cell>
          <cell r="CL230">
            <v>0</v>
          </cell>
          <cell r="CN230">
            <v>0</v>
          </cell>
          <cell r="CP230">
            <v>0</v>
          </cell>
          <cell r="CR230">
            <v>0</v>
          </cell>
          <cell r="CT230">
            <v>0</v>
          </cell>
          <cell r="CV230">
            <v>0</v>
          </cell>
          <cell r="CX230">
            <v>0</v>
          </cell>
          <cell r="CZ230">
            <v>0</v>
          </cell>
          <cell r="DB230">
            <v>0</v>
          </cell>
          <cell r="DD230">
            <v>0</v>
          </cell>
          <cell r="DF230">
            <v>0</v>
          </cell>
          <cell r="DH230">
            <v>0</v>
          </cell>
          <cell r="DJ230">
            <v>0</v>
          </cell>
          <cell r="DL230">
            <v>0</v>
          </cell>
          <cell r="DN230">
            <v>0</v>
          </cell>
          <cell r="DP230">
            <v>0</v>
          </cell>
          <cell r="DR230">
            <v>0</v>
          </cell>
          <cell r="DT230">
            <v>0</v>
          </cell>
          <cell r="DV230">
            <v>0</v>
          </cell>
          <cell r="DX230">
            <v>0</v>
          </cell>
          <cell r="DZ230">
            <v>0</v>
          </cell>
          <cell r="EB230">
            <v>0</v>
          </cell>
          <cell r="ED230">
            <v>0</v>
          </cell>
          <cell r="EF230">
            <v>0</v>
          </cell>
          <cell r="EH230">
            <v>0</v>
          </cell>
          <cell r="EJ230">
            <v>0</v>
          </cell>
          <cell r="EL230">
            <v>0</v>
          </cell>
          <cell r="EN230">
            <v>0</v>
          </cell>
          <cell r="EP230">
            <v>0</v>
          </cell>
          <cell r="ER230">
            <v>0</v>
          </cell>
          <cell r="ET230">
            <v>0</v>
          </cell>
          <cell r="EV230">
            <v>0</v>
          </cell>
          <cell r="EX230">
            <v>0</v>
          </cell>
          <cell r="EZ230">
            <v>0</v>
          </cell>
          <cell r="FB230">
            <v>0</v>
          </cell>
          <cell r="FD230">
            <v>0</v>
          </cell>
          <cell r="FF230">
            <v>0</v>
          </cell>
          <cell r="FH230">
            <v>0</v>
          </cell>
          <cell r="FJ230">
            <v>0</v>
          </cell>
          <cell r="FL230">
            <v>0</v>
          </cell>
          <cell r="FN230">
            <v>0</v>
          </cell>
          <cell r="FP230">
            <v>0</v>
          </cell>
          <cell r="FR230">
            <v>0</v>
          </cell>
          <cell r="FT230">
            <v>0</v>
          </cell>
          <cell r="FV230">
            <v>0</v>
          </cell>
          <cell r="GD230">
            <v>14</v>
          </cell>
          <cell r="GF230">
            <v>4</v>
          </cell>
          <cell r="GH230">
            <v>1</v>
          </cell>
          <cell r="GJ230">
            <v>7</v>
          </cell>
          <cell r="GM230">
            <v>98.01</v>
          </cell>
          <cell r="GN23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101.檢查勞工個人防護具：█有 □無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W230" t="str">
            <v>（一）施工廠商施工前檢查事項辦理情形：█完成 □未完成 （二）其他工地安全衛生督導事項：</v>
          </cell>
          <cell r="GX230">
            <v>853901</v>
          </cell>
          <cell r="GY230">
            <v>0</v>
          </cell>
        </row>
        <row r="231">
          <cell r="N231">
            <v>1</v>
          </cell>
          <cell r="P231">
            <v>1</v>
          </cell>
          <cell r="R231">
            <v>672</v>
          </cell>
          <cell r="T231">
            <v>108</v>
          </cell>
          <cell r="V231">
            <v>661</v>
          </cell>
          <cell r="X231">
            <v>2</v>
          </cell>
          <cell r="Z231">
            <v>1</v>
          </cell>
          <cell r="AB231">
            <v>661</v>
          </cell>
          <cell r="AD231">
            <v>2</v>
          </cell>
          <cell r="AF231">
            <v>1</v>
          </cell>
          <cell r="AH231">
            <v>1</v>
          </cell>
          <cell r="AJ231">
            <v>1</v>
          </cell>
          <cell r="AL231">
            <v>0</v>
          </cell>
          <cell r="AN231">
            <v>0</v>
          </cell>
          <cell r="AP231">
            <v>0</v>
          </cell>
          <cell r="AR231">
            <v>0</v>
          </cell>
          <cell r="AT231">
            <v>0</v>
          </cell>
          <cell r="AV231">
            <v>0</v>
          </cell>
          <cell r="AX231">
            <v>0</v>
          </cell>
          <cell r="AZ231">
            <v>0</v>
          </cell>
          <cell r="BB231">
            <v>0</v>
          </cell>
          <cell r="BD231">
            <v>0</v>
          </cell>
          <cell r="BF231">
            <v>0</v>
          </cell>
          <cell r="BH231">
            <v>0</v>
          </cell>
          <cell r="BJ231">
            <v>0</v>
          </cell>
          <cell r="BL231">
            <v>0</v>
          </cell>
          <cell r="BN231">
            <v>0</v>
          </cell>
          <cell r="BP231">
            <v>0</v>
          </cell>
          <cell r="BR231">
            <v>0</v>
          </cell>
          <cell r="BT231">
            <v>0</v>
          </cell>
          <cell r="BV231">
            <v>0</v>
          </cell>
          <cell r="BX231">
            <v>0</v>
          </cell>
          <cell r="BZ231">
            <v>0</v>
          </cell>
          <cell r="CB231">
            <v>0</v>
          </cell>
          <cell r="CD231">
            <v>0</v>
          </cell>
          <cell r="CF231">
            <v>0</v>
          </cell>
          <cell r="CH231">
            <v>0</v>
          </cell>
          <cell r="CJ231">
            <v>0</v>
          </cell>
          <cell r="CL231">
            <v>0</v>
          </cell>
          <cell r="CN231">
            <v>0</v>
          </cell>
          <cell r="CP231">
            <v>0</v>
          </cell>
          <cell r="CR231">
            <v>0</v>
          </cell>
          <cell r="CT231">
            <v>0</v>
          </cell>
          <cell r="CV231">
            <v>0</v>
          </cell>
          <cell r="CX231">
            <v>0</v>
          </cell>
          <cell r="CZ231">
            <v>0</v>
          </cell>
          <cell r="DB231">
            <v>0</v>
          </cell>
          <cell r="DD231">
            <v>0</v>
          </cell>
          <cell r="DF231">
            <v>0</v>
          </cell>
          <cell r="DH231">
            <v>0</v>
          </cell>
          <cell r="DJ231">
            <v>0</v>
          </cell>
          <cell r="DL231">
            <v>0</v>
          </cell>
          <cell r="DN231">
            <v>0</v>
          </cell>
          <cell r="DP231">
            <v>0</v>
          </cell>
          <cell r="DR231">
            <v>0</v>
          </cell>
          <cell r="DT231">
            <v>0</v>
          </cell>
          <cell r="DV231">
            <v>0</v>
          </cell>
          <cell r="DX231">
            <v>0</v>
          </cell>
          <cell r="DZ231">
            <v>0</v>
          </cell>
          <cell r="EB231">
            <v>0</v>
          </cell>
          <cell r="ED231">
            <v>0</v>
          </cell>
          <cell r="EF231">
            <v>0</v>
          </cell>
          <cell r="EH231">
            <v>0</v>
          </cell>
          <cell r="EJ231">
            <v>0</v>
          </cell>
          <cell r="EL231">
            <v>0</v>
          </cell>
          <cell r="EN231">
            <v>0</v>
          </cell>
          <cell r="EP231">
            <v>0</v>
          </cell>
          <cell r="ER231">
            <v>0</v>
          </cell>
          <cell r="ET231">
            <v>0</v>
          </cell>
          <cell r="EV231">
            <v>0</v>
          </cell>
          <cell r="EX231">
            <v>0</v>
          </cell>
          <cell r="EZ231">
            <v>0</v>
          </cell>
          <cell r="FB231">
            <v>0</v>
          </cell>
          <cell r="FD231">
            <v>0</v>
          </cell>
          <cell r="FF231">
            <v>0</v>
          </cell>
          <cell r="FH231">
            <v>0</v>
          </cell>
          <cell r="FJ231">
            <v>0</v>
          </cell>
          <cell r="FL231">
            <v>0</v>
          </cell>
          <cell r="FN231">
            <v>0</v>
          </cell>
          <cell r="FP231">
            <v>0</v>
          </cell>
          <cell r="FR231">
            <v>0</v>
          </cell>
          <cell r="FT231">
            <v>0</v>
          </cell>
          <cell r="FV231">
            <v>0</v>
          </cell>
          <cell r="GD231">
            <v>14</v>
          </cell>
          <cell r="GF231">
            <v>4</v>
          </cell>
          <cell r="GH231">
            <v>1</v>
          </cell>
          <cell r="GJ231">
            <v>7</v>
          </cell>
          <cell r="GM231">
            <v>99.01</v>
          </cell>
          <cell r="GN23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102.檢查勞工個人防護具：█有 □無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W231" t="str">
            <v>（一）施工廠商施工前檢查事項辦理情形：█完成 □未完成 （二）其他工地安全衛生督導事項：</v>
          </cell>
          <cell r="GX231">
            <v>853901</v>
          </cell>
          <cell r="GY231">
            <v>0</v>
          </cell>
        </row>
        <row r="232">
          <cell r="N232">
            <v>1</v>
          </cell>
          <cell r="P232">
            <v>1</v>
          </cell>
          <cell r="R232">
            <v>672</v>
          </cell>
          <cell r="T232">
            <v>108</v>
          </cell>
          <cell r="V232">
            <v>661</v>
          </cell>
          <cell r="X232">
            <v>2</v>
          </cell>
          <cell r="Z232">
            <v>1</v>
          </cell>
          <cell r="AB232">
            <v>661</v>
          </cell>
          <cell r="AD232">
            <v>2</v>
          </cell>
          <cell r="AF232">
            <v>1</v>
          </cell>
          <cell r="AH232">
            <v>1</v>
          </cell>
          <cell r="AJ232">
            <v>1</v>
          </cell>
          <cell r="AL232">
            <v>0</v>
          </cell>
          <cell r="AN232">
            <v>0</v>
          </cell>
          <cell r="AP232">
            <v>0</v>
          </cell>
          <cell r="AR232">
            <v>0</v>
          </cell>
          <cell r="AT232">
            <v>0</v>
          </cell>
          <cell r="AV232">
            <v>0</v>
          </cell>
          <cell r="AX232">
            <v>0</v>
          </cell>
          <cell r="AZ232">
            <v>0</v>
          </cell>
          <cell r="BB232">
            <v>0</v>
          </cell>
          <cell r="BD232">
            <v>0</v>
          </cell>
          <cell r="BF232">
            <v>0</v>
          </cell>
          <cell r="BH232">
            <v>0</v>
          </cell>
          <cell r="BJ232">
            <v>0</v>
          </cell>
          <cell r="BL232">
            <v>0</v>
          </cell>
          <cell r="BN232">
            <v>0</v>
          </cell>
          <cell r="BP232">
            <v>0</v>
          </cell>
          <cell r="BR232">
            <v>0</v>
          </cell>
          <cell r="BT232">
            <v>0</v>
          </cell>
          <cell r="BV232">
            <v>0</v>
          </cell>
          <cell r="BX232">
            <v>0</v>
          </cell>
          <cell r="BZ232">
            <v>0</v>
          </cell>
          <cell r="CB232">
            <v>0</v>
          </cell>
          <cell r="CD232">
            <v>0</v>
          </cell>
          <cell r="CF232">
            <v>0</v>
          </cell>
          <cell r="CH232">
            <v>0</v>
          </cell>
          <cell r="CJ232">
            <v>0</v>
          </cell>
          <cell r="CL232">
            <v>0</v>
          </cell>
          <cell r="CN232">
            <v>0</v>
          </cell>
          <cell r="CP232">
            <v>0</v>
          </cell>
          <cell r="CR232">
            <v>0</v>
          </cell>
          <cell r="CT232">
            <v>0</v>
          </cell>
          <cell r="CV232">
            <v>0</v>
          </cell>
          <cell r="CX232">
            <v>0</v>
          </cell>
          <cell r="CZ232">
            <v>0</v>
          </cell>
          <cell r="DB232">
            <v>0</v>
          </cell>
          <cell r="DD232">
            <v>0</v>
          </cell>
          <cell r="DF232">
            <v>0</v>
          </cell>
          <cell r="DH232">
            <v>0</v>
          </cell>
          <cell r="DJ232">
            <v>0</v>
          </cell>
          <cell r="DL232">
            <v>0</v>
          </cell>
          <cell r="DN232">
            <v>0</v>
          </cell>
          <cell r="DP232">
            <v>0</v>
          </cell>
          <cell r="DR232">
            <v>0</v>
          </cell>
          <cell r="DT232">
            <v>0</v>
          </cell>
          <cell r="DV232">
            <v>0</v>
          </cell>
          <cell r="DX232">
            <v>0</v>
          </cell>
          <cell r="DZ232">
            <v>0</v>
          </cell>
          <cell r="EB232">
            <v>0</v>
          </cell>
          <cell r="ED232">
            <v>0</v>
          </cell>
          <cell r="EF232">
            <v>0</v>
          </cell>
          <cell r="EH232">
            <v>0</v>
          </cell>
          <cell r="EJ232">
            <v>0</v>
          </cell>
          <cell r="EL232">
            <v>0</v>
          </cell>
          <cell r="EN232">
            <v>0</v>
          </cell>
          <cell r="EP232">
            <v>0</v>
          </cell>
          <cell r="ER232">
            <v>0</v>
          </cell>
          <cell r="ET232">
            <v>0</v>
          </cell>
          <cell r="EV232">
            <v>0</v>
          </cell>
          <cell r="EX232">
            <v>0</v>
          </cell>
          <cell r="EZ232">
            <v>0</v>
          </cell>
          <cell r="FB232">
            <v>0</v>
          </cell>
          <cell r="FD232">
            <v>0</v>
          </cell>
          <cell r="FF232">
            <v>0</v>
          </cell>
          <cell r="FH232">
            <v>0</v>
          </cell>
          <cell r="FJ232">
            <v>0</v>
          </cell>
          <cell r="FL232">
            <v>0</v>
          </cell>
          <cell r="FN232">
            <v>0</v>
          </cell>
          <cell r="FP232">
            <v>0</v>
          </cell>
          <cell r="FR232">
            <v>0</v>
          </cell>
          <cell r="FT232">
            <v>0</v>
          </cell>
          <cell r="FV232">
            <v>0</v>
          </cell>
          <cell r="GD232">
            <v>14</v>
          </cell>
          <cell r="GF232">
            <v>4</v>
          </cell>
          <cell r="GH232">
            <v>1</v>
          </cell>
          <cell r="GJ232">
            <v>7</v>
          </cell>
          <cell r="GM232">
            <v>100.01</v>
          </cell>
          <cell r="GN23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103.檢查勞工個人防護具：█有 □無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W232" t="str">
            <v>（一）施工廠商施工前檢查事項辦理情形：█完成 □未完成 （二）其他工地安全衛生督導事項：</v>
          </cell>
          <cell r="GX232">
            <v>853901</v>
          </cell>
          <cell r="GY232">
            <v>0</v>
          </cell>
        </row>
        <row r="233">
          <cell r="N233">
            <v>1</v>
          </cell>
          <cell r="P233">
            <v>1</v>
          </cell>
          <cell r="R233">
            <v>672</v>
          </cell>
          <cell r="T233">
            <v>108</v>
          </cell>
          <cell r="V233">
            <v>661</v>
          </cell>
          <cell r="X233">
            <v>2</v>
          </cell>
          <cell r="Z233">
            <v>1</v>
          </cell>
          <cell r="AB233">
            <v>661</v>
          </cell>
          <cell r="AD233">
            <v>2</v>
          </cell>
          <cell r="AF233">
            <v>1</v>
          </cell>
          <cell r="AH233">
            <v>1</v>
          </cell>
          <cell r="AJ233">
            <v>1</v>
          </cell>
          <cell r="AL233">
            <v>0</v>
          </cell>
          <cell r="AN233">
            <v>0</v>
          </cell>
          <cell r="AP233">
            <v>0</v>
          </cell>
          <cell r="AR233">
            <v>0</v>
          </cell>
          <cell r="AT233">
            <v>0</v>
          </cell>
          <cell r="AV233">
            <v>0</v>
          </cell>
          <cell r="AX233">
            <v>0</v>
          </cell>
          <cell r="AZ233">
            <v>0</v>
          </cell>
          <cell r="BB233">
            <v>0</v>
          </cell>
          <cell r="BD233">
            <v>0</v>
          </cell>
          <cell r="BF233">
            <v>0</v>
          </cell>
          <cell r="BH233">
            <v>0</v>
          </cell>
          <cell r="BJ233">
            <v>0</v>
          </cell>
          <cell r="BL233">
            <v>0</v>
          </cell>
          <cell r="BN233">
            <v>0</v>
          </cell>
          <cell r="BP233">
            <v>0</v>
          </cell>
          <cell r="BR233">
            <v>0</v>
          </cell>
          <cell r="BT233">
            <v>0</v>
          </cell>
          <cell r="BV233">
            <v>0</v>
          </cell>
          <cell r="BX233">
            <v>0</v>
          </cell>
          <cell r="BZ233">
            <v>0</v>
          </cell>
          <cell r="CB233">
            <v>0</v>
          </cell>
          <cell r="CD233">
            <v>0</v>
          </cell>
          <cell r="CF233">
            <v>0</v>
          </cell>
          <cell r="CH233">
            <v>0</v>
          </cell>
          <cell r="CJ233">
            <v>0</v>
          </cell>
          <cell r="CL233">
            <v>0</v>
          </cell>
          <cell r="CN233">
            <v>0</v>
          </cell>
          <cell r="CP233">
            <v>0</v>
          </cell>
          <cell r="CR233">
            <v>0</v>
          </cell>
          <cell r="CT233">
            <v>0</v>
          </cell>
          <cell r="CV233">
            <v>0</v>
          </cell>
          <cell r="CX233">
            <v>0</v>
          </cell>
          <cell r="CZ233">
            <v>0</v>
          </cell>
          <cell r="DB233">
            <v>0</v>
          </cell>
          <cell r="DD233">
            <v>0</v>
          </cell>
          <cell r="DF233">
            <v>0</v>
          </cell>
          <cell r="DH233">
            <v>0</v>
          </cell>
          <cell r="DJ233">
            <v>0</v>
          </cell>
          <cell r="DL233">
            <v>0</v>
          </cell>
          <cell r="DN233">
            <v>0</v>
          </cell>
          <cell r="DP233">
            <v>0</v>
          </cell>
          <cell r="DR233">
            <v>0</v>
          </cell>
          <cell r="DT233">
            <v>0</v>
          </cell>
          <cell r="DV233">
            <v>0</v>
          </cell>
          <cell r="DX233">
            <v>0</v>
          </cell>
          <cell r="DZ233">
            <v>0</v>
          </cell>
          <cell r="EB233">
            <v>0</v>
          </cell>
          <cell r="ED233">
            <v>0</v>
          </cell>
          <cell r="EF233">
            <v>0</v>
          </cell>
          <cell r="EH233">
            <v>0</v>
          </cell>
          <cell r="EJ233">
            <v>0</v>
          </cell>
          <cell r="EL233">
            <v>0</v>
          </cell>
          <cell r="EN233">
            <v>0</v>
          </cell>
          <cell r="EP233">
            <v>0</v>
          </cell>
          <cell r="ER233">
            <v>0</v>
          </cell>
          <cell r="ET233">
            <v>0</v>
          </cell>
          <cell r="EV233">
            <v>0</v>
          </cell>
          <cell r="EX233">
            <v>0</v>
          </cell>
          <cell r="EZ233">
            <v>0</v>
          </cell>
          <cell r="FB233">
            <v>0</v>
          </cell>
          <cell r="FD233">
            <v>0</v>
          </cell>
          <cell r="FF233">
            <v>0</v>
          </cell>
          <cell r="FH233">
            <v>0</v>
          </cell>
          <cell r="FJ233">
            <v>0</v>
          </cell>
          <cell r="FL233">
            <v>0</v>
          </cell>
          <cell r="FN233">
            <v>0</v>
          </cell>
          <cell r="FP233">
            <v>0</v>
          </cell>
          <cell r="FR233">
            <v>0</v>
          </cell>
          <cell r="FT233">
            <v>0</v>
          </cell>
          <cell r="FV233">
            <v>0</v>
          </cell>
          <cell r="GD233">
            <v>14</v>
          </cell>
          <cell r="GF233">
            <v>4</v>
          </cell>
          <cell r="GH233">
            <v>1</v>
          </cell>
          <cell r="GJ233">
            <v>7</v>
          </cell>
          <cell r="GM233">
            <v>101.01</v>
          </cell>
          <cell r="GN23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104.檢查勞工個人防護具：█有 □無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W233" t="str">
            <v>（一）施工廠商施工前檢查事項辦理情形：█完成 □未完成 （二）其他工地安全衛生督導事項：</v>
          </cell>
          <cell r="GX233">
            <v>853901</v>
          </cell>
          <cell r="GY233">
            <v>0</v>
          </cell>
        </row>
        <row r="234">
          <cell r="N234">
            <v>1</v>
          </cell>
          <cell r="P234">
            <v>1</v>
          </cell>
          <cell r="R234">
            <v>672</v>
          </cell>
          <cell r="T234">
            <v>108</v>
          </cell>
          <cell r="V234">
            <v>661</v>
          </cell>
          <cell r="X234">
            <v>2</v>
          </cell>
          <cell r="Z234">
            <v>1</v>
          </cell>
          <cell r="AB234">
            <v>661</v>
          </cell>
          <cell r="AD234">
            <v>2</v>
          </cell>
          <cell r="AF234">
            <v>1</v>
          </cell>
          <cell r="AH234">
            <v>1</v>
          </cell>
          <cell r="AJ234">
            <v>1</v>
          </cell>
          <cell r="AL234">
            <v>0</v>
          </cell>
          <cell r="AN234">
            <v>0</v>
          </cell>
          <cell r="AP234">
            <v>0</v>
          </cell>
          <cell r="AR234">
            <v>0</v>
          </cell>
          <cell r="AT234">
            <v>0</v>
          </cell>
          <cell r="AV234">
            <v>0</v>
          </cell>
          <cell r="AX234">
            <v>0</v>
          </cell>
          <cell r="AZ234">
            <v>0</v>
          </cell>
          <cell r="BB234">
            <v>0</v>
          </cell>
          <cell r="BD234">
            <v>0</v>
          </cell>
          <cell r="BF234">
            <v>0</v>
          </cell>
          <cell r="BH234">
            <v>0</v>
          </cell>
          <cell r="BJ234">
            <v>0</v>
          </cell>
          <cell r="BL234">
            <v>0</v>
          </cell>
          <cell r="BN234">
            <v>0</v>
          </cell>
          <cell r="BP234">
            <v>0</v>
          </cell>
          <cell r="BR234">
            <v>0</v>
          </cell>
          <cell r="BT234">
            <v>0</v>
          </cell>
          <cell r="BV234">
            <v>0</v>
          </cell>
          <cell r="BX234">
            <v>0</v>
          </cell>
          <cell r="BZ234">
            <v>0</v>
          </cell>
          <cell r="CB234">
            <v>0</v>
          </cell>
          <cell r="CD234">
            <v>0</v>
          </cell>
          <cell r="CF234">
            <v>0</v>
          </cell>
          <cell r="CH234">
            <v>0</v>
          </cell>
          <cell r="CJ234">
            <v>0</v>
          </cell>
          <cell r="CL234">
            <v>0</v>
          </cell>
          <cell r="CN234">
            <v>0</v>
          </cell>
          <cell r="CP234">
            <v>0</v>
          </cell>
          <cell r="CR234">
            <v>0</v>
          </cell>
          <cell r="CT234">
            <v>0</v>
          </cell>
          <cell r="CV234">
            <v>0</v>
          </cell>
          <cell r="CX234">
            <v>0</v>
          </cell>
          <cell r="CZ234">
            <v>0</v>
          </cell>
          <cell r="DB234">
            <v>0</v>
          </cell>
          <cell r="DD234">
            <v>0</v>
          </cell>
          <cell r="DF234">
            <v>0</v>
          </cell>
          <cell r="DH234">
            <v>0</v>
          </cell>
          <cell r="DJ234">
            <v>0</v>
          </cell>
          <cell r="DL234">
            <v>0</v>
          </cell>
          <cell r="DN234">
            <v>0</v>
          </cell>
          <cell r="DP234">
            <v>0</v>
          </cell>
          <cell r="DR234">
            <v>0</v>
          </cell>
          <cell r="DT234">
            <v>0</v>
          </cell>
          <cell r="DV234">
            <v>0</v>
          </cell>
          <cell r="DX234">
            <v>0</v>
          </cell>
          <cell r="DZ234">
            <v>0</v>
          </cell>
          <cell r="EB234">
            <v>0</v>
          </cell>
          <cell r="ED234">
            <v>0</v>
          </cell>
          <cell r="EF234">
            <v>0</v>
          </cell>
          <cell r="EH234">
            <v>0</v>
          </cell>
          <cell r="EJ234">
            <v>0</v>
          </cell>
          <cell r="EL234">
            <v>0</v>
          </cell>
          <cell r="EN234">
            <v>0</v>
          </cell>
          <cell r="EP234">
            <v>0</v>
          </cell>
          <cell r="ER234">
            <v>0</v>
          </cell>
          <cell r="ET234">
            <v>0</v>
          </cell>
          <cell r="EV234">
            <v>0</v>
          </cell>
          <cell r="EX234">
            <v>0</v>
          </cell>
          <cell r="EZ234">
            <v>0</v>
          </cell>
          <cell r="FB234">
            <v>0</v>
          </cell>
          <cell r="FD234">
            <v>0</v>
          </cell>
          <cell r="FF234">
            <v>0</v>
          </cell>
          <cell r="FH234">
            <v>0</v>
          </cell>
          <cell r="FJ234">
            <v>0</v>
          </cell>
          <cell r="FL234">
            <v>0</v>
          </cell>
          <cell r="FN234">
            <v>0</v>
          </cell>
          <cell r="FP234">
            <v>0</v>
          </cell>
          <cell r="FR234">
            <v>0</v>
          </cell>
          <cell r="FT234">
            <v>0</v>
          </cell>
          <cell r="FV234">
            <v>0</v>
          </cell>
          <cell r="GD234">
            <v>14</v>
          </cell>
          <cell r="GF234">
            <v>4</v>
          </cell>
          <cell r="GH234">
            <v>1</v>
          </cell>
          <cell r="GJ234">
            <v>7</v>
          </cell>
          <cell r="GM234">
            <v>102.01</v>
          </cell>
          <cell r="GN23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105.檢查勞工個人防護具：█有 □無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W234" t="str">
            <v>（一）施工廠商施工前檢查事項辦理情形：█完成 □未完成 （二）其他工地安全衛生督導事項：</v>
          </cell>
          <cell r="GX234">
            <v>853901</v>
          </cell>
          <cell r="GY234">
            <v>0</v>
          </cell>
        </row>
        <row r="235">
          <cell r="N235">
            <v>1</v>
          </cell>
          <cell r="P235">
            <v>1</v>
          </cell>
          <cell r="R235">
            <v>672</v>
          </cell>
          <cell r="T235">
            <v>108</v>
          </cell>
          <cell r="V235">
            <v>661</v>
          </cell>
          <cell r="X235">
            <v>2</v>
          </cell>
          <cell r="Z235">
            <v>1</v>
          </cell>
          <cell r="AB235">
            <v>661</v>
          </cell>
          <cell r="AD235">
            <v>2</v>
          </cell>
          <cell r="AF235">
            <v>1</v>
          </cell>
          <cell r="AH235">
            <v>1</v>
          </cell>
          <cell r="AJ235">
            <v>1</v>
          </cell>
          <cell r="AL235">
            <v>0</v>
          </cell>
          <cell r="AN235">
            <v>0</v>
          </cell>
          <cell r="AP235">
            <v>0</v>
          </cell>
          <cell r="AR235">
            <v>0</v>
          </cell>
          <cell r="AT235">
            <v>0</v>
          </cell>
          <cell r="AV235">
            <v>0</v>
          </cell>
          <cell r="AX235">
            <v>0</v>
          </cell>
          <cell r="AZ235">
            <v>0</v>
          </cell>
          <cell r="BB235">
            <v>0</v>
          </cell>
          <cell r="BD235">
            <v>0</v>
          </cell>
          <cell r="BF235">
            <v>0</v>
          </cell>
          <cell r="BH235">
            <v>0</v>
          </cell>
          <cell r="BJ235">
            <v>0</v>
          </cell>
          <cell r="BL235">
            <v>0</v>
          </cell>
          <cell r="BN235">
            <v>0</v>
          </cell>
          <cell r="BP235">
            <v>0</v>
          </cell>
          <cell r="BR235">
            <v>0</v>
          </cell>
          <cell r="BT235">
            <v>0</v>
          </cell>
          <cell r="BV235">
            <v>0</v>
          </cell>
          <cell r="BX235">
            <v>0</v>
          </cell>
          <cell r="BZ235">
            <v>0</v>
          </cell>
          <cell r="CB235">
            <v>0</v>
          </cell>
          <cell r="CD235">
            <v>0</v>
          </cell>
          <cell r="CF235">
            <v>0</v>
          </cell>
          <cell r="CH235">
            <v>0</v>
          </cell>
          <cell r="CJ235">
            <v>0</v>
          </cell>
          <cell r="CL235">
            <v>0</v>
          </cell>
          <cell r="CN235">
            <v>0</v>
          </cell>
          <cell r="CP235">
            <v>0</v>
          </cell>
          <cell r="CR235">
            <v>0</v>
          </cell>
          <cell r="CT235">
            <v>0</v>
          </cell>
          <cell r="CV235">
            <v>0</v>
          </cell>
          <cell r="CX235">
            <v>0</v>
          </cell>
          <cell r="CZ235">
            <v>0</v>
          </cell>
          <cell r="DB235">
            <v>0</v>
          </cell>
          <cell r="DD235">
            <v>0</v>
          </cell>
          <cell r="DF235">
            <v>0</v>
          </cell>
          <cell r="DH235">
            <v>0</v>
          </cell>
          <cell r="DJ235">
            <v>0</v>
          </cell>
          <cell r="DL235">
            <v>0</v>
          </cell>
          <cell r="DN235">
            <v>0</v>
          </cell>
          <cell r="DP235">
            <v>0</v>
          </cell>
          <cell r="DR235">
            <v>0</v>
          </cell>
          <cell r="DT235">
            <v>0</v>
          </cell>
          <cell r="DV235">
            <v>0</v>
          </cell>
          <cell r="DX235">
            <v>0</v>
          </cell>
          <cell r="DZ235">
            <v>0</v>
          </cell>
          <cell r="EB235">
            <v>0</v>
          </cell>
          <cell r="ED235">
            <v>0</v>
          </cell>
          <cell r="EF235">
            <v>0</v>
          </cell>
          <cell r="EH235">
            <v>0</v>
          </cell>
          <cell r="EJ235">
            <v>0</v>
          </cell>
          <cell r="EL235">
            <v>0</v>
          </cell>
          <cell r="EN235">
            <v>0</v>
          </cell>
          <cell r="EP235">
            <v>0</v>
          </cell>
          <cell r="ER235">
            <v>0</v>
          </cell>
          <cell r="ET235">
            <v>0</v>
          </cell>
          <cell r="EV235">
            <v>0</v>
          </cell>
          <cell r="EX235">
            <v>0</v>
          </cell>
          <cell r="EZ235">
            <v>0</v>
          </cell>
          <cell r="FB235">
            <v>0</v>
          </cell>
          <cell r="FD235">
            <v>0</v>
          </cell>
          <cell r="FF235">
            <v>0</v>
          </cell>
          <cell r="FH235">
            <v>0</v>
          </cell>
          <cell r="FJ235">
            <v>0</v>
          </cell>
          <cell r="FL235">
            <v>0</v>
          </cell>
          <cell r="FN235">
            <v>0</v>
          </cell>
          <cell r="FP235">
            <v>0</v>
          </cell>
          <cell r="FR235">
            <v>0</v>
          </cell>
          <cell r="FT235">
            <v>0</v>
          </cell>
          <cell r="FV235">
            <v>0</v>
          </cell>
          <cell r="GD235">
            <v>14</v>
          </cell>
          <cell r="GF235">
            <v>4</v>
          </cell>
          <cell r="GH235">
            <v>1</v>
          </cell>
          <cell r="GJ235">
            <v>7</v>
          </cell>
          <cell r="GM235">
            <v>103.01</v>
          </cell>
          <cell r="GN23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106.檢查勞工個人防護具：█有 □無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W235" t="str">
            <v>（一）施工廠商施工前檢查事項辦理情形：█完成 □未完成 （二）其他工地安全衛生督導事項：</v>
          </cell>
          <cell r="GX235">
            <v>853901</v>
          </cell>
          <cell r="GY235">
            <v>0</v>
          </cell>
        </row>
        <row r="236">
          <cell r="N236">
            <v>1</v>
          </cell>
          <cell r="P236">
            <v>1</v>
          </cell>
          <cell r="R236">
            <v>672</v>
          </cell>
          <cell r="T236">
            <v>108</v>
          </cell>
          <cell r="V236">
            <v>661</v>
          </cell>
          <cell r="X236">
            <v>2</v>
          </cell>
          <cell r="Z236">
            <v>1</v>
          </cell>
          <cell r="AB236">
            <v>661</v>
          </cell>
          <cell r="AD236">
            <v>2</v>
          </cell>
          <cell r="AF236">
            <v>1</v>
          </cell>
          <cell r="AH236">
            <v>1</v>
          </cell>
          <cell r="AJ236">
            <v>1</v>
          </cell>
          <cell r="AL236">
            <v>0</v>
          </cell>
          <cell r="AN236">
            <v>0</v>
          </cell>
          <cell r="AP236">
            <v>0</v>
          </cell>
          <cell r="AR236">
            <v>0</v>
          </cell>
          <cell r="AT236">
            <v>0</v>
          </cell>
          <cell r="AV236">
            <v>0</v>
          </cell>
          <cell r="AX236">
            <v>0</v>
          </cell>
          <cell r="AZ236">
            <v>0</v>
          </cell>
          <cell r="BB236">
            <v>0</v>
          </cell>
          <cell r="BD236">
            <v>0</v>
          </cell>
          <cell r="BF236">
            <v>0</v>
          </cell>
          <cell r="BH236">
            <v>0</v>
          </cell>
          <cell r="BJ236">
            <v>0</v>
          </cell>
          <cell r="BL236">
            <v>0</v>
          </cell>
          <cell r="BN236">
            <v>0</v>
          </cell>
          <cell r="BP236">
            <v>0</v>
          </cell>
          <cell r="BR236">
            <v>0</v>
          </cell>
          <cell r="BT236">
            <v>0</v>
          </cell>
          <cell r="BV236">
            <v>0</v>
          </cell>
          <cell r="BX236">
            <v>0</v>
          </cell>
          <cell r="BZ236">
            <v>0</v>
          </cell>
          <cell r="CB236">
            <v>0</v>
          </cell>
          <cell r="CD236">
            <v>0</v>
          </cell>
          <cell r="CF236">
            <v>0</v>
          </cell>
          <cell r="CH236">
            <v>0</v>
          </cell>
          <cell r="CJ236">
            <v>0</v>
          </cell>
          <cell r="CL236">
            <v>0</v>
          </cell>
          <cell r="CN236">
            <v>0</v>
          </cell>
          <cell r="CP236">
            <v>0</v>
          </cell>
          <cell r="CR236">
            <v>0</v>
          </cell>
          <cell r="CT236">
            <v>0</v>
          </cell>
          <cell r="CV236">
            <v>0</v>
          </cell>
          <cell r="CX236">
            <v>0</v>
          </cell>
          <cell r="CZ236">
            <v>0</v>
          </cell>
          <cell r="DB236">
            <v>0</v>
          </cell>
          <cell r="DD236">
            <v>0</v>
          </cell>
          <cell r="DF236">
            <v>0</v>
          </cell>
          <cell r="DH236">
            <v>0</v>
          </cell>
          <cell r="DJ236">
            <v>0</v>
          </cell>
          <cell r="DL236">
            <v>0</v>
          </cell>
          <cell r="DN236">
            <v>0</v>
          </cell>
          <cell r="DP236">
            <v>0</v>
          </cell>
          <cell r="DR236">
            <v>0</v>
          </cell>
          <cell r="DT236">
            <v>0</v>
          </cell>
          <cell r="DV236">
            <v>0</v>
          </cell>
          <cell r="DX236">
            <v>0</v>
          </cell>
          <cell r="DZ236">
            <v>0</v>
          </cell>
          <cell r="EB236">
            <v>0</v>
          </cell>
          <cell r="ED236">
            <v>0</v>
          </cell>
          <cell r="EF236">
            <v>0</v>
          </cell>
          <cell r="EH236">
            <v>0</v>
          </cell>
          <cell r="EJ236">
            <v>0</v>
          </cell>
          <cell r="EL236">
            <v>0</v>
          </cell>
          <cell r="EN236">
            <v>0</v>
          </cell>
          <cell r="EP236">
            <v>0</v>
          </cell>
          <cell r="ER236">
            <v>0</v>
          </cell>
          <cell r="ET236">
            <v>0</v>
          </cell>
          <cell r="EV236">
            <v>0</v>
          </cell>
          <cell r="EX236">
            <v>0</v>
          </cell>
          <cell r="EZ236">
            <v>0</v>
          </cell>
          <cell r="FB236">
            <v>0</v>
          </cell>
          <cell r="FD236">
            <v>0</v>
          </cell>
          <cell r="FF236">
            <v>0</v>
          </cell>
          <cell r="FH236">
            <v>0</v>
          </cell>
          <cell r="FJ236">
            <v>0</v>
          </cell>
          <cell r="FL236">
            <v>0</v>
          </cell>
          <cell r="FN236">
            <v>0</v>
          </cell>
          <cell r="FP236">
            <v>0</v>
          </cell>
          <cell r="FR236">
            <v>0</v>
          </cell>
          <cell r="FT236">
            <v>0</v>
          </cell>
          <cell r="FV236">
            <v>0</v>
          </cell>
          <cell r="GD236">
            <v>14</v>
          </cell>
          <cell r="GF236">
            <v>4</v>
          </cell>
          <cell r="GH236">
            <v>1</v>
          </cell>
          <cell r="GJ236">
            <v>7</v>
          </cell>
          <cell r="GM236">
            <v>104.01</v>
          </cell>
          <cell r="GN23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107.檢查勞工個人防護具：█有 □無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W236" t="str">
            <v>（一）施工廠商施工前檢查事項辦理情形：█完成 □未完成 （二）其他工地安全衛生督導事項：</v>
          </cell>
          <cell r="GX236">
            <v>853901</v>
          </cell>
          <cell r="GY236">
            <v>0</v>
          </cell>
        </row>
        <row r="237">
          <cell r="N237">
            <v>1</v>
          </cell>
          <cell r="P237">
            <v>1</v>
          </cell>
          <cell r="R237">
            <v>672</v>
          </cell>
          <cell r="T237">
            <v>108</v>
          </cell>
          <cell r="V237">
            <v>661</v>
          </cell>
          <cell r="X237">
            <v>2</v>
          </cell>
          <cell r="Z237">
            <v>1</v>
          </cell>
          <cell r="AB237">
            <v>661</v>
          </cell>
          <cell r="AD237">
            <v>2</v>
          </cell>
          <cell r="AF237">
            <v>1</v>
          </cell>
          <cell r="AH237">
            <v>1</v>
          </cell>
          <cell r="AJ237">
            <v>1</v>
          </cell>
          <cell r="AL237">
            <v>0</v>
          </cell>
          <cell r="AN237">
            <v>0</v>
          </cell>
          <cell r="AP237">
            <v>0</v>
          </cell>
          <cell r="AR237">
            <v>0</v>
          </cell>
          <cell r="AT237">
            <v>0</v>
          </cell>
          <cell r="AV237">
            <v>0</v>
          </cell>
          <cell r="AX237">
            <v>0</v>
          </cell>
          <cell r="AZ237">
            <v>0</v>
          </cell>
          <cell r="BB237">
            <v>0</v>
          </cell>
          <cell r="BD237">
            <v>0</v>
          </cell>
          <cell r="BF237">
            <v>0</v>
          </cell>
          <cell r="BH237">
            <v>0</v>
          </cell>
          <cell r="BJ237">
            <v>0</v>
          </cell>
          <cell r="BL237">
            <v>0</v>
          </cell>
          <cell r="BN237">
            <v>0</v>
          </cell>
          <cell r="BP237">
            <v>0</v>
          </cell>
          <cell r="BR237">
            <v>0</v>
          </cell>
          <cell r="BT237">
            <v>0</v>
          </cell>
          <cell r="BV237">
            <v>0</v>
          </cell>
          <cell r="BX237">
            <v>0</v>
          </cell>
          <cell r="BZ237">
            <v>0</v>
          </cell>
          <cell r="CB237">
            <v>0</v>
          </cell>
          <cell r="CD237">
            <v>0</v>
          </cell>
          <cell r="CF237">
            <v>0</v>
          </cell>
          <cell r="CH237">
            <v>0</v>
          </cell>
          <cell r="CJ237">
            <v>0</v>
          </cell>
          <cell r="CL237">
            <v>0</v>
          </cell>
          <cell r="CN237">
            <v>0</v>
          </cell>
          <cell r="CP237">
            <v>0</v>
          </cell>
          <cell r="CR237">
            <v>0</v>
          </cell>
          <cell r="CT237">
            <v>0</v>
          </cell>
          <cell r="CV237">
            <v>0</v>
          </cell>
          <cell r="CX237">
            <v>0</v>
          </cell>
          <cell r="CZ237">
            <v>0</v>
          </cell>
          <cell r="DB237">
            <v>0</v>
          </cell>
          <cell r="DD237">
            <v>0</v>
          </cell>
          <cell r="DF237">
            <v>0</v>
          </cell>
          <cell r="DH237">
            <v>0</v>
          </cell>
          <cell r="DJ237">
            <v>0</v>
          </cell>
          <cell r="DL237">
            <v>0</v>
          </cell>
          <cell r="DN237">
            <v>0</v>
          </cell>
          <cell r="DP237">
            <v>0</v>
          </cell>
          <cell r="DR237">
            <v>0</v>
          </cell>
          <cell r="DT237">
            <v>0</v>
          </cell>
          <cell r="DV237">
            <v>0</v>
          </cell>
          <cell r="DX237">
            <v>0</v>
          </cell>
          <cell r="DZ237">
            <v>0</v>
          </cell>
          <cell r="EB237">
            <v>0</v>
          </cell>
          <cell r="ED237">
            <v>0</v>
          </cell>
          <cell r="EF237">
            <v>0</v>
          </cell>
          <cell r="EH237">
            <v>0</v>
          </cell>
          <cell r="EJ237">
            <v>0</v>
          </cell>
          <cell r="EL237">
            <v>0</v>
          </cell>
          <cell r="EN237">
            <v>0</v>
          </cell>
          <cell r="EP237">
            <v>0</v>
          </cell>
          <cell r="ER237">
            <v>0</v>
          </cell>
          <cell r="ET237">
            <v>0</v>
          </cell>
          <cell r="EV237">
            <v>0</v>
          </cell>
          <cell r="EX237">
            <v>0</v>
          </cell>
          <cell r="EZ237">
            <v>0</v>
          </cell>
          <cell r="FB237">
            <v>0</v>
          </cell>
          <cell r="FD237">
            <v>0</v>
          </cell>
          <cell r="FF237">
            <v>0</v>
          </cell>
          <cell r="FH237">
            <v>0</v>
          </cell>
          <cell r="FJ237">
            <v>0</v>
          </cell>
          <cell r="FL237">
            <v>0</v>
          </cell>
          <cell r="FN237">
            <v>0</v>
          </cell>
          <cell r="FP237">
            <v>0</v>
          </cell>
          <cell r="FR237">
            <v>0</v>
          </cell>
          <cell r="FT237">
            <v>0</v>
          </cell>
          <cell r="FV237">
            <v>0</v>
          </cell>
          <cell r="GD237">
            <v>14</v>
          </cell>
          <cell r="GF237">
            <v>4</v>
          </cell>
          <cell r="GH237">
            <v>1</v>
          </cell>
          <cell r="GJ237">
            <v>7</v>
          </cell>
          <cell r="GM237">
            <v>105.01</v>
          </cell>
          <cell r="GN23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108.檢查勞工個人防護具：█有 □無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W237" t="str">
            <v>（一）施工廠商施工前檢查事項辦理情形：█完成 □未完成 （二）其他工地安全衛生督導事項：</v>
          </cell>
          <cell r="GX237">
            <v>853901</v>
          </cell>
          <cell r="GY237">
            <v>0</v>
          </cell>
        </row>
        <row r="238">
          <cell r="N238">
            <v>1</v>
          </cell>
          <cell r="P238">
            <v>1</v>
          </cell>
          <cell r="R238">
            <v>672</v>
          </cell>
          <cell r="T238">
            <v>108</v>
          </cell>
          <cell r="V238">
            <v>661</v>
          </cell>
          <cell r="X238">
            <v>2</v>
          </cell>
          <cell r="Z238">
            <v>1</v>
          </cell>
          <cell r="AB238">
            <v>661</v>
          </cell>
          <cell r="AD238">
            <v>2</v>
          </cell>
          <cell r="AF238">
            <v>1</v>
          </cell>
          <cell r="AH238">
            <v>1</v>
          </cell>
          <cell r="AJ238">
            <v>1</v>
          </cell>
          <cell r="AL238">
            <v>0</v>
          </cell>
          <cell r="AN238">
            <v>0</v>
          </cell>
          <cell r="AP238">
            <v>0</v>
          </cell>
          <cell r="AR238">
            <v>0</v>
          </cell>
          <cell r="AT238">
            <v>0</v>
          </cell>
          <cell r="AV238">
            <v>0</v>
          </cell>
          <cell r="AX238">
            <v>0</v>
          </cell>
          <cell r="AZ238">
            <v>0</v>
          </cell>
          <cell r="BB238">
            <v>0</v>
          </cell>
          <cell r="BD238">
            <v>0</v>
          </cell>
          <cell r="BF238">
            <v>0</v>
          </cell>
          <cell r="BH238">
            <v>0</v>
          </cell>
          <cell r="BJ238">
            <v>0</v>
          </cell>
          <cell r="BL238">
            <v>0</v>
          </cell>
          <cell r="BN238">
            <v>0</v>
          </cell>
          <cell r="BP238">
            <v>0</v>
          </cell>
          <cell r="BR238">
            <v>0</v>
          </cell>
          <cell r="BT238">
            <v>0</v>
          </cell>
          <cell r="BV238">
            <v>0</v>
          </cell>
          <cell r="BX238">
            <v>0</v>
          </cell>
          <cell r="BZ238">
            <v>0</v>
          </cell>
          <cell r="CB238">
            <v>0</v>
          </cell>
          <cell r="CD238">
            <v>0</v>
          </cell>
          <cell r="CF238">
            <v>0</v>
          </cell>
          <cell r="CH238">
            <v>0</v>
          </cell>
          <cell r="CJ238">
            <v>0</v>
          </cell>
          <cell r="CL238">
            <v>0</v>
          </cell>
          <cell r="CN238">
            <v>0</v>
          </cell>
          <cell r="CP238">
            <v>0</v>
          </cell>
          <cell r="CR238">
            <v>0</v>
          </cell>
          <cell r="CT238">
            <v>0</v>
          </cell>
          <cell r="CV238">
            <v>0</v>
          </cell>
          <cell r="CX238">
            <v>0</v>
          </cell>
          <cell r="CZ238">
            <v>0</v>
          </cell>
          <cell r="DB238">
            <v>0</v>
          </cell>
          <cell r="DD238">
            <v>0</v>
          </cell>
          <cell r="DF238">
            <v>0</v>
          </cell>
          <cell r="DH238">
            <v>0</v>
          </cell>
          <cell r="DJ238">
            <v>0</v>
          </cell>
          <cell r="DL238">
            <v>0</v>
          </cell>
          <cell r="DN238">
            <v>0</v>
          </cell>
          <cell r="DP238">
            <v>0</v>
          </cell>
          <cell r="DR238">
            <v>0</v>
          </cell>
          <cell r="DT238">
            <v>0</v>
          </cell>
          <cell r="DV238">
            <v>0</v>
          </cell>
          <cell r="DX238">
            <v>0</v>
          </cell>
          <cell r="DZ238">
            <v>0</v>
          </cell>
          <cell r="EB238">
            <v>0</v>
          </cell>
          <cell r="ED238">
            <v>0</v>
          </cell>
          <cell r="EF238">
            <v>0</v>
          </cell>
          <cell r="EH238">
            <v>0</v>
          </cell>
          <cell r="EJ238">
            <v>0</v>
          </cell>
          <cell r="EL238">
            <v>0</v>
          </cell>
          <cell r="EN238">
            <v>0</v>
          </cell>
          <cell r="EP238">
            <v>0</v>
          </cell>
          <cell r="ER238">
            <v>0</v>
          </cell>
          <cell r="ET238">
            <v>0</v>
          </cell>
          <cell r="EV238">
            <v>0</v>
          </cell>
          <cell r="EX238">
            <v>0</v>
          </cell>
          <cell r="EZ238">
            <v>0</v>
          </cell>
          <cell r="FB238">
            <v>0</v>
          </cell>
          <cell r="FD238">
            <v>0</v>
          </cell>
          <cell r="FF238">
            <v>0</v>
          </cell>
          <cell r="FH238">
            <v>0</v>
          </cell>
          <cell r="FJ238">
            <v>0</v>
          </cell>
          <cell r="FL238">
            <v>0</v>
          </cell>
          <cell r="FN238">
            <v>0</v>
          </cell>
          <cell r="FP238">
            <v>0</v>
          </cell>
          <cell r="FR238">
            <v>0</v>
          </cell>
          <cell r="FT238">
            <v>0</v>
          </cell>
          <cell r="FV238">
            <v>0</v>
          </cell>
          <cell r="GD238">
            <v>14</v>
          </cell>
          <cell r="GF238">
            <v>4</v>
          </cell>
          <cell r="GH238">
            <v>1</v>
          </cell>
          <cell r="GJ238">
            <v>7</v>
          </cell>
          <cell r="GM238">
            <v>106.01</v>
          </cell>
          <cell r="GN23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109.檢查勞工個人防護具：█有 □無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W238" t="str">
            <v>（一）施工廠商施工前檢查事項辦理情形：█完成 □未完成 （二）其他工地安全衛生督導事項：</v>
          </cell>
          <cell r="GX238">
            <v>853901</v>
          </cell>
          <cell r="GY238">
            <v>0</v>
          </cell>
        </row>
        <row r="239">
          <cell r="N239">
            <v>1</v>
          </cell>
          <cell r="P239">
            <v>1</v>
          </cell>
          <cell r="R239">
            <v>672</v>
          </cell>
          <cell r="T239">
            <v>108</v>
          </cell>
          <cell r="V239">
            <v>661</v>
          </cell>
          <cell r="X239">
            <v>2</v>
          </cell>
          <cell r="Z239">
            <v>1</v>
          </cell>
          <cell r="AB239">
            <v>661</v>
          </cell>
          <cell r="AD239">
            <v>2</v>
          </cell>
          <cell r="AF239">
            <v>1</v>
          </cell>
          <cell r="AH239">
            <v>1</v>
          </cell>
          <cell r="AJ239">
            <v>1</v>
          </cell>
          <cell r="AL239">
            <v>0</v>
          </cell>
          <cell r="AN239">
            <v>0</v>
          </cell>
          <cell r="AP239">
            <v>0</v>
          </cell>
          <cell r="AR239">
            <v>0</v>
          </cell>
          <cell r="AT239">
            <v>0</v>
          </cell>
          <cell r="AV239">
            <v>0</v>
          </cell>
          <cell r="AX239">
            <v>0</v>
          </cell>
          <cell r="AZ239">
            <v>0</v>
          </cell>
          <cell r="BB239">
            <v>0</v>
          </cell>
          <cell r="BD239">
            <v>0</v>
          </cell>
          <cell r="BF239">
            <v>0</v>
          </cell>
          <cell r="BH239">
            <v>0</v>
          </cell>
          <cell r="BJ239">
            <v>0</v>
          </cell>
          <cell r="BL239">
            <v>0</v>
          </cell>
          <cell r="BN239">
            <v>0</v>
          </cell>
          <cell r="BP239">
            <v>0</v>
          </cell>
          <cell r="BR239">
            <v>0</v>
          </cell>
          <cell r="BT239">
            <v>0</v>
          </cell>
          <cell r="BV239">
            <v>0</v>
          </cell>
          <cell r="BX239">
            <v>0</v>
          </cell>
          <cell r="BZ239">
            <v>0</v>
          </cell>
          <cell r="CB239">
            <v>0</v>
          </cell>
          <cell r="CD239">
            <v>0</v>
          </cell>
          <cell r="CF239">
            <v>0</v>
          </cell>
          <cell r="CH239">
            <v>0</v>
          </cell>
          <cell r="CJ239">
            <v>0</v>
          </cell>
          <cell r="CL239">
            <v>0</v>
          </cell>
          <cell r="CN239">
            <v>0</v>
          </cell>
          <cell r="CP239">
            <v>0</v>
          </cell>
          <cell r="CR239">
            <v>0</v>
          </cell>
          <cell r="CT239">
            <v>0</v>
          </cell>
          <cell r="CV239">
            <v>0</v>
          </cell>
          <cell r="CX239">
            <v>0</v>
          </cell>
          <cell r="CZ239">
            <v>0</v>
          </cell>
          <cell r="DB239">
            <v>0</v>
          </cell>
          <cell r="DD239">
            <v>0</v>
          </cell>
          <cell r="DF239">
            <v>0</v>
          </cell>
          <cell r="DH239">
            <v>0</v>
          </cell>
          <cell r="DJ239">
            <v>0</v>
          </cell>
          <cell r="DL239">
            <v>0</v>
          </cell>
          <cell r="DN239">
            <v>0</v>
          </cell>
          <cell r="DP239">
            <v>0</v>
          </cell>
          <cell r="DR239">
            <v>0</v>
          </cell>
          <cell r="DT239">
            <v>0</v>
          </cell>
          <cell r="DV239">
            <v>0</v>
          </cell>
          <cell r="DX239">
            <v>0</v>
          </cell>
          <cell r="DZ239">
            <v>0</v>
          </cell>
          <cell r="EB239">
            <v>0</v>
          </cell>
          <cell r="ED239">
            <v>0</v>
          </cell>
          <cell r="EF239">
            <v>0</v>
          </cell>
          <cell r="EH239">
            <v>0</v>
          </cell>
          <cell r="EJ239">
            <v>0</v>
          </cell>
          <cell r="EL239">
            <v>0</v>
          </cell>
          <cell r="EN239">
            <v>0</v>
          </cell>
          <cell r="EP239">
            <v>0</v>
          </cell>
          <cell r="ER239">
            <v>0</v>
          </cell>
          <cell r="ET239">
            <v>0</v>
          </cell>
          <cell r="EV239">
            <v>0</v>
          </cell>
          <cell r="EX239">
            <v>0</v>
          </cell>
          <cell r="EZ239">
            <v>0</v>
          </cell>
          <cell r="FB239">
            <v>0</v>
          </cell>
          <cell r="FD239">
            <v>0</v>
          </cell>
          <cell r="FF239">
            <v>0</v>
          </cell>
          <cell r="FH239">
            <v>0</v>
          </cell>
          <cell r="FJ239">
            <v>0</v>
          </cell>
          <cell r="FL239">
            <v>0</v>
          </cell>
          <cell r="FN239">
            <v>0</v>
          </cell>
          <cell r="FP239">
            <v>0</v>
          </cell>
          <cell r="FR239">
            <v>0</v>
          </cell>
          <cell r="FT239">
            <v>0</v>
          </cell>
          <cell r="FV239">
            <v>0</v>
          </cell>
          <cell r="GD239">
            <v>14</v>
          </cell>
          <cell r="GF239">
            <v>4</v>
          </cell>
          <cell r="GH239">
            <v>1</v>
          </cell>
          <cell r="GJ239">
            <v>7</v>
          </cell>
          <cell r="GM239">
            <v>107.01</v>
          </cell>
          <cell r="GN23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110.檢查勞工個人防護具：█有 □無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W239" t="str">
            <v>（一）施工廠商施工前檢查事項辦理情形：█完成 □未完成 （二）其他工地安全衛生督導事項：</v>
          </cell>
          <cell r="GX239">
            <v>853901</v>
          </cell>
          <cell r="GY239">
            <v>0</v>
          </cell>
        </row>
        <row r="240">
          <cell r="N240">
            <v>1</v>
          </cell>
          <cell r="P240">
            <v>1</v>
          </cell>
          <cell r="R240">
            <v>672</v>
          </cell>
          <cell r="T240">
            <v>108</v>
          </cell>
          <cell r="V240">
            <v>661</v>
          </cell>
          <cell r="X240">
            <v>2</v>
          </cell>
          <cell r="Z240">
            <v>1</v>
          </cell>
          <cell r="AB240">
            <v>661</v>
          </cell>
          <cell r="AD240">
            <v>2</v>
          </cell>
          <cell r="AF240">
            <v>1</v>
          </cell>
          <cell r="AH240">
            <v>1</v>
          </cell>
          <cell r="AJ240">
            <v>1</v>
          </cell>
          <cell r="AL240">
            <v>0</v>
          </cell>
          <cell r="AN240">
            <v>0</v>
          </cell>
          <cell r="AP240">
            <v>0</v>
          </cell>
          <cell r="AR240">
            <v>0</v>
          </cell>
          <cell r="AT240">
            <v>0</v>
          </cell>
          <cell r="AV240">
            <v>0</v>
          </cell>
          <cell r="AX240">
            <v>0</v>
          </cell>
          <cell r="AZ240">
            <v>0</v>
          </cell>
          <cell r="BB240">
            <v>0</v>
          </cell>
          <cell r="BD240">
            <v>0</v>
          </cell>
          <cell r="BF240">
            <v>0</v>
          </cell>
          <cell r="BH240">
            <v>0</v>
          </cell>
          <cell r="BJ240">
            <v>0</v>
          </cell>
          <cell r="BL240">
            <v>0</v>
          </cell>
          <cell r="BN240">
            <v>0</v>
          </cell>
          <cell r="BP240">
            <v>0</v>
          </cell>
          <cell r="BR240">
            <v>0</v>
          </cell>
          <cell r="BT240">
            <v>0</v>
          </cell>
          <cell r="BV240">
            <v>0</v>
          </cell>
          <cell r="BX240">
            <v>0</v>
          </cell>
          <cell r="BZ240">
            <v>0</v>
          </cell>
          <cell r="CB240">
            <v>0</v>
          </cell>
          <cell r="CD240">
            <v>0</v>
          </cell>
          <cell r="CF240">
            <v>0</v>
          </cell>
          <cell r="CH240">
            <v>0</v>
          </cell>
          <cell r="CJ240">
            <v>0</v>
          </cell>
          <cell r="CL240">
            <v>0</v>
          </cell>
          <cell r="CN240">
            <v>0</v>
          </cell>
          <cell r="CP240">
            <v>0</v>
          </cell>
          <cell r="CR240">
            <v>0</v>
          </cell>
          <cell r="CT240">
            <v>0</v>
          </cell>
          <cell r="CV240">
            <v>0</v>
          </cell>
          <cell r="CX240">
            <v>0</v>
          </cell>
          <cell r="CZ240">
            <v>0</v>
          </cell>
          <cell r="DB240">
            <v>0</v>
          </cell>
          <cell r="DD240">
            <v>0</v>
          </cell>
          <cell r="DF240">
            <v>0</v>
          </cell>
          <cell r="DH240">
            <v>0</v>
          </cell>
          <cell r="DJ240">
            <v>0</v>
          </cell>
          <cell r="DL240">
            <v>0</v>
          </cell>
          <cell r="DN240">
            <v>0</v>
          </cell>
          <cell r="DP240">
            <v>0</v>
          </cell>
          <cell r="DR240">
            <v>0</v>
          </cell>
          <cell r="DT240">
            <v>0</v>
          </cell>
          <cell r="DV240">
            <v>0</v>
          </cell>
          <cell r="DX240">
            <v>0</v>
          </cell>
          <cell r="DZ240">
            <v>0</v>
          </cell>
          <cell r="EB240">
            <v>0</v>
          </cell>
          <cell r="ED240">
            <v>0</v>
          </cell>
          <cell r="EF240">
            <v>0</v>
          </cell>
          <cell r="EH240">
            <v>0</v>
          </cell>
          <cell r="EJ240">
            <v>0</v>
          </cell>
          <cell r="EL240">
            <v>0</v>
          </cell>
          <cell r="EN240">
            <v>0</v>
          </cell>
          <cell r="EP240">
            <v>0</v>
          </cell>
          <cell r="ER240">
            <v>0</v>
          </cell>
          <cell r="ET240">
            <v>0</v>
          </cell>
          <cell r="EV240">
            <v>0</v>
          </cell>
          <cell r="EX240">
            <v>0</v>
          </cell>
          <cell r="EZ240">
            <v>0</v>
          </cell>
          <cell r="FB240">
            <v>0</v>
          </cell>
          <cell r="FD240">
            <v>0</v>
          </cell>
          <cell r="FF240">
            <v>0</v>
          </cell>
          <cell r="FH240">
            <v>0</v>
          </cell>
          <cell r="FJ240">
            <v>0</v>
          </cell>
          <cell r="FL240">
            <v>0</v>
          </cell>
          <cell r="FN240">
            <v>0</v>
          </cell>
          <cell r="FP240">
            <v>0</v>
          </cell>
          <cell r="FR240">
            <v>0</v>
          </cell>
          <cell r="FT240">
            <v>0</v>
          </cell>
          <cell r="FV240">
            <v>0</v>
          </cell>
          <cell r="GD240">
            <v>14</v>
          </cell>
          <cell r="GF240">
            <v>4</v>
          </cell>
          <cell r="GH240">
            <v>1</v>
          </cell>
          <cell r="GJ240">
            <v>7</v>
          </cell>
          <cell r="GM240">
            <v>108.01</v>
          </cell>
          <cell r="GN24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111.檢查勞工個人防護具：█有 □無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W240" t="str">
            <v>（一）施工廠商施工前檢查事項辦理情形：█完成 □未完成 （二）其他工地安全衛生督導事項：</v>
          </cell>
          <cell r="GX240">
            <v>853901</v>
          </cell>
          <cell r="GY240">
            <v>0</v>
          </cell>
        </row>
        <row r="241">
          <cell r="N241">
            <v>1</v>
          </cell>
          <cell r="P241">
            <v>1</v>
          </cell>
          <cell r="R241">
            <v>672</v>
          </cell>
          <cell r="T241">
            <v>108</v>
          </cell>
          <cell r="V241">
            <v>661</v>
          </cell>
          <cell r="X241">
            <v>2</v>
          </cell>
          <cell r="Z241">
            <v>1</v>
          </cell>
          <cell r="AB241">
            <v>661</v>
          </cell>
          <cell r="AD241">
            <v>2</v>
          </cell>
          <cell r="AF241">
            <v>1</v>
          </cell>
          <cell r="AH241">
            <v>1</v>
          </cell>
          <cell r="AJ241">
            <v>1</v>
          </cell>
          <cell r="AL241">
            <v>0</v>
          </cell>
          <cell r="AN241">
            <v>0</v>
          </cell>
          <cell r="AP241">
            <v>0</v>
          </cell>
          <cell r="AR241">
            <v>0</v>
          </cell>
          <cell r="AT241">
            <v>0</v>
          </cell>
          <cell r="AV241">
            <v>0</v>
          </cell>
          <cell r="AX241">
            <v>0</v>
          </cell>
          <cell r="AZ241">
            <v>0</v>
          </cell>
          <cell r="BB241">
            <v>0</v>
          </cell>
          <cell r="BD241">
            <v>0</v>
          </cell>
          <cell r="BF241">
            <v>0</v>
          </cell>
          <cell r="BH241">
            <v>0</v>
          </cell>
          <cell r="BJ241">
            <v>0</v>
          </cell>
          <cell r="BL241">
            <v>0</v>
          </cell>
          <cell r="BN241">
            <v>0</v>
          </cell>
          <cell r="BP241">
            <v>0</v>
          </cell>
          <cell r="BR241">
            <v>0</v>
          </cell>
          <cell r="BT241">
            <v>0</v>
          </cell>
          <cell r="BV241">
            <v>0</v>
          </cell>
          <cell r="BX241">
            <v>0</v>
          </cell>
          <cell r="BZ241">
            <v>0</v>
          </cell>
          <cell r="CB241">
            <v>0</v>
          </cell>
          <cell r="CD241">
            <v>0</v>
          </cell>
          <cell r="CF241">
            <v>0</v>
          </cell>
          <cell r="CH241">
            <v>0</v>
          </cell>
          <cell r="CJ241">
            <v>0</v>
          </cell>
          <cell r="CL241">
            <v>0</v>
          </cell>
          <cell r="CN241">
            <v>0</v>
          </cell>
          <cell r="CP241">
            <v>0</v>
          </cell>
          <cell r="CR241">
            <v>0</v>
          </cell>
          <cell r="CT241">
            <v>0</v>
          </cell>
          <cell r="CV241">
            <v>0</v>
          </cell>
          <cell r="CX241">
            <v>0</v>
          </cell>
          <cell r="CZ241">
            <v>0</v>
          </cell>
          <cell r="DB241">
            <v>0</v>
          </cell>
          <cell r="DD241">
            <v>0</v>
          </cell>
          <cell r="DF241">
            <v>0</v>
          </cell>
          <cell r="DH241">
            <v>0</v>
          </cell>
          <cell r="DJ241">
            <v>0</v>
          </cell>
          <cell r="DL241">
            <v>0</v>
          </cell>
          <cell r="DN241">
            <v>0</v>
          </cell>
          <cell r="DP241">
            <v>0</v>
          </cell>
          <cell r="DR241">
            <v>0</v>
          </cell>
          <cell r="DT241">
            <v>0</v>
          </cell>
          <cell r="DV241">
            <v>0</v>
          </cell>
          <cell r="DX241">
            <v>0</v>
          </cell>
          <cell r="DZ241">
            <v>0</v>
          </cell>
          <cell r="EB241">
            <v>0</v>
          </cell>
          <cell r="ED241">
            <v>0</v>
          </cell>
          <cell r="EF241">
            <v>0</v>
          </cell>
          <cell r="EH241">
            <v>0</v>
          </cell>
          <cell r="EJ241">
            <v>0</v>
          </cell>
          <cell r="EL241">
            <v>0</v>
          </cell>
          <cell r="EN241">
            <v>0</v>
          </cell>
          <cell r="EP241">
            <v>0</v>
          </cell>
          <cell r="ER241">
            <v>0</v>
          </cell>
          <cell r="ET241">
            <v>0</v>
          </cell>
          <cell r="EV241">
            <v>0</v>
          </cell>
          <cell r="EX241">
            <v>0</v>
          </cell>
          <cell r="EZ241">
            <v>0</v>
          </cell>
          <cell r="FB241">
            <v>0</v>
          </cell>
          <cell r="FD241">
            <v>0</v>
          </cell>
          <cell r="FF241">
            <v>0</v>
          </cell>
          <cell r="FH241">
            <v>0</v>
          </cell>
          <cell r="FJ241">
            <v>0</v>
          </cell>
          <cell r="FL241">
            <v>0</v>
          </cell>
          <cell r="FN241">
            <v>0</v>
          </cell>
          <cell r="FP241">
            <v>0</v>
          </cell>
          <cell r="FR241">
            <v>0</v>
          </cell>
          <cell r="FT241">
            <v>0</v>
          </cell>
          <cell r="FV241">
            <v>0</v>
          </cell>
          <cell r="GD241">
            <v>14</v>
          </cell>
          <cell r="GF241">
            <v>4</v>
          </cell>
          <cell r="GH241">
            <v>1</v>
          </cell>
          <cell r="GJ241">
            <v>7</v>
          </cell>
          <cell r="GM241">
            <v>109.01</v>
          </cell>
          <cell r="GN24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112.檢查勞工個人防護具：█有 □無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W241" t="str">
            <v>（一）施工廠商施工前檢查事項辦理情形：█完成 □未完成 （二）其他工地安全衛生督導事項：</v>
          </cell>
          <cell r="GX241">
            <v>853901</v>
          </cell>
          <cell r="GY241">
            <v>0</v>
          </cell>
        </row>
        <row r="242">
          <cell r="N242">
            <v>1</v>
          </cell>
          <cell r="P242">
            <v>1</v>
          </cell>
          <cell r="R242">
            <v>672</v>
          </cell>
          <cell r="T242">
            <v>108</v>
          </cell>
          <cell r="V242">
            <v>661</v>
          </cell>
          <cell r="X242">
            <v>2</v>
          </cell>
          <cell r="Z242">
            <v>1</v>
          </cell>
          <cell r="AB242">
            <v>661</v>
          </cell>
          <cell r="AD242">
            <v>2</v>
          </cell>
          <cell r="AF242">
            <v>1</v>
          </cell>
          <cell r="AH242">
            <v>1</v>
          </cell>
          <cell r="AJ242">
            <v>1</v>
          </cell>
          <cell r="AL242">
            <v>0</v>
          </cell>
          <cell r="AN242">
            <v>0</v>
          </cell>
          <cell r="AP242">
            <v>0</v>
          </cell>
          <cell r="AR242">
            <v>0</v>
          </cell>
          <cell r="AT242">
            <v>0</v>
          </cell>
          <cell r="AV242">
            <v>0</v>
          </cell>
          <cell r="AX242">
            <v>0</v>
          </cell>
          <cell r="AZ242">
            <v>0</v>
          </cell>
          <cell r="BB242">
            <v>0</v>
          </cell>
          <cell r="BD242">
            <v>0</v>
          </cell>
          <cell r="BF242">
            <v>0</v>
          </cell>
          <cell r="BH242">
            <v>0</v>
          </cell>
          <cell r="BJ242">
            <v>0</v>
          </cell>
          <cell r="BL242">
            <v>0</v>
          </cell>
          <cell r="BN242">
            <v>0</v>
          </cell>
          <cell r="BP242">
            <v>0</v>
          </cell>
          <cell r="BR242">
            <v>0</v>
          </cell>
          <cell r="BT242">
            <v>0</v>
          </cell>
          <cell r="BV242">
            <v>0</v>
          </cell>
          <cell r="BX242">
            <v>0</v>
          </cell>
          <cell r="BZ242">
            <v>0</v>
          </cell>
          <cell r="CB242">
            <v>0</v>
          </cell>
          <cell r="CD242">
            <v>0</v>
          </cell>
          <cell r="CF242">
            <v>0</v>
          </cell>
          <cell r="CH242">
            <v>0</v>
          </cell>
          <cell r="CJ242">
            <v>0</v>
          </cell>
          <cell r="CL242">
            <v>0</v>
          </cell>
          <cell r="CN242">
            <v>0</v>
          </cell>
          <cell r="CP242">
            <v>0</v>
          </cell>
          <cell r="CR242">
            <v>0</v>
          </cell>
          <cell r="CT242">
            <v>0</v>
          </cell>
          <cell r="CV242">
            <v>0</v>
          </cell>
          <cell r="CX242">
            <v>0</v>
          </cell>
          <cell r="CZ242">
            <v>0</v>
          </cell>
          <cell r="DB242">
            <v>0</v>
          </cell>
          <cell r="DD242">
            <v>0</v>
          </cell>
          <cell r="DF242">
            <v>0</v>
          </cell>
          <cell r="DH242">
            <v>0</v>
          </cell>
          <cell r="DJ242">
            <v>0</v>
          </cell>
          <cell r="DL242">
            <v>0</v>
          </cell>
          <cell r="DN242">
            <v>0</v>
          </cell>
          <cell r="DP242">
            <v>0</v>
          </cell>
          <cell r="DR242">
            <v>0</v>
          </cell>
          <cell r="DT242">
            <v>0</v>
          </cell>
          <cell r="DV242">
            <v>0</v>
          </cell>
          <cell r="DX242">
            <v>0</v>
          </cell>
          <cell r="DZ242">
            <v>0</v>
          </cell>
          <cell r="EB242">
            <v>0</v>
          </cell>
          <cell r="ED242">
            <v>0</v>
          </cell>
          <cell r="EF242">
            <v>0</v>
          </cell>
          <cell r="EH242">
            <v>0</v>
          </cell>
          <cell r="EJ242">
            <v>0</v>
          </cell>
          <cell r="EL242">
            <v>0</v>
          </cell>
          <cell r="EN242">
            <v>0</v>
          </cell>
          <cell r="EP242">
            <v>0</v>
          </cell>
          <cell r="ER242">
            <v>0</v>
          </cell>
          <cell r="ET242">
            <v>0</v>
          </cell>
          <cell r="EV242">
            <v>0</v>
          </cell>
          <cell r="EX242">
            <v>0</v>
          </cell>
          <cell r="EZ242">
            <v>0</v>
          </cell>
          <cell r="FB242">
            <v>0</v>
          </cell>
          <cell r="FD242">
            <v>0</v>
          </cell>
          <cell r="FF242">
            <v>0</v>
          </cell>
          <cell r="FH242">
            <v>0</v>
          </cell>
          <cell r="FJ242">
            <v>0</v>
          </cell>
          <cell r="FL242">
            <v>0</v>
          </cell>
          <cell r="FN242">
            <v>0</v>
          </cell>
          <cell r="FP242">
            <v>0</v>
          </cell>
          <cell r="FR242">
            <v>0</v>
          </cell>
          <cell r="FT242">
            <v>0</v>
          </cell>
          <cell r="FV242">
            <v>0</v>
          </cell>
          <cell r="GD242">
            <v>14</v>
          </cell>
          <cell r="GF242">
            <v>4</v>
          </cell>
          <cell r="GH242">
            <v>1</v>
          </cell>
          <cell r="GJ242">
            <v>7</v>
          </cell>
          <cell r="GM242">
            <v>110.01</v>
          </cell>
          <cell r="GN24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113.檢查勞工個人防護具：█有 □無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W242" t="str">
            <v>（一）施工廠商施工前檢查事項辦理情形：█完成 □未完成 （二）其他工地安全衛生督導事項：</v>
          </cell>
          <cell r="GX242">
            <v>853901</v>
          </cell>
          <cell r="GY242">
            <v>0</v>
          </cell>
        </row>
        <row r="243">
          <cell r="N243">
            <v>1</v>
          </cell>
          <cell r="P243">
            <v>1</v>
          </cell>
          <cell r="R243">
            <v>672</v>
          </cell>
          <cell r="T243">
            <v>108</v>
          </cell>
          <cell r="V243">
            <v>661</v>
          </cell>
          <cell r="X243">
            <v>2</v>
          </cell>
          <cell r="Z243">
            <v>1</v>
          </cell>
          <cell r="AB243">
            <v>661</v>
          </cell>
          <cell r="AD243">
            <v>2</v>
          </cell>
          <cell r="AF243">
            <v>1</v>
          </cell>
          <cell r="AH243">
            <v>1</v>
          </cell>
          <cell r="AJ243">
            <v>1</v>
          </cell>
          <cell r="AL243">
            <v>0</v>
          </cell>
          <cell r="AN243">
            <v>0</v>
          </cell>
          <cell r="AP243">
            <v>0</v>
          </cell>
          <cell r="AR243">
            <v>0</v>
          </cell>
          <cell r="AT243">
            <v>0</v>
          </cell>
          <cell r="AV243">
            <v>0</v>
          </cell>
          <cell r="AX243">
            <v>0</v>
          </cell>
          <cell r="AZ243">
            <v>0</v>
          </cell>
          <cell r="BB243">
            <v>0</v>
          </cell>
          <cell r="BD243">
            <v>0</v>
          </cell>
          <cell r="BF243">
            <v>0</v>
          </cell>
          <cell r="BH243">
            <v>0</v>
          </cell>
          <cell r="BJ243">
            <v>0</v>
          </cell>
          <cell r="BL243">
            <v>0</v>
          </cell>
          <cell r="BN243">
            <v>0</v>
          </cell>
          <cell r="BP243">
            <v>0</v>
          </cell>
          <cell r="BR243">
            <v>0</v>
          </cell>
          <cell r="BT243">
            <v>0</v>
          </cell>
          <cell r="BV243">
            <v>0</v>
          </cell>
          <cell r="BX243">
            <v>0</v>
          </cell>
          <cell r="BZ243">
            <v>0</v>
          </cell>
          <cell r="CB243">
            <v>0</v>
          </cell>
          <cell r="CD243">
            <v>0</v>
          </cell>
          <cell r="CF243">
            <v>0</v>
          </cell>
          <cell r="CH243">
            <v>0</v>
          </cell>
          <cell r="CJ243">
            <v>0</v>
          </cell>
          <cell r="CL243">
            <v>0</v>
          </cell>
          <cell r="CN243">
            <v>0</v>
          </cell>
          <cell r="CP243">
            <v>0</v>
          </cell>
          <cell r="CR243">
            <v>0</v>
          </cell>
          <cell r="CT243">
            <v>0</v>
          </cell>
          <cell r="CV243">
            <v>0</v>
          </cell>
          <cell r="CX243">
            <v>0</v>
          </cell>
          <cell r="CZ243">
            <v>0</v>
          </cell>
          <cell r="DB243">
            <v>0</v>
          </cell>
          <cell r="DD243">
            <v>0</v>
          </cell>
          <cell r="DF243">
            <v>0</v>
          </cell>
          <cell r="DH243">
            <v>0</v>
          </cell>
          <cell r="DJ243">
            <v>0</v>
          </cell>
          <cell r="DL243">
            <v>0</v>
          </cell>
          <cell r="DN243">
            <v>0</v>
          </cell>
          <cell r="DP243">
            <v>0</v>
          </cell>
          <cell r="DR243">
            <v>0</v>
          </cell>
          <cell r="DT243">
            <v>0</v>
          </cell>
          <cell r="DV243">
            <v>0</v>
          </cell>
          <cell r="DX243">
            <v>0</v>
          </cell>
          <cell r="DZ243">
            <v>0</v>
          </cell>
          <cell r="EB243">
            <v>0</v>
          </cell>
          <cell r="ED243">
            <v>0</v>
          </cell>
          <cell r="EF243">
            <v>0</v>
          </cell>
          <cell r="EH243">
            <v>0</v>
          </cell>
          <cell r="EJ243">
            <v>0</v>
          </cell>
          <cell r="EL243">
            <v>0</v>
          </cell>
          <cell r="EN243">
            <v>0</v>
          </cell>
          <cell r="EP243">
            <v>0</v>
          </cell>
          <cell r="ER243">
            <v>0</v>
          </cell>
          <cell r="ET243">
            <v>0</v>
          </cell>
          <cell r="EV243">
            <v>0</v>
          </cell>
          <cell r="EX243">
            <v>0</v>
          </cell>
          <cell r="EZ243">
            <v>0</v>
          </cell>
          <cell r="FB243">
            <v>0</v>
          </cell>
          <cell r="FD243">
            <v>0</v>
          </cell>
          <cell r="FF243">
            <v>0</v>
          </cell>
          <cell r="FH243">
            <v>0</v>
          </cell>
          <cell r="FJ243">
            <v>0</v>
          </cell>
          <cell r="FL243">
            <v>0</v>
          </cell>
          <cell r="FN243">
            <v>0</v>
          </cell>
          <cell r="FP243">
            <v>0</v>
          </cell>
          <cell r="FR243">
            <v>0</v>
          </cell>
          <cell r="FT243">
            <v>0</v>
          </cell>
          <cell r="FV243">
            <v>0</v>
          </cell>
          <cell r="GD243">
            <v>14</v>
          </cell>
          <cell r="GF243">
            <v>4</v>
          </cell>
          <cell r="GH243">
            <v>1</v>
          </cell>
          <cell r="GJ243">
            <v>7</v>
          </cell>
          <cell r="GM243">
            <v>111.01</v>
          </cell>
          <cell r="GN24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114.檢查勞工個人防護具：█有 □無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W243" t="str">
            <v>（一）施工廠商施工前檢查事項辦理情形：█完成 □未完成 （二）其他工地安全衛生督導事項：</v>
          </cell>
          <cell r="GX243">
            <v>853901</v>
          </cell>
          <cell r="GY243">
            <v>0</v>
          </cell>
        </row>
        <row r="244">
          <cell r="N244">
            <v>1</v>
          </cell>
          <cell r="P244">
            <v>1</v>
          </cell>
          <cell r="R244">
            <v>672</v>
          </cell>
          <cell r="T244">
            <v>108</v>
          </cell>
          <cell r="V244">
            <v>661</v>
          </cell>
          <cell r="X244">
            <v>2</v>
          </cell>
          <cell r="Z244">
            <v>1</v>
          </cell>
          <cell r="AB244">
            <v>661</v>
          </cell>
          <cell r="AD244">
            <v>2</v>
          </cell>
          <cell r="AF244">
            <v>1</v>
          </cell>
          <cell r="AH244">
            <v>1</v>
          </cell>
          <cell r="AJ244">
            <v>1</v>
          </cell>
          <cell r="AL244">
            <v>0</v>
          </cell>
          <cell r="AN244">
            <v>0</v>
          </cell>
          <cell r="AP244">
            <v>0</v>
          </cell>
          <cell r="AR244">
            <v>0</v>
          </cell>
          <cell r="AT244">
            <v>0</v>
          </cell>
          <cell r="AV244">
            <v>0</v>
          </cell>
          <cell r="AX244">
            <v>0</v>
          </cell>
          <cell r="AZ244">
            <v>0</v>
          </cell>
          <cell r="BB244">
            <v>0</v>
          </cell>
          <cell r="BD244">
            <v>0</v>
          </cell>
          <cell r="BF244">
            <v>0</v>
          </cell>
          <cell r="BH244">
            <v>0</v>
          </cell>
          <cell r="BJ244">
            <v>0</v>
          </cell>
          <cell r="BL244">
            <v>0</v>
          </cell>
          <cell r="BN244">
            <v>0</v>
          </cell>
          <cell r="BP244">
            <v>0</v>
          </cell>
          <cell r="BR244">
            <v>0</v>
          </cell>
          <cell r="BT244">
            <v>0</v>
          </cell>
          <cell r="BV244">
            <v>0</v>
          </cell>
          <cell r="BX244">
            <v>0</v>
          </cell>
          <cell r="BZ244">
            <v>0</v>
          </cell>
          <cell r="CB244">
            <v>0</v>
          </cell>
          <cell r="CD244">
            <v>0</v>
          </cell>
          <cell r="CF244">
            <v>0</v>
          </cell>
          <cell r="CH244">
            <v>0</v>
          </cell>
          <cell r="CJ244">
            <v>0</v>
          </cell>
          <cell r="CL244">
            <v>0</v>
          </cell>
          <cell r="CN244">
            <v>0</v>
          </cell>
          <cell r="CP244">
            <v>0</v>
          </cell>
          <cell r="CR244">
            <v>0</v>
          </cell>
          <cell r="CT244">
            <v>0</v>
          </cell>
          <cell r="CV244">
            <v>0</v>
          </cell>
          <cell r="CX244">
            <v>0</v>
          </cell>
          <cell r="CZ244">
            <v>0</v>
          </cell>
          <cell r="DB244">
            <v>0</v>
          </cell>
          <cell r="DD244">
            <v>0</v>
          </cell>
          <cell r="DF244">
            <v>0</v>
          </cell>
          <cell r="DH244">
            <v>0</v>
          </cell>
          <cell r="DJ244">
            <v>0</v>
          </cell>
          <cell r="DL244">
            <v>0</v>
          </cell>
          <cell r="DN244">
            <v>0</v>
          </cell>
          <cell r="DP244">
            <v>0</v>
          </cell>
          <cell r="DR244">
            <v>0</v>
          </cell>
          <cell r="DT244">
            <v>0</v>
          </cell>
          <cell r="DV244">
            <v>0</v>
          </cell>
          <cell r="DX244">
            <v>0</v>
          </cell>
          <cell r="DZ244">
            <v>0</v>
          </cell>
          <cell r="EB244">
            <v>0</v>
          </cell>
          <cell r="ED244">
            <v>0</v>
          </cell>
          <cell r="EF244">
            <v>0</v>
          </cell>
          <cell r="EH244">
            <v>0</v>
          </cell>
          <cell r="EJ244">
            <v>0</v>
          </cell>
          <cell r="EL244">
            <v>0</v>
          </cell>
          <cell r="EN244">
            <v>0</v>
          </cell>
          <cell r="EP244">
            <v>0</v>
          </cell>
          <cell r="ER244">
            <v>0</v>
          </cell>
          <cell r="ET244">
            <v>0</v>
          </cell>
          <cell r="EV244">
            <v>0</v>
          </cell>
          <cell r="EX244">
            <v>0</v>
          </cell>
          <cell r="EZ244">
            <v>0</v>
          </cell>
          <cell r="FB244">
            <v>0</v>
          </cell>
          <cell r="FD244">
            <v>0</v>
          </cell>
          <cell r="FF244">
            <v>0</v>
          </cell>
          <cell r="FH244">
            <v>0</v>
          </cell>
          <cell r="FJ244">
            <v>0</v>
          </cell>
          <cell r="FL244">
            <v>0</v>
          </cell>
          <cell r="FN244">
            <v>0</v>
          </cell>
          <cell r="FP244">
            <v>0</v>
          </cell>
          <cell r="FR244">
            <v>0</v>
          </cell>
          <cell r="FT244">
            <v>0</v>
          </cell>
          <cell r="FV244">
            <v>0</v>
          </cell>
          <cell r="GD244">
            <v>14</v>
          </cell>
          <cell r="GF244">
            <v>4</v>
          </cell>
          <cell r="GH244">
            <v>1</v>
          </cell>
          <cell r="GJ244">
            <v>7</v>
          </cell>
          <cell r="GM244">
            <v>112.01</v>
          </cell>
          <cell r="GN24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115.檢查勞工個人防護具：█有 □無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W244" t="str">
            <v>（一）施工廠商施工前檢查事項辦理情形：█完成 □未完成 （二）其他工地安全衛生督導事項：</v>
          </cell>
          <cell r="GX244">
            <v>853901</v>
          </cell>
          <cell r="GY244">
            <v>0</v>
          </cell>
        </row>
        <row r="245">
          <cell r="N245">
            <v>1</v>
          </cell>
          <cell r="P245">
            <v>1</v>
          </cell>
          <cell r="R245">
            <v>672</v>
          </cell>
          <cell r="T245">
            <v>108</v>
          </cell>
          <cell r="V245">
            <v>661</v>
          </cell>
          <cell r="X245">
            <v>2</v>
          </cell>
          <cell r="Z245">
            <v>1</v>
          </cell>
          <cell r="AB245">
            <v>661</v>
          </cell>
          <cell r="AD245">
            <v>2</v>
          </cell>
          <cell r="AF245">
            <v>1</v>
          </cell>
          <cell r="AH245">
            <v>1</v>
          </cell>
          <cell r="AJ245">
            <v>1</v>
          </cell>
          <cell r="AL245">
            <v>0</v>
          </cell>
          <cell r="AN245">
            <v>0</v>
          </cell>
          <cell r="AP245">
            <v>0</v>
          </cell>
          <cell r="AR245">
            <v>0</v>
          </cell>
          <cell r="AT245">
            <v>0</v>
          </cell>
          <cell r="AV245">
            <v>0</v>
          </cell>
          <cell r="AX245">
            <v>0</v>
          </cell>
          <cell r="AZ245">
            <v>0</v>
          </cell>
          <cell r="BB245">
            <v>0</v>
          </cell>
          <cell r="BD245">
            <v>0</v>
          </cell>
          <cell r="BF245">
            <v>0</v>
          </cell>
          <cell r="BH245">
            <v>0</v>
          </cell>
          <cell r="BJ245">
            <v>0</v>
          </cell>
          <cell r="BL245">
            <v>0</v>
          </cell>
          <cell r="BN245">
            <v>0</v>
          </cell>
          <cell r="BP245">
            <v>0</v>
          </cell>
          <cell r="BR245">
            <v>0</v>
          </cell>
          <cell r="BT245">
            <v>0</v>
          </cell>
          <cell r="BV245">
            <v>0</v>
          </cell>
          <cell r="BX245">
            <v>0</v>
          </cell>
          <cell r="BZ245">
            <v>0</v>
          </cell>
          <cell r="CB245">
            <v>0</v>
          </cell>
          <cell r="CD245">
            <v>0</v>
          </cell>
          <cell r="CF245">
            <v>0</v>
          </cell>
          <cell r="CH245">
            <v>0</v>
          </cell>
          <cell r="CJ245">
            <v>0</v>
          </cell>
          <cell r="CL245">
            <v>0</v>
          </cell>
          <cell r="CN245">
            <v>0</v>
          </cell>
          <cell r="CP245">
            <v>0</v>
          </cell>
          <cell r="CR245">
            <v>0</v>
          </cell>
          <cell r="CT245">
            <v>0</v>
          </cell>
          <cell r="CV245">
            <v>0</v>
          </cell>
          <cell r="CX245">
            <v>0</v>
          </cell>
          <cell r="CZ245">
            <v>0</v>
          </cell>
          <cell r="DB245">
            <v>0</v>
          </cell>
          <cell r="DD245">
            <v>0</v>
          </cell>
          <cell r="DF245">
            <v>0</v>
          </cell>
          <cell r="DH245">
            <v>0</v>
          </cell>
          <cell r="DJ245">
            <v>0</v>
          </cell>
          <cell r="DL245">
            <v>0</v>
          </cell>
          <cell r="DN245">
            <v>0</v>
          </cell>
          <cell r="DP245">
            <v>0</v>
          </cell>
          <cell r="DR245">
            <v>0</v>
          </cell>
          <cell r="DT245">
            <v>0</v>
          </cell>
          <cell r="DV245">
            <v>0</v>
          </cell>
          <cell r="DX245">
            <v>0</v>
          </cell>
          <cell r="DZ245">
            <v>0</v>
          </cell>
          <cell r="EB245">
            <v>0</v>
          </cell>
          <cell r="ED245">
            <v>0</v>
          </cell>
          <cell r="EF245">
            <v>0</v>
          </cell>
          <cell r="EH245">
            <v>0</v>
          </cell>
          <cell r="EJ245">
            <v>0</v>
          </cell>
          <cell r="EL245">
            <v>0</v>
          </cell>
          <cell r="EN245">
            <v>0</v>
          </cell>
          <cell r="EP245">
            <v>0</v>
          </cell>
          <cell r="ER245">
            <v>0</v>
          </cell>
          <cell r="ET245">
            <v>0</v>
          </cell>
          <cell r="EV245">
            <v>0</v>
          </cell>
          <cell r="EX245">
            <v>0</v>
          </cell>
          <cell r="EZ245">
            <v>0</v>
          </cell>
          <cell r="FB245">
            <v>0</v>
          </cell>
          <cell r="FD245">
            <v>0</v>
          </cell>
          <cell r="FF245">
            <v>0</v>
          </cell>
          <cell r="FH245">
            <v>0</v>
          </cell>
          <cell r="FJ245">
            <v>0</v>
          </cell>
          <cell r="FL245">
            <v>0</v>
          </cell>
          <cell r="FN245">
            <v>0</v>
          </cell>
          <cell r="FP245">
            <v>0</v>
          </cell>
          <cell r="FR245">
            <v>0</v>
          </cell>
          <cell r="FT245">
            <v>0</v>
          </cell>
          <cell r="FV245">
            <v>0</v>
          </cell>
          <cell r="GD245">
            <v>14</v>
          </cell>
          <cell r="GF245">
            <v>4</v>
          </cell>
          <cell r="GH245">
            <v>1</v>
          </cell>
          <cell r="GJ245">
            <v>7</v>
          </cell>
          <cell r="GM245">
            <v>113.01</v>
          </cell>
          <cell r="GN24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116.檢查勞工個人防護具：█有 □無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W245" t="str">
            <v>（一）施工廠商施工前檢查事項辦理情形：█完成 □未完成 （二）其他工地安全衛生督導事項：</v>
          </cell>
          <cell r="GX245">
            <v>853901</v>
          </cell>
          <cell r="GY245">
            <v>0</v>
          </cell>
        </row>
        <row r="246">
          <cell r="N246">
            <v>1</v>
          </cell>
          <cell r="P246">
            <v>1</v>
          </cell>
          <cell r="R246">
            <v>672</v>
          </cell>
          <cell r="T246">
            <v>108</v>
          </cell>
          <cell r="V246">
            <v>661</v>
          </cell>
          <cell r="X246">
            <v>2</v>
          </cell>
          <cell r="Z246">
            <v>1</v>
          </cell>
          <cell r="AB246">
            <v>661</v>
          </cell>
          <cell r="AD246">
            <v>2</v>
          </cell>
          <cell r="AF246">
            <v>1</v>
          </cell>
          <cell r="AH246">
            <v>1</v>
          </cell>
          <cell r="AJ246">
            <v>1</v>
          </cell>
          <cell r="AL246">
            <v>0</v>
          </cell>
          <cell r="AN246">
            <v>0</v>
          </cell>
          <cell r="AP246">
            <v>0</v>
          </cell>
          <cell r="AR246">
            <v>0</v>
          </cell>
          <cell r="AT246">
            <v>0</v>
          </cell>
          <cell r="AV246">
            <v>0</v>
          </cell>
          <cell r="AX246">
            <v>0</v>
          </cell>
          <cell r="AZ246">
            <v>0</v>
          </cell>
          <cell r="BB246">
            <v>0</v>
          </cell>
          <cell r="BD246">
            <v>0</v>
          </cell>
          <cell r="BF246">
            <v>0</v>
          </cell>
          <cell r="BH246">
            <v>0</v>
          </cell>
          <cell r="BJ246">
            <v>0</v>
          </cell>
          <cell r="BL246">
            <v>0</v>
          </cell>
          <cell r="BN246">
            <v>0</v>
          </cell>
          <cell r="BP246">
            <v>0</v>
          </cell>
          <cell r="BR246">
            <v>0</v>
          </cell>
          <cell r="BT246">
            <v>0</v>
          </cell>
          <cell r="BV246">
            <v>0</v>
          </cell>
          <cell r="BX246">
            <v>0</v>
          </cell>
          <cell r="BZ246">
            <v>0</v>
          </cell>
          <cell r="CB246">
            <v>0</v>
          </cell>
          <cell r="CD246">
            <v>0</v>
          </cell>
          <cell r="CF246">
            <v>0</v>
          </cell>
          <cell r="CH246">
            <v>0</v>
          </cell>
          <cell r="CJ246">
            <v>0</v>
          </cell>
          <cell r="CL246">
            <v>0</v>
          </cell>
          <cell r="CN246">
            <v>0</v>
          </cell>
          <cell r="CP246">
            <v>0</v>
          </cell>
          <cell r="CR246">
            <v>0</v>
          </cell>
          <cell r="CT246">
            <v>0</v>
          </cell>
          <cell r="CV246">
            <v>0</v>
          </cell>
          <cell r="CX246">
            <v>0</v>
          </cell>
          <cell r="CZ246">
            <v>0</v>
          </cell>
          <cell r="DB246">
            <v>0</v>
          </cell>
          <cell r="DD246">
            <v>0</v>
          </cell>
          <cell r="DF246">
            <v>0</v>
          </cell>
          <cell r="DH246">
            <v>0</v>
          </cell>
          <cell r="DJ246">
            <v>0</v>
          </cell>
          <cell r="DL246">
            <v>0</v>
          </cell>
          <cell r="DN246">
            <v>0</v>
          </cell>
          <cell r="DP246">
            <v>0</v>
          </cell>
          <cell r="DR246">
            <v>0</v>
          </cell>
          <cell r="DT246">
            <v>0</v>
          </cell>
          <cell r="DV246">
            <v>0</v>
          </cell>
          <cell r="DX246">
            <v>0</v>
          </cell>
          <cell r="DZ246">
            <v>0</v>
          </cell>
          <cell r="EB246">
            <v>0</v>
          </cell>
          <cell r="ED246">
            <v>0</v>
          </cell>
          <cell r="EF246">
            <v>0</v>
          </cell>
          <cell r="EH246">
            <v>0</v>
          </cell>
          <cell r="EJ246">
            <v>0</v>
          </cell>
          <cell r="EL246">
            <v>0</v>
          </cell>
          <cell r="EN246">
            <v>0</v>
          </cell>
          <cell r="EP246">
            <v>0</v>
          </cell>
          <cell r="ER246">
            <v>0</v>
          </cell>
          <cell r="ET246">
            <v>0</v>
          </cell>
          <cell r="EV246">
            <v>0</v>
          </cell>
          <cell r="EX246">
            <v>0</v>
          </cell>
          <cell r="EZ246">
            <v>0</v>
          </cell>
          <cell r="FB246">
            <v>0</v>
          </cell>
          <cell r="FD246">
            <v>0</v>
          </cell>
          <cell r="FF246">
            <v>0</v>
          </cell>
          <cell r="FH246">
            <v>0</v>
          </cell>
          <cell r="FJ246">
            <v>0</v>
          </cell>
          <cell r="FL246">
            <v>0</v>
          </cell>
          <cell r="FN246">
            <v>0</v>
          </cell>
          <cell r="FP246">
            <v>0</v>
          </cell>
          <cell r="FR246">
            <v>0</v>
          </cell>
          <cell r="FT246">
            <v>0</v>
          </cell>
          <cell r="FV246">
            <v>0</v>
          </cell>
          <cell r="GD246">
            <v>14</v>
          </cell>
          <cell r="GF246">
            <v>4</v>
          </cell>
          <cell r="GH246">
            <v>1</v>
          </cell>
          <cell r="GJ246">
            <v>7</v>
          </cell>
          <cell r="GM246">
            <v>114.01</v>
          </cell>
          <cell r="GN24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117.檢查勞工個人防護具：█有 □無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W246" t="str">
            <v>（一）施工廠商施工前檢查事項辦理情形：█完成 □未完成 （二）其他工地安全衛生督導事項：</v>
          </cell>
          <cell r="GX246">
            <v>853901</v>
          </cell>
          <cell r="GY246">
            <v>0</v>
          </cell>
        </row>
        <row r="247">
          <cell r="N247">
            <v>1</v>
          </cell>
          <cell r="P247">
            <v>1</v>
          </cell>
          <cell r="R247">
            <v>672</v>
          </cell>
          <cell r="T247">
            <v>108</v>
          </cell>
          <cell r="V247">
            <v>661</v>
          </cell>
          <cell r="X247">
            <v>2</v>
          </cell>
          <cell r="Z247">
            <v>1</v>
          </cell>
          <cell r="AB247">
            <v>661</v>
          </cell>
          <cell r="AD247">
            <v>2</v>
          </cell>
          <cell r="AF247">
            <v>1</v>
          </cell>
          <cell r="AH247">
            <v>1</v>
          </cell>
          <cell r="AJ247">
            <v>1</v>
          </cell>
          <cell r="AL247">
            <v>0</v>
          </cell>
          <cell r="AN247">
            <v>0</v>
          </cell>
          <cell r="AP247">
            <v>0</v>
          </cell>
          <cell r="AR247">
            <v>0</v>
          </cell>
          <cell r="AT247">
            <v>0</v>
          </cell>
          <cell r="AV247">
            <v>0</v>
          </cell>
          <cell r="AX247">
            <v>0</v>
          </cell>
          <cell r="AZ247">
            <v>0</v>
          </cell>
          <cell r="BB247">
            <v>0</v>
          </cell>
          <cell r="BD247">
            <v>0</v>
          </cell>
          <cell r="BF247">
            <v>0</v>
          </cell>
          <cell r="BH247">
            <v>0</v>
          </cell>
          <cell r="BJ247">
            <v>0</v>
          </cell>
          <cell r="BL247">
            <v>0</v>
          </cell>
          <cell r="BN247">
            <v>0</v>
          </cell>
          <cell r="BP247">
            <v>0</v>
          </cell>
          <cell r="BR247">
            <v>0</v>
          </cell>
          <cell r="BT247">
            <v>0</v>
          </cell>
          <cell r="BV247">
            <v>0</v>
          </cell>
          <cell r="BX247">
            <v>0</v>
          </cell>
          <cell r="BZ247">
            <v>0</v>
          </cell>
          <cell r="CB247">
            <v>0</v>
          </cell>
          <cell r="CD247">
            <v>0</v>
          </cell>
          <cell r="CF247">
            <v>0</v>
          </cell>
          <cell r="CH247">
            <v>0</v>
          </cell>
          <cell r="CJ247">
            <v>0</v>
          </cell>
          <cell r="CL247">
            <v>0</v>
          </cell>
          <cell r="CN247">
            <v>0</v>
          </cell>
          <cell r="CP247">
            <v>0</v>
          </cell>
          <cell r="CR247">
            <v>0</v>
          </cell>
          <cell r="CT247">
            <v>0</v>
          </cell>
          <cell r="CV247">
            <v>0</v>
          </cell>
          <cell r="CX247">
            <v>0</v>
          </cell>
          <cell r="CZ247">
            <v>0</v>
          </cell>
          <cell r="DB247">
            <v>0</v>
          </cell>
          <cell r="DD247">
            <v>0</v>
          </cell>
          <cell r="DF247">
            <v>0</v>
          </cell>
          <cell r="DH247">
            <v>0</v>
          </cell>
          <cell r="DJ247">
            <v>0</v>
          </cell>
          <cell r="DL247">
            <v>0</v>
          </cell>
          <cell r="DN247">
            <v>0</v>
          </cell>
          <cell r="DP247">
            <v>0</v>
          </cell>
          <cell r="DR247">
            <v>0</v>
          </cell>
          <cell r="DT247">
            <v>0</v>
          </cell>
          <cell r="DV247">
            <v>0</v>
          </cell>
          <cell r="DX247">
            <v>0</v>
          </cell>
          <cell r="DZ247">
            <v>0</v>
          </cell>
          <cell r="EB247">
            <v>0</v>
          </cell>
          <cell r="ED247">
            <v>0</v>
          </cell>
          <cell r="EF247">
            <v>0</v>
          </cell>
          <cell r="EH247">
            <v>0</v>
          </cell>
          <cell r="EJ247">
            <v>0</v>
          </cell>
          <cell r="EL247">
            <v>0</v>
          </cell>
          <cell r="EN247">
            <v>0</v>
          </cell>
          <cell r="EP247">
            <v>0</v>
          </cell>
          <cell r="ER247">
            <v>0</v>
          </cell>
          <cell r="ET247">
            <v>0</v>
          </cell>
          <cell r="EV247">
            <v>0</v>
          </cell>
          <cell r="EX247">
            <v>0</v>
          </cell>
          <cell r="EZ247">
            <v>0</v>
          </cell>
          <cell r="FB247">
            <v>0</v>
          </cell>
          <cell r="FD247">
            <v>0</v>
          </cell>
          <cell r="FF247">
            <v>0</v>
          </cell>
          <cell r="FH247">
            <v>0</v>
          </cell>
          <cell r="FJ247">
            <v>0</v>
          </cell>
          <cell r="FL247">
            <v>0</v>
          </cell>
          <cell r="FN247">
            <v>0</v>
          </cell>
          <cell r="FP247">
            <v>0</v>
          </cell>
          <cell r="FR247">
            <v>0</v>
          </cell>
          <cell r="FT247">
            <v>0</v>
          </cell>
          <cell r="FV247">
            <v>0</v>
          </cell>
          <cell r="GD247">
            <v>14</v>
          </cell>
          <cell r="GF247">
            <v>4</v>
          </cell>
          <cell r="GH247">
            <v>1</v>
          </cell>
          <cell r="GJ247">
            <v>7</v>
          </cell>
          <cell r="GM247">
            <v>115.01</v>
          </cell>
          <cell r="GN24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118.檢查勞工個人防護具：█有 □無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W247" t="str">
            <v>（一）施工廠商施工前檢查事項辦理情形：█完成 □未完成 （二）其他工地安全衛生督導事項：</v>
          </cell>
          <cell r="GX247">
            <v>853901</v>
          </cell>
          <cell r="GY247">
            <v>0</v>
          </cell>
        </row>
        <row r="248">
          <cell r="N248">
            <v>1</v>
          </cell>
          <cell r="P248">
            <v>1</v>
          </cell>
          <cell r="R248">
            <v>672</v>
          </cell>
          <cell r="T248">
            <v>108</v>
          </cell>
          <cell r="V248">
            <v>661</v>
          </cell>
          <cell r="X248">
            <v>2</v>
          </cell>
          <cell r="Z248">
            <v>1</v>
          </cell>
          <cell r="AB248">
            <v>661</v>
          </cell>
          <cell r="AD248">
            <v>2</v>
          </cell>
          <cell r="AF248">
            <v>1</v>
          </cell>
          <cell r="AH248">
            <v>1</v>
          </cell>
          <cell r="AJ248">
            <v>1</v>
          </cell>
          <cell r="AL248">
            <v>0</v>
          </cell>
          <cell r="AN248">
            <v>0</v>
          </cell>
          <cell r="AP248">
            <v>0</v>
          </cell>
          <cell r="AR248">
            <v>0</v>
          </cell>
          <cell r="AT248">
            <v>0</v>
          </cell>
          <cell r="AV248">
            <v>0</v>
          </cell>
          <cell r="AX248">
            <v>0</v>
          </cell>
          <cell r="AZ248">
            <v>0</v>
          </cell>
          <cell r="BB248">
            <v>0</v>
          </cell>
          <cell r="BD248">
            <v>0</v>
          </cell>
          <cell r="BF248">
            <v>0</v>
          </cell>
          <cell r="BH248">
            <v>0</v>
          </cell>
          <cell r="BJ248">
            <v>0</v>
          </cell>
          <cell r="BL248">
            <v>0</v>
          </cell>
          <cell r="BN248">
            <v>0</v>
          </cell>
          <cell r="BP248">
            <v>0</v>
          </cell>
          <cell r="BR248">
            <v>0</v>
          </cell>
          <cell r="BT248">
            <v>0</v>
          </cell>
          <cell r="BV248">
            <v>0</v>
          </cell>
          <cell r="BX248">
            <v>0</v>
          </cell>
          <cell r="BZ248">
            <v>0</v>
          </cell>
          <cell r="CB248">
            <v>0</v>
          </cell>
          <cell r="CD248">
            <v>0</v>
          </cell>
          <cell r="CF248">
            <v>0</v>
          </cell>
          <cell r="CH248">
            <v>0</v>
          </cell>
          <cell r="CJ248">
            <v>0</v>
          </cell>
          <cell r="CL248">
            <v>0</v>
          </cell>
          <cell r="CN248">
            <v>0</v>
          </cell>
          <cell r="CP248">
            <v>0</v>
          </cell>
          <cell r="CR248">
            <v>0</v>
          </cell>
          <cell r="CT248">
            <v>0</v>
          </cell>
          <cell r="CV248">
            <v>0</v>
          </cell>
          <cell r="CX248">
            <v>0</v>
          </cell>
          <cell r="CZ248">
            <v>0</v>
          </cell>
          <cell r="DB248">
            <v>0</v>
          </cell>
          <cell r="DD248">
            <v>0</v>
          </cell>
          <cell r="DF248">
            <v>0</v>
          </cell>
          <cell r="DH248">
            <v>0</v>
          </cell>
          <cell r="DJ248">
            <v>0</v>
          </cell>
          <cell r="DL248">
            <v>0</v>
          </cell>
          <cell r="DN248">
            <v>0</v>
          </cell>
          <cell r="DP248">
            <v>0</v>
          </cell>
          <cell r="DR248">
            <v>0</v>
          </cell>
          <cell r="DT248">
            <v>0</v>
          </cell>
          <cell r="DV248">
            <v>0</v>
          </cell>
          <cell r="DX248">
            <v>0</v>
          </cell>
          <cell r="DZ248">
            <v>0</v>
          </cell>
          <cell r="EB248">
            <v>0</v>
          </cell>
          <cell r="ED248">
            <v>0</v>
          </cell>
          <cell r="EF248">
            <v>0</v>
          </cell>
          <cell r="EH248">
            <v>0</v>
          </cell>
          <cell r="EJ248">
            <v>0</v>
          </cell>
          <cell r="EL248">
            <v>0</v>
          </cell>
          <cell r="EN248">
            <v>0</v>
          </cell>
          <cell r="EP248">
            <v>0</v>
          </cell>
          <cell r="ER248">
            <v>0</v>
          </cell>
          <cell r="ET248">
            <v>0</v>
          </cell>
          <cell r="EV248">
            <v>0</v>
          </cell>
          <cell r="EX248">
            <v>0</v>
          </cell>
          <cell r="EZ248">
            <v>0</v>
          </cell>
          <cell r="FB248">
            <v>0</v>
          </cell>
          <cell r="FD248">
            <v>0</v>
          </cell>
          <cell r="FF248">
            <v>0</v>
          </cell>
          <cell r="FH248">
            <v>0</v>
          </cell>
          <cell r="FJ248">
            <v>0</v>
          </cell>
          <cell r="FL248">
            <v>0</v>
          </cell>
          <cell r="FN248">
            <v>0</v>
          </cell>
          <cell r="FP248">
            <v>0</v>
          </cell>
          <cell r="FR248">
            <v>0</v>
          </cell>
          <cell r="FT248">
            <v>0</v>
          </cell>
          <cell r="FV248">
            <v>0</v>
          </cell>
          <cell r="GD248">
            <v>14</v>
          </cell>
          <cell r="GF248">
            <v>4</v>
          </cell>
          <cell r="GH248">
            <v>1</v>
          </cell>
          <cell r="GJ248">
            <v>7</v>
          </cell>
          <cell r="GM248">
            <v>116.01</v>
          </cell>
          <cell r="GN24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119.檢查勞工個人防護具：█有 □無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W248" t="str">
            <v>（一）施工廠商施工前檢查事項辦理情形：█完成 □未完成 （二）其他工地安全衛生督導事項：</v>
          </cell>
          <cell r="GX248">
            <v>853901</v>
          </cell>
          <cell r="GY248">
            <v>0</v>
          </cell>
        </row>
        <row r="249">
          <cell r="N249">
            <v>1</v>
          </cell>
          <cell r="P249">
            <v>1</v>
          </cell>
          <cell r="R249">
            <v>672</v>
          </cell>
          <cell r="T249">
            <v>108</v>
          </cell>
          <cell r="V249">
            <v>661</v>
          </cell>
          <cell r="X249">
            <v>2</v>
          </cell>
          <cell r="Z249">
            <v>1</v>
          </cell>
          <cell r="AB249">
            <v>661</v>
          </cell>
          <cell r="AD249">
            <v>2</v>
          </cell>
          <cell r="AF249">
            <v>1</v>
          </cell>
          <cell r="AH249">
            <v>1</v>
          </cell>
          <cell r="AJ249">
            <v>1</v>
          </cell>
          <cell r="AL249">
            <v>0</v>
          </cell>
          <cell r="AN249">
            <v>0</v>
          </cell>
          <cell r="AP249">
            <v>0</v>
          </cell>
          <cell r="AR249">
            <v>0</v>
          </cell>
          <cell r="AT249">
            <v>0</v>
          </cell>
          <cell r="AV249">
            <v>0</v>
          </cell>
          <cell r="AX249">
            <v>0</v>
          </cell>
          <cell r="AZ249">
            <v>0</v>
          </cell>
          <cell r="BB249">
            <v>0</v>
          </cell>
          <cell r="BD249">
            <v>0</v>
          </cell>
          <cell r="BF249">
            <v>0</v>
          </cell>
          <cell r="BH249">
            <v>0</v>
          </cell>
          <cell r="BJ249">
            <v>0</v>
          </cell>
          <cell r="BL249">
            <v>0</v>
          </cell>
          <cell r="BN249">
            <v>0</v>
          </cell>
          <cell r="BP249">
            <v>0</v>
          </cell>
          <cell r="BR249">
            <v>0</v>
          </cell>
          <cell r="BT249">
            <v>0</v>
          </cell>
          <cell r="BV249">
            <v>0</v>
          </cell>
          <cell r="BX249">
            <v>0</v>
          </cell>
          <cell r="BZ249">
            <v>0</v>
          </cell>
          <cell r="CB249">
            <v>0</v>
          </cell>
          <cell r="CD249">
            <v>0</v>
          </cell>
          <cell r="CF249">
            <v>0</v>
          </cell>
          <cell r="CH249">
            <v>0</v>
          </cell>
          <cell r="CJ249">
            <v>0</v>
          </cell>
          <cell r="CL249">
            <v>0</v>
          </cell>
          <cell r="CN249">
            <v>0</v>
          </cell>
          <cell r="CP249">
            <v>0</v>
          </cell>
          <cell r="CR249">
            <v>0</v>
          </cell>
          <cell r="CT249">
            <v>0</v>
          </cell>
          <cell r="CV249">
            <v>0</v>
          </cell>
          <cell r="CX249">
            <v>0</v>
          </cell>
          <cell r="CZ249">
            <v>0</v>
          </cell>
          <cell r="DB249">
            <v>0</v>
          </cell>
          <cell r="DD249">
            <v>0</v>
          </cell>
          <cell r="DF249">
            <v>0</v>
          </cell>
          <cell r="DH249">
            <v>0</v>
          </cell>
          <cell r="DJ249">
            <v>0</v>
          </cell>
          <cell r="DL249">
            <v>0</v>
          </cell>
          <cell r="DN249">
            <v>0</v>
          </cell>
          <cell r="DP249">
            <v>0</v>
          </cell>
          <cell r="DR249">
            <v>0</v>
          </cell>
          <cell r="DT249">
            <v>0</v>
          </cell>
          <cell r="DV249">
            <v>0</v>
          </cell>
          <cell r="DX249">
            <v>0</v>
          </cell>
          <cell r="DZ249">
            <v>0</v>
          </cell>
          <cell r="EB249">
            <v>0</v>
          </cell>
          <cell r="ED249">
            <v>0</v>
          </cell>
          <cell r="EF249">
            <v>0</v>
          </cell>
          <cell r="EH249">
            <v>0</v>
          </cell>
          <cell r="EJ249">
            <v>0</v>
          </cell>
          <cell r="EL249">
            <v>0</v>
          </cell>
          <cell r="EN249">
            <v>0</v>
          </cell>
          <cell r="EP249">
            <v>0</v>
          </cell>
          <cell r="ER249">
            <v>0</v>
          </cell>
          <cell r="ET249">
            <v>0</v>
          </cell>
          <cell r="EV249">
            <v>0</v>
          </cell>
          <cell r="EX249">
            <v>0</v>
          </cell>
          <cell r="EZ249">
            <v>0</v>
          </cell>
          <cell r="FB249">
            <v>0</v>
          </cell>
          <cell r="FD249">
            <v>0</v>
          </cell>
          <cell r="FF249">
            <v>0</v>
          </cell>
          <cell r="FH249">
            <v>0</v>
          </cell>
          <cell r="FJ249">
            <v>0</v>
          </cell>
          <cell r="FL249">
            <v>0</v>
          </cell>
          <cell r="FN249">
            <v>0</v>
          </cell>
          <cell r="FP249">
            <v>0</v>
          </cell>
          <cell r="FR249">
            <v>0</v>
          </cell>
          <cell r="FT249">
            <v>0</v>
          </cell>
          <cell r="FV249">
            <v>0</v>
          </cell>
          <cell r="GD249">
            <v>14</v>
          </cell>
          <cell r="GF249">
            <v>4</v>
          </cell>
          <cell r="GH249">
            <v>1</v>
          </cell>
          <cell r="GJ249">
            <v>7</v>
          </cell>
          <cell r="GM249">
            <v>117.01</v>
          </cell>
          <cell r="GN24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120.檢查勞工個人防護具：█有 □無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W249" t="str">
            <v>（一）施工廠商施工前檢查事項辦理情形：█完成 □未完成 （二）其他工地安全衛生督導事項：</v>
          </cell>
          <cell r="GX249">
            <v>853901</v>
          </cell>
          <cell r="GY249">
            <v>0</v>
          </cell>
        </row>
        <row r="250">
          <cell r="N250">
            <v>1</v>
          </cell>
          <cell r="P250">
            <v>1</v>
          </cell>
          <cell r="R250">
            <v>672</v>
          </cell>
          <cell r="T250">
            <v>108</v>
          </cell>
          <cell r="V250">
            <v>661</v>
          </cell>
          <cell r="X250">
            <v>2</v>
          </cell>
          <cell r="Z250">
            <v>1</v>
          </cell>
          <cell r="AB250">
            <v>661</v>
          </cell>
          <cell r="AD250">
            <v>2</v>
          </cell>
          <cell r="AF250">
            <v>1</v>
          </cell>
          <cell r="AH250">
            <v>1</v>
          </cell>
          <cell r="AJ250">
            <v>1</v>
          </cell>
          <cell r="AL250">
            <v>0</v>
          </cell>
          <cell r="AN250">
            <v>0</v>
          </cell>
          <cell r="AP250">
            <v>0</v>
          </cell>
          <cell r="AR250">
            <v>0</v>
          </cell>
          <cell r="AT250">
            <v>0</v>
          </cell>
          <cell r="AV250">
            <v>0</v>
          </cell>
          <cell r="AX250">
            <v>0</v>
          </cell>
          <cell r="AZ250">
            <v>0</v>
          </cell>
          <cell r="BB250">
            <v>0</v>
          </cell>
          <cell r="BD250">
            <v>0</v>
          </cell>
          <cell r="BF250">
            <v>0</v>
          </cell>
          <cell r="BH250">
            <v>0</v>
          </cell>
          <cell r="BJ250">
            <v>0</v>
          </cell>
          <cell r="BL250">
            <v>0</v>
          </cell>
          <cell r="BN250">
            <v>0</v>
          </cell>
          <cell r="BP250">
            <v>0</v>
          </cell>
          <cell r="BR250">
            <v>0</v>
          </cell>
          <cell r="BT250">
            <v>0</v>
          </cell>
          <cell r="BV250">
            <v>0</v>
          </cell>
          <cell r="BX250">
            <v>0</v>
          </cell>
          <cell r="BZ250">
            <v>0</v>
          </cell>
          <cell r="CB250">
            <v>0</v>
          </cell>
          <cell r="CD250">
            <v>0</v>
          </cell>
          <cell r="CF250">
            <v>0</v>
          </cell>
          <cell r="CH250">
            <v>0</v>
          </cell>
          <cell r="CJ250">
            <v>0</v>
          </cell>
          <cell r="CL250">
            <v>0</v>
          </cell>
          <cell r="CN250">
            <v>0</v>
          </cell>
          <cell r="CP250">
            <v>0</v>
          </cell>
          <cell r="CR250">
            <v>0</v>
          </cell>
          <cell r="CT250">
            <v>0</v>
          </cell>
          <cell r="CV250">
            <v>0</v>
          </cell>
          <cell r="CX250">
            <v>0</v>
          </cell>
          <cell r="CZ250">
            <v>0</v>
          </cell>
          <cell r="DB250">
            <v>0</v>
          </cell>
          <cell r="DD250">
            <v>0</v>
          </cell>
          <cell r="DF250">
            <v>0</v>
          </cell>
          <cell r="DH250">
            <v>0</v>
          </cell>
          <cell r="DJ250">
            <v>0</v>
          </cell>
          <cell r="DL250">
            <v>0</v>
          </cell>
          <cell r="DN250">
            <v>0</v>
          </cell>
          <cell r="DP250">
            <v>0</v>
          </cell>
          <cell r="DR250">
            <v>0</v>
          </cell>
          <cell r="DT250">
            <v>0</v>
          </cell>
          <cell r="DV250">
            <v>0</v>
          </cell>
          <cell r="DX250">
            <v>0</v>
          </cell>
          <cell r="DZ250">
            <v>0</v>
          </cell>
          <cell r="EB250">
            <v>0</v>
          </cell>
          <cell r="ED250">
            <v>0</v>
          </cell>
          <cell r="EF250">
            <v>0</v>
          </cell>
          <cell r="EH250">
            <v>0</v>
          </cell>
          <cell r="EJ250">
            <v>0</v>
          </cell>
          <cell r="EL250">
            <v>0</v>
          </cell>
          <cell r="EN250">
            <v>0</v>
          </cell>
          <cell r="EP250">
            <v>0</v>
          </cell>
          <cell r="ER250">
            <v>0</v>
          </cell>
          <cell r="ET250">
            <v>0</v>
          </cell>
          <cell r="EV250">
            <v>0</v>
          </cell>
          <cell r="EX250">
            <v>0</v>
          </cell>
          <cell r="EZ250">
            <v>0</v>
          </cell>
          <cell r="FB250">
            <v>0</v>
          </cell>
          <cell r="FD250">
            <v>0</v>
          </cell>
          <cell r="FF250">
            <v>0</v>
          </cell>
          <cell r="FH250">
            <v>0</v>
          </cell>
          <cell r="FJ250">
            <v>0</v>
          </cell>
          <cell r="FL250">
            <v>0</v>
          </cell>
          <cell r="FN250">
            <v>0</v>
          </cell>
          <cell r="FP250">
            <v>0</v>
          </cell>
          <cell r="FR250">
            <v>0</v>
          </cell>
          <cell r="FT250">
            <v>0</v>
          </cell>
          <cell r="FV250">
            <v>0</v>
          </cell>
          <cell r="GD250">
            <v>14</v>
          </cell>
          <cell r="GF250">
            <v>4</v>
          </cell>
          <cell r="GH250">
            <v>1</v>
          </cell>
          <cell r="GJ250">
            <v>7</v>
          </cell>
          <cell r="GM250">
            <v>118.01</v>
          </cell>
          <cell r="GN25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121.檢查勞工個人防護具：█有 □無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W250" t="str">
            <v>（一）施工廠商施工前檢查事項辦理情形：█完成 □未完成 （二）其他工地安全衛生督導事項：</v>
          </cell>
          <cell r="GX250">
            <v>853901</v>
          </cell>
          <cell r="GY250">
            <v>0</v>
          </cell>
        </row>
        <row r="251">
          <cell r="N251">
            <v>1</v>
          </cell>
          <cell r="P251">
            <v>1</v>
          </cell>
          <cell r="R251">
            <v>672</v>
          </cell>
          <cell r="T251">
            <v>108</v>
          </cell>
          <cell r="V251">
            <v>661</v>
          </cell>
          <cell r="X251">
            <v>2</v>
          </cell>
          <cell r="Z251">
            <v>1</v>
          </cell>
          <cell r="AB251">
            <v>661</v>
          </cell>
          <cell r="AD251">
            <v>2</v>
          </cell>
          <cell r="AF251">
            <v>1</v>
          </cell>
          <cell r="AH251">
            <v>1</v>
          </cell>
          <cell r="AJ251">
            <v>1</v>
          </cell>
          <cell r="AL251">
            <v>0</v>
          </cell>
          <cell r="AN251">
            <v>0</v>
          </cell>
          <cell r="AP251">
            <v>0</v>
          </cell>
          <cell r="AR251">
            <v>0</v>
          </cell>
          <cell r="AT251">
            <v>0</v>
          </cell>
          <cell r="AV251">
            <v>0</v>
          </cell>
          <cell r="AX251">
            <v>0</v>
          </cell>
          <cell r="AZ251">
            <v>0</v>
          </cell>
          <cell r="BB251">
            <v>0</v>
          </cell>
          <cell r="BD251">
            <v>0</v>
          </cell>
          <cell r="BF251">
            <v>0</v>
          </cell>
          <cell r="BH251">
            <v>0</v>
          </cell>
          <cell r="BJ251">
            <v>0</v>
          </cell>
          <cell r="BL251">
            <v>0</v>
          </cell>
          <cell r="BN251">
            <v>0</v>
          </cell>
          <cell r="BP251">
            <v>0</v>
          </cell>
          <cell r="BR251">
            <v>0</v>
          </cell>
          <cell r="BT251">
            <v>0</v>
          </cell>
          <cell r="BV251">
            <v>0</v>
          </cell>
          <cell r="BX251">
            <v>0</v>
          </cell>
          <cell r="BZ251">
            <v>0</v>
          </cell>
          <cell r="CB251">
            <v>0</v>
          </cell>
          <cell r="CD251">
            <v>0</v>
          </cell>
          <cell r="CF251">
            <v>0</v>
          </cell>
          <cell r="CH251">
            <v>0</v>
          </cell>
          <cell r="CJ251">
            <v>0</v>
          </cell>
          <cell r="CL251">
            <v>0</v>
          </cell>
          <cell r="CN251">
            <v>0</v>
          </cell>
          <cell r="CP251">
            <v>0</v>
          </cell>
          <cell r="CR251">
            <v>0</v>
          </cell>
          <cell r="CT251">
            <v>0</v>
          </cell>
          <cell r="CV251">
            <v>0</v>
          </cell>
          <cell r="CX251">
            <v>0</v>
          </cell>
          <cell r="CZ251">
            <v>0</v>
          </cell>
          <cell r="DB251">
            <v>0</v>
          </cell>
          <cell r="DD251">
            <v>0</v>
          </cell>
          <cell r="DF251">
            <v>0</v>
          </cell>
          <cell r="DH251">
            <v>0</v>
          </cell>
          <cell r="DJ251">
            <v>0</v>
          </cell>
          <cell r="DL251">
            <v>0</v>
          </cell>
          <cell r="DN251">
            <v>0</v>
          </cell>
          <cell r="DP251">
            <v>0</v>
          </cell>
          <cell r="DR251">
            <v>0</v>
          </cell>
          <cell r="DT251">
            <v>0</v>
          </cell>
          <cell r="DV251">
            <v>0</v>
          </cell>
          <cell r="DX251">
            <v>0</v>
          </cell>
          <cell r="DZ251">
            <v>0</v>
          </cell>
          <cell r="EB251">
            <v>0</v>
          </cell>
          <cell r="ED251">
            <v>0</v>
          </cell>
          <cell r="EF251">
            <v>0</v>
          </cell>
          <cell r="EH251">
            <v>0</v>
          </cell>
          <cell r="EJ251">
            <v>0</v>
          </cell>
          <cell r="EL251">
            <v>0</v>
          </cell>
          <cell r="EN251">
            <v>0</v>
          </cell>
          <cell r="EP251">
            <v>0</v>
          </cell>
          <cell r="ER251">
            <v>0</v>
          </cell>
          <cell r="ET251">
            <v>0</v>
          </cell>
          <cell r="EV251">
            <v>0</v>
          </cell>
          <cell r="EX251">
            <v>0</v>
          </cell>
          <cell r="EZ251">
            <v>0</v>
          </cell>
          <cell r="FB251">
            <v>0</v>
          </cell>
          <cell r="FD251">
            <v>0</v>
          </cell>
          <cell r="FF251">
            <v>0</v>
          </cell>
          <cell r="FH251">
            <v>0</v>
          </cell>
          <cell r="FJ251">
            <v>0</v>
          </cell>
          <cell r="FL251">
            <v>0</v>
          </cell>
          <cell r="FN251">
            <v>0</v>
          </cell>
          <cell r="FP251">
            <v>0</v>
          </cell>
          <cell r="FR251">
            <v>0</v>
          </cell>
          <cell r="FT251">
            <v>0</v>
          </cell>
          <cell r="FV251">
            <v>0</v>
          </cell>
          <cell r="GD251">
            <v>14</v>
          </cell>
          <cell r="GF251">
            <v>4</v>
          </cell>
          <cell r="GH251">
            <v>1</v>
          </cell>
          <cell r="GJ251">
            <v>7</v>
          </cell>
          <cell r="GM251">
            <v>119.01</v>
          </cell>
          <cell r="GN25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122.檢查勞工個人防護具：█有 □無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W251" t="str">
            <v>（一）施工廠商施工前檢查事項辦理情形：█完成 □未完成 （二）其他工地安全衛生督導事項：</v>
          </cell>
          <cell r="GX251">
            <v>853901</v>
          </cell>
          <cell r="GY251">
            <v>0</v>
          </cell>
        </row>
        <row r="252">
          <cell r="N252">
            <v>1</v>
          </cell>
          <cell r="P252">
            <v>1</v>
          </cell>
          <cell r="R252">
            <v>672</v>
          </cell>
          <cell r="T252">
            <v>108</v>
          </cell>
          <cell r="V252">
            <v>661</v>
          </cell>
          <cell r="X252">
            <v>2</v>
          </cell>
          <cell r="Z252">
            <v>1</v>
          </cell>
          <cell r="AB252">
            <v>661</v>
          </cell>
          <cell r="AD252">
            <v>2</v>
          </cell>
          <cell r="AF252">
            <v>1</v>
          </cell>
          <cell r="AH252">
            <v>1</v>
          </cell>
          <cell r="AJ252">
            <v>1</v>
          </cell>
          <cell r="AL252">
            <v>0</v>
          </cell>
          <cell r="AN252">
            <v>0</v>
          </cell>
          <cell r="AP252">
            <v>0</v>
          </cell>
          <cell r="AR252">
            <v>0</v>
          </cell>
          <cell r="AT252">
            <v>0</v>
          </cell>
          <cell r="AV252">
            <v>0</v>
          </cell>
          <cell r="AX252">
            <v>0</v>
          </cell>
          <cell r="AZ252">
            <v>0</v>
          </cell>
          <cell r="BB252">
            <v>0</v>
          </cell>
          <cell r="BD252">
            <v>0</v>
          </cell>
          <cell r="BF252">
            <v>0</v>
          </cell>
          <cell r="BH252">
            <v>0</v>
          </cell>
          <cell r="BJ252">
            <v>0</v>
          </cell>
          <cell r="BL252">
            <v>0</v>
          </cell>
          <cell r="BN252">
            <v>0</v>
          </cell>
          <cell r="BP252">
            <v>0</v>
          </cell>
          <cell r="BR252">
            <v>0</v>
          </cell>
          <cell r="BT252">
            <v>0</v>
          </cell>
          <cell r="BV252">
            <v>0</v>
          </cell>
          <cell r="BX252">
            <v>0</v>
          </cell>
          <cell r="BZ252">
            <v>0</v>
          </cell>
          <cell r="CB252">
            <v>0</v>
          </cell>
          <cell r="CD252">
            <v>0</v>
          </cell>
          <cell r="CF252">
            <v>0</v>
          </cell>
          <cell r="CH252">
            <v>0</v>
          </cell>
          <cell r="CJ252">
            <v>0</v>
          </cell>
          <cell r="CL252">
            <v>0</v>
          </cell>
          <cell r="CN252">
            <v>0</v>
          </cell>
          <cell r="CP252">
            <v>0</v>
          </cell>
          <cell r="CR252">
            <v>0</v>
          </cell>
          <cell r="CT252">
            <v>0</v>
          </cell>
          <cell r="CV252">
            <v>0</v>
          </cell>
          <cell r="CX252">
            <v>0</v>
          </cell>
          <cell r="CZ252">
            <v>0</v>
          </cell>
          <cell r="DB252">
            <v>0</v>
          </cell>
          <cell r="DD252">
            <v>0</v>
          </cell>
          <cell r="DF252">
            <v>0</v>
          </cell>
          <cell r="DH252">
            <v>0</v>
          </cell>
          <cell r="DJ252">
            <v>0</v>
          </cell>
          <cell r="DL252">
            <v>0</v>
          </cell>
          <cell r="DN252">
            <v>0</v>
          </cell>
          <cell r="DP252">
            <v>0</v>
          </cell>
          <cell r="DR252">
            <v>0</v>
          </cell>
          <cell r="DT252">
            <v>0</v>
          </cell>
          <cell r="DV252">
            <v>0</v>
          </cell>
          <cell r="DX252">
            <v>0</v>
          </cell>
          <cell r="DZ252">
            <v>0</v>
          </cell>
          <cell r="EB252">
            <v>0</v>
          </cell>
          <cell r="ED252">
            <v>0</v>
          </cell>
          <cell r="EF252">
            <v>0</v>
          </cell>
          <cell r="EH252">
            <v>0</v>
          </cell>
          <cell r="EJ252">
            <v>0</v>
          </cell>
          <cell r="EL252">
            <v>0</v>
          </cell>
          <cell r="EN252">
            <v>0</v>
          </cell>
          <cell r="EP252">
            <v>0</v>
          </cell>
          <cell r="ER252">
            <v>0</v>
          </cell>
          <cell r="ET252">
            <v>0</v>
          </cell>
          <cell r="EV252">
            <v>0</v>
          </cell>
          <cell r="EX252">
            <v>0</v>
          </cell>
          <cell r="EZ252">
            <v>0</v>
          </cell>
          <cell r="FB252">
            <v>0</v>
          </cell>
          <cell r="FD252">
            <v>0</v>
          </cell>
          <cell r="FF252">
            <v>0</v>
          </cell>
          <cell r="FH252">
            <v>0</v>
          </cell>
          <cell r="FJ252">
            <v>0</v>
          </cell>
          <cell r="FL252">
            <v>0</v>
          </cell>
          <cell r="FN252">
            <v>0</v>
          </cell>
          <cell r="FP252">
            <v>0</v>
          </cell>
          <cell r="FR252">
            <v>0</v>
          </cell>
          <cell r="FT252">
            <v>0</v>
          </cell>
          <cell r="FV252">
            <v>0</v>
          </cell>
          <cell r="GD252">
            <v>14</v>
          </cell>
          <cell r="GF252">
            <v>4</v>
          </cell>
          <cell r="GH252">
            <v>1</v>
          </cell>
          <cell r="GJ252">
            <v>7</v>
          </cell>
          <cell r="GM252">
            <v>120.01</v>
          </cell>
          <cell r="GN25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123.檢查勞工個人防護具：█有 □無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W252" t="str">
            <v>（一）施工廠商施工前檢查事項辦理情形：█完成 □未完成 （二）其他工地安全衛生督導事項：</v>
          </cell>
          <cell r="GX252">
            <v>853901</v>
          </cell>
          <cell r="GY252">
            <v>0</v>
          </cell>
        </row>
        <row r="253">
          <cell r="N253">
            <v>1</v>
          </cell>
          <cell r="P253">
            <v>1</v>
          </cell>
          <cell r="R253">
            <v>672</v>
          </cell>
          <cell r="T253">
            <v>108</v>
          </cell>
          <cell r="V253">
            <v>661</v>
          </cell>
          <cell r="X253">
            <v>2</v>
          </cell>
          <cell r="Z253">
            <v>1</v>
          </cell>
          <cell r="AB253">
            <v>661</v>
          </cell>
          <cell r="AD253">
            <v>2</v>
          </cell>
          <cell r="AF253">
            <v>1</v>
          </cell>
          <cell r="AH253">
            <v>1</v>
          </cell>
          <cell r="AJ253">
            <v>1</v>
          </cell>
          <cell r="AL253">
            <v>0</v>
          </cell>
          <cell r="AN253">
            <v>0</v>
          </cell>
          <cell r="AP253">
            <v>0</v>
          </cell>
          <cell r="AR253">
            <v>0</v>
          </cell>
          <cell r="AT253">
            <v>0</v>
          </cell>
          <cell r="AV253">
            <v>0</v>
          </cell>
          <cell r="AX253">
            <v>0</v>
          </cell>
          <cell r="AZ253">
            <v>0</v>
          </cell>
          <cell r="BB253">
            <v>0</v>
          </cell>
          <cell r="BD253">
            <v>0</v>
          </cell>
          <cell r="BF253">
            <v>0</v>
          </cell>
          <cell r="BH253">
            <v>0</v>
          </cell>
          <cell r="BJ253">
            <v>0</v>
          </cell>
          <cell r="BL253">
            <v>0</v>
          </cell>
          <cell r="BN253">
            <v>0</v>
          </cell>
          <cell r="BP253">
            <v>0</v>
          </cell>
          <cell r="BR253">
            <v>0</v>
          </cell>
          <cell r="BT253">
            <v>0</v>
          </cell>
          <cell r="BV253">
            <v>0</v>
          </cell>
          <cell r="BX253">
            <v>0</v>
          </cell>
          <cell r="BZ253">
            <v>0</v>
          </cell>
          <cell r="CB253">
            <v>0</v>
          </cell>
          <cell r="CD253">
            <v>0</v>
          </cell>
          <cell r="CF253">
            <v>0</v>
          </cell>
          <cell r="CH253">
            <v>0</v>
          </cell>
          <cell r="CJ253">
            <v>0</v>
          </cell>
          <cell r="CL253">
            <v>0</v>
          </cell>
          <cell r="CN253">
            <v>0</v>
          </cell>
          <cell r="CP253">
            <v>0</v>
          </cell>
          <cell r="CR253">
            <v>0</v>
          </cell>
          <cell r="CT253">
            <v>0</v>
          </cell>
          <cell r="CV253">
            <v>0</v>
          </cell>
          <cell r="CX253">
            <v>0</v>
          </cell>
          <cell r="CZ253">
            <v>0</v>
          </cell>
          <cell r="DB253">
            <v>0</v>
          </cell>
          <cell r="DD253">
            <v>0</v>
          </cell>
          <cell r="DF253">
            <v>0</v>
          </cell>
          <cell r="DH253">
            <v>0</v>
          </cell>
          <cell r="DJ253">
            <v>0</v>
          </cell>
          <cell r="DL253">
            <v>0</v>
          </cell>
          <cell r="DN253">
            <v>0</v>
          </cell>
          <cell r="DP253">
            <v>0</v>
          </cell>
          <cell r="DR253">
            <v>0</v>
          </cell>
          <cell r="DT253">
            <v>0</v>
          </cell>
          <cell r="DV253">
            <v>0</v>
          </cell>
          <cell r="DX253">
            <v>0</v>
          </cell>
          <cell r="DZ253">
            <v>0</v>
          </cell>
          <cell r="EB253">
            <v>0</v>
          </cell>
          <cell r="ED253">
            <v>0</v>
          </cell>
          <cell r="EF253">
            <v>0</v>
          </cell>
          <cell r="EH253">
            <v>0</v>
          </cell>
          <cell r="EJ253">
            <v>0</v>
          </cell>
          <cell r="EL253">
            <v>0</v>
          </cell>
          <cell r="EN253">
            <v>0</v>
          </cell>
          <cell r="EP253">
            <v>0</v>
          </cell>
          <cell r="ER253">
            <v>0</v>
          </cell>
          <cell r="ET253">
            <v>0</v>
          </cell>
          <cell r="EV253">
            <v>0</v>
          </cell>
          <cell r="EX253">
            <v>0</v>
          </cell>
          <cell r="EZ253">
            <v>0</v>
          </cell>
          <cell r="FB253">
            <v>0</v>
          </cell>
          <cell r="FD253">
            <v>0</v>
          </cell>
          <cell r="FF253">
            <v>0</v>
          </cell>
          <cell r="FH253">
            <v>0</v>
          </cell>
          <cell r="FJ253">
            <v>0</v>
          </cell>
          <cell r="FL253">
            <v>0</v>
          </cell>
          <cell r="FN253">
            <v>0</v>
          </cell>
          <cell r="FP253">
            <v>0</v>
          </cell>
          <cell r="FR253">
            <v>0</v>
          </cell>
          <cell r="FT253">
            <v>0</v>
          </cell>
          <cell r="FV253">
            <v>0</v>
          </cell>
          <cell r="GD253">
            <v>14</v>
          </cell>
          <cell r="GF253">
            <v>4</v>
          </cell>
          <cell r="GH253">
            <v>1</v>
          </cell>
          <cell r="GJ253">
            <v>7</v>
          </cell>
          <cell r="GM253">
            <v>121.01</v>
          </cell>
          <cell r="GN25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124.檢查勞工個人防護具：█有 □無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W253" t="str">
            <v>（一）施工廠商施工前檢查事項辦理情形：█完成 □未完成 （二）其他工地安全衛生督導事項：</v>
          </cell>
          <cell r="GX253">
            <v>853901</v>
          </cell>
          <cell r="GY253">
            <v>0</v>
          </cell>
        </row>
        <row r="254">
          <cell r="N254">
            <v>1</v>
          </cell>
          <cell r="P254">
            <v>1</v>
          </cell>
          <cell r="R254">
            <v>672</v>
          </cell>
          <cell r="T254">
            <v>108</v>
          </cell>
          <cell r="V254">
            <v>661</v>
          </cell>
          <cell r="X254">
            <v>2</v>
          </cell>
          <cell r="Z254">
            <v>1</v>
          </cell>
          <cell r="AB254">
            <v>661</v>
          </cell>
          <cell r="AD254">
            <v>2</v>
          </cell>
          <cell r="AF254">
            <v>1</v>
          </cell>
          <cell r="AH254">
            <v>1</v>
          </cell>
          <cell r="AJ254">
            <v>1</v>
          </cell>
          <cell r="AL254">
            <v>0</v>
          </cell>
          <cell r="AN254">
            <v>0</v>
          </cell>
          <cell r="AP254">
            <v>0</v>
          </cell>
          <cell r="AR254">
            <v>0</v>
          </cell>
          <cell r="AT254">
            <v>0</v>
          </cell>
          <cell r="AV254">
            <v>0</v>
          </cell>
          <cell r="AX254">
            <v>0</v>
          </cell>
          <cell r="AZ254">
            <v>0</v>
          </cell>
          <cell r="BB254">
            <v>0</v>
          </cell>
          <cell r="BD254">
            <v>0</v>
          </cell>
          <cell r="BF254">
            <v>0</v>
          </cell>
          <cell r="BH254">
            <v>0</v>
          </cell>
          <cell r="BJ254">
            <v>0</v>
          </cell>
          <cell r="BL254">
            <v>0</v>
          </cell>
          <cell r="BN254">
            <v>0</v>
          </cell>
          <cell r="BP254">
            <v>0</v>
          </cell>
          <cell r="BR254">
            <v>0</v>
          </cell>
          <cell r="BT254">
            <v>0</v>
          </cell>
          <cell r="BV254">
            <v>0</v>
          </cell>
          <cell r="BX254">
            <v>0</v>
          </cell>
          <cell r="BZ254">
            <v>0</v>
          </cell>
          <cell r="CB254">
            <v>0</v>
          </cell>
          <cell r="CD254">
            <v>0</v>
          </cell>
          <cell r="CF254">
            <v>0</v>
          </cell>
          <cell r="CH254">
            <v>0</v>
          </cell>
          <cell r="CJ254">
            <v>0</v>
          </cell>
          <cell r="CL254">
            <v>0</v>
          </cell>
          <cell r="CN254">
            <v>0</v>
          </cell>
          <cell r="CP254">
            <v>0</v>
          </cell>
          <cell r="CR254">
            <v>0</v>
          </cell>
          <cell r="CT254">
            <v>0</v>
          </cell>
          <cell r="CV254">
            <v>0</v>
          </cell>
          <cell r="CX254">
            <v>0</v>
          </cell>
          <cell r="CZ254">
            <v>0</v>
          </cell>
          <cell r="DB254">
            <v>0</v>
          </cell>
          <cell r="DD254">
            <v>0</v>
          </cell>
          <cell r="DF254">
            <v>0</v>
          </cell>
          <cell r="DH254">
            <v>0</v>
          </cell>
          <cell r="DJ254">
            <v>0</v>
          </cell>
          <cell r="DL254">
            <v>0</v>
          </cell>
          <cell r="DN254">
            <v>0</v>
          </cell>
          <cell r="DP254">
            <v>0</v>
          </cell>
          <cell r="DR254">
            <v>0</v>
          </cell>
          <cell r="DT254">
            <v>0</v>
          </cell>
          <cell r="DV254">
            <v>0</v>
          </cell>
          <cell r="DX254">
            <v>0</v>
          </cell>
          <cell r="DZ254">
            <v>0</v>
          </cell>
          <cell r="EB254">
            <v>0</v>
          </cell>
          <cell r="ED254">
            <v>0</v>
          </cell>
          <cell r="EF254">
            <v>0</v>
          </cell>
          <cell r="EH254">
            <v>0</v>
          </cell>
          <cell r="EJ254">
            <v>0</v>
          </cell>
          <cell r="EL254">
            <v>0</v>
          </cell>
          <cell r="EN254">
            <v>0</v>
          </cell>
          <cell r="EP254">
            <v>0</v>
          </cell>
          <cell r="ER254">
            <v>0</v>
          </cell>
          <cell r="ET254">
            <v>0</v>
          </cell>
          <cell r="EV254">
            <v>0</v>
          </cell>
          <cell r="EX254">
            <v>0</v>
          </cell>
          <cell r="EZ254">
            <v>0</v>
          </cell>
          <cell r="FB254">
            <v>0</v>
          </cell>
          <cell r="FD254">
            <v>0</v>
          </cell>
          <cell r="FF254">
            <v>0</v>
          </cell>
          <cell r="FH254">
            <v>0</v>
          </cell>
          <cell r="FJ254">
            <v>0</v>
          </cell>
          <cell r="FL254">
            <v>0</v>
          </cell>
          <cell r="FN254">
            <v>0</v>
          </cell>
          <cell r="FP254">
            <v>0</v>
          </cell>
          <cell r="FR254">
            <v>0</v>
          </cell>
          <cell r="FT254">
            <v>0</v>
          </cell>
          <cell r="FV254">
            <v>0</v>
          </cell>
          <cell r="GD254">
            <v>14</v>
          </cell>
          <cell r="GF254">
            <v>4</v>
          </cell>
          <cell r="GH254">
            <v>1</v>
          </cell>
          <cell r="GJ254">
            <v>7</v>
          </cell>
          <cell r="GM254">
            <v>122.01</v>
          </cell>
          <cell r="GN25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125.檢查勞工個人防護具：█有 □無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W254" t="str">
            <v>（一）施工廠商施工前檢查事項辦理情形：█完成 □未完成 （二）其他工地安全衛生督導事項：</v>
          </cell>
          <cell r="GX254">
            <v>853901</v>
          </cell>
          <cell r="GY254">
            <v>0</v>
          </cell>
        </row>
        <row r="255">
          <cell r="N255">
            <v>1</v>
          </cell>
          <cell r="P255">
            <v>1</v>
          </cell>
          <cell r="R255">
            <v>672</v>
          </cell>
          <cell r="T255">
            <v>108</v>
          </cell>
          <cell r="V255">
            <v>661</v>
          </cell>
          <cell r="X255">
            <v>2</v>
          </cell>
          <cell r="Z255">
            <v>1</v>
          </cell>
          <cell r="AB255">
            <v>661</v>
          </cell>
          <cell r="AD255">
            <v>2</v>
          </cell>
          <cell r="AF255">
            <v>1</v>
          </cell>
          <cell r="AH255">
            <v>1</v>
          </cell>
          <cell r="AJ255">
            <v>1</v>
          </cell>
          <cell r="AL255">
            <v>0</v>
          </cell>
          <cell r="AN255">
            <v>0</v>
          </cell>
          <cell r="AP255">
            <v>0</v>
          </cell>
          <cell r="AR255">
            <v>0</v>
          </cell>
          <cell r="AT255">
            <v>0</v>
          </cell>
          <cell r="AV255">
            <v>0</v>
          </cell>
          <cell r="AX255">
            <v>0</v>
          </cell>
          <cell r="AZ255">
            <v>0</v>
          </cell>
          <cell r="BB255">
            <v>0</v>
          </cell>
          <cell r="BD255">
            <v>0</v>
          </cell>
          <cell r="BF255">
            <v>0</v>
          </cell>
          <cell r="BH255">
            <v>0</v>
          </cell>
          <cell r="BJ255">
            <v>0</v>
          </cell>
          <cell r="BL255">
            <v>0</v>
          </cell>
          <cell r="BN255">
            <v>0</v>
          </cell>
          <cell r="BP255">
            <v>0</v>
          </cell>
          <cell r="BR255">
            <v>0</v>
          </cell>
          <cell r="BT255">
            <v>0</v>
          </cell>
          <cell r="BV255">
            <v>0</v>
          </cell>
          <cell r="BX255">
            <v>0</v>
          </cell>
          <cell r="BZ255">
            <v>0</v>
          </cell>
          <cell r="CB255">
            <v>0</v>
          </cell>
          <cell r="CD255">
            <v>0</v>
          </cell>
          <cell r="CF255">
            <v>0</v>
          </cell>
          <cell r="CH255">
            <v>0</v>
          </cell>
          <cell r="CJ255">
            <v>0</v>
          </cell>
          <cell r="CL255">
            <v>0</v>
          </cell>
          <cell r="CN255">
            <v>0</v>
          </cell>
          <cell r="CP255">
            <v>0</v>
          </cell>
          <cell r="CR255">
            <v>0</v>
          </cell>
          <cell r="CT255">
            <v>0</v>
          </cell>
          <cell r="CV255">
            <v>0</v>
          </cell>
          <cell r="CX255">
            <v>0</v>
          </cell>
          <cell r="CZ255">
            <v>0</v>
          </cell>
          <cell r="DB255">
            <v>0</v>
          </cell>
          <cell r="DD255">
            <v>0</v>
          </cell>
          <cell r="DF255">
            <v>0</v>
          </cell>
          <cell r="DH255">
            <v>0</v>
          </cell>
          <cell r="DJ255">
            <v>0</v>
          </cell>
          <cell r="DL255">
            <v>0</v>
          </cell>
          <cell r="DN255">
            <v>0</v>
          </cell>
          <cell r="DP255">
            <v>0</v>
          </cell>
          <cell r="DR255">
            <v>0</v>
          </cell>
          <cell r="DT255">
            <v>0</v>
          </cell>
          <cell r="DV255">
            <v>0</v>
          </cell>
          <cell r="DX255">
            <v>0</v>
          </cell>
          <cell r="DZ255">
            <v>0</v>
          </cell>
          <cell r="EB255">
            <v>0</v>
          </cell>
          <cell r="ED255">
            <v>0</v>
          </cell>
          <cell r="EF255">
            <v>0</v>
          </cell>
          <cell r="EH255">
            <v>0</v>
          </cell>
          <cell r="EJ255">
            <v>0</v>
          </cell>
          <cell r="EL255">
            <v>0</v>
          </cell>
          <cell r="EN255">
            <v>0</v>
          </cell>
          <cell r="EP255">
            <v>0</v>
          </cell>
          <cell r="ER255">
            <v>0</v>
          </cell>
          <cell r="ET255">
            <v>0</v>
          </cell>
          <cell r="EV255">
            <v>0</v>
          </cell>
          <cell r="EX255">
            <v>0</v>
          </cell>
          <cell r="EZ255">
            <v>0</v>
          </cell>
          <cell r="FB255">
            <v>0</v>
          </cell>
          <cell r="FD255">
            <v>0</v>
          </cell>
          <cell r="FF255">
            <v>0</v>
          </cell>
          <cell r="FH255">
            <v>0</v>
          </cell>
          <cell r="FJ255">
            <v>0</v>
          </cell>
          <cell r="FL255">
            <v>0</v>
          </cell>
          <cell r="FN255">
            <v>0</v>
          </cell>
          <cell r="FP255">
            <v>0</v>
          </cell>
          <cell r="FR255">
            <v>0</v>
          </cell>
          <cell r="FT255">
            <v>0</v>
          </cell>
          <cell r="FV255">
            <v>0</v>
          </cell>
          <cell r="GD255">
            <v>14</v>
          </cell>
          <cell r="GF255">
            <v>4</v>
          </cell>
          <cell r="GH255">
            <v>1</v>
          </cell>
          <cell r="GJ255">
            <v>7</v>
          </cell>
          <cell r="GM255">
            <v>123.01</v>
          </cell>
          <cell r="GN25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126.檢查勞工個人防護具：█有 □無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W255" t="str">
            <v>（一）施工廠商施工前檢查事項辦理情形：█完成 □未完成 （二）其他工地安全衛生督導事項：</v>
          </cell>
          <cell r="GX255">
            <v>853901</v>
          </cell>
          <cell r="GY255">
            <v>0</v>
          </cell>
        </row>
        <row r="256">
          <cell r="N256">
            <v>1</v>
          </cell>
          <cell r="P256">
            <v>1</v>
          </cell>
          <cell r="R256">
            <v>672</v>
          </cell>
          <cell r="T256">
            <v>108</v>
          </cell>
          <cell r="V256">
            <v>661</v>
          </cell>
          <cell r="X256">
            <v>2</v>
          </cell>
          <cell r="Z256">
            <v>1</v>
          </cell>
          <cell r="AB256">
            <v>661</v>
          </cell>
          <cell r="AD256">
            <v>2</v>
          </cell>
          <cell r="AF256">
            <v>1</v>
          </cell>
          <cell r="AH256">
            <v>1</v>
          </cell>
          <cell r="AJ256">
            <v>1</v>
          </cell>
          <cell r="AL256">
            <v>0</v>
          </cell>
          <cell r="AN256">
            <v>0</v>
          </cell>
          <cell r="AP256">
            <v>0</v>
          </cell>
          <cell r="AR256">
            <v>0</v>
          </cell>
          <cell r="AT256">
            <v>0</v>
          </cell>
          <cell r="AV256">
            <v>0</v>
          </cell>
          <cell r="AX256">
            <v>0</v>
          </cell>
          <cell r="AZ256">
            <v>0</v>
          </cell>
          <cell r="BB256">
            <v>0</v>
          </cell>
          <cell r="BD256">
            <v>0</v>
          </cell>
          <cell r="BF256">
            <v>0</v>
          </cell>
          <cell r="BH256">
            <v>0</v>
          </cell>
          <cell r="BJ256">
            <v>0</v>
          </cell>
          <cell r="BL256">
            <v>0</v>
          </cell>
          <cell r="BN256">
            <v>0</v>
          </cell>
          <cell r="BP256">
            <v>0</v>
          </cell>
          <cell r="BR256">
            <v>0</v>
          </cell>
          <cell r="BT256">
            <v>0</v>
          </cell>
          <cell r="BV256">
            <v>0</v>
          </cell>
          <cell r="BX256">
            <v>0</v>
          </cell>
          <cell r="BZ256">
            <v>0</v>
          </cell>
          <cell r="CB256">
            <v>0</v>
          </cell>
          <cell r="CD256">
            <v>0</v>
          </cell>
          <cell r="CF256">
            <v>0</v>
          </cell>
          <cell r="CH256">
            <v>0</v>
          </cell>
          <cell r="CJ256">
            <v>0</v>
          </cell>
          <cell r="CL256">
            <v>0</v>
          </cell>
          <cell r="CN256">
            <v>0</v>
          </cell>
          <cell r="CP256">
            <v>0</v>
          </cell>
          <cell r="CR256">
            <v>0</v>
          </cell>
          <cell r="CT256">
            <v>0</v>
          </cell>
          <cell r="CV256">
            <v>0</v>
          </cell>
          <cell r="CX256">
            <v>0</v>
          </cell>
          <cell r="CZ256">
            <v>0</v>
          </cell>
          <cell r="DB256">
            <v>0</v>
          </cell>
          <cell r="DD256">
            <v>0</v>
          </cell>
          <cell r="DF256">
            <v>0</v>
          </cell>
          <cell r="DH256">
            <v>0</v>
          </cell>
          <cell r="DJ256">
            <v>0</v>
          </cell>
          <cell r="DL256">
            <v>0</v>
          </cell>
          <cell r="DN256">
            <v>0</v>
          </cell>
          <cell r="DP256">
            <v>0</v>
          </cell>
          <cell r="DR256">
            <v>0</v>
          </cell>
          <cell r="DT256">
            <v>0</v>
          </cell>
          <cell r="DV256">
            <v>0</v>
          </cell>
          <cell r="DX256">
            <v>0</v>
          </cell>
          <cell r="DZ256">
            <v>0</v>
          </cell>
          <cell r="EB256">
            <v>0</v>
          </cell>
          <cell r="ED256">
            <v>0</v>
          </cell>
          <cell r="EF256">
            <v>0</v>
          </cell>
          <cell r="EH256">
            <v>0</v>
          </cell>
          <cell r="EJ256">
            <v>0</v>
          </cell>
          <cell r="EL256">
            <v>0</v>
          </cell>
          <cell r="EN256">
            <v>0</v>
          </cell>
          <cell r="EP256">
            <v>0</v>
          </cell>
          <cell r="ER256">
            <v>0</v>
          </cell>
          <cell r="ET256">
            <v>0</v>
          </cell>
          <cell r="EV256">
            <v>0</v>
          </cell>
          <cell r="EX256">
            <v>0</v>
          </cell>
          <cell r="EZ256">
            <v>0</v>
          </cell>
          <cell r="FB256">
            <v>0</v>
          </cell>
          <cell r="FD256">
            <v>0</v>
          </cell>
          <cell r="FF256">
            <v>0</v>
          </cell>
          <cell r="FH256">
            <v>0</v>
          </cell>
          <cell r="FJ256">
            <v>0</v>
          </cell>
          <cell r="FL256">
            <v>0</v>
          </cell>
          <cell r="FN256">
            <v>0</v>
          </cell>
          <cell r="FP256">
            <v>0</v>
          </cell>
          <cell r="FR256">
            <v>0</v>
          </cell>
          <cell r="FT256">
            <v>0</v>
          </cell>
          <cell r="FV256">
            <v>0</v>
          </cell>
          <cell r="GD256">
            <v>14</v>
          </cell>
          <cell r="GF256">
            <v>4</v>
          </cell>
          <cell r="GH256">
            <v>1</v>
          </cell>
          <cell r="GJ256">
            <v>7</v>
          </cell>
          <cell r="GM256">
            <v>124.01</v>
          </cell>
          <cell r="GN25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127.檢查勞工個人防護具：█有 □無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W256" t="str">
            <v>（一）施工廠商施工前檢查事項辦理情形：█完成 □未完成 （二）其他工地安全衛生督導事項：</v>
          </cell>
          <cell r="GX256">
            <v>853901</v>
          </cell>
          <cell r="GY256">
            <v>0</v>
          </cell>
        </row>
        <row r="257">
          <cell r="N257">
            <v>1</v>
          </cell>
          <cell r="P257">
            <v>1</v>
          </cell>
          <cell r="R257">
            <v>672</v>
          </cell>
          <cell r="T257">
            <v>108</v>
          </cell>
          <cell r="V257">
            <v>661</v>
          </cell>
          <cell r="X257">
            <v>2</v>
          </cell>
          <cell r="Z257">
            <v>1</v>
          </cell>
          <cell r="AB257">
            <v>661</v>
          </cell>
          <cell r="AD257">
            <v>2</v>
          </cell>
          <cell r="AF257">
            <v>1</v>
          </cell>
          <cell r="AH257">
            <v>1</v>
          </cell>
          <cell r="AJ257">
            <v>1</v>
          </cell>
          <cell r="AL257">
            <v>0</v>
          </cell>
          <cell r="AN257">
            <v>0</v>
          </cell>
          <cell r="AP257">
            <v>0</v>
          </cell>
          <cell r="AR257">
            <v>0</v>
          </cell>
          <cell r="AT257">
            <v>0</v>
          </cell>
          <cell r="AV257">
            <v>0</v>
          </cell>
          <cell r="AX257">
            <v>0</v>
          </cell>
          <cell r="AZ257">
            <v>0</v>
          </cell>
          <cell r="BB257">
            <v>0</v>
          </cell>
          <cell r="BD257">
            <v>0</v>
          </cell>
          <cell r="BF257">
            <v>0</v>
          </cell>
          <cell r="BH257">
            <v>0</v>
          </cell>
          <cell r="BJ257">
            <v>0</v>
          </cell>
          <cell r="BL257">
            <v>0</v>
          </cell>
          <cell r="BN257">
            <v>0</v>
          </cell>
          <cell r="BP257">
            <v>0</v>
          </cell>
          <cell r="BR257">
            <v>0</v>
          </cell>
          <cell r="BT257">
            <v>0</v>
          </cell>
          <cell r="BV257">
            <v>0</v>
          </cell>
          <cell r="BX257">
            <v>0</v>
          </cell>
          <cell r="BZ257">
            <v>0</v>
          </cell>
          <cell r="CB257">
            <v>0</v>
          </cell>
          <cell r="CD257">
            <v>0</v>
          </cell>
          <cell r="CF257">
            <v>0</v>
          </cell>
          <cell r="CH257">
            <v>0</v>
          </cell>
          <cell r="CJ257">
            <v>0</v>
          </cell>
          <cell r="CL257">
            <v>0</v>
          </cell>
          <cell r="CN257">
            <v>0</v>
          </cell>
          <cell r="CP257">
            <v>0</v>
          </cell>
          <cell r="CR257">
            <v>0</v>
          </cell>
          <cell r="CT257">
            <v>0</v>
          </cell>
          <cell r="CV257">
            <v>0</v>
          </cell>
          <cell r="CX257">
            <v>0</v>
          </cell>
          <cell r="CZ257">
            <v>0</v>
          </cell>
          <cell r="DB257">
            <v>0</v>
          </cell>
          <cell r="DD257">
            <v>0</v>
          </cell>
          <cell r="DF257">
            <v>0</v>
          </cell>
          <cell r="DH257">
            <v>0</v>
          </cell>
          <cell r="DJ257">
            <v>0</v>
          </cell>
          <cell r="DL257">
            <v>0</v>
          </cell>
          <cell r="DN257">
            <v>0</v>
          </cell>
          <cell r="DP257">
            <v>0</v>
          </cell>
          <cell r="DR257">
            <v>0</v>
          </cell>
          <cell r="DT257">
            <v>0</v>
          </cell>
          <cell r="DV257">
            <v>0</v>
          </cell>
          <cell r="DX257">
            <v>0</v>
          </cell>
          <cell r="DZ257">
            <v>0</v>
          </cell>
          <cell r="EB257">
            <v>0</v>
          </cell>
          <cell r="ED257">
            <v>0</v>
          </cell>
          <cell r="EF257">
            <v>0</v>
          </cell>
          <cell r="EH257">
            <v>0</v>
          </cell>
          <cell r="EJ257">
            <v>0</v>
          </cell>
          <cell r="EL257">
            <v>0</v>
          </cell>
          <cell r="EN257">
            <v>0</v>
          </cell>
          <cell r="EP257">
            <v>0</v>
          </cell>
          <cell r="ER257">
            <v>0</v>
          </cell>
          <cell r="ET257">
            <v>0</v>
          </cell>
          <cell r="EV257">
            <v>0</v>
          </cell>
          <cell r="EX257">
            <v>0</v>
          </cell>
          <cell r="EZ257">
            <v>0</v>
          </cell>
          <cell r="FB257">
            <v>0</v>
          </cell>
          <cell r="FD257">
            <v>0</v>
          </cell>
          <cell r="FF257">
            <v>0</v>
          </cell>
          <cell r="FH257">
            <v>0</v>
          </cell>
          <cell r="FJ257">
            <v>0</v>
          </cell>
          <cell r="FL257">
            <v>0</v>
          </cell>
          <cell r="FN257">
            <v>0</v>
          </cell>
          <cell r="FP257">
            <v>0</v>
          </cell>
          <cell r="FR257">
            <v>0</v>
          </cell>
          <cell r="FT257">
            <v>0</v>
          </cell>
          <cell r="FV257">
            <v>0</v>
          </cell>
          <cell r="GD257">
            <v>14</v>
          </cell>
          <cell r="GF257">
            <v>4</v>
          </cell>
          <cell r="GH257">
            <v>1</v>
          </cell>
          <cell r="GJ257">
            <v>7</v>
          </cell>
          <cell r="GM257">
            <v>125.01</v>
          </cell>
          <cell r="GN25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128.檢查勞工個人防護具：█有 □無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W257" t="str">
            <v>（一）施工廠商施工前檢查事項辦理情形：█完成 □未完成 （二）其他工地安全衛生督導事項：</v>
          </cell>
          <cell r="GX257">
            <v>853901</v>
          </cell>
          <cell r="GY257">
            <v>0</v>
          </cell>
        </row>
        <row r="258">
          <cell r="N258">
            <v>1</v>
          </cell>
          <cell r="P258">
            <v>1</v>
          </cell>
          <cell r="R258">
            <v>672</v>
          </cell>
          <cell r="T258">
            <v>108</v>
          </cell>
          <cell r="V258">
            <v>661</v>
          </cell>
          <cell r="X258">
            <v>2</v>
          </cell>
          <cell r="Z258">
            <v>1</v>
          </cell>
          <cell r="AB258">
            <v>661</v>
          </cell>
          <cell r="AD258">
            <v>2</v>
          </cell>
          <cell r="AF258">
            <v>1</v>
          </cell>
          <cell r="AH258">
            <v>1</v>
          </cell>
          <cell r="AJ258">
            <v>1</v>
          </cell>
          <cell r="AL258">
            <v>0</v>
          </cell>
          <cell r="AN258">
            <v>0</v>
          </cell>
          <cell r="AP258">
            <v>0</v>
          </cell>
          <cell r="AR258">
            <v>0</v>
          </cell>
          <cell r="AT258">
            <v>0</v>
          </cell>
          <cell r="AV258">
            <v>0</v>
          </cell>
          <cell r="AX258">
            <v>0</v>
          </cell>
          <cell r="AZ258">
            <v>0</v>
          </cell>
          <cell r="BB258">
            <v>0</v>
          </cell>
          <cell r="BD258">
            <v>0</v>
          </cell>
          <cell r="BF258">
            <v>0</v>
          </cell>
          <cell r="BH258">
            <v>0</v>
          </cell>
          <cell r="BJ258">
            <v>0</v>
          </cell>
          <cell r="BL258">
            <v>0</v>
          </cell>
          <cell r="BN258">
            <v>0</v>
          </cell>
          <cell r="BP258">
            <v>0</v>
          </cell>
          <cell r="BR258">
            <v>0</v>
          </cell>
          <cell r="BT258">
            <v>0</v>
          </cell>
          <cell r="BV258">
            <v>0</v>
          </cell>
          <cell r="BX258">
            <v>0</v>
          </cell>
          <cell r="BZ258">
            <v>0</v>
          </cell>
          <cell r="CB258">
            <v>0</v>
          </cell>
          <cell r="CD258">
            <v>0</v>
          </cell>
          <cell r="CF258">
            <v>0</v>
          </cell>
          <cell r="CH258">
            <v>0</v>
          </cell>
          <cell r="CJ258">
            <v>0</v>
          </cell>
          <cell r="CL258">
            <v>0</v>
          </cell>
          <cell r="CN258">
            <v>0</v>
          </cell>
          <cell r="CP258">
            <v>0</v>
          </cell>
          <cell r="CR258">
            <v>0</v>
          </cell>
          <cell r="CT258">
            <v>0</v>
          </cell>
          <cell r="CV258">
            <v>0</v>
          </cell>
          <cell r="CX258">
            <v>0</v>
          </cell>
          <cell r="CZ258">
            <v>0</v>
          </cell>
          <cell r="DB258">
            <v>0</v>
          </cell>
          <cell r="DD258">
            <v>0</v>
          </cell>
          <cell r="DF258">
            <v>0</v>
          </cell>
          <cell r="DH258">
            <v>0</v>
          </cell>
          <cell r="DJ258">
            <v>0</v>
          </cell>
          <cell r="DL258">
            <v>0</v>
          </cell>
          <cell r="DN258">
            <v>0</v>
          </cell>
          <cell r="DP258">
            <v>0</v>
          </cell>
          <cell r="DR258">
            <v>0</v>
          </cell>
          <cell r="DT258">
            <v>0</v>
          </cell>
          <cell r="DV258">
            <v>0</v>
          </cell>
          <cell r="DX258">
            <v>0</v>
          </cell>
          <cell r="DZ258">
            <v>0</v>
          </cell>
          <cell r="EB258">
            <v>0</v>
          </cell>
          <cell r="ED258">
            <v>0</v>
          </cell>
          <cell r="EF258">
            <v>0</v>
          </cell>
          <cell r="EH258">
            <v>0</v>
          </cell>
          <cell r="EJ258">
            <v>0</v>
          </cell>
          <cell r="EL258">
            <v>0</v>
          </cell>
          <cell r="EN258">
            <v>0</v>
          </cell>
          <cell r="EP258">
            <v>0</v>
          </cell>
          <cell r="ER258">
            <v>0</v>
          </cell>
          <cell r="ET258">
            <v>0</v>
          </cell>
          <cell r="EV258">
            <v>0</v>
          </cell>
          <cell r="EX258">
            <v>0</v>
          </cell>
          <cell r="EZ258">
            <v>0</v>
          </cell>
          <cell r="FB258">
            <v>0</v>
          </cell>
          <cell r="FD258">
            <v>0</v>
          </cell>
          <cell r="FF258">
            <v>0</v>
          </cell>
          <cell r="FH258">
            <v>0</v>
          </cell>
          <cell r="FJ258">
            <v>0</v>
          </cell>
          <cell r="FL258">
            <v>0</v>
          </cell>
          <cell r="FN258">
            <v>0</v>
          </cell>
          <cell r="FP258">
            <v>0</v>
          </cell>
          <cell r="FR258">
            <v>0</v>
          </cell>
          <cell r="FT258">
            <v>0</v>
          </cell>
          <cell r="FV258">
            <v>0</v>
          </cell>
          <cell r="GD258">
            <v>14</v>
          </cell>
          <cell r="GF258">
            <v>4</v>
          </cell>
          <cell r="GH258">
            <v>1</v>
          </cell>
          <cell r="GJ258">
            <v>7</v>
          </cell>
          <cell r="GM258">
            <v>126.01</v>
          </cell>
          <cell r="GN25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129.檢查勞工個人防護具：█有 □無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W258" t="str">
            <v>（一）施工廠商施工前檢查事項辦理情形：█完成 □未完成 （二）其他工地安全衛生督導事項：</v>
          </cell>
          <cell r="GX258">
            <v>853901</v>
          </cell>
          <cell r="GY258">
            <v>0</v>
          </cell>
        </row>
        <row r="259">
          <cell r="N259">
            <v>1</v>
          </cell>
          <cell r="P259">
            <v>1</v>
          </cell>
          <cell r="R259">
            <v>672</v>
          </cell>
          <cell r="T259">
            <v>108</v>
          </cell>
          <cell r="V259">
            <v>661</v>
          </cell>
          <cell r="X259">
            <v>2</v>
          </cell>
          <cell r="Z259">
            <v>1</v>
          </cell>
          <cell r="AB259">
            <v>661</v>
          </cell>
          <cell r="AD259">
            <v>2</v>
          </cell>
          <cell r="AF259">
            <v>1</v>
          </cell>
          <cell r="AH259">
            <v>1</v>
          </cell>
          <cell r="AJ259">
            <v>1</v>
          </cell>
          <cell r="AL259">
            <v>0</v>
          </cell>
          <cell r="AN259">
            <v>0</v>
          </cell>
          <cell r="AP259">
            <v>0</v>
          </cell>
          <cell r="AR259">
            <v>0</v>
          </cell>
          <cell r="AT259">
            <v>0</v>
          </cell>
          <cell r="AV259">
            <v>0</v>
          </cell>
          <cell r="AX259">
            <v>0</v>
          </cell>
          <cell r="AZ259">
            <v>0</v>
          </cell>
          <cell r="BB259">
            <v>0</v>
          </cell>
          <cell r="BD259">
            <v>0</v>
          </cell>
          <cell r="BF259">
            <v>0</v>
          </cell>
          <cell r="BH259">
            <v>0</v>
          </cell>
          <cell r="BJ259">
            <v>0</v>
          </cell>
          <cell r="BL259">
            <v>0</v>
          </cell>
          <cell r="BN259">
            <v>0</v>
          </cell>
          <cell r="BP259">
            <v>0</v>
          </cell>
          <cell r="BR259">
            <v>0</v>
          </cell>
          <cell r="BT259">
            <v>0</v>
          </cell>
          <cell r="BV259">
            <v>0</v>
          </cell>
          <cell r="BX259">
            <v>0</v>
          </cell>
          <cell r="BZ259">
            <v>0</v>
          </cell>
          <cell r="CB259">
            <v>0</v>
          </cell>
          <cell r="CD259">
            <v>0</v>
          </cell>
          <cell r="CF259">
            <v>0</v>
          </cell>
          <cell r="CH259">
            <v>0</v>
          </cell>
          <cell r="CJ259">
            <v>0</v>
          </cell>
          <cell r="CL259">
            <v>0</v>
          </cell>
          <cell r="CN259">
            <v>0</v>
          </cell>
          <cell r="CP259">
            <v>0</v>
          </cell>
          <cell r="CR259">
            <v>0</v>
          </cell>
          <cell r="CT259">
            <v>0</v>
          </cell>
          <cell r="CV259">
            <v>0</v>
          </cell>
          <cell r="CX259">
            <v>0</v>
          </cell>
          <cell r="CZ259">
            <v>0</v>
          </cell>
          <cell r="DB259">
            <v>0</v>
          </cell>
          <cell r="DD259">
            <v>0</v>
          </cell>
          <cell r="DF259">
            <v>0</v>
          </cell>
          <cell r="DH259">
            <v>0</v>
          </cell>
          <cell r="DJ259">
            <v>0</v>
          </cell>
          <cell r="DL259">
            <v>0</v>
          </cell>
          <cell r="DN259">
            <v>0</v>
          </cell>
          <cell r="DP259">
            <v>0</v>
          </cell>
          <cell r="DR259">
            <v>0</v>
          </cell>
          <cell r="DT259">
            <v>0</v>
          </cell>
          <cell r="DV259">
            <v>0</v>
          </cell>
          <cell r="DX259">
            <v>0</v>
          </cell>
          <cell r="DZ259">
            <v>0</v>
          </cell>
          <cell r="EB259">
            <v>0</v>
          </cell>
          <cell r="ED259">
            <v>0</v>
          </cell>
          <cell r="EF259">
            <v>0</v>
          </cell>
          <cell r="EH259">
            <v>0</v>
          </cell>
          <cell r="EJ259">
            <v>0</v>
          </cell>
          <cell r="EL259">
            <v>0</v>
          </cell>
          <cell r="EN259">
            <v>0</v>
          </cell>
          <cell r="EP259">
            <v>0</v>
          </cell>
          <cell r="ER259">
            <v>0</v>
          </cell>
          <cell r="ET259">
            <v>0</v>
          </cell>
          <cell r="EV259">
            <v>0</v>
          </cell>
          <cell r="EX259">
            <v>0</v>
          </cell>
          <cell r="EZ259">
            <v>0</v>
          </cell>
          <cell r="FB259">
            <v>0</v>
          </cell>
          <cell r="FD259">
            <v>0</v>
          </cell>
          <cell r="FF259">
            <v>0</v>
          </cell>
          <cell r="FH259">
            <v>0</v>
          </cell>
          <cell r="FJ259">
            <v>0</v>
          </cell>
          <cell r="FL259">
            <v>0</v>
          </cell>
          <cell r="FN259">
            <v>0</v>
          </cell>
          <cell r="FP259">
            <v>0</v>
          </cell>
          <cell r="FR259">
            <v>0</v>
          </cell>
          <cell r="FT259">
            <v>0</v>
          </cell>
          <cell r="FV259">
            <v>0</v>
          </cell>
          <cell r="GD259">
            <v>14</v>
          </cell>
          <cell r="GF259">
            <v>4</v>
          </cell>
          <cell r="GH259">
            <v>1</v>
          </cell>
          <cell r="GJ259">
            <v>7</v>
          </cell>
          <cell r="GM259">
            <v>127.01</v>
          </cell>
          <cell r="GN25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130.檢查勞工個人防護具：█有 □無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W259" t="str">
            <v>（一）施工廠商施工前檢查事項辦理情形：█完成 □未完成 （二）其他工地安全衛生督導事項：</v>
          </cell>
          <cell r="GX259">
            <v>853901</v>
          </cell>
          <cell r="GY259">
            <v>0</v>
          </cell>
        </row>
        <row r="260">
          <cell r="N260">
            <v>1</v>
          </cell>
          <cell r="P260">
            <v>1</v>
          </cell>
          <cell r="R260">
            <v>672</v>
          </cell>
          <cell r="T260">
            <v>108</v>
          </cell>
          <cell r="V260">
            <v>661</v>
          </cell>
          <cell r="X260">
            <v>2</v>
          </cell>
          <cell r="Z260">
            <v>1</v>
          </cell>
          <cell r="AB260">
            <v>661</v>
          </cell>
          <cell r="AD260">
            <v>2</v>
          </cell>
          <cell r="AF260">
            <v>1</v>
          </cell>
          <cell r="AH260">
            <v>1</v>
          </cell>
          <cell r="AJ260">
            <v>1</v>
          </cell>
          <cell r="AL260">
            <v>0</v>
          </cell>
          <cell r="AN260">
            <v>0</v>
          </cell>
          <cell r="AP260">
            <v>0</v>
          </cell>
          <cell r="AR260">
            <v>0</v>
          </cell>
          <cell r="AT260">
            <v>0</v>
          </cell>
          <cell r="AV260">
            <v>0</v>
          </cell>
          <cell r="AX260">
            <v>0</v>
          </cell>
          <cell r="AZ260">
            <v>0</v>
          </cell>
          <cell r="BB260">
            <v>0</v>
          </cell>
          <cell r="BD260">
            <v>0</v>
          </cell>
          <cell r="BF260">
            <v>0</v>
          </cell>
          <cell r="BH260">
            <v>0</v>
          </cell>
          <cell r="BJ260">
            <v>0</v>
          </cell>
          <cell r="BL260">
            <v>0</v>
          </cell>
          <cell r="BN260">
            <v>0</v>
          </cell>
          <cell r="BP260">
            <v>0</v>
          </cell>
          <cell r="BR260">
            <v>0</v>
          </cell>
          <cell r="BT260">
            <v>0</v>
          </cell>
          <cell r="BV260">
            <v>0</v>
          </cell>
          <cell r="BX260">
            <v>0</v>
          </cell>
          <cell r="BZ260">
            <v>0</v>
          </cell>
          <cell r="CB260">
            <v>0</v>
          </cell>
          <cell r="CD260">
            <v>0</v>
          </cell>
          <cell r="CF260">
            <v>0</v>
          </cell>
          <cell r="CH260">
            <v>0</v>
          </cell>
          <cell r="CJ260">
            <v>0</v>
          </cell>
          <cell r="CL260">
            <v>0</v>
          </cell>
          <cell r="CN260">
            <v>0</v>
          </cell>
          <cell r="CP260">
            <v>0</v>
          </cell>
          <cell r="CR260">
            <v>0</v>
          </cell>
          <cell r="CT260">
            <v>0</v>
          </cell>
          <cell r="CV260">
            <v>0</v>
          </cell>
          <cell r="CX260">
            <v>0</v>
          </cell>
          <cell r="CZ260">
            <v>0</v>
          </cell>
          <cell r="DB260">
            <v>0</v>
          </cell>
          <cell r="DD260">
            <v>0</v>
          </cell>
          <cell r="DF260">
            <v>0</v>
          </cell>
          <cell r="DH260">
            <v>0</v>
          </cell>
          <cell r="DJ260">
            <v>0</v>
          </cell>
          <cell r="DL260">
            <v>0</v>
          </cell>
          <cell r="DN260">
            <v>0</v>
          </cell>
          <cell r="DP260">
            <v>0</v>
          </cell>
          <cell r="DR260">
            <v>0</v>
          </cell>
          <cell r="DT260">
            <v>0</v>
          </cell>
          <cell r="DV260">
            <v>0</v>
          </cell>
          <cell r="DX260">
            <v>0</v>
          </cell>
          <cell r="DZ260">
            <v>0</v>
          </cell>
          <cell r="EB260">
            <v>0</v>
          </cell>
          <cell r="ED260">
            <v>0</v>
          </cell>
          <cell r="EF260">
            <v>0</v>
          </cell>
          <cell r="EH260">
            <v>0</v>
          </cell>
          <cell r="EJ260">
            <v>0</v>
          </cell>
          <cell r="EL260">
            <v>0</v>
          </cell>
          <cell r="EN260">
            <v>0</v>
          </cell>
          <cell r="EP260">
            <v>0</v>
          </cell>
          <cell r="ER260">
            <v>0</v>
          </cell>
          <cell r="ET260">
            <v>0</v>
          </cell>
          <cell r="EV260">
            <v>0</v>
          </cell>
          <cell r="EX260">
            <v>0</v>
          </cell>
          <cell r="EZ260">
            <v>0</v>
          </cell>
          <cell r="FB260">
            <v>0</v>
          </cell>
          <cell r="FD260">
            <v>0</v>
          </cell>
          <cell r="FF260">
            <v>0</v>
          </cell>
          <cell r="FH260">
            <v>0</v>
          </cell>
          <cell r="FJ260">
            <v>0</v>
          </cell>
          <cell r="FL260">
            <v>0</v>
          </cell>
          <cell r="FN260">
            <v>0</v>
          </cell>
          <cell r="FP260">
            <v>0</v>
          </cell>
          <cell r="FR260">
            <v>0</v>
          </cell>
          <cell r="FT260">
            <v>0</v>
          </cell>
          <cell r="FV260">
            <v>0</v>
          </cell>
          <cell r="GD260">
            <v>14</v>
          </cell>
          <cell r="GF260">
            <v>4</v>
          </cell>
          <cell r="GH260">
            <v>1</v>
          </cell>
          <cell r="GJ260">
            <v>7</v>
          </cell>
          <cell r="GM260">
            <v>128.01</v>
          </cell>
          <cell r="GN26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131.檢查勞工個人防護具：█有 □無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W260" t="str">
            <v>（一）施工廠商施工前檢查事項辦理情形：█完成 □未完成 （二）其他工地安全衛生督導事項：</v>
          </cell>
          <cell r="GX260">
            <v>853901</v>
          </cell>
          <cell r="GY260">
            <v>0</v>
          </cell>
        </row>
        <row r="261">
          <cell r="N261">
            <v>1</v>
          </cell>
          <cell r="P261">
            <v>1</v>
          </cell>
          <cell r="R261">
            <v>672</v>
          </cell>
          <cell r="T261">
            <v>108</v>
          </cell>
          <cell r="V261">
            <v>661</v>
          </cell>
          <cell r="X261">
            <v>2</v>
          </cell>
          <cell r="Z261">
            <v>1</v>
          </cell>
          <cell r="AB261">
            <v>661</v>
          </cell>
          <cell r="AD261">
            <v>2</v>
          </cell>
          <cell r="AF261">
            <v>1</v>
          </cell>
          <cell r="AH261">
            <v>1</v>
          </cell>
          <cell r="AJ261">
            <v>1</v>
          </cell>
          <cell r="AL261">
            <v>0</v>
          </cell>
          <cell r="AN261">
            <v>0</v>
          </cell>
          <cell r="AP261">
            <v>0</v>
          </cell>
          <cell r="AR261">
            <v>0</v>
          </cell>
          <cell r="AT261">
            <v>0</v>
          </cell>
          <cell r="AV261">
            <v>0</v>
          </cell>
          <cell r="AX261">
            <v>0</v>
          </cell>
          <cell r="AZ261">
            <v>0</v>
          </cell>
          <cell r="BB261">
            <v>0</v>
          </cell>
          <cell r="BD261">
            <v>0</v>
          </cell>
          <cell r="BF261">
            <v>0</v>
          </cell>
          <cell r="BH261">
            <v>0</v>
          </cell>
          <cell r="BJ261">
            <v>0</v>
          </cell>
          <cell r="BL261">
            <v>0</v>
          </cell>
          <cell r="BN261">
            <v>0</v>
          </cell>
          <cell r="BP261">
            <v>0</v>
          </cell>
          <cell r="BR261">
            <v>0</v>
          </cell>
          <cell r="BT261">
            <v>0</v>
          </cell>
          <cell r="BV261">
            <v>0</v>
          </cell>
          <cell r="BX261">
            <v>0</v>
          </cell>
          <cell r="BZ261">
            <v>0</v>
          </cell>
          <cell r="CB261">
            <v>0</v>
          </cell>
          <cell r="CD261">
            <v>0</v>
          </cell>
          <cell r="CF261">
            <v>0</v>
          </cell>
          <cell r="CH261">
            <v>0</v>
          </cell>
          <cell r="CJ261">
            <v>0</v>
          </cell>
          <cell r="CL261">
            <v>0</v>
          </cell>
          <cell r="CN261">
            <v>0</v>
          </cell>
          <cell r="CP261">
            <v>0</v>
          </cell>
          <cell r="CR261">
            <v>0</v>
          </cell>
          <cell r="CT261">
            <v>0</v>
          </cell>
          <cell r="CV261">
            <v>0</v>
          </cell>
          <cell r="CX261">
            <v>0</v>
          </cell>
          <cell r="CZ261">
            <v>0</v>
          </cell>
          <cell r="DB261">
            <v>0</v>
          </cell>
          <cell r="DD261">
            <v>0</v>
          </cell>
          <cell r="DF261">
            <v>0</v>
          </cell>
          <cell r="DH261">
            <v>0</v>
          </cell>
          <cell r="DJ261">
            <v>0</v>
          </cell>
          <cell r="DL261">
            <v>0</v>
          </cell>
          <cell r="DN261">
            <v>0</v>
          </cell>
          <cell r="DP261">
            <v>0</v>
          </cell>
          <cell r="DR261">
            <v>0</v>
          </cell>
          <cell r="DT261">
            <v>0</v>
          </cell>
          <cell r="DV261">
            <v>0</v>
          </cell>
          <cell r="DX261">
            <v>0</v>
          </cell>
          <cell r="DZ261">
            <v>0</v>
          </cell>
          <cell r="EB261">
            <v>0</v>
          </cell>
          <cell r="ED261">
            <v>0</v>
          </cell>
          <cell r="EF261">
            <v>0</v>
          </cell>
          <cell r="EH261">
            <v>0</v>
          </cell>
          <cell r="EJ261">
            <v>0</v>
          </cell>
          <cell r="EL261">
            <v>0</v>
          </cell>
          <cell r="EN261">
            <v>0</v>
          </cell>
          <cell r="EP261">
            <v>0</v>
          </cell>
          <cell r="ER261">
            <v>0</v>
          </cell>
          <cell r="ET261">
            <v>0</v>
          </cell>
          <cell r="EV261">
            <v>0</v>
          </cell>
          <cell r="EX261">
            <v>0</v>
          </cell>
          <cell r="EZ261">
            <v>0</v>
          </cell>
          <cell r="FB261">
            <v>0</v>
          </cell>
          <cell r="FD261">
            <v>0</v>
          </cell>
          <cell r="FF261">
            <v>0</v>
          </cell>
          <cell r="FH261">
            <v>0</v>
          </cell>
          <cell r="FJ261">
            <v>0</v>
          </cell>
          <cell r="FL261">
            <v>0</v>
          </cell>
          <cell r="FN261">
            <v>0</v>
          </cell>
          <cell r="FP261">
            <v>0</v>
          </cell>
          <cell r="FR261">
            <v>0</v>
          </cell>
          <cell r="FT261">
            <v>0</v>
          </cell>
          <cell r="FV261">
            <v>0</v>
          </cell>
          <cell r="GD261">
            <v>14</v>
          </cell>
          <cell r="GF261">
            <v>4</v>
          </cell>
          <cell r="GH261">
            <v>1</v>
          </cell>
          <cell r="GJ261">
            <v>7</v>
          </cell>
          <cell r="GM261">
            <v>129.01</v>
          </cell>
          <cell r="GN26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132.檢查勞工個人防護具：█有 □無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W261" t="str">
            <v>（一）施工廠商施工前檢查事項辦理情形：█完成 □未完成 （二）其他工地安全衛生督導事項：</v>
          </cell>
          <cell r="GX261">
            <v>853901</v>
          </cell>
          <cell r="GY261">
            <v>0</v>
          </cell>
        </row>
        <row r="262">
          <cell r="N262">
            <v>1</v>
          </cell>
          <cell r="P262">
            <v>1</v>
          </cell>
          <cell r="R262">
            <v>672</v>
          </cell>
          <cell r="T262">
            <v>108</v>
          </cell>
          <cell r="V262">
            <v>661</v>
          </cell>
          <cell r="X262">
            <v>2</v>
          </cell>
          <cell r="Z262">
            <v>1</v>
          </cell>
          <cell r="AB262">
            <v>661</v>
          </cell>
          <cell r="AD262">
            <v>2</v>
          </cell>
          <cell r="AF262">
            <v>1</v>
          </cell>
          <cell r="AH262">
            <v>1</v>
          </cell>
          <cell r="AJ262">
            <v>1</v>
          </cell>
          <cell r="AL262">
            <v>0</v>
          </cell>
          <cell r="AN262">
            <v>0</v>
          </cell>
          <cell r="AP262">
            <v>0</v>
          </cell>
          <cell r="AR262">
            <v>0</v>
          </cell>
          <cell r="AT262">
            <v>0</v>
          </cell>
          <cell r="AV262">
            <v>0</v>
          </cell>
          <cell r="AX262">
            <v>0</v>
          </cell>
          <cell r="AZ262">
            <v>0</v>
          </cell>
          <cell r="BB262">
            <v>0</v>
          </cell>
          <cell r="BD262">
            <v>0</v>
          </cell>
          <cell r="BF262">
            <v>0</v>
          </cell>
          <cell r="BH262">
            <v>0</v>
          </cell>
          <cell r="BJ262">
            <v>0</v>
          </cell>
          <cell r="BL262">
            <v>0</v>
          </cell>
          <cell r="BN262">
            <v>0</v>
          </cell>
          <cell r="BP262">
            <v>0</v>
          </cell>
          <cell r="BR262">
            <v>0</v>
          </cell>
          <cell r="BT262">
            <v>0</v>
          </cell>
          <cell r="BV262">
            <v>0</v>
          </cell>
          <cell r="BX262">
            <v>0</v>
          </cell>
          <cell r="BZ262">
            <v>0</v>
          </cell>
          <cell r="CB262">
            <v>0</v>
          </cell>
          <cell r="CD262">
            <v>0</v>
          </cell>
          <cell r="CF262">
            <v>0</v>
          </cell>
          <cell r="CH262">
            <v>0</v>
          </cell>
          <cell r="CJ262">
            <v>0</v>
          </cell>
          <cell r="CL262">
            <v>0</v>
          </cell>
          <cell r="CN262">
            <v>0</v>
          </cell>
          <cell r="CP262">
            <v>0</v>
          </cell>
          <cell r="CR262">
            <v>0</v>
          </cell>
          <cell r="CT262">
            <v>0</v>
          </cell>
          <cell r="CV262">
            <v>0</v>
          </cell>
          <cell r="CX262">
            <v>0</v>
          </cell>
          <cell r="CZ262">
            <v>0</v>
          </cell>
          <cell r="DB262">
            <v>0</v>
          </cell>
          <cell r="DD262">
            <v>0</v>
          </cell>
          <cell r="DF262">
            <v>0</v>
          </cell>
          <cell r="DH262">
            <v>0</v>
          </cell>
          <cell r="DJ262">
            <v>0</v>
          </cell>
          <cell r="DL262">
            <v>0</v>
          </cell>
          <cell r="DN262">
            <v>0</v>
          </cell>
          <cell r="DP262">
            <v>0</v>
          </cell>
          <cell r="DR262">
            <v>0</v>
          </cell>
          <cell r="DT262">
            <v>0</v>
          </cell>
          <cell r="DV262">
            <v>0</v>
          </cell>
          <cell r="DX262">
            <v>0</v>
          </cell>
          <cell r="DZ262">
            <v>0</v>
          </cell>
          <cell r="EB262">
            <v>0</v>
          </cell>
          <cell r="ED262">
            <v>0</v>
          </cell>
          <cell r="EF262">
            <v>0</v>
          </cell>
          <cell r="EH262">
            <v>0</v>
          </cell>
          <cell r="EJ262">
            <v>0</v>
          </cell>
          <cell r="EL262">
            <v>0</v>
          </cell>
          <cell r="EN262">
            <v>0</v>
          </cell>
          <cell r="EP262">
            <v>0</v>
          </cell>
          <cell r="ER262">
            <v>0</v>
          </cell>
          <cell r="ET262">
            <v>0</v>
          </cell>
          <cell r="EV262">
            <v>0</v>
          </cell>
          <cell r="EX262">
            <v>0</v>
          </cell>
          <cell r="EZ262">
            <v>0</v>
          </cell>
          <cell r="FB262">
            <v>0</v>
          </cell>
          <cell r="FD262">
            <v>0</v>
          </cell>
          <cell r="FF262">
            <v>0</v>
          </cell>
          <cell r="FH262">
            <v>0</v>
          </cell>
          <cell r="FJ262">
            <v>0</v>
          </cell>
          <cell r="FL262">
            <v>0</v>
          </cell>
          <cell r="FN262">
            <v>0</v>
          </cell>
          <cell r="FP262">
            <v>0</v>
          </cell>
          <cell r="FR262">
            <v>0</v>
          </cell>
          <cell r="FT262">
            <v>0</v>
          </cell>
          <cell r="FV262">
            <v>0</v>
          </cell>
          <cell r="GD262">
            <v>14</v>
          </cell>
          <cell r="GF262">
            <v>4</v>
          </cell>
          <cell r="GH262">
            <v>1</v>
          </cell>
          <cell r="GJ262">
            <v>7</v>
          </cell>
          <cell r="GM262">
            <v>130.01</v>
          </cell>
          <cell r="GN26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133.檢查勞工個人防護具：█有 □無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W262" t="str">
            <v>（一）施工廠商施工前檢查事項辦理情形：█完成 □未完成 （二）其他工地安全衛生督導事項：</v>
          </cell>
          <cell r="GX262">
            <v>853901</v>
          </cell>
          <cell r="GY262">
            <v>0</v>
          </cell>
        </row>
        <row r="263">
          <cell r="N263">
            <v>1</v>
          </cell>
          <cell r="P263">
            <v>1</v>
          </cell>
          <cell r="R263">
            <v>672</v>
          </cell>
          <cell r="T263">
            <v>108</v>
          </cell>
          <cell r="V263">
            <v>661</v>
          </cell>
          <cell r="X263">
            <v>2</v>
          </cell>
          <cell r="Z263">
            <v>1</v>
          </cell>
          <cell r="AB263">
            <v>661</v>
          </cell>
          <cell r="AD263">
            <v>2</v>
          </cell>
          <cell r="AF263">
            <v>1</v>
          </cell>
          <cell r="AH263">
            <v>1</v>
          </cell>
          <cell r="AJ263">
            <v>1</v>
          </cell>
          <cell r="AL263">
            <v>0</v>
          </cell>
          <cell r="AN263">
            <v>0</v>
          </cell>
          <cell r="AP263">
            <v>0</v>
          </cell>
          <cell r="AR263">
            <v>0</v>
          </cell>
          <cell r="AT263">
            <v>0</v>
          </cell>
          <cell r="AV263">
            <v>0</v>
          </cell>
          <cell r="AX263">
            <v>0</v>
          </cell>
          <cell r="AZ263">
            <v>0</v>
          </cell>
          <cell r="BB263">
            <v>0</v>
          </cell>
          <cell r="BD263">
            <v>0</v>
          </cell>
          <cell r="BF263">
            <v>0</v>
          </cell>
          <cell r="BH263">
            <v>0</v>
          </cell>
          <cell r="BJ263">
            <v>0</v>
          </cell>
          <cell r="BL263">
            <v>0</v>
          </cell>
          <cell r="BN263">
            <v>0</v>
          </cell>
          <cell r="BP263">
            <v>0</v>
          </cell>
          <cell r="BR263">
            <v>0</v>
          </cell>
          <cell r="BT263">
            <v>0</v>
          </cell>
          <cell r="BV263">
            <v>0</v>
          </cell>
          <cell r="BX263">
            <v>0</v>
          </cell>
          <cell r="BZ263">
            <v>0</v>
          </cell>
          <cell r="CB263">
            <v>0</v>
          </cell>
          <cell r="CD263">
            <v>0</v>
          </cell>
          <cell r="CF263">
            <v>0</v>
          </cell>
          <cell r="CH263">
            <v>0</v>
          </cell>
          <cell r="CJ263">
            <v>0</v>
          </cell>
          <cell r="CL263">
            <v>0</v>
          </cell>
          <cell r="CN263">
            <v>0</v>
          </cell>
          <cell r="CP263">
            <v>0</v>
          </cell>
          <cell r="CR263">
            <v>0</v>
          </cell>
          <cell r="CT263">
            <v>0</v>
          </cell>
          <cell r="CV263">
            <v>0</v>
          </cell>
          <cell r="CX263">
            <v>0</v>
          </cell>
          <cell r="CZ263">
            <v>0</v>
          </cell>
          <cell r="DB263">
            <v>0</v>
          </cell>
          <cell r="DD263">
            <v>0</v>
          </cell>
          <cell r="DF263">
            <v>0</v>
          </cell>
          <cell r="DH263">
            <v>0</v>
          </cell>
          <cell r="DJ263">
            <v>0</v>
          </cell>
          <cell r="DL263">
            <v>0</v>
          </cell>
          <cell r="DN263">
            <v>0</v>
          </cell>
          <cell r="DP263">
            <v>0</v>
          </cell>
          <cell r="DR263">
            <v>0</v>
          </cell>
          <cell r="DT263">
            <v>0</v>
          </cell>
          <cell r="DV263">
            <v>0</v>
          </cell>
          <cell r="DX263">
            <v>0</v>
          </cell>
          <cell r="DZ263">
            <v>0</v>
          </cell>
          <cell r="EB263">
            <v>0</v>
          </cell>
          <cell r="ED263">
            <v>0</v>
          </cell>
          <cell r="EF263">
            <v>0</v>
          </cell>
          <cell r="EH263">
            <v>0</v>
          </cell>
          <cell r="EJ263">
            <v>0</v>
          </cell>
          <cell r="EL263">
            <v>0</v>
          </cell>
          <cell r="EN263">
            <v>0</v>
          </cell>
          <cell r="EP263">
            <v>0</v>
          </cell>
          <cell r="ER263">
            <v>0</v>
          </cell>
          <cell r="ET263">
            <v>0</v>
          </cell>
          <cell r="EV263">
            <v>0</v>
          </cell>
          <cell r="EX263">
            <v>0</v>
          </cell>
          <cell r="EZ263">
            <v>0</v>
          </cell>
          <cell r="FB263">
            <v>0</v>
          </cell>
          <cell r="FD263">
            <v>0</v>
          </cell>
          <cell r="FF263">
            <v>0</v>
          </cell>
          <cell r="FH263">
            <v>0</v>
          </cell>
          <cell r="FJ263">
            <v>0</v>
          </cell>
          <cell r="FL263">
            <v>0</v>
          </cell>
          <cell r="FN263">
            <v>0</v>
          </cell>
          <cell r="FP263">
            <v>0</v>
          </cell>
          <cell r="FR263">
            <v>0</v>
          </cell>
          <cell r="FT263">
            <v>0</v>
          </cell>
          <cell r="FV263">
            <v>0</v>
          </cell>
          <cell r="GD263">
            <v>14</v>
          </cell>
          <cell r="GF263">
            <v>4</v>
          </cell>
          <cell r="GH263">
            <v>1</v>
          </cell>
          <cell r="GJ263">
            <v>7</v>
          </cell>
          <cell r="GM263">
            <v>131.01</v>
          </cell>
          <cell r="GN26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134.檢查勞工個人防護具：█有 □無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W263" t="str">
            <v>（一）施工廠商施工前檢查事項辦理情形：█完成 □未完成 （二）其他工地安全衛生督導事項：</v>
          </cell>
          <cell r="GX263">
            <v>853901</v>
          </cell>
          <cell r="GY263">
            <v>0</v>
          </cell>
        </row>
        <row r="264">
          <cell r="N264">
            <v>1</v>
          </cell>
          <cell r="P264">
            <v>1</v>
          </cell>
          <cell r="R264">
            <v>672</v>
          </cell>
          <cell r="T264">
            <v>108</v>
          </cell>
          <cell r="V264">
            <v>661</v>
          </cell>
          <cell r="X264">
            <v>2</v>
          </cell>
          <cell r="Z264">
            <v>1</v>
          </cell>
          <cell r="AB264">
            <v>661</v>
          </cell>
          <cell r="AD264">
            <v>2</v>
          </cell>
          <cell r="AF264">
            <v>1</v>
          </cell>
          <cell r="AH264">
            <v>1</v>
          </cell>
          <cell r="AJ264">
            <v>1</v>
          </cell>
          <cell r="AL264">
            <v>0</v>
          </cell>
          <cell r="AN264">
            <v>0</v>
          </cell>
          <cell r="AP264">
            <v>0</v>
          </cell>
          <cell r="AR264">
            <v>0</v>
          </cell>
          <cell r="AT264">
            <v>0</v>
          </cell>
          <cell r="AV264">
            <v>0</v>
          </cell>
          <cell r="AX264">
            <v>0</v>
          </cell>
          <cell r="AZ264">
            <v>0</v>
          </cell>
          <cell r="BB264">
            <v>0</v>
          </cell>
          <cell r="BD264">
            <v>0</v>
          </cell>
          <cell r="BF264">
            <v>0</v>
          </cell>
          <cell r="BH264">
            <v>0</v>
          </cell>
          <cell r="BJ264">
            <v>0</v>
          </cell>
          <cell r="BL264">
            <v>0</v>
          </cell>
          <cell r="BN264">
            <v>0</v>
          </cell>
          <cell r="BP264">
            <v>0</v>
          </cell>
          <cell r="BR264">
            <v>0</v>
          </cell>
          <cell r="BT264">
            <v>0</v>
          </cell>
          <cell r="BV264">
            <v>0</v>
          </cell>
          <cell r="BX264">
            <v>0</v>
          </cell>
          <cell r="BZ264">
            <v>0</v>
          </cell>
          <cell r="CB264">
            <v>0</v>
          </cell>
          <cell r="CD264">
            <v>0</v>
          </cell>
          <cell r="CF264">
            <v>0</v>
          </cell>
          <cell r="CH264">
            <v>0</v>
          </cell>
          <cell r="CJ264">
            <v>0</v>
          </cell>
          <cell r="CL264">
            <v>0</v>
          </cell>
          <cell r="CN264">
            <v>0</v>
          </cell>
          <cell r="CP264">
            <v>0</v>
          </cell>
          <cell r="CR264">
            <v>0</v>
          </cell>
          <cell r="CT264">
            <v>0</v>
          </cell>
          <cell r="CV264">
            <v>0</v>
          </cell>
          <cell r="CX264">
            <v>0</v>
          </cell>
          <cell r="CZ264">
            <v>0</v>
          </cell>
          <cell r="DB264">
            <v>0</v>
          </cell>
          <cell r="DD264">
            <v>0</v>
          </cell>
          <cell r="DF264">
            <v>0</v>
          </cell>
          <cell r="DH264">
            <v>0</v>
          </cell>
          <cell r="DJ264">
            <v>0</v>
          </cell>
          <cell r="DL264">
            <v>0</v>
          </cell>
          <cell r="DN264">
            <v>0</v>
          </cell>
          <cell r="DP264">
            <v>0</v>
          </cell>
          <cell r="DR264">
            <v>0</v>
          </cell>
          <cell r="DT264">
            <v>0</v>
          </cell>
          <cell r="DV264">
            <v>0</v>
          </cell>
          <cell r="DX264">
            <v>0</v>
          </cell>
          <cell r="DZ264">
            <v>0</v>
          </cell>
          <cell r="EB264">
            <v>0</v>
          </cell>
          <cell r="ED264">
            <v>0</v>
          </cell>
          <cell r="EF264">
            <v>0</v>
          </cell>
          <cell r="EH264">
            <v>0</v>
          </cell>
          <cell r="EJ264">
            <v>0</v>
          </cell>
          <cell r="EL264">
            <v>0</v>
          </cell>
          <cell r="EN264">
            <v>0</v>
          </cell>
          <cell r="EP264">
            <v>0</v>
          </cell>
          <cell r="ER264">
            <v>0</v>
          </cell>
          <cell r="ET264">
            <v>0</v>
          </cell>
          <cell r="EV264">
            <v>0</v>
          </cell>
          <cell r="EX264">
            <v>0</v>
          </cell>
          <cell r="EZ264">
            <v>0</v>
          </cell>
          <cell r="FB264">
            <v>0</v>
          </cell>
          <cell r="FD264">
            <v>0</v>
          </cell>
          <cell r="FF264">
            <v>0</v>
          </cell>
          <cell r="FH264">
            <v>0</v>
          </cell>
          <cell r="FJ264">
            <v>0</v>
          </cell>
          <cell r="FL264">
            <v>0</v>
          </cell>
          <cell r="FN264">
            <v>0</v>
          </cell>
          <cell r="FP264">
            <v>0</v>
          </cell>
          <cell r="FR264">
            <v>0</v>
          </cell>
          <cell r="FT264">
            <v>0</v>
          </cell>
          <cell r="FV264">
            <v>0</v>
          </cell>
          <cell r="GD264">
            <v>14</v>
          </cell>
          <cell r="GF264">
            <v>4</v>
          </cell>
          <cell r="GH264">
            <v>1</v>
          </cell>
          <cell r="GJ264">
            <v>7</v>
          </cell>
          <cell r="GM264">
            <v>132.01</v>
          </cell>
          <cell r="GN26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135.檢查勞工個人防護具：█有 □無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W264" t="str">
            <v>（一）施工廠商施工前檢查事項辦理情形：█完成 □未完成 （二）其他工地安全衛生督導事項：</v>
          </cell>
          <cell r="GX264">
            <v>853901</v>
          </cell>
          <cell r="GY264">
            <v>0</v>
          </cell>
        </row>
        <row r="265">
          <cell r="N265">
            <v>1</v>
          </cell>
          <cell r="P265">
            <v>1</v>
          </cell>
          <cell r="R265">
            <v>672</v>
          </cell>
          <cell r="T265">
            <v>108</v>
          </cell>
          <cell r="V265">
            <v>661</v>
          </cell>
          <cell r="X265">
            <v>2</v>
          </cell>
          <cell r="Z265">
            <v>1</v>
          </cell>
          <cell r="AB265">
            <v>661</v>
          </cell>
          <cell r="AD265">
            <v>2</v>
          </cell>
          <cell r="AF265">
            <v>1</v>
          </cell>
          <cell r="AH265">
            <v>1</v>
          </cell>
          <cell r="AJ265">
            <v>1</v>
          </cell>
          <cell r="AL265">
            <v>0</v>
          </cell>
          <cell r="AN265">
            <v>0</v>
          </cell>
          <cell r="AP265">
            <v>0</v>
          </cell>
          <cell r="AR265">
            <v>0</v>
          </cell>
          <cell r="AT265">
            <v>0</v>
          </cell>
          <cell r="AV265">
            <v>0</v>
          </cell>
          <cell r="AX265">
            <v>0</v>
          </cell>
          <cell r="AZ265">
            <v>0</v>
          </cell>
          <cell r="BB265">
            <v>0</v>
          </cell>
          <cell r="BD265">
            <v>0</v>
          </cell>
          <cell r="BF265">
            <v>0</v>
          </cell>
          <cell r="BH265">
            <v>0</v>
          </cell>
          <cell r="BJ265">
            <v>0</v>
          </cell>
          <cell r="BL265">
            <v>0</v>
          </cell>
          <cell r="BN265">
            <v>0</v>
          </cell>
          <cell r="BP265">
            <v>0</v>
          </cell>
          <cell r="BR265">
            <v>0</v>
          </cell>
          <cell r="BT265">
            <v>0</v>
          </cell>
          <cell r="BV265">
            <v>0</v>
          </cell>
          <cell r="BX265">
            <v>0</v>
          </cell>
          <cell r="BZ265">
            <v>0</v>
          </cell>
          <cell r="CB265">
            <v>0</v>
          </cell>
          <cell r="CD265">
            <v>0</v>
          </cell>
          <cell r="CF265">
            <v>0</v>
          </cell>
          <cell r="CH265">
            <v>0</v>
          </cell>
          <cell r="CJ265">
            <v>0</v>
          </cell>
          <cell r="CL265">
            <v>0</v>
          </cell>
          <cell r="CN265">
            <v>0</v>
          </cell>
          <cell r="CP265">
            <v>0</v>
          </cell>
          <cell r="CR265">
            <v>0</v>
          </cell>
          <cell r="CT265">
            <v>0</v>
          </cell>
          <cell r="CV265">
            <v>0</v>
          </cell>
          <cell r="CX265">
            <v>0</v>
          </cell>
          <cell r="CZ265">
            <v>0</v>
          </cell>
          <cell r="DB265">
            <v>0</v>
          </cell>
          <cell r="DD265">
            <v>0</v>
          </cell>
          <cell r="DF265">
            <v>0</v>
          </cell>
          <cell r="DH265">
            <v>0</v>
          </cell>
          <cell r="DJ265">
            <v>0</v>
          </cell>
          <cell r="DL265">
            <v>0</v>
          </cell>
          <cell r="DN265">
            <v>0</v>
          </cell>
          <cell r="DP265">
            <v>0</v>
          </cell>
          <cell r="DR265">
            <v>0</v>
          </cell>
          <cell r="DT265">
            <v>0</v>
          </cell>
          <cell r="DV265">
            <v>0</v>
          </cell>
          <cell r="DX265">
            <v>0</v>
          </cell>
          <cell r="DZ265">
            <v>0</v>
          </cell>
          <cell r="EB265">
            <v>0</v>
          </cell>
          <cell r="ED265">
            <v>0</v>
          </cell>
          <cell r="EF265">
            <v>0</v>
          </cell>
          <cell r="EH265">
            <v>0</v>
          </cell>
          <cell r="EJ265">
            <v>0</v>
          </cell>
          <cell r="EL265">
            <v>0</v>
          </cell>
          <cell r="EN265">
            <v>0</v>
          </cell>
          <cell r="EP265">
            <v>0</v>
          </cell>
          <cell r="ER265">
            <v>0</v>
          </cell>
          <cell r="ET265">
            <v>0</v>
          </cell>
          <cell r="EV265">
            <v>0</v>
          </cell>
          <cell r="EX265">
            <v>0</v>
          </cell>
          <cell r="EZ265">
            <v>0</v>
          </cell>
          <cell r="FB265">
            <v>0</v>
          </cell>
          <cell r="FD265">
            <v>0</v>
          </cell>
          <cell r="FF265">
            <v>0</v>
          </cell>
          <cell r="FH265">
            <v>0</v>
          </cell>
          <cell r="FJ265">
            <v>0</v>
          </cell>
          <cell r="FL265">
            <v>0</v>
          </cell>
          <cell r="FN265">
            <v>0</v>
          </cell>
          <cell r="FP265">
            <v>0</v>
          </cell>
          <cell r="FR265">
            <v>0</v>
          </cell>
          <cell r="FT265">
            <v>0</v>
          </cell>
          <cell r="FV265">
            <v>0</v>
          </cell>
          <cell r="GD265">
            <v>14</v>
          </cell>
          <cell r="GF265">
            <v>4</v>
          </cell>
          <cell r="GH265">
            <v>1</v>
          </cell>
          <cell r="GJ265">
            <v>7</v>
          </cell>
          <cell r="GM265">
            <v>133.01</v>
          </cell>
          <cell r="GN26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136.檢查勞工個人防護具：█有 □無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W265" t="str">
            <v>（一）施工廠商施工前檢查事項辦理情形：█完成 □未完成 （二）其他工地安全衛生督導事項：</v>
          </cell>
          <cell r="GX265">
            <v>853901</v>
          </cell>
          <cell r="GY265">
            <v>0</v>
          </cell>
        </row>
        <row r="266">
          <cell r="N266">
            <v>1</v>
          </cell>
          <cell r="P266">
            <v>1</v>
          </cell>
          <cell r="R266">
            <v>672</v>
          </cell>
          <cell r="T266">
            <v>108</v>
          </cell>
          <cell r="V266">
            <v>661</v>
          </cell>
          <cell r="X266">
            <v>2</v>
          </cell>
          <cell r="Z266">
            <v>1</v>
          </cell>
          <cell r="AB266">
            <v>661</v>
          </cell>
          <cell r="AD266">
            <v>2</v>
          </cell>
          <cell r="AF266">
            <v>1</v>
          </cell>
          <cell r="AH266">
            <v>1</v>
          </cell>
          <cell r="AJ266">
            <v>1</v>
          </cell>
          <cell r="AL266">
            <v>0</v>
          </cell>
          <cell r="AN266">
            <v>0</v>
          </cell>
          <cell r="AP266">
            <v>0</v>
          </cell>
          <cell r="AR266">
            <v>0</v>
          </cell>
          <cell r="AT266">
            <v>0</v>
          </cell>
          <cell r="AV266">
            <v>0</v>
          </cell>
          <cell r="AX266">
            <v>0</v>
          </cell>
          <cell r="AZ266">
            <v>0</v>
          </cell>
          <cell r="BB266">
            <v>0</v>
          </cell>
          <cell r="BD266">
            <v>0</v>
          </cell>
          <cell r="BF266">
            <v>0</v>
          </cell>
          <cell r="BH266">
            <v>0</v>
          </cell>
          <cell r="BJ266">
            <v>0</v>
          </cell>
          <cell r="BL266">
            <v>0</v>
          </cell>
          <cell r="BN266">
            <v>0</v>
          </cell>
          <cell r="BP266">
            <v>0</v>
          </cell>
          <cell r="BR266">
            <v>0</v>
          </cell>
          <cell r="BT266">
            <v>0</v>
          </cell>
          <cell r="BV266">
            <v>0</v>
          </cell>
          <cell r="BX266">
            <v>0</v>
          </cell>
          <cell r="BZ266">
            <v>0</v>
          </cell>
          <cell r="CB266">
            <v>0</v>
          </cell>
          <cell r="CD266">
            <v>0</v>
          </cell>
          <cell r="CF266">
            <v>0</v>
          </cell>
          <cell r="CH266">
            <v>0</v>
          </cell>
          <cell r="CJ266">
            <v>0</v>
          </cell>
          <cell r="CL266">
            <v>0</v>
          </cell>
          <cell r="CN266">
            <v>0</v>
          </cell>
          <cell r="CP266">
            <v>0</v>
          </cell>
          <cell r="CR266">
            <v>0</v>
          </cell>
          <cell r="CT266">
            <v>0</v>
          </cell>
          <cell r="CV266">
            <v>0</v>
          </cell>
          <cell r="CX266">
            <v>0</v>
          </cell>
          <cell r="CZ266">
            <v>0</v>
          </cell>
          <cell r="DB266">
            <v>0</v>
          </cell>
          <cell r="DD266">
            <v>0</v>
          </cell>
          <cell r="DF266">
            <v>0</v>
          </cell>
          <cell r="DH266">
            <v>0</v>
          </cell>
          <cell r="DJ266">
            <v>0</v>
          </cell>
          <cell r="DL266">
            <v>0</v>
          </cell>
          <cell r="DN266">
            <v>0</v>
          </cell>
          <cell r="DP266">
            <v>0</v>
          </cell>
          <cell r="DR266">
            <v>0</v>
          </cell>
          <cell r="DT266">
            <v>0</v>
          </cell>
          <cell r="DV266">
            <v>0</v>
          </cell>
          <cell r="DX266">
            <v>0</v>
          </cell>
          <cell r="DZ266">
            <v>0</v>
          </cell>
          <cell r="EB266">
            <v>0</v>
          </cell>
          <cell r="ED266">
            <v>0</v>
          </cell>
          <cell r="EF266">
            <v>0</v>
          </cell>
          <cell r="EH266">
            <v>0</v>
          </cell>
          <cell r="EJ266">
            <v>0</v>
          </cell>
          <cell r="EL266">
            <v>0</v>
          </cell>
          <cell r="EN266">
            <v>0</v>
          </cell>
          <cell r="EP266">
            <v>0</v>
          </cell>
          <cell r="ER266">
            <v>0</v>
          </cell>
          <cell r="ET266">
            <v>0</v>
          </cell>
          <cell r="EV266">
            <v>0</v>
          </cell>
          <cell r="EX266">
            <v>0</v>
          </cell>
          <cell r="EZ266">
            <v>0</v>
          </cell>
          <cell r="FB266">
            <v>0</v>
          </cell>
          <cell r="FD266">
            <v>0</v>
          </cell>
          <cell r="FF266">
            <v>0</v>
          </cell>
          <cell r="FH266">
            <v>0</v>
          </cell>
          <cell r="FJ266">
            <v>0</v>
          </cell>
          <cell r="FL266">
            <v>0</v>
          </cell>
          <cell r="FN266">
            <v>0</v>
          </cell>
          <cell r="FP266">
            <v>0</v>
          </cell>
          <cell r="FR266">
            <v>0</v>
          </cell>
          <cell r="FT266">
            <v>0</v>
          </cell>
          <cell r="FV266">
            <v>0</v>
          </cell>
          <cell r="GD266">
            <v>14</v>
          </cell>
          <cell r="GF266">
            <v>4</v>
          </cell>
          <cell r="GH266">
            <v>1</v>
          </cell>
          <cell r="GJ266">
            <v>7</v>
          </cell>
          <cell r="GM266">
            <v>134.01</v>
          </cell>
          <cell r="GN26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137.檢查勞工個人防護具：█有 □無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W266" t="str">
            <v>（一）施工廠商施工前檢查事項辦理情形：█完成 □未完成 （二）其他工地安全衛生督導事項：</v>
          </cell>
          <cell r="GX266">
            <v>853901</v>
          </cell>
          <cell r="GY266">
            <v>0</v>
          </cell>
        </row>
        <row r="267">
          <cell r="N267">
            <v>1</v>
          </cell>
          <cell r="P267">
            <v>1</v>
          </cell>
          <cell r="R267">
            <v>672</v>
          </cell>
          <cell r="T267">
            <v>108</v>
          </cell>
          <cell r="V267">
            <v>661</v>
          </cell>
          <cell r="X267">
            <v>2</v>
          </cell>
          <cell r="Z267">
            <v>1</v>
          </cell>
          <cell r="AB267">
            <v>661</v>
          </cell>
          <cell r="AD267">
            <v>2</v>
          </cell>
          <cell r="AF267">
            <v>1</v>
          </cell>
          <cell r="AH267">
            <v>1</v>
          </cell>
          <cell r="AJ267">
            <v>1</v>
          </cell>
          <cell r="AL267">
            <v>0</v>
          </cell>
          <cell r="AN267">
            <v>0</v>
          </cell>
          <cell r="AP267">
            <v>0</v>
          </cell>
          <cell r="AR267">
            <v>0</v>
          </cell>
          <cell r="AT267">
            <v>0</v>
          </cell>
          <cell r="AV267">
            <v>0</v>
          </cell>
          <cell r="AX267">
            <v>0</v>
          </cell>
          <cell r="AZ267">
            <v>0</v>
          </cell>
          <cell r="BB267">
            <v>0</v>
          </cell>
          <cell r="BD267">
            <v>0</v>
          </cell>
          <cell r="BF267">
            <v>0</v>
          </cell>
          <cell r="BH267">
            <v>0</v>
          </cell>
          <cell r="BJ267">
            <v>0</v>
          </cell>
          <cell r="BL267">
            <v>0</v>
          </cell>
          <cell r="BN267">
            <v>0</v>
          </cell>
          <cell r="BP267">
            <v>0</v>
          </cell>
          <cell r="BR267">
            <v>0</v>
          </cell>
          <cell r="BT267">
            <v>0</v>
          </cell>
          <cell r="BV267">
            <v>0</v>
          </cell>
          <cell r="BX267">
            <v>0</v>
          </cell>
          <cell r="BZ267">
            <v>0</v>
          </cell>
          <cell r="CB267">
            <v>0</v>
          </cell>
          <cell r="CD267">
            <v>0</v>
          </cell>
          <cell r="CF267">
            <v>0</v>
          </cell>
          <cell r="CH267">
            <v>0</v>
          </cell>
          <cell r="CJ267">
            <v>0</v>
          </cell>
          <cell r="CL267">
            <v>0</v>
          </cell>
          <cell r="CN267">
            <v>0</v>
          </cell>
          <cell r="CP267">
            <v>0</v>
          </cell>
          <cell r="CR267">
            <v>0</v>
          </cell>
          <cell r="CT267">
            <v>0</v>
          </cell>
          <cell r="CV267">
            <v>0</v>
          </cell>
          <cell r="CX267">
            <v>0</v>
          </cell>
          <cell r="CZ267">
            <v>0</v>
          </cell>
          <cell r="DB267">
            <v>0</v>
          </cell>
          <cell r="DD267">
            <v>0</v>
          </cell>
          <cell r="DF267">
            <v>0</v>
          </cell>
          <cell r="DH267">
            <v>0</v>
          </cell>
          <cell r="DJ267">
            <v>0</v>
          </cell>
          <cell r="DL267">
            <v>0</v>
          </cell>
          <cell r="DN267">
            <v>0</v>
          </cell>
          <cell r="DP267">
            <v>0</v>
          </cell>
          <cell r="DR267">
            <v>0</v>
          </cell>
          <cell r="DT267">
            <v>0</v>
          </cell>
          <cell r="DV267">
            <v>0</v>
          </cell>
          <cell r="DX267">
            <v>0</v>
          </cell>
          <cell r="DZ267">
            <v>0</v>
          </cell>
          <cell r="EB267">
            <v>0</v>
          </cell>
          <cell r="ED267">
            <v>0</v>
          </cell>
          <cell r="EF267">
            <v>0</v>
          </cell>
          <cell r="EH267">
            <v>0</v>
          </cell>
          <cell r="EJ267">
            <v>0</v>
          </cell>
          <cell r="EL267">
            <v>0</v>
          </cell>
          <cell r="EN267">
            <v>0</v>
          </cell>
          <cell r="EP267">
            <v>0</v>
          </cell>
          <cell r="ER267">
            <v>0</v>
          </cell>
          <cell r="ET267">
            <v>0</v>
          </cell>
          <cell r="EV267">
            <v>0</v>
          </cell>
          <cell r="EX267">
            <v>0</v>
          </cell>
          <cell r="EZ267">
            <v>0</v>
          </cell>
          <cell r="FB267">
            <v>0</v>
          </cell>
          <cell r="FD267">
            <v>0</v>
          </cell>
          <cell r="FF267">
            <v>0</v>
          </cell>
          <cell r="FH267">
            <v>0</v>
          </cell>
          <cell r="FJ267">
            <v>0</v>
          </cell>
          <cell r="FL267">
            <v>0</v>
          </cell>
          <cell r="FN267">
            <v>0</v>
          </cell>
          <cell r="FP267">
            <v>0</v>
          </cell>
          <cell r="FR267">
            <v>0</v>
          </cell>
          <cell r="FT267">
            <v>0</v>
          </cell>
          <cell r="FV267">
            <v>0</v>
          </cell>
          <cell r="GD267">
            <v>14</v>
          </cell>
          <cell r="GF267">
            <v>4</v>
          </cell>
          <cell r="GH267">
            <v>1</v>
          </cell>
          <cell r="GJ267">
            <v>7</v>
          </cell>
          <cell r="GM267">
            <v>135.01</v>
          </cell>
          <cell r="GN26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138.檢查勞工個人防護具：█有 □無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W267" t="str">
            <v>（一）施工廠商施工前檢查事項辦理情形：█完成 □未完成 （二）其他工地安全衛生督導事項：</v>
          </cell>
          <cell r="GX267">
            <v>853901</v>
          </cell>
          <cell r="GY267">
            <v>0</v>
          </cell>
        </row>
        <row r="268">
          <cell r="N268">
            <v>1</v>
          </cell>
          <cell r="P268">
            <v>1</v>
          </cell>
          <cell r="R268">
            <v>672</v>
          </cell>
          <cell r="T268">
            <v>108</v>
          </cell>
          <cell r="V268">
            <v>661</v>
          </cell>
          <cell r="X268">
            <v>2</v>
          </cell>
          <cell r="Z268">
            <v>1</v>
          </cell>
          <cell r="AB268">
            <v>661</v>
          </cell>
          <cell r="AD268">
            <v>2</v>
          </cell>
          <cell r="AF268">
            <v>1</v>
          </cell>
          <cell r="AH268">
            <v>1</v>
          </cell>
          <cell r="AJ268">
            <v>1</v>
          </cell>
          <cell r="AL268">
            <v>0</v>
          </cell>
          <cell r="AN268">
            <v>0</v>
          </cell>
          <cell r="AP268">
            <v>0</v>
          </cell>
          <cell r="AR268">
            <v>0</v>
          </cell>
          <cell r="AT268">
            <v>0</v>
          </cell>
          <cell r="AV268">
            <v>0</v>
          </cell>
          <cell r="AX268">
            <v>0</v>
          </cell>
          <cell r="AZ268">
            <v>0</v>
          </cell>
          <cell r="BB268">
            <v>0</v>
          </cell>
          <cell r="BD268">
            <v>0</v>
          </cell>
          <cell r="BF268">
            <v>0</v>
          </cell>
          <cell r="BH268">
            <v>0</v>
          </cell>
          <cell r="BJ268">
            <v>0</v>
          </cell>
          <cell r="BL268">
            <v>0</v>
          </cell>
          <cell r="BN268">
            <v>0</v>
          </cell>
          <cell r="BP268">
            <v>0</v>
          </cell>
          <cell r="BR268">
            <v>0</v>
          </cell>
          <cell r="BT268">
            <v>0</v>
          </cell>
          <cell r="BV268">
            <v>0</v>
          </cell>
          <cell r="BX268">
            <v>0</v>
          </cell>
          <cell r="BZ268">
            <v>0</v>
          </cell>
          <cell r="CB268">
            <v>0</v>
          </cell>
          <cell r="CD268">
            <v>0</v>
          </cell>
          <cell r="CF268">
            <v>0</v>
          </cell>
          <cell r="CH268">
            <v>0</v>
          </cell>
          <cell r="CJ268">
            <v>0</v>
          </cell>
          <cell r="CL268">
            <v>0</v>
          </cell>
          <cell r="CN268">
            <v>0</v>
          </cell>
          <cell r="CP268">
            <v>0</v>
          </cell>
          <cell r="CR268">
            <v>0</v>
          </cell>
          <cell r="CT268">
            <v>0</v>
          </cell>
          <cell r="CV268">
            <v>0</v>
          </cell>
          <cell r="CX268">
            <v>0</v>
          </cell>
          <cell r="CZ268">
            <v>0</v>
          </cell>
          <cell r="DB268">
            <v>0</v>
          </cell>
          <cell r="DD268">
            <v>0</v>
          </cell>
          <cell r="DF268">
            <v>0</v>
          </cell>
          <cell r="DH268">
            <v>0</v>
          </cell>
          <cell r="DJ268">
            <v>0</v>
          </cell>
          <cell r="DL268">
            <v>0</v>
          </cell>
          <cell r="DN268">
            <v>0</v>
          </cell>
          <cell r="DP268">
            <v>0</v>
          </cell>
          <cell r="DR268">
            <v>0</v>
          </cell>
          <cell r="DT268">
            <v>0</v>
          </cell>
          <cell r="DV268">
            <v>0</v>
          </cell>
          <cell r="DX268">
            <v>0</v>
          </cell>
          <cell r="DZ268">
            <v>0</v>
          </cell>
          <cell r="EB268">
            <v>0</v>
          </cell>
          <cell r="ED268">
            <v>0</v>
          </cell>
          <cell r="EF268">
            <v>0</v>
          </cell>
          <cell r="EH268">
            <v>0</v>
          </cell>
          <cell r="EJ268">
            <v>0</v>
          </cell>
          <cell r="EL268">
            <v>0</v>
          </cell>
          <cell r="EN268">
            <v>0</v>
          </cell>
          <cell r="EP268">
            <v>0</v>
          </cell>
          <cell r="ER268">
            <v>0</v>
          </cell>
          <cell r="ET268">
            <v>0</v>
          </cell>
          <cell r="EV268">
            <v>0</v>
          </cell>
          <cell r="EX268">
            <v>0</v>
          </cell>
          <cell r="EZ268">
            <v>0</v>
          </cell>
          <cell r="FB268">
            <v>0</v>
          </cell>
          <cell r="FD268">
            <v>0</v>
          </cell>
          <cell r="FF268">
            <v>0</v>
          </cell>
          <cell r="FH268">
            <v>0</v>
          </cell>
          <cell r="FJ268">
            <v>0</v>
          </cell>
          <cell r="FL268">
            <v>0</v>
          </cell>
          <cell r="FN268">
            <v>0</v>
          </cell>
          <cell r="FP268">
            <v>0</v>
          </cell>
          <cell r="FR268">
            <v>0</v>
          </cell>
          <cell r="FT268">
            <v>0</v>
          </cell>
          <cell r="FV268">
            <v>0</v>
          </cell>
          <cell r="GD268">
            <v>14</v>
          </cell>
          <cell r="GF268">
            <v>4</v>
          </cell>
          <cell r="GH268">
            <v>1</v>
          </cell>
          <cell r="GJ268">
            <v>7</v>
          </cell>
          <cell r="GM268">
            <v>136.01</v>
          </cell>
          <cell r="GN26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139.檢查勞工個人防護具：█有 □無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W268" t="str">
            <v>（一）施工廠商施工前檢查事項辦理情形：█完成 □未完成 （二）其他工地安全衛生督導事項：</v>
          </cell>
          <cell r="GX268">
            <v>853901</v>
          </cell>
          <cell r="GY268">
            <v>0</v>
          </cell>
        </row>
        <row r="269">
          <cell r="N269">
            <v>1</v>
          </cell>
          <cell r="P269">
            <v>1</v>
          </cell>
          <cell r="R269">
            <v>672</v>
          </cell>
          <cell r="T269">
            <v>108</v>
          </cell>
          <cell r="V269">
            <v>661</v>
          </cell>
          <cell r="X269">
            <v>2</v>
          </cell>
          <cell r="Z269">
            <v>1</v>
          </cell>
          <cell r="AB269">
            <v>661</v>
          </cell>
          <cell r="AD269">
            <v>2</v>
          </cell>
          <cell r="AF269">
            <v>1</v>
          </cell>
          <cell r="AH269">
            <v>1</v>
          </cell>
          <cell r="AJ269">
            <v>1</v>
          </cell>
          <cell r="AL269">
            <v>0</v>
          </cell>
          <cell r="AN269">
            <v>0</v>
          </cell>
          <cell r="AP269">
            <v>0</v>
          </cell>
          <cell r="AR269">
            <v>0</v>
          </cell>
          <cell r="AT269">
            <v>0</v>
          </cell>
          <cell r="AV269">
            <v>0</v>
          </cell>
          <cell r="AX269">
            <v>0</v>
          </cell>
          <cell r="AZ269">
            <v>0</v>
          </cell>
          <cell r="BB269">
            <v>0</v>
          </cell>
          <cell r="BD269">
            <v>0</v>
          </cell>
          <cell r="BF269">
            <v>0</v>
          </cell>
          <cell r="BH269">
            <v>0</v>
          </cell>
          <cell r="BJ269">
            <v>0</v>
          </cell>
          <cell r="BL269">
            <v>0</v>
          </cell>
          <cell r="BN269">
            <v>0</v>
          </cell>
          <cell r="BP269">
            <v>0</v>
          </cell>
          <cell r="BR269">
            <v>0</v>
          </cell>
          <cell r="BT269">
            <v>0</v>
          </cell>
          <cell r="BV269">
            <v>0</v>
          </cell>
          <cell r="BX269">
            <v>0</v>
          </cell>
          <cell r="BZ269">
            <v>0</v>
          </cell>
          <cell r="CB269">
            <v>0</v>
          </cell>
          <cell r="CD269">
            <v>0</v>
          </cell>
          <cell r="CF269">
            <v>0</v>
          </cell>
          <cell r="CH269">
            <v>0</v>
          </cell>
          <cell r="CJ269">
            <v>0</v>
          </cell>
          <cell r="CL269">
            <v>0</v>
          </cell>
          <cell r="CN269">
            <v>0</v>
          </cell>
          <cell r="CP269">
            <v>0</v>
          </cell>
          <cell r="CR269">
            <v>0</v>
          </cell>
          <cell r="CT269">
            <v>0</v>
          </cell>
          <cell r="CV269">
            <v>0</v>
          </cell>
          <cell r="CX269">
            <v>0</v>
          </cell>
          <cell r="CZ269">
            <v>0</v>
          </cell>
          <cell r="DB269">
            <v>0</v>
          </cell>
          <cell r="DD269">
            <v>0</v>
          </cell>
          <cell r="DF269">
            <v>0</v>
          </cell>
          <cell r="DH269">
            <v>0</v>
          </cell>
          <cell r="DJ269">
            <v>0</v>
          </cell>
          <cell r="DL269">
            <v>0</v>
          </cell>
          <cell r="DN269">
            <v>0</v>
          </cell>
          <cell r="DP269">
            <v>0</v>
          </cell>
          <cell r="DR269">
            <v>0</v>
          </cell>
          <cell r="DT269">
            <v>0</v>
          </cell>
          <cell r="DV269">
            <v>0</v>
          </cell>
          <cell r="DX269">
            <v>0</v>
          </cell>
          <cell r="DZ269">
            <v>0</v>
          </cell>
          <cell r="EB269">
            <v>0</v>
          </cell>
          <cell r="ED269">
            <v>0</v>
          </cell>
          <cell r="EF269">
            <v>0</v>
          </cell>
          <cell r="EH269">
            <v>0</v>
          </cell>
          <cell r="EJ269">
            <v>0</v>
          </cell>
          <cell r="EL269">
            <v>0</v>
          </cell>
          <cell r="EN269">
            <v>0</v>
          </cell>
          <cell r="EP269">
            <v>0</v>
          </cell>
          <cell r="ER269">
            <v>0</v>
          </cell>
          <cell r="ET269">
            <v>0</v>
          </cell>
          <cell r="EV269">
            <v>0</v>
          </cell>
          <cell r="EX269">
            <v>0</v>
          </cell>
          <cell r="EZ269">
            <v>0</v>
          </cell>
          <cell r="FB269">
            <v>0</v>
          </cell>
          <cell r="FD269">
            <v>0</v>
          </cell>
          <cell r="FF269">
            <v>0</v>
          </cell>
          <cell r="FH269">
            <v>0</v>
          </cell>
          <cell r="FJ269">
            <v>0</v>
          </cell>
          <cell r="FL269">
            <v>0</v>
          </cell>
          <cell r="FN269">
            <v>0</v>
          </cell>
          <cell r="FP269">
            <v>0</v>
          </cell>
          <cell r="FR269">
            <v>0</v>
          </cell>
          <cell r="FT269">
            <v>0</v>
          </cell>
          <cell r="FV269">
            <v>0</v>
          </cell>
          <cell r="GD269">
            <v>14</v>
          </cell>
          <cell r="GF269">
            <v>4</v>
          </cell>
          <cell r="GH269">
            <v>1</v>
          </cell>
          <cell r="GJ269">
            <v>7</v>
          </cell>
          <cell r="GM269">
            <v>137.01</v>
          </cell>
          <cell r="GN26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140.檢查勞工個人防護具：█有 □無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W269" t="str">
            <v>（一）施工廠商施工前檢查事項辦理情形：█完成 □未完成 （二）其他工地安全衛生督導事項：</v>
          </cell>
          <cell r="GX269">
            <v>853901</v>
          </cell>
          <cell r="GY269">
            <v>0</v>
          </cell>
        </row>
        <row r="270">
          <cell r="N270">
            <v>1</v>
          </cell>
          <cell r="P270">
            <v>1</v>
          </cell>
          <cell r="R270">
            <v>672</v>
          </cell>
          <cell r="T270">
            <v>108</v>
          </cell>
          <cell r="V270">
            <v>661</v>
          </cell>
          <cell r="X270">
            <v>2</v>
          </cell>
          <cell r="Z270">
            <v>1</v>
          </cell>
          <cell r="AB270">
            <v>661</v>
          </cell>
          <cell r="AD270">
            <v>2</v>
          </cell>
          <cell r="AF270">
            <v>1</v>
          </cell>
          <cell r="AH270">
            <v>1</v>
          </cell>
          <cell r="AJ270">
            <v>1</v>
          </cell>
          <cell r="AL270">
            <v>0</v>
          </cell>
          <cell r="AN270">
            <v>0</v>
          </cell>
          <cell r="AP270">
            <v>0</v>
          </cell>
          <cell r="AR270">
            <v>0</v>
          </cell>
          <cell r="AT270">
            <v>0</v>
          </cell>
          <cell r="AV270">
            <v>0</v>
          </cell>
          <cell r="AX270">
            <v>0</v>
          </cell>
          <cell r="AZ270">
            <v>0</v>
          </cell>
          <cell r="BB270">
            <v>0</v>
          </cell>
          <cell r="BD270">
            <v>0</v>
          </cell>
          <cell r="BF270">
            <v>0</v>
          </cell>
          <cell r="BH270">
            <v>0</v>
          </cell>
          <cell r="BJ270">
            <v>0</v>
          </cell>
          <cell r="BL270">
            <v>0</v>
          </cell>
          <cell r="BN270">
            <v>0</v>
          </cell>
          <cell r="BP270">
            <v>0</v>
          </cell>
          <cell r="BR270">
            <v>0</v>
          </cell>
          <cell r="BT270">
            <v>0</v>
          </cell>
          <cell r="BV270">
            <v>0</v>
          </cell>
          <cell r="BX270">
            <v>0</v>
          </cell>
          <cell r="BZ270">
            <v>0</v>
          </cell>
          <cell r="CB270">
            <v>0</v>
          </cell>
          <cell r="CD270">
            <v>0</v>
          </cell>
          <cell r="CF270">
            <v>0</v>
          </cell>
          <cell r="CH270">
            <v>0</v>
          </cell>
          <cell r="CJ270">
            <v>0</v>
          </cell>
          <cell r="CL270">
            <v>0</v>
          </cell>
          <cell r="CN270">
            <v>0</v>
          </cell>
          <cell r="CP270">
            <v>0</v>
          </cell>
          <cell r="CR270">
            <v>0</v>
          </cell>
          <cell r="CT270">
            <v>0</v>
          </cell>
          <cell r="CV270">
            <v>0</v>
          </cell>
          <cell r="CX270">
            <v>0</v>
          </cell>
          <cell r="CZ270">
            <v>0</v>
          </cell>
          <cell r="DB270">
            <v>0</v>
          </cell>
          <cell r="DD270">
            <v>0</v>
          </cell>
          <cell r="DF270">
            <v>0</v>
          </cell>
          <cell r="DH270">
            <v>0</v>
          </cell>
          <cell r="DJ270">
            <v>0</v>
          </cell>
          <cell r="DL270">
            <v>0</v>
          </cell>
          <cell r="DN270">
            <v>0</v>
          </cell>
          <cell r="DP270">
            <v>0</v>
          </cell>
          <cell r="DR270">
            <v>0</v>
          </cell>
          <cell r="DT270">
            <v>0</v>
          </cell>
          <cell r="DV270">
            <v>0</v>
          </cell>
          <cell r="DX270">
            <v>0</v>
          </cell>
          <cell r="DZ270">
            <v>0</v>
          </cell>
          <cell r="EB270">
            <v>0</v>
          </cell>
          <cell r="ED270">
            <v>0</v>
          </cell>
          <cell r="EF270">
            <v>0</v>
          </cell>
          <cell r="EH270">
            <v>0</v>
          </cell>
          <cell r="EJ270">
            <v>0</v>
          </cell>
          <cell r="EL270">
            <v>0</v>
          </cell>
          <cell r="EN270">
            <v>0</v>
          </cell>
          <cell r="EP270">
            <v>0</v>
          </cell>
          <cell r="ER270">
            <v>0</v>
          </cell>
          <cell r="ET270">
            <v>0</v>
          </cell>
          <cell r="EV270">
            <v>0</v>
          </cell>
          <cell r="EX270">
            <v>0</v>
          </cell>
          <cell r="EZ270">
            <v>0</v>
          </cell>
          <cell r="FB270">
            <v>0</v>
          </cell>
          <cell r="FD270">
            <v>0</v>
          </cell>
          <cell r="FF270">
            <v>0</v>
          </cell>
          <cell r="FH270">
            <v>0</v>
          </cell>
          <cell r="FJ270">
            <v>0</v>
          </cell>
          <cell r="FL270">
            <v>0</v>
          </cell>
          <cell r="FN270">
            <v>0</v>
          </cell>
          <cell r="FP270">
            <v>0</v>
          </cell>
          <cell r="FR270">
            <v>0</v>
          </cell>
          <cell r="FT270">
            <v>0</v>
          </cell>
          <cell r="FV270">
            <v>0</v>
          </cell>
          <cell r="GD270">
            <v>14</v>
          </cell>
          <cell r="GF270">
            <v>4</v>
          </cell>
          <cell r="GH270">
            <v>1</v>
          </cell>
          <cell r="GJ270">
            <v>7</v>
          </cell>
          <cell r="GM270">
            <v>138.01</v>
          </cell>
          <cell r="GN27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141.檢查勞工個人防護具：█有 □無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W270" t="str">
            <v>（一）施工廠商施工前檢查事項辦理情形：█完成 □未完成 （二）其他工地安全衛生督導事項：</v>
          </cell>
          <cell r="GX270">
            <v>853901</v>
          </cell>
          <cell r="GY270">
            <v>0</v>
          </cell>
        </row>
        <row r="271">
          <cell r="N271">
            <v>1</v>
          </cell>
          <cell r="P271">
            <v>1</v>
          </cell>
          <cell r="R271">
            <v>672</v>
          </cell>
          <cell r="T271">
            <v>108</v>
          </cell>
          <cell r="V271">
            <v>661</v>
          </cell>
          <cell r="X271">
            <v>2</v>
          </cell>
          <cell r="Z271">
            <v>1</v>
          </cell>
          <cell r="AB271">
            <v>661</v>
          </cell>
          <cell r="AD271">
            <v>2</v>
          </cell>
          <cell r="AF271">
            <v>1</v>
          </cell>
          <cell r="AH271">
            <v>1</v>
          </cell>
          <cell r="AJ271">
            <v>1</v>
          </cell>
          <cell r="AL271">
            <v>0</v>
          </cell>
          <cell r="AN271">
            <v>0</v>
          </cell>
          <cell r="AP271">
            <v>0</v>
          </cell>
          <cell r="AR271">
            <v>0</v>
          </cell>
          <cell r="AT271">
            <v>0</v>
          </cell>
          <cell r="AV271">
            <v>0</v>
          </cell>
          <cell r="AX271">
            <v>0</v>
          </cell>
          <cell r="AZ271">
            <v>0</v>
          </cell>
          <cell r="BB271">
            <v>0</v>
          </cell>
          <cell r="BD271">
            <v>0</v>
          </cell>
          <cell r="BF271">
            <v>0</v>
          </cell>
          <cell r="BH271">
            <v>0</v>
          </cell>
          <cell r="BJ271">
            <v>0</v>
          </cell>
          <cell r="BL271">
            <v>0</v>
          </cell>
          <cell r="BN271">
            <v>0</v>
          </cell>
          <cell r="BP271">
            <v>0</v>
          </cell>
          <cell r="BR271">
            <v>0</v>
          </cell>
          <cell r="BT271">
            <v>0</v>
          </cell>
          <cell r="BV271">
            <v>0</v>
          </cell>
          <cell r="BX271">
            <v>0</v>
          </cell>
          <cell r="BZ271">
            <v>0</v>
          </cell>
          <cell r="CB271">
            <v>0</v>
          </cell>
          <cell r="CD271">
            <v>0</v>
          </cell>
          <cell r="CF271">
            <v>0</v>
          </cell>
          <cell r="CH271">
            <v>0</v>
          </cell>
          <cell r="CJ271">
            <v>0</v>
          </cell>
          <cell r="CL271">
            <v>0</v>
          </cell>
          <cell r="CN271">
            <v>0</v>
          </cell>
          <cell r="CP271">
            <v>0</v>
          </cell>
          <cell r="CR271">
            <v>0</v>
          </cell>
          <cell r="CT271">
            <v>0</v>
          </cell>
          <cell r="CV271">
            <v>0</v>
          </cell>
          <cell r="CX271">
            <v>0</v>
          </cell>
          <cell r="CZ271">
            <v>0</v>
          </cell>
          <cell r="DB271">
            <v>0</v>
          </cell>
          <cell r="DD271">
            <v>0</v>
          </cell>
          <cell r="DF271">
            <v>0</v>
          </cell>
          <cell r="DH271">
            <v>0</v>
          </cell>
          <cell r="DJ271">
            <v>0</v>
          </cell>
          <cell r="DL271">
            <v>0</v>
          </cell>
          <cell r="DN271">
            <v>0</v>
          </cell>
          <cell r="DP271">
            <v>0</v>
          </cell>
          <cell r="DR271">
            <v>0</v>
          </cell>
          <cell r="DT271">
            <v>0</v>
          </cell>
          <cell r="DV271">
            <v>0</v>
          </cell>
          <cell r="DX271">
            <v>0</v>
          </cell>
          <cell r="DZ271">
            <v>0</v>
          </cell>
          <cell r="EB271">
            <v>0</v>
          </cell>
          <cell r="ED271">
            <v>0</v>
          </cell>
          <cell r="EF271">
            <v>0</v>
          </cell>
          <cell r="EH271">
            <v>0</v>
          </cell>
          <cell r="EJ271">
            <v>0</v>
          </cell>
          <cell r="EL271">
            <v>0</v>
          </cell>
          <cell r="EN271">
            <v>0</v>
          </cell>
          <cell r="EP271">
            <v>0</v>
          </cell>
          <cell r="ER271">
            <v>0</v>
          </cell>
          <cell r="ET271">
            <v>0</v>
          </cell>
          <cell r="EV271">
            <v>0</v>
          </cell>
          <cell r="EX271">
            <v>0</v>
          </cell>
          <cell r="EZ271">
            <v>0</v>
          </cell>
          <cell r="FB271">
            <v>0</v>
          </cell>
          <cell r="FD271">
            <v>0</v>
          </cell>
          <cell r="FF271">
            <v>0</v>
          </cell>
          <cell r="FH271">
            <v>0</v>
          </cell>
          <cell r="FJ271">
            <v>0</v>
          </cell>
          <cell r="FL271">
            <v>0</v>
          </cell>
          <cell r="FN271">
            <v>0</v>
          </cell>
          <cell r="FP271">
            <v>0</v>
          </cell>
          <cell r="FR271">
            <v>0</v>
          </cell>
          <cell r="FT271">
            <v>0</v>
          </cell>
          <cell r="FV271">
            <v>0</v>
          </cell>
          <cell r="GD271">
            <v>14</v>
          </cell>
          <cell r="GF271">
            <v>4</v>
          </cell>
          <cell r="GH271">
            <v>1</v>
          </cell>
          <cell r="GJ271">
            <v>7</v>
          </cell>
          <cell r="GM271">
            <v>139.01</v>
          </cell>
          <cell r="GN27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142.檢查勞工個人防護具：█有 □無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W271" t="str">
            <v>（一）施工廠商施工前檢查事項辦理情形：█完成 □未完成 （二）其他工地安全衛生督導事項：</v>
          </cell>
          <cell r="GX271">
            <v>853901</v>
          </cell>
          <cell r="GY271">
            <v>0</v>
          </cell>
        </row>
        <row r="272">
          <cell r="N272">
            <v>1</v>
          </cell>
          <cell r="P272">
            <v>1</v>
          </cell>
          <cell r="R272">
            <v>672</v>
          </cell>
          <cell r="T272">
            <v>108</v>
          </cell>
          <cell r="V272">
            <v>661</v>
          </cell>
          <cell r="X272">
            <v>2</v>
          </cell>
          <cell r="Z272">
            <v>1</v>
          </cell>
          <cell r="AB272">
            <v>661</v>
          </cell>
          <cell r="AD272">
            <v>2</v>
          </cell>
          <cell r="AF272">
            <v>1</v>
          </cell>
          <cell r="AH272">
            <v>1</v>
          </cell>
          <cell r="AJ272">
            <v>1</v>
          </cell>
          <cell r="AL272">
            <v>0</v>
          </cell>
          <cell r="AN272">
            <v>0</v>
          </cell>
          <cell r="AP272">
            <v>0</v>
          </cell>
          <cell r="AR272">
            <v>0</v>
          </cell>
          <cell r="AT272">
            <v>0</v>
          </cell>
          <cell r="AV272">
            <v>0</v>
          </cell>
          <cell r="AX272">
            <v>0</v>
          </cell>
          <cell r="AZ272">
            <v>0</v>
          </cell>
          <cell r="BB272">
            <v>0</v>
          </cell>
          <cell r="BD272">
            <v>0</v>
          </cell>
          <cell r="BF272">
            <v>0</v>
          </cell>
          <cell r="BH272">
            <v>0</v>
          </cell>
          <cell r="BJ272">
            <v>0</v>
          </cell>
          <cell r="BL272">
            <v>0</v>
          </cell>
          <cell r="BN272">
            <v>0</v>
          </cell>
          <cell r="BP272">
            <v>0</v>
          </cell>
          <cell r="BR272">
            <v>0</v>
          </cell>
          <cell r="BT272">
            <v>0</v>
          </cell>
          <cell r="BV272">
            <v>0</v>
          </cell>
          <cell r="BX272">
            <v>0</v>
          </cell>
          <cell r="BZ272">
            <v>0</v>
          </cell>
          <cell r="CB272">
            <v>0</v>
          </cell>
          <cell r="CD272">
            <v>0</v>
          </cell>
          <cell r="CF272">
            <v>0</v>
          </cell>
          <cell r="CH272">
            <v>0</v>
          </cell>
          <cell r="CJ272">
            <v>0</v>
          </cell>
          <cell r="CL272">
            <v>0</v>
          </cell>
          <cell r="CN272">
            <v>0</v>
          </cell>
          <cell r="CP272">
            <v>0</v>
          </cell>
          <cell r="CR272">
            <v>0</v>
          </cell>
          <cell r="CT272">
            <v>0</v>
          </cell>
          <cell r="CV272">
            <v>0</v>
          </cell>
          <cell r="CX272">
            <v>0</v>
          </cell>
          <cell r="CZ272">
            <v>0</v>
          </cell>
          <cell r="DB272">
            <v>0</v>
          </cell>
          <cell r="DD272">
            <v>0</v>
          </cell>
          <cell r="DF272">
            <v>0</v>
          </cell>
          <cell r="DH272">
            <v>0</v>
          </cell>
          <cell r="DJ272">
            <v>0</v>
          </cell>
          <cell r="DL272">
            <v>0</v>
          </cell>
          <cell r="DN272">
            <v>0</v>
          </cell>
          <cell r="DP272">
            <v>0</v>
          </cell>
          <cell r="DR272">
            <v>0</v>
          </cell>
          <cell r="DT272">
            <v>0</v>
          </cell>
          <cell r="DV272">
            <v>0</v>
          </cell>
          <cell r="DX272">
            <v>0</v>
          </cell>
          <cell r="DZ272">
            <v>0</v>
          </cell>
          <cell r="EB272">
            <v>0</v>
          </cell>
          <cell r="ED272">
            <v>0</v>
          </cell>
          <cell r="EF272">
            <v>0</v>
          </cell>
          <cell r="EH272">
            <v>0</v>
          </cell>
          <cell r="EJ272">
            <v>0</v>
          </cell>
          <cell r="EL272">
            <v>0</v>
          </cell>
          <cell r="EN272">
            <v>0</v>
          </cell>
          <cell r="EP272">
            <v>0</v>
          </cell>
          <cell r="ER272">
            <v>0</v>
          </cell>
          <cell r="ET272">
            <v>0</v>
          </cell>
          <cell r="EV272">
            <v>0</v>
          </cell>
          <cell r="EX272">
            <v>0</v>
          </cell>
          <cell r="EZ272">
            <v>0</v>
          </cell>
          <cell r="FB272">
            <v>0</v>
          </cell>
          <cell r="FD272">
            <v>0</v>
          </cell>
          <cell r="FF272">
            <v>0</v>
          </cell>
          <cell r="FH272">
            <v>0</v>
          </cell>
          <cell r="FJ272">
            <v>0</v>
          </cell>
          <cell r="FL272">
            <v>0</v>
          </cell>
          <cell r="FN272">
            <v>0</v>
          </cell>
          <cell r="FP272">
            <v>0</v>
          </cell>
          <cell r="FR272">
            <v>0</v>
          </cell>
          <cell r="FT272">
            <v>0</v>
          </cell>
          <cell r="FV272">
            <v>0</v>
          </cell>
          <cell r="GD272">
            <v>14</v>
          </cell>
          <cell r="GF272">
            <v>4</v>
          </cell>
          <cell r="GH272">
            <v>1</v>
          </cell>
          <cell r="GJ272">
            <v>7</v>
          </cell>
          <cell r="GM272">
            <v>140.01</v>
          </cell>
          <cell r="GN27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143.檢查勞工個人防護具：█有 □無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W272" t="str">
            <v>（一）施工廠商施工前檢查事項辦理情形：█完成 □未完成 （二）其他工地安全衛生督導事項：</v>
          </cell>
          <cell r="GX272">
            <v>853901</v>
          </cell>
          <cell r="GY272">
            <v>0</v>
          </cell>
        </row>
        <row r="273">
          <cell r="N273">
            <v>1</v>
          </cell>
          <cell r="P273">
            <v>1</v>
          </cell>
          <cell r="R273">
            <v>672</v>
          </cell>
          <cell r="T273">
            <v>108</v>
          </cell>
          <cell r="V273">
            <v>661</v>
          </cell>
          <cell r="X273">
            <v>2</v>
          </cell>
          <cell r="Z273">
            <v>1</v>
          </cell>
          <cell r="AB273">
            <v>661</v>
          </cell>
          <cell r="AD273">
            <v>2</v>
          </cell>
          <cell r="AF273">
            <v>1</v>
          </cell>
          <cell r="AH273">
            <v>1</v>
          </cell>
          <cell r="AJ273">
            <v>1</v>
          </cell>
          <cell r="AL273">
            <v>0</v>
          </cell>
          <cell r="AN273">
            <v>0</v>
          </cell>
          <cell r="AP273">
            <v>0</v>
          </cell>
          <cell r="AR273">
            <v>0</v>
          </cell>
          <cell r="AT273">
            <v>0</v>
          </cell>
          <cell r="AV273">
            <v>0</v>
          </cell>
          <cell r="AX273">
            <v>0</v>
          </cell>
          <cell r="AZ273">
            <v>0</v>
          </cell>
          <cell r="BB273">
            <v>0</v>
          </cell>
          <cell r="BD273">
            <v>0</v>
          </cell>
          <cell r="BF273">
            <v>0</v>
          </cell>
          <cell r="BH273">
            <v>0</v>
          </cell>
          <cell r="BJ273">
            <v>0</v>
          </cell>
          <cell r="BL273">
            <v>0</v>
          </cell>
          <cell r="BN273">
            <v>0</v>
          </cell>
          <cell r="BP273">
            <v>0</v>
          </cell>
          <cell r="BR273">
            <v>0</v>
          </cell>
          <cell r="BT273">
            <v>0</v>
          </cell>
          <cell r="BV273">
            <v>0</v>
          </cell>
          <cell r="BX273">
            <v>0</v>
          </cell>
          <cell r="BZ273">
            <v>0</v>
          </cell>
          <cell r="CB273">
            <v>0</v>
          </cell>
          <cell r="CD273">
            <v>0</v>
          </cell>
          <cell r="CF273">
            <v>0</v>
          </cell>
          <cell r="CH273">
            <v>0</v>
          </cell>
          <cell r="CJ273">
            <v>0</v>
          </cell>
          <cell r="CL273">
            <v>0</v>
          </cell>
          <cell r="CN273">
            <v>0</v>
          </cell>
          <cell r="CP273">
            <v>0</v>
          </cell>
          <cell r="CR273">
            <v>0</v>
          </cell>
          <cell r="CT273">
            <v>0</v>
          </cell>
          <cell r="CV273">
            <v>0</v>
          </cell>
          <cell r="CX273">
            <v>0</v>
          </cell>
          <cell r="CZ273">
            <v>0</v>
          </cell>
          <cell r="DB273">
            <v>0</v>
          </cell>
          <cell r="DD273">
            <v>0</v>
          </cell>
          <cell r="DF273">
            <v>0</v>
          </cell>
          <cell r="DH273">
            <v>0</v>
          </cell>
          <cell r="DJ273">
            <v>0</v>
          </cell>
          <cell r="DL273">
            <v>0</v>
          </cell>
          <cell r="DN273">
            <v>0</v>
          </cell>
          <cell r="DP273">
            <v>0</v>
          </cell>
          <cell r="DR273">
            <v>0</v>
          </cell>
          <cell r="DT273">
            <v>0</v>
          </cell>
          <cell r="DV273">
            <v>0</v>
          </cell>
          <cell r="DX273">
            <v>0</v>
          </cell>
          <cell r="DZ273">
            <v>0</v>
          </cell>
          <cell r="EB273">
            <v>0</v>
          </cell>
          <cell r="ED273">
            <v>0</v>
          </cell>
          <cell r="EF273">
            <v>0</v>
          </cell>
          <cell r="EH273">
            <v>0</v>
          </cell>
          <cell r="EJ273">
            <v>0</v>
          </cell>
          <cell r="EL273">
            <v>0</v>
          </cell>
          <cell r="EN273">
            <v>0</v>
          </cell>
          <cell r="EP273">
            <v>0</v>
          </cell>
          <cell r="ER273">
            <v>0</v>
          </cell>
          <cell r="ET273">
            <v>0</v>
          </cell>
          <cell r="EV273">
            <v>0</v>
          </cell>
          <cell r="EX273">
            <v>0</v>
          </cell>
          <cell r="EZ273">
            <v>0</v>
          </cell>
          <cell r="FB273">
            <v>0</v>
          </cell>
          <cell r="FD273">
            <v>0</v>
          </cell>
          <cell r="FF273">
            <v>0</v>
          </cell>
          <cell r="FH273">
            <v>0</v>
          </cell>
          <cell r="FJ273">
            <v>0</v>
          </cell>
          <cell r="FL273">
            <v>0</v>
          </cell>
          <cell r="FN273">
            <v>0</v>
          </cell>
          <cell r="FP273">
            <v>0</v>
          </cell>
          <cell r="FR273">
            <v>0</v>
          </cell>
          <cell r="FT273">
            <v>0</v>
          </cell>
          <cell r="FV273">
            <v>0</v>
          </cell>
          <cell r="GD273">
            <v>14</v>
          </cell>
          <cell r="GF273">
            <v>4</v>
          </cell>
          <cell r="GH273">
            <v>1</v>
          </cell>
          <cell r="GJ273">
            <v>7</v>
          </cell>
          <cell r="GM273">
            <v>141.01</v>
          </cell>
          <cell r="GN27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144.檢查勞工個人防護具：█有 □無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W273" t="str">
            <v>（一）施工廠商施工前檢查事項辦理情形：█完成 □未完成 （二）其他工地安全衛生督導事項：</v>
          </cell>
          <cell r="GX273">
            <v>853901</v>
          </cell>
          <cell r="GY273">
            <v>0</v>
          </cell>
        </row>
        <row r="274">
          <cell r="N274">
            <v>1</v>
          </cell>
          <cell r="P274">
            <v>1</v>
          </cell>
          <cell r="R274">
            <v>672</v>
          </cell>
          <cell r="T274">
            <v>108</v>
          </cell>
          <cell r="V274">
            <v>661</v>
          </cell>
          <cell r="X274">
            <v>2</v>
          </cell>
          <cell r="Z274">
            <v>1</v>
          </cell>
          <cell r="AB274">
            <v>661</v>
          </cell>
          <cell r="AD274">
            <v>2</v>
          </cell>
          <cell r="AF274">
            <v>1</v>
          </cell>
          <cell r="AH274">
            <v>1</v>
          </cell>
          <cell r="AJ274">
            <v>1</v>
          </cell>
          <cell r="AL274">
            <v>0</v>
          </cell>
          <cell r="AN274">
            <v>0</v>
          </cell>
          <cell r="AP274">
            <v>0</v>
          </cell>
          <cell r="AR274">
            <v>0</v>
          </cell>
          <cell r="AT274">
            <v>0</v>
          </cell>
          <cell r="AV274">
            <v>0</v>
          </cell>
          <cell r="AX274">
            <v>0</v>
          </cell>
          <cell r="AZ274">
            <v>0</v>
          </cell>
          <cell r="BB274">
            <v>0</v>
          </cell>
          <cell r="BD274">
            <v>0</v>
          </cell>
          <cell r="BF274">
            <v>0</v>
          </cell>
          <cell r="BH274">
            <v>0</v>
          </cell>
          <cell r="BJ274">
            <v>0</v>
          </cell>
          <cell r="BL274">
            <v>0</v>
          </cell>
          <cell r="BN274">
            <v>0</v>
          </cell>
          <cell r="BP274">
            <v>0</v>
          </cell>
          <cell r="BR274">
            <v>0</v>
          </cell>
          <cell r="BT274">
            <v>0</v>
          </cell>
          <cell r="BV274">
            <v>0</v>
          </cell>
          <cell r="BX274">
            <v>0</v>
          </cell>
          <cell r="BZ274">
            <v>0</v>
          </cell>
          <cell r="CB274">
            <v>0</v>
          </cell>
          <cell r="CD274">
            <v>0</v>
          </cell>
          <cell r="CF274">
            <v>0</v>
          </cell>
          <cell r="CH274">
            <v>0</v>
          </cell>
          <cell r="CJ274">
            <v>0</v>
          </cell>
          <cell r="CL274">
            <v>0</v>
          </cell>
          <cell r="CN274">
            <v>0</v>
          </cell>
          <cell r="CP274">
            <v>0</v>
          </cell>
          <cell r="CR274">
            <v>0</v>
          </cell>
          <cell r="CT274">
            <v>0</v>
          </cell>
          <cell r="CV274">
            <v>0</v>
          </cell>
          <cell r="CX274">
            <v>0</v>
          </cell>
          <cell r="CZ274">
            <v>0</v>
          </cell>
          <cell r="DB274">
            <v>0</v>
          </cell>
          <cell r="DD274">
            <v>0</v>
          </cell>
          <cell r="DF274">
            <v>0</v>
          </cell>
          <cell r="DH274">
            <v>0</v>
          </cell>
          <cell r="DJ274">
            <v>0</v>
          </cell>
          <cell r="DL274">
            <v>0</v>
          </cell>
          <cell r="DN274">
            <v>0</v>
          </cell>
          <cell r="DP274">
            <v>0</v>
          </cell>
          <cell r="DR274">
            <v>0</v>
          </cell>
          <cell r="DT274">
            <v>0</v>
          </cell>
          <cell r="DV274">
            <v>0</v>
          </cell>
          <cell r="DX274">
            <v>0</v>
          </cell>
          <cell r="DZ274">
            <v>0</v>
          </cell>
          <cell r="EB274">
            <v>0</v>
          </cell>
          <cell r="ED274">
            <v>0</v>
          </cell>
          <cell r="EF274">
            <v>0</v>
          </cell>
          <cell r="EH274">
            <v>0</v>
          </cell>
          <cell r="EJ274">
            <v>0</v>
          </cell>
          <cell r="EL274">
            <v>0</v>
          </cell>
          <cell r="EN274">
            <v>0</v>
          </cell>
          <cell r="EP274">
            <v>0</v>
          </cell>
          <cell r="ER274">
            <v>0</v>
          </cell>
          <cell r="ET274">
            <v>0</v>
          </cell>
          <cell r="EV274">
            <v>0</v>
          </cell>
          <cell r="EX274">
            <v>0</v>
          </cell>
          <cell r="EZ274">
            <v>0</v>
          </cell>
          <cell r="FB274">
            <v>0</v>
          </cell>
          <cell r="FD274">
            <v>0</v>
          </cell>
          <cell r="FF274">
            <v>0</v>
          </cell>
          <cell r="FH274">
            <v>0</v>
          </cell>
          <cell r="FJ274">
            <v>0</v>
          </cell>
          <cell r="FL274">
            <v>0</v>
          </cell>
          <cell r="FN274">
            <v>0</v>
          </cell>
          <cell r="FP274">
            <v>0</v>
          </cell>
          <cell r="FR274">
            <v>0</v>
          </cell>
          <cell r="FT274">
            <v>0</v>
          </cell>
          <cell r="FV274">
            <v>0</v>
          </cell>
          <cell r="GD274">
            <v>14</v>
          </cell>
          <cell r="GF274">
            <v>4</v>
          </cell>
          <cell r="GH274">
            <v>1</v>
          </cell>
          <cell r="GJ274">
            <v>7</v>
          </cell>
          <cell r="GM274">
            <v>142.01</v>
          </cell>
          <cell r="GN27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145.檢查勞工個人防護具：█有 □無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W274" t="str">
            <v>（一）施工廠商施工前檢查事項辦理情形：█完成 □未完成 （二）其他工地安全衛生督導事項：</v>
          </cell>
          <cell r="GX274">
            <v>853901</v>
          </cell>
          <cell r="GY274">
            <v>0</v>
          </cell>
        </row>
        <row r="275">
          <cell r="N275">
            <v>1</v>
          </cell>
          <cell r="P275">
            <v>1</v>
          </cell>
          <cell r="R275">
            <v>672</v>
          </cell>
          <cell r="T275">
            <v>108</v>
          </cell>
          <cell r="V275">
            <v>661</v>
          </cell>
          <cell r="X275">
            <v>2</v>
          </cell>
          <cell r="Z275">
            <v>1</v>
          </cell>
          <cell r="AB275">
            <v>661</v>
          </cell>
          <cell r="AD275">
            <v>2</v>
          </cell>
          <cell r="AF275">
            <v>1</v>
          </cell>
          <cell r="AH275">
            <v>1</v>
          </cell>
          <cell r="AJ275">
            <v>1</v>
          </cell>
          <cell r="AL275">
            <v>0</v>
          </cell>
          <cell r="AN275">
            <v>0</v>
          </cell>
          <cell r="AP275">
            <v>0</v>
          </cell>
          <cell r="AR275">
            <v>0</v>
          </cell>
          <cell r="AT275">
            <v>0</v>
          </cell>
          <cell r="AV275">
            <v>0</v>
          </cell>
          <cell r="AX275">
            <v>0</v>
          </cell>
          <cell r="AZ275">
            <v>0</v>
          </cell>
          <cell r="BB275">
            <v>0</v>
          </cell>
          <cell r="BD275">
            <v>0</v>
          </cell>
          <cell r="BF275">
            <v>0</v>
          </cell>
          <cell r="BH275">
            <v>0</v>
          </cell>
          <cell r="BJ275">
            <v>0</v>
          </cell>
          <cell r="BL275">
            <v>0</v>
          </cell>
          <cell r="BN275">
            <v>0</v>
          </cell>
          <cell r="BP275">
            <v>0</v>
          </cell>
          <cell r="BR275">
            <v>0</v>
          </cell>
          <cell r="BT275">
            <v>0</v>
          </cell>
          <cell r="BV275">
            <v>0</v>
          </cell>
          <cell r="BX275">
            <v>0</v>
          </cell>
          <cell r="BZ275">
            <v>0</v>
          </cell>
          <cell r="CB275">
            <v>0</v>
          </cell>
          <cell r="CD275">
            <v>0</v>
          </cell>
          <cell r="CF275">
            <v>0</v>
          </cell>
          <cell r="CH275">
            <v>0</v>
          </cell>
          <cell r="CJ275">
            <v>0</v>
          </cell>
          <cell r="CL275">
            <v>0</v>
          </cell>
          <cell r="CN275">
            <v>0</v>
          </cell>
          <cell r="CP275">
            <v>0</v>
          </cell>
          <cell r="CR275">
            <v>0</v>
          </cell>
          <cell r="CT275">
            <v>0</v>
          </cell>
          <cell r="CV275">
            <v>0</v>
          </cell>
          <cell r="CX275">
            <v>0</v>
          </cell>
          <cell r="CZ275">
            <v>0</v>
          </cell>
          <cell r="DB275">
            <v>0</v>
          </cell>
          <cell r="DD275">
            <v>0</v>
          </cell>
          <cell r="DF275">
            <v>0</v>
          </cell>
          <cell r="DH275">
            <v>0</v>
          </cell>
          <cell r="DJ275">
            <v>0</v>
          </cell>
          <cell r="DL275">
            <v>0</v>
          </cell>
          <cell r="DN275">
            <v>0</v>
          </cell>
          <cell r="DP275">
            <v>0</v>
          </cell>
          <cell r="DR275">
            <v>0</v>
          </cell>
          <cell r="DT275">
            <v>0</v>
          </cell>
          <cell r="DV275">
            <v>0</v>
          </cell>
          <cell r="DX275">
            <v>0</v>
          </cell>
          <cell r="DZ275">
            <v>0</v>
          </cell>
          <cell r="EB275">
            <v>0</v>
          </cell>
          <cell r="ED275">
            <v>0</v>
          </cell>
          <cell r="EF275">
            <v>0</v>
          </cell>
          <cell r="EH275">
            <v>0</v>
          </cell>
          <cell r="EJ275">
            <v>0</v>
          </cell>
          <cell r="EL275">
            <v>0</v>
          </cell>
          <cell r="EN275">
            <v>0</v>
          </cell>
          <cell r="EP275">
            <v>0</v>
          </cell>
          <cell r="ER275">
            <v>0</v>
          </cell>
          <cell r="ET275">
            <v>0</v>
          </cell>
          <cell r="EV275">
            <v>0</v>
          </cell>
          <cell r="EX275">
            <v>0</v>
          </cell>
          <cell r="EZ275">
            <v>0</v>
          </cell>
          <cell r="FB275">
            <v>0</v>
          </cell>
          <cell r="FD275">
            <v>0</v>
          </cell>
          <cell r="FF275">
            <v>0</v>
          </cell>
          <cell r="FH275">
            <v>0</v>
          </cell>
          <cell r="FJ275">
            <v>0</v>
          </cell>
          <cell r="FL275">
            <v>0</v>
          </cell>
          <cell r="FN275">
            <v>0</v>
          </cell>
          <cell r="FP275">
            <v>0</v>
          </cell>
          <cell r="FR275">
            <v>0</v>
          </cell>
          <cell r="FT275">
            <v>0</v>
          </cell>
          <cell r="FV275">
            <v>0</v>
          </cell>
          <cell r="GD275">
            <v>14</v>
          </cell>
          <cell r="GF275">
            <v>4</v>
          </cell>
          <cell r="GH275">
            <v>1</v>
          </cell>
          <cell r="GJ275">
            <v>7</v>
          </cell>
          <cell r="GM275">
            <v>143.01</v>
          </cell>
          <cell r="GN27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146.檢查勞工個人防護具：█有 □無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W275" t="str">
            <v>（一）施工廠商施工前檢查事項辦理情形：█完成 □未完成 （二）其他工地安全衛生督導事項：</v>
          </cell>
          <cell r="GX275">
            <v>853901</v>
          </cell>
          <cell r="GY275">
            <v>0</v>
          </cell>
        </row>
        <row r="276">
          <cell r="N276">
            <v>1</v>
          </cell>
          <cell r="P276">
            <v>1</v>
          </cell>
          <cell r="R276">
            <v>672</v>
          </cell>
          <cell r="T276">
            <v>108</v>
          </cell>
          <cell r="V276">
            <v>661</v>
          </cell>
          <cell r="X276">
            <v>2</v>
          </cell>
          <cell r="Z276">
            <v>1</v>
          </cell>
          <cell r="AB276">
            <v>661</v>
          </cell>
          <cell r="AD276">
            <v>2</v>
          </cell>
          <cell r="AF276">
            <v>1</v>
          </cell>
          <cell r="AH276">
            <v>1</v>
          </cell>
          <cell r="AJ276">
            <v>1</v>
          </cell>
          <cell r="AL276">
            <v>0</v>
          </cell>
          <cell r="AN276">
            <v>0</v>
          </cell>
          <cell r="AP276">
            <v>0</v>
          </cell>
          <cell r="AR276">
            <v>0</v>
          </cell>
          <cell r="AT276">
            <v>0</v>
          </cell>
          <cell r="AV276">
            <v>0</v>
          </cell>
          <cell r="AX276">
            <v>0</v>
          </cell>
          <cell r="AZ276">
            <v>0</v>
          </cell>
          <cell r="BB276">
            <v>0</v>
          </cell>
          <cell r="BD276">
            <v>0</v>
          </cell>
          <cell r="BF276">
            <v>0</v>
          </cell>
          <cell r="BH276">
            <v>0</v>
          </cell>
          <cell r="BJ276">
            <v>0</v>
          </cell>
          <cell r="BL276">
            <v>0</v>
          </cell>
          <cell r="BN276">
            <v>0</v>
          </cell>
          <cell r="BP276">
            <v>0</v>
          </cell>
          <cell r="BR276">
            <v>0</v>
          </cell>
          <cell r="BT276">
            <v>0</v>
          </cell>
          <cell r="BV276">
            <v>0</v>
          </cell>
          <cell r="BX276">
            <v>0</v>
          </cell>
          <cell r="BZ276">
            <v>0</v>
          </cell>
          <cell r="CB276">
            <v>0</v>
          </cell>
          <cell r="CD276">
            <v>0</v>
          </cell>
          <cell r="CF276">
            <v>0</v>
          </cell>
          <cell r="CH276">
            <v>0</v>
          </cell>
          <cell r="CJ276">
            <v>0</v>
          </cell>
          <cell r="CL276">
            <v>0</v>
          </cell>
          <cell r="CN276">
            <v>0</v>
          </cell>
          <cell r="CP276">
            <v>0</v>
          </cell>
          <cell r="CR276">
            <v>0</v>
          </cell>
          <cell r="CT276">
            <v>0</v>
          </cell>
          <cell r="CV276">
            <v>0</v>
          </cell>
          <cell r="CX276">
            <v>0</v>
          </cell>
          <cell r="CZ276">
            <v>0</v>
          </cell>
          <cell r="DB276">
            <v>0</v>
          </cell>
          <cell r="DD276">
            <v>0</v>
          </cell>
          <cell r="DF276">
            <v>0</v>
          </cell>
          <cell r="DH276">
            <v>0</v>
          </cell>
          <cell r="DJ276">
            <v>0</v>
          </cell>
          <cell r="DL276">
            <v>0</v>
          </cell>
          <cell r="DN276">
            <v>0</v>
          </cell>
          <cell r="DP276">
            <v>0</v>
          </cell>
          <cell r="DR276">
            <v>0</v>
          </cell>
          <cell r="DT276">
            <v>0</v>
          </cell>
          <cell r="DV276">
            <v>0</v>
          </cell>
          <cell r="DX276">
            <v>0</v>
          </cell>
          <cell r="DZ276">
            <v>0</v>
          </cell>
          <cell r="EB276">
            <v>0</v>
          </cell>
          <cell r="ED276">
            <v>0</v>
          </cell>
          <cell r="EF276">
            <v>0</v>
          </cell>
          <cell r="EH276">
            <v>0</v>
          </cell>
          <cell r="EJ276">
            <v>0</v>
          </cell>
          <cell r="EL276">
            <v>0</v>
          </cell>
          <cell r="EN276">
            <v>0</v>
          </cell>
          <cell r="EP276">
            <v>0</v>
          </cell>
          <cell r="ER276">
            <v>0</v>
          </cell>
          <cell r="ET276">
            <v>0</v>
          </cell>
          <cell r="EV276">
            <v>0</v>
          </cell>
          <cell r="EX276">
            <v>0</v>
          </cell>
          <cell r="EZ276">
            <v>0</v>
          </cell>
          <cell r="FB276">
            <v>0</v>
          </cell>
          <cell r="FD276">
            <v>0</v>
          </cell>
          <cell r="FF276">
            <v>0</v>
          </cell>
          <cell r="FH276">
            <v>0</v>
          </cell>
          <cell r="FJ276">
            <v>0</v>
          </cell>
          <cell r="FL276">
            <v>0</v>
          </cell>
          <cell r="FN276">
            <v>0</v>
          </cell>
          <cell r="FP276">
            <v>0</v>
          </cell>
          <cell r="FR276">
            <v>0</v>
          </cell>
          <cell r="FT276">
            <v>0</v>
          </cell>
          <cell r="FV276">
            <v>0</v>
          </cell>
          <cell r="GD276">
            <v>14</v>
          </cell>
          <cell r="GF276">
            <v>4</v>
          </cell>
          <cell r="GH276">
            <v>1</v>
          </cell>
          <cell r="GJ276">
            <v>7</v>
          </cell>
          <cell r="GM276">
            <v>144.01</v>
          </cell>
          <cell r="GN27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147.檢查勞工個人防護具：█有 □無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W276" t="str">
            <v>（一）施工廠商施工前檢查事項辦理情形：█完成 □未完成 （二）其他工地安全衛生督導事項：</v>
          </cell>
          <cell r="GX276">
            <v>853901</v>
          </cell>
          <cell r="GY276">
            <v>0</v>
          </cell>
        </row>
        <row r="277">
          <cell r="N277">
            <v>1</v>
          </cell>
          <cell r="P277">
            <v>1</v>
          </cell>
          <cell r="R277">
            <v>672</v>
          </cell>
          <cell r="T277">
            <v>108</v>
          </cell>
          <cell r="V277">
            <v>661</v>
          </cell>
          <cell r="X277">
            <v>2</v>
          </cell>
          <cell r="Z277">
            <v>1</v>
          </cell>
          <cell r="AB277">
            <v>661</v>
          </cell>
          <cell r="AD277">
            <v>2</v>
          </cell>
          <cell r="AF277">
            <v>1</v>
          </cell>
          <cell r="AH277">
            <v>1</v>
          </cell>
          <cell r="AJ277">
            <v>1</v>
          </cell>
          <cell r="AL277">
            <v>0</v>
          </cell>
          <cell r="AN277">
            <v>0</v>
          </cell>
          <cell r="AP277">
            <v>0</v>
          </cell>
          <cell r="AR277">
            <v>0</v>
          </cell>
          <cell r="AT277">
            <v>0</v>
          </cell>
          <cell r="AV277">
            <v>0</v>
          </cell>
          <cell r="AX277">
            <v>0</v>
          </cell>
          <cell r="AZ277">
            <v>0</v>
          </cell>
          <cell r="BB277">
            <v>0</v>
          </cell>
          <cell r="BD277">
            <v>0</v>
          </cell>
          <cell r="BF277">
            <v>0</v>
          </cell>
          <cell r="BH277">
            <v>0</v>
          </cell>
          <cell r="BJ277">
            <v>0</v>
          </cell>
          <cell r="BL277">
            <v>0</v>
          </cell>
          <cell r="BN277">
            <v>0</v>
          </cell>
          <cell r="BP277">
            <v>0</v>
          </cell>
          <cell r="BR277">
            <v>0</v>
          </cell>
          <cell r="BT277">
            <v>0</v>
          </cell>
          <cell r="BV277">
            <v>0</v>
          </cell>
          <cell r="BX277">
            <v>0</v>
          </cell>
          <cell r="BZ277">
            <v>0</v>
          </cell>
          <cell r="CB277">
            <v>0</v>
          </cell>
          <cell r="CD277">
            <v>0</v>
          </cell>
          <cell r="CF277">
            <v>0</v>
          </cell>
          <cell r="CH277">
            <v>0</v>
          </cell>
          <cell r="CJ277">
            <v>0</v>
          </cell>
          <cell r="CL277">
            <v>0</v>
          </cell>
          <cell r="CN277">
            <v>0</v>
          </cell>
          <cell r="CP277">
            <v>0</v>
          </cell>
          <cell r="CR277">
            <v>0</v>
          </cell>
          <cell r="CT277">
            <v>0</v>
          </cell>
          <cell r="CV277">
            <v>0</v>
          </cell>
          <cell r="CX277">
            <v>0</v>
          </cell>
          <cell r="CZ277">
            <v>0</v>
          </cell>
          <cell r="DB277">
            <v>0</v>
          </cell>
          <cell r="DD277">
            <v>0</v>
          </cell>
          <cell r="DF277">
            <v>0</v>
          </cell>
          <cell r="DH277">
            <v>0</v>
          </cell>
          <cell r="DJ277">
            <v>0</v>
          </cell>
          <cell r="DL277">
            <v>0</v>
          </cell>
          <cell r="DN277">
            <v>0</v>
          </cell>
          <cell r="DP277">
            <v>0</v>
          </cell>
          <cell r="DR277">
            <v>0</v>
          </cell>
          <cell r="DT277">
            <v>0</v>
          </cell>
          <cell r="DV277">
            <v>0</v>
          </cell>
          <cell r="DX277">
            <v>0</v>
          </cell>
          <cell r="DZ277">
            <v>0</v>
          </cell>
          <cell r="EB277">
            <v>0</v>
          </cell>
          <cell r="ED277">
            <v>0</v>
          </cell>
          <cell r="EF277">
            <v>0</v>
          </cell>
          <cell r="EH277">
            <v>0</v>
          </cell>
          <cell r="EJ277">
            <v>0</v>
          </cell>
          <cell r="EL277">
            <v>0</v>
          </cell>
          <cell r="EN277">
            <v>0</v>
          </cell>
          <cell r="EP277">
            <v>0</v>
          </cell>
          <cell r="ER277">
            <v>0</v>
          </cell>
          <cell r="ET277">
            <v>0</v>
          </cell>
          <cell r="EV277">
            <v>0</v>
          </cell>
          <cell r="EX277">
            <v>0</v>
          </cell>
          <cell r="EZ277">
            <v>0</v>
          </cell>
          <cell r="FB277">
            <v>0</v>
          </cell>
          <cell r="FD277">
            <v>0</v>
          </cell>
          <cell r="FF277">
            <v>0</v>
          </cell>
          <cell r="FH277">
            <v>0</v>
          </cell>
          <cell r="FJ277">
            <v>0</v>
          </cell>
          <cell r="FL277">
            <v>0</v>
          </cell>
          <cell r="FN277">
            <v>0</v>
          </cell>
          <cell r="FP277">
            <v>0</v>
          </cell>
          <cell r="FR277">
            <v>0</v>
          </cell>
          <cell r="FT277">
            <v>0</v>
          </cell>
          <cell r="FV277">
            <v>0</v>
          </cell>
          <cell r="GD277">
            <v>14</v>
          </cell>
          <cell r="GF277">
            <v>4</v>
          </cell>
          <cell r="GH277">
            <v>1</v>
          </cell>
          <cell r="GJ277">
            <v>7</v>
          </cell>
          <cell r="GM277">
            <v>145.01</v>
          </cell>
          <cell r="GN27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148.檢查勞工個人防護具：█有 □無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W277" t="str">
            <v>（一）施工廠商施工前檢查事項辦理情形：█完成 □未完成 （二）其他工地安全衛生督導事項：</v>
          </cell>
          <cell r="GX277">
            <v>853901</v>
          </cell>
          <cell r="GY277">
            <v>0</v>
          </cell>
        </row>
        <row r="278">
          <cell r="N278">
            <v>1</v>
          </cell>
          <cell r="P278">
            <v>1</v>
          </cell>
          <cell r="R278">
            <v>672</v>
          </cell>
          <cell r="T278">
            <v>108</v>
          </cell>
          <cell r="V278">
            <v>661</v>
          </cell>
          <cell r="X278">
            <v>2</v>
          </cell>
          <cell r="Z278">
            <v>1</v>
          </cell>
          <cell r="AB278">
            <v>661</v>
          </cell>
          <cell r="AD278">
            <v>2</v>
          </cell>
          <cell r="AF278">
            <v>1</v>
          </cell>
          <cell r="AH278">
            <v>1</v>
          </cell>
          <cell r="AJ278">
            <v>1</v>
          </cell>
          <cell r="AL278">
            <v>0</v>
          </cell>
          <cell r="AN278">
            <v>0</v>
          </cell>
          <cell r="AP278">
            <v>0</v>
          </cell>
          <cell r="AR278">
            <v>0</v>
          </cell>
          <cell r="AT278">
            <v>0</v>
          </cell>
          <cell r="AV278">
            <v>0</v>
          </cell>
          <cell r="AX278">
            <v>0</v>
          </cell>
          <cell r="AZ278">
            <v>0</v>
          </cell>
          <cell r="BB278">
            <v>0</v>
          </cell>
          <cell r="BD278">
            <v>0</v>
          </cell>
          <cell r="BF278">
            <v>0</v>
          </cell>
          <cell r="BH278">
            <v>0</v>
          </cell>
          <cell r="BJ278">
            <v>0</v>
          </cell>
          <cell r="BL278">
            <v>0</v>
          </cell>
          <cell r="BN278">
            <v>0</v>
          </cell>
          <cell r="BP278">
            <v>0</v>
          </cell>
          <cell r="BR278">
            <v>0</v>
          </cell>
          <cell r="BT278">
            <v>0</v>
          </cell>
          <cell r="BV278">
            <v>0</v>
          </cell>
          <cell r="BX278">
            <v>0</v>
          </cell>
          <cell r="BZ278">
            <v>0</v>
          </cell>
          <cell r="CB278">
            <v>0</v>
          </cell>
          <cell r="CD278">
            <v>0</v>
          </cell>
          <cell r="CF278">
            <v>0</v>
          </cell>
          <cell r="CH278">
            <v>0</v>
          </cell>
          <cell r="CJ278">
            <v>0</v>
          </cell>
          <cell r="CL278">
            <v>0</v>
          </cell>
          <cell r="CN278">
            <v>0</v>
          </cell>
          <cell r="CP278">
            <v>0</v>
          </cell>
          <cell r="CR278">
            <v>0</v>
          </cell>
          <cell r="CT278">
            <v>0</v>
          </cell>
          <cell r="CV278">
            <v>0</v>
          </cell>
          <cell r="CX278">
            <v>0</v>
          </cell>
          <cell r="CZ278">
            <v>0</v>
          </cell>
          <cell r="DB278">
            <v>0</v>
          </cell>
          <cell r="DD278">
            <v>0</v>
          </cell>
          <cell r="DF278">
            <v>0</v>
          </cell>
          <cell r="DH278">
            <v>0</v>
          </cell>
          <cell r="DJ278">
            <v>0</v>
          </cell>
          <cell r="DL278">
            <v>0</v>
          </cell>
          <cell r="DN278">
            <v>0</v>
          </cell>
          <cell r="DP278">
            <v>0</v>
          </cell>
          <cell r="DR278">
            <v>0</v>
          </cell>
          <cell r="DT278">
            <v>0</v>
          </cell>
          <cell r="DV278">
            <v>0</v>
          </cell>
          <cell r="DX278">
            <v>0</v>
          </cell>
          <cell r="DZ278">
            <v>0</v>
          </cell>
          <cell r="EB278">
            <v>0</v>
          </cell>
          <cell r="ED278">
            <v>0</v>
          </cell>
          <cell r="EF278">
            <v>0</v>
          </cell>
          <cell r="EH278">
            <v>0</v>
          </cell>
          <cell r="EJ278">
            <v>0</v>
          </cell>
          <cell r="EL278">
            <v>0</v>
          </cell>
          <cell r="EN278">
            <v>0</v>
          </cell>
          <cell r="EP278">
            <v>0</v>
          </cell>
          <cell r="ER278">
            <v>0</v>
          </cell>
          <cell r="ET278">
            <v>0</v>
          </cell>
          <cell r="EV278">
            <v>0</v>
          </cell>
          <cell r="EX278">
            <v>0</v>
          </cell>
          <cell r="EZ278">
            <v>0</v>
          </cell>
          <cell r="FB278">
            <v>0</v>
          </cell>
          <cell r="FD278">
            <v>0</v>
          </cell>
          <cell r="FF278">
            <v>0</v>
          </cell>
          <cell r="FH278">
            <v>0</v>
          </cell>
          <cell r="FJ278">
            <v>0</v>
          </cell>
          <cell r="FL278">
            <v>0</v>
          </cell>
          <cell r="FN278">
            <v>0</v>
          </cell>
          <cell r="FP278">
            <v>0</v>
          </cell>
          <cell r="FR278">
            <v>0</v>
          </cell>
          <cell r="FT278">
            <v>0</v>
          </cell>
          <cell r="FV278">
            <v>0</v>
          </cell>
          <cell r="GD278">
            <v>14</v>
          </cell>
          <cell r="GF278">
            <v>4</v>
          </cell>
          <cell r="GH278">
            <v>1</v>
          </cell>
          <cell r="GJ278">
            <v>7</v>
          </cell>
          <cell r="GM278">
            <v>146.01</v>
          </cell>
          <cell r="GN27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149.檢查勞工個人防護具：█有 □無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W278" t="str">
            <v>（一）施工廠商施工前檢查事項辦理情形：█完成 □未完成 （二）其他工地安全衛生督導事項：</v>
          </cell>
          <cell r="GX278">
            <v>853901</v>
          </cell>
          <cell r="GY278">
            <v>0</v>
          </cell>
        </row>
        <row r="279">
          <cell r="N279">
            <v>1</v>
          </cell>
          <cell r="P279">
            <v>1</v>
          </cell>
          <cell r="R279">
            <v>672</v>
          </cell>
          <cell r="T279">
            <v>108</v>
          </cell>
          <cell r="V279">
            <v>661</v>
          </cell>
          <cell r="X279">
            <v>2</v>
          </cell>
          <cell r="Z279">
            <v>1</v>
          </cell>
          <cell r="AB279">
            <v>661</v>
          </cell>
          <cell r="AD279">
            <v>2</v>
          </cell>
          <cell r="AF279">
            <v>1</v>
          </cell>
          <cell r="AH279">
            <v>1</v>
          </cell>
          <cell r="AJ279">
            <v>1</v>
          </cell>
          <cell r="AL279">
            <v>0</v>
          </cell>
          <cell r="AN279">
            <v>0</v>
          </cell>
          <cell r="AP279">
            <v>0</v>
          </cell>
          <cell r="AR279">
            <v>0</v>
          </cell>
          <cell r="AT279">
            <v>0</v>
          </cell>
          <cell r="AV279">
            <v>0</v>
          </cell>
          <cell r="AX279">
            <v>0</v>
          </cell>
          <cell r="AZ279">
            <v>0</v>
          </cell>
          <cell r="BB279">
            <v>0</v>
          </cell>
          <cell r="BD279">
            <v>0</v>
          </cell>
          <cell r="BF279">
            <v>0</v>
          </cell>
          <cell r="BH279">
            <v>0</v>
          </cell>
          <cell r="BJ279">
            <v>0</v>
          </cell>
          <cell r="BL279">
            <v>0</v>
          </cell>
          <cell r="BN279">
            <v>0</v>
          </cell>
          <cell r="BP279">
            <v>0</v>
          </cell>
          <cell r="BR279">
            <v>0</v>
          </cell>
          <cell r="BT279">
            <v>0</v>
          </cell>
          <cell r="BV279">
            <v>0</v>
          </cell>
          <cell r="BX279">
            <v>0</v>
          </cell>
          <cell r="BZ279">
            <v>0</v>
          </cell>
          <cell r="CB279">
            <v>0</v>
          </cell>
          <cell r="CD279">
            <v>0</v>
          </cell>
          <cell r="CF279">
            <v>0</v>
          </cell>
          <cell r="CH279">
            <v>0</v>
          </cell>
          <cell r="CJ279">
            <v>0</v>
          </cell>
          <cell r="CL279">
            <v>0</v>
          </cell>
          <cell r="CN279">
            <v>0</v>
          </cell>
          <cell r="CP279">
            <v>0</v>
          </cell>
          <cell r="CR279">
            <v>0</v>
          </cell>
          <cell r="CT279">
            <v>0</v>
          </cell>
          <cell r="CV279">
            <v>0</v>
          </cell>
          <cell r="CX279">
            <v>0</v>
          </cell>
          <cell r="CZ279">
            <v>0</v>
          </cell>
          <cell r="DB279">
            <v>0</v>
          </cell>
          <cell r="DD279">
            <v>0</v>
          </cell>
          <cell r="DF279">
            <v>0</v>
          </cell>
          <cell r="DH279">
            <v>0</v>
          </cell>
          <cell r="DJ279">
            <v>0</v>
          </cell>
          <cell r="DL279">
            <v>0</v>
          </cell>
          <cell r="DN279">
            <v>0</v>
          </cell>
          <cell r="DP279">
            <v>0</v>
          </cell>
          <cell r="DR279">
            <v>0</v>
          </cell>
          <cell r="DT279">
            <v>0</v>
          </cell>
          <cell r="DV279">
            <v>0</v>
          </cell>
          <cell r="DX279">
            <v>0</v>
          </cell>
          <cell r="DZ279">
            <v>0</v>
          </cell>
          <cell r="EB279">
            <v>0</v>
          </cell>
          <cell r="ED279">
            <v>0</v>
          </cell>
          <cell r="EF279">
            <v>0</v>
          </cell>
          <cell r="EH279">
            <v>0</v>
          </cell>
          <cell r="EJ279">
            <v>0</v>
          </cell>
          <cell r="EL279">
            <v>0</v>
          </cell>
          <cell r="EN279">
            <v>0</v>
          </cell>
          <cell r="EP279">
            <v>0</v>
          </cell>
          <cell r="ER279">
            <v>0</v>
          </cell>
          <cell r="ET279">
            <v>0</v>
          </cell>
          <cell r="EV279">
            <v>0</v>
          </cell>
          <cell r="EX279">
            <v>0</v>
          </cell>
          <cell r="EZ279">
            <v>0</v>
          </cell>
          <cell r="FB279">
            <v>0</v>
          </cell>
          <cell r="FD279">
            <v>0</v>
          </cell>
          <cell r="FF279">
            <v>0</v>
          </cell>
          <cell r="FH279">
            <v>0</v>
          </cell>
          <cell r="FJ279">
            <v>0</v>
          </cell>
          <cell r="FL279">
            <v>0</v>
          </cell>
          <cell r="FN279">
            <v>0</v>
          </cell>
          <cell r="FP279">
            <v>0</v>
          </cell>
          <cell r="FR279">
            <v>0</v>
          </cell>
          <cell r="FT279">
            <v>0</v>
          </cell>
          <cell r="FV279">
            <v>0</v>
          </cell>
          <cell r="GD279">
            <v>14</v>
          </cell>
          <cell r="GF279">
            <v>4</v>
          </cell>
          <cell r="GH279">
            <v>1</v>
          </cell>
          <cell r="GJ279">
            <v>7</v>
          </cell>
          <cell r="GM279">
            <v>147.01</v>
          </cell>
          <cell r="GN27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150.檢查勞工個人防護具：█有 □無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W279" t="str">
            <v>（一）施工廠商施工前檢查事項辦理情形：█完成 □未完成 （二）其他工地安全衛生督導事項：</v>
          </cell>
          <cell r="GX279">
            <v>853901</v>
          </cell>
          <cell r="GY279">
            <v>0</v>
          </cell>
        </row>
        <row r="280">
          <cell r="N280">
            <v>1</v>
          </cell>
          <cell r="P280">
            <v>1</v>
          </cell>
          <cell r="R280">
            <v>672</v>
          </cell>
          <cell r="T280">
            <v>108</v>
          </cell>
          <cell r="V280">
            <v>661</v>
          </cell>
          <cell r="X280">
            <v>2</v>
          </cell>
          <cell r="Z280">
            <v>1</v>
          </cell>
          <cell r="AB280">
            <v>661</v>
          </cell>
          <cell r="AD280">
            <v>2</v>
          </cell>
          <cell r="AF280">
            <v>1</v>
          </cell>
          <cell r="AH280">
            <v>1</v>
          </cell>
          <cell r="AJ280">
            <v>1</v>
          </cell>
          <cell r="AL280">
            <v>0</v>
          </cell>
          <cell r="AN280">
            <v>0</v>
          </cell>
          <cell r="AP280">
            <v>0</v>
          </cell>
          <cell r="AR280">
            <v>0</v>
          </cell>
          <cell r="AT280">
            <v>0</v>
          </cell>
          <cell r="AV280">
            <v>0</v>
          </cell>
          <cell r="AX280">
            <v>0</v>
          </cell>
          <cell r="AZ280">
            <v>0</v>
          </cell>
          <cell r="BB280">
            <v>0</v>
          </cell>
          <cell r="BD280">
            <v>0</v>
          </cell>
          <cell r="BF280">
            <v>0</v>
          </cell>
          <cell r="BH280">
            <v>0</v>
          </cell>
          <cell r="BJ280">
            <v>0</v>
          </cell>
          <cell r="BL280">
            <v>0</v>
          </cell>
          <cell r="BN280">
            <v>0</v>
          </cell>
          <cell r="BP280">
            <v>0</v>
          </cell>
          <cell r="BR280">
            <v>0</v>
          </cell>
          <cell r="BT280">
            <v>0</v>
          </cell>
          <cell r="BV280">
            <v>0</v>
          </cell>
          <cell r="BX280">
            <v>0</v>
          </cell>
          <cell r="BZ280">
            <v>0</v>
          </cell>
          <cell r="CB280">
            <v>0</v>
          </cell>
          <cell r="CD280">
            <v>0</v>
          </cell>
          <cell r="CF280">
            <v>0</v>
          </cell>
          <cell r="CH280">
            <v>0</v>
          </cell>
          <cell r="CJ280">
            <v>0</v>
          </cell>
          <cell r="CL280">
            <v>0</v>
          </cell>
          <cell r="CN280">
            <v>0</v>
          </cell>
          <cell r="CP280">
            <v>0</v>
          </cell>
          <cell r="CR280">
            <v>0</v>
          </cell>
          <cell r="CT280">
            <v>0</v>
          </cell>
          <cell r="CV280">
            <v>0</v>
          </cell>
          <cell r="CX280">
            <v>0</v>
          </cell>
          <cell r="CZ280">
            <v>0</v>
          </cell>
          <cell r="DB280">
            <v>0</v>
          </cell>
          <cell r="DD280">
            <v>0</v>
          </cell>
          <cell r="DF280">
            <v>0</v>
          </cell>
          <cell r="DH280">
            <v>0</v>
          </cell>
          <cell r="DJ280">
            <v>0</v>
          </cell>
          <cell r="DL280">
            <v>0</v>
          </cell>
          <cell r="DN280">
            <v>0</v>
          </cell>
          <cell r="DP280">
            <v>0</v>
          </cell>
          <cell r="DR280">
            <v>0</v>
          </cell>
          <cell r="DT280">
            <v>0</v>
          </cell>
          <cell r="DV280">
            <v>0</v>
          </cell>
          <cell r="DX280">
            <v>0</v>
          </cell>
          <cell r="DZ280">
            <v>0</v>
          </cell>
          <cell r="EB280">
            <v>0</v>
          </cell>
          <cell r="ED280">
            <v>0</v>
          </cell>
          <cell r="EF280">
            <v>0</v>
          </cell>
          <cell r="EH280">
            <v>0</v>
          </cell>
          <cell r="EJ280">
            <v>0</v>
          </cell>
          <cell r="EL280">
            <v>0</v>
          </cell>
          <cell r="EN280">
            <v>0</v>
          </cell>
          <cell r="EP280">
            <v>0</v>
          </cell>
          <cell r="ER280">
            <v>0</v>
          </cell>
          <cell r="ET280">
            <v>0</v>
          </cell>
          <cell r="EV280">
            <v>0</v>
          </cell>
          <cell r="EX280">
            <v>0</v>
          </cell>
          <cell r="EZ280">
            <v>0</v>
          </cell>
          <cell r="FB280">
            <v>0</v>
          </cell>
          <cell r="FD280">
            <v>0</v>
          </cell>
          <cell r="FF280">
            <v>0</v>
          </cell>
          <cell r="FH280">
            <v>0</v>
          </cell>
          <cell r="FJ280">
            <v>0</v>
          </cell>
          <cell r="FL280">
            <v>0</v>
          </cell>
          <cell r="FN280">
            <v>0</v>
          </cell>
          <cell r="FP280">
            <v>0</v>
          </cell>
          <cell r="FR280">
            <v>0</v>
          </cell>
          <cell r="FT280">
            <v>0</v>
          </cell>
          <cell r="FV280">
            <v>0</v>
          </cell>
          <cell r="GD280">
            <v>14</v>
          </cell>
          <cell r="GF280">
            <v>4</v>
          </cell>
          <cell r="GH280">
            <v>1</v>
          </cell>
          <cell r="GJ280">
            <v>7</v>
          </cell>
          <cell r="GM280">
            <v>148.01</v>
          </cell>
          <cell r="GN28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151.檢查勞工個人防護具：█有 □無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W280" t="str">
            <v>（一）施工廠商施工前檢查事項辦理情形：█完成 □未完成 （二）其他工地安全衛生督導事項：</v>
          </cell>
          <cell r="GX280">
            <v>853901</v>
          </cell>
          <cell r="GY280">
            <v>0</v>
          </cell>
        </row>
        <row r="281">
          <cell r="N281">
            <v>1</v>
          </cell>
          <cell r="P281">
            <v>1</v>
          </cell>
          <cell r="R281">
            <v>672</v>
          </cell>
          <cell r="T281">
            <v>108</v>
          </cell>
          <cell r="V281">
            <v>661</v>
          </cell>
          <cell r="X281">
            <v>2</v>
          </cell>
          <cell r="Z281">
            <v>1</v>
          </cell>
          <cell r="AB281">
            <v>661</v>
          </cell>
          <cell r="AD281">
            <v>2</v>
          </cell>
          <cell r="AF281">
            <v>1</v>
          </cell>
          <cell r="AH281">
            <v>1</v>
          </cell>
          <cell r="AJ281">
            <v>1</v>
          </cell>
          <cell r="AL281">
            <v>0</v>
          </cell>
          <cell r="AN281">
            <v>0</v>
          </cell>
          <cell r="AP281">
            <v>0</v>
          </cell>
          <cell r="AR281">
            <v>0</v>
          </cell>
          <cell r="AT281">
            <v>0</v>
          </cell>
          <cell r="AV281">
            <v>0</v>
          </cell>
          <cell r="AX281">
            <v>0</v>
          </cell>
          <cell r="AZ281">
            <v>0</v>
          </cell>
          <cell r="BB281">
            <v>0</v>
          </cell>
          <cell r="BD281">
            <v>0</v>
          </cell>
          <cell r="BF281">
            <v>0</v>
          </cell>
          <cell r="BH281">
            <v>0</v>
          </cell>
          <cell r="BJ281">
            <v>0</v>
          </cell>
          <cell r="BL281">
            <v>0</v>
          </cell>
          <cell r="BN281">
            <v>0</v>
          </cell>
          <cell r="BP281">
            <v>0</v>
          </cell>
          <cell r="BR281">
            <v>0</v>
          </cell>
          <cell r="BT281">
            <v>0</v>
          </cell>
          <cell r="BV281">
            <v>0</v>
          </cell>
          <cell r="BX281">
            <v>0</v>
          </cell>
          <cell r="BZ281">
            <v>0</v>
          </cell>
          <cell r="CB281">
            <v>0</v>
          </cell>
          <cell r="CD281">
            <v>0</v>
          </cell>
          <cell r="CF281">
            <v>0</v>
          </cell>
          <cell r="CH281">
            <v>0</v>
          </cell>
          <cell r="CJ281">
            <v>0</v>
          </cell>
          <cell r="CL281">
            <v>0</v>
          </cell>
          <cell r="CN281">
            <v>0</v>
          </cell>
          <cell r="CP281">
            <v>0</v>
          </cell>
          <cell r="CR281">
            <v>0</v>
          </cell>
          <cell r="CT281">
            <v>0</v>
          </cell>
          <cell r="CV281">
            <v>0</v>
          </cell>
          <cell r="CX281">
            <v>0</v>
          </cell>
          <cell r="CZ281">
            <v>0</v>
          </cell>
          <cell r="DB281">
            <v>0</v>
          </cell>
          <cell r="DD281">
            <v>0</v>
          </cell>
          <cell r="DF281">
            <v>0</v>
          </cell>
          <cell r="DH281">
            <v>0</v>
          </cell>
          <cell r="DJ281">
            <v>0</v>
          </cell>
          <cell r="DL281">
            <v>0</v>
          </cell>
          <cell r="DN281">
            <v>0</v>
          </cell>
          <cell r="DP281">
            <v>0</v>
          </cell>
          <cell r="DR281">
            <v>0</v>
          </cell>
          <cell r="DT281">
            <v>0</v>
          </cell>
          <cell r="DV281">
            <v>0</v>
          </cell>
          <cell r="DX281">
            <v>0</v>
          </cell>
          <cell r="DZ281">
            <v>0</v>
          </cell>
          <cell r="EB281">
            <v>0</v>
          </cell>
          <cell r="ED281">
            <v>0</v>
          </cell>
          <cell r="EF281">
            <v>0</v>
          </cell>
          <cell r="EH281">
            <v>0</v>
          </cell>
          <cell r="EJ281">
            <v>0</v>
          </cell>
          <cell r="EL281">
            <v>0</v>
          </cell>
          <cell r="EN281">
            <v>0</v>
          </cell>
          <cell r="EP281">
            <v>0</v>
          </cell>
          <cell r="ER281">
            <v>0</v>
          </cell>
          <cell r="ET281">
            <v>0</v>
          </cell>
          <cell r="EV281">
            <v>0</v>
          </cell>
          <cell r="EX281">
            <v>0</v>
          </cell>
          <cell r="EZ281">
            <v>0</v>
          </cell>
          <cell r="FB281">
            <v>0</v>
          </cell>
          <cell r="FD281">
            <v>0</v>
          </cell>
          <cell r="FF281">
            <v>0</v>
          </cell>
          <cell r="FH281">
            <v>0</v>
          </cell>
          <cell r="FJ281">
            <v>0</v>
          </cell>
          <cell r="FL281">
            <v>0</v>
          </cell>
          <cell r="FN281">
            <v>0</v>
          </cell>
          <cell r="FP281">
            <v>0</v>
          </cell>
          <cell r="FR281">
            <v>0</v>
          </cell>
          <cell r="FT281">
            <v>0</v>
          </cell>
          <cell r="FV281">
            <v>0</v>
          </cell>
          <cell r="GD281">
            <v>14</v>
          </cell>
          <cell r="GF281">
            <v>4</v>
          </cell>
          <cell r="GH281">
            <v>1</v>
          </cell>
          <cell r="GJ281">
            <v>7</v>
          </cell>
          <cell r="GM281">
            <v>149.01</v>
          </cell>
          <cell r="GN28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152.檢查勞工個人防護具：█有 □無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W281" t="str">
            <v>（一）施工廠商施工前檢查事項辦理情形：█完成 □未完成 （二）其他工地安全衛生督導事項：</v>
          </cell>
          <cell r="GX281">
            <v>853901</v>
          </cell>
          <cell r="GY281">
            <v>0</v>
          </cell>
        </row>
        <row r="282">
          <cell r="N282">
            <v>1</v>
          </cell>
          <cell r="P282">
            <v>1</v>
          </cell>
          <cell r="R282">
            <v>672</v>
          </cell>
          <cell r="T282">
            <v>108</v>
          </cell>
          <cell r="V282">
            <v>661</v>
          </cell>
          <cell r="X282">
            <v>2</v>
          </cell>
          <cell r="Z282">
            <v>1</v>
          </cell>
          <cell r="AB282">
            <v>661</v>
          </cell>
          <cell r="AD282">
            <v>2</v>
          </cell>
          <cell r="AF282">
            <v>1</v>
          </cell>
          <cell r="AH282">
            <v>1</v>
          </cell>
          <cell r="AJ282">
            <v>1</v>
          </cell>
          <cell r="AL282">
            <v>0</v>
          </cell>
          <cell r="AN282">
            <v>0</v>
          </cell>
          <cell r="AP282">
            <v>0</v>
          </cell>
          <cell r="AR282">
            <v>0</v>
          </cell>
          <cell r="AT282">
            <v>0</v>
          </cell>
          <cell r="AV282">
            <v>0</v>
          </cell>
          <cell r="AX282">
            <v>0</v>
          </cell>
          <cell r="AZ282">
            <v>0</v>
          </cell>
          <cell r="BB282">
            <v>0</v>
          </cell>
          <cell r="BD282">
            <v>0</v>
          </cell>
          <cell r="BF282">
            <v>0</v>
          </cell>
          <cell r="BH282">
            <v>0</v>
          </cell>
          <cell r="BJ282">
            <v>0</v>
          </cell>
          <cell r="BL282">
            <v>0</v>
          </cell>
          <cell r="BN282">
            <v>0</v>
          </cell>
          <cell r="BP282">
            <v>0</v>
          </cell>
          <cell r="BR282">
            <v>0</v>
          </cell>
          <cell r="BT282">
            <v>0</v>
          </cell>
          <cell r="BV282">
            <v>0</v>
          </cell>
          <cell r="BX282">
            <v>0</v>
          </cell>
          <cell r="BZ282">
            <v>0</v>
          </cell>
          <cell r="CB282">
            <v>0</v>
          </cell>
          <cell r="CD282">
            <v>0</v>
          </cell>
          <cell r="CF282">
            <v>0</v>
          </cell>
          <cell r="CH282">
            <v>0</v>
          </cell>
          <cell r="CJ282">
            <v>0</v>
          </cell>
          <cell r="CL282">
            <v>0</v>
          </cell>
          <cell r="CN282">
            <v>0</v>
          </cell>
          <cell r="CP282">
            <v>0</v>
          </cell>
          <cell r="CR282">
            <v>0</v>
          </cell>
          <cell r="CT282">
            <v>0</v>
          </cell>
          <cell r="CV282">
            <v>0</v>
          </cell>
          <cell r="CX282">
            <v>0</v>
          </cell>
          <cell r="CZ282">
            <v>0</v>
          </cell>
          <cell r="DB282">
            <v>0</v>
          </cell>
          <cell r="DD282">
            <v>0</v>
          </cell>
          <cell r="DF282">
            <v>0</v>
          </cell>
          <cell r="DH282">
            <v>0</v>
          </cell>
          <cell r="DJ282">
            <v>0</v>
          </cell>
          <cell r="DL282">
            <v>0</v>
          </cell>
          <cell r="DN282">
            <v>0</v>
          </cell>
          <cell r="DP282">
            <v>0</v>
          </cell>
          <cell r="DR282">
            <v>0</v>
          </cell>
          <cell r="DT282">
            <v>0</v>
          </cell>
          <cell r="DV282">
            <v>0</v>
          </cell>
          <cell r="DX282">
            <v>0</v>
          </cell>
          <cell r="DZ282">
            <v>0</v>
          </cell>
          <cell r="EB282">
            <v>0</v>
          </cell>
          <cell r="ED282">
            <v>0</v>
          </cell>
          <cell r="EF282">
            <v>0</v>
          </cell>
          <cell r="EH282">
            <v>0</v>
          </cell>
          <cell r="EJ282">
            <v>0</v>
          </cell>
          <cell r="EL282">
            <v>0</v>
          </cell>
          <cell r="EN282">
            <v>0</v>
          </cell>
          <cell r="EP282">
            <v>0</v>
          </cell>
          <cell r="ER282">
            <v>0</v>
          </cell>
          <cell r="ET282">
            <v>0</v>
          </cell>
          <cell r="EV282">
            <v>0</v>
          </cell>
          <cell r="EX282">
            <v>0</v>
          </cell>
          <cell r="EZ282">
            <v>0</v>
          </cell>
          <cell r="FB282">
            <v>0</v>
          </cell>
          <cell r="FD282">
            <v>0</v>
          </cell>
          <cell r="FF282">
            <v>0</v>
          </cell>
          <cell r="FH282">
            <v>0</v>
          </cell>
          <cell r="FJ282">
            <v>0</v>
          </cell>
          <cell r="FL282">
            <v>0</v>
          </cell>
          <cell r="FN282">
            <v>0</v>
          </cell>
          <cell r="FP282">
            <v>0</v>
          </cell>
          <cell r="FR282">
            <v>0</v>
          </cell>
          <cell r="FT282">
            <v>0</v>
          </cell>
          <cell r="FV282">
            <v>0</v>
          </cell>
          <cell r="GD282">
            <v>14</v>
          </cell>
          <cell r="GF282">
            <v>4</v>
          </cell>
          <cell r="GH282">
            <v>1</v>
          </cell>
          <cell r="GJ282">
            <v>7</v>
          </cell>
          <cell r="GM282">
            <v>150.01</v>
          </cell>
          <cell r="GN28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153.檢查勞工個人防護具：█有 □無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W282" t="str">
            <v>（一）施工廠商施工前檢查事項辦理情形：█完成 □未完成 （二）其他工地安全衛生督導事項：</v>
          </cell>
          <cell r="GX282">
            <v>853901</v>
          </cell>
          <cell r="GY282">
            <v>0</v>
          </cell>
        </row>
        <row r="283">
          <cell r="N283">
            <v>1</v>
          </cell>
          <cell r="P283">
            <v>1</v>
          </cell>
          <cell r="R283">
            <v>672</v>
          </cell>
          <cell r="T283">
            <v>108</v>
          </cell>
          <cell r="V283">
            <v>661</v>
          </cell>
          <cell r="X283">
            <v>2</v>
          </cell>
          <cell r="Z283">
            <v>1</v>
          </cell>
          <cell r="AB283">
            <v>661</v>
          </cell>
          <cell r="AD283">
            <v>2</v>
          </cell>
          <cell r="AF283">
            <v>1</v>
          </cell>
          <cell r="AH283">
            <v>1</v>
          </cell>
          <cell r="AJ283">
            <v>1</v>
          </cell>
          <cell r="AL283">
            <v>0</v>
          </cell>
          <cell r="AN283">
            <v>0</v>
          </cell>
          <cell r="AP283">
            <v>0</v>
          </cell>
          <cell r="AR283">
            <v>0</v>
          </cell>
          <cell r="AT283">
            <v>0</v>
          </cell>
          <cell r="AV283">
            <v>0</v>
          </cell>
          <cell r="AX283">
            <v>0</v>
          </cell>
          <cell r="AZ283">
            <v>0</v>
          </cell>
          <cell r="BB283">
            <v>0</v>
          </cell>
          <cell r="BD283">
            <v>0</v>
          </cell>
          <cell r="BF283">
            <v>0</v>
          </cell>
          <cell r="BH283">
            <v>0</v>
          </cell>
          <cell r="BJ283">
            <v>0</v>
          </cell>
          <cell r="BL283">
            <v>0</v>
          </cell>
          <cell r="BN283">
            <v>0</v>
          </cell>
          <cell r="BP283">
            <v>0</v>
          </cell>
          <cell r="BR283">
            <v>0</v>
          </cell>
          <cell r="BT283">
            <v>0</v>
          </cell>
          <cell r="BV283">
            <v>0</v>
          </cell>
          <cell r="BX283">
            <v>0</v>
          </cell>
          <cell r="BZ283">
            <v>0</v>
          </cell>
          <cell r="CB283">
            <v>0</v>
          </cell>
          <cell r="CD283">
            <v>0</v>
          </cell>
          <cell r="CF283">
            <v>0</v>
          </cell>
          <cell r="CH283">
            <v>0</v>
          </cell>
          <cell r="CJ283">
            <v>0</v>
          </cell>
          <cell r="CL283">
            <v>0</v>
          </cell>
          <cell r="CN283">
            <v>0</v>
          </cell>
          <cell r="CP283">
            <v>0</v>
          </cell>
          <cell r="CR283">
            <v>0</v>
          </cell>
          <cell r="CT283">
            <v>0</v>
          </cell>
          <cell r="CV283">
            <v>0</v>
          </cell>
          <cell r="CX283">
            <v>0</v>
          </cell>
          <cell r="CZ283">
            <v>0</v>
          </cell>
          <cell r="DB283">
            <v>0</v>
          </cell>
          <cell r="DD283">
            <v>0</v>
          </cell>
          <cell r="DF283">
            <v>0</v>
          </cell>
          <cell r="DH283">
            <v>0</v>
          </cell>
          <cell r="DJ283">
            <v>0</v>
          </cell>
          <cell r="DL283">
            <v>0</v>
          </cell>
          <cell r="DN283">
            <v>0</v>
          </cell>
          <cell r="DP283">
            <v>0</v>
          </cell>
          <cell r="DR283">
            <v>0</v>
          </cell>
          <cell r="DT283">
            <v>0</v>
          </cell>
          <cell r="DV283">
            <v>0</v>
          </cell>
          <cell r="DX283">
            <v>0</v>
          </cell>
          <cell r="DZ283">
            <v>0</v>
          </cell>
          <cell r="EB283">
            <v>0</v>
          </cell>
          <cell r="ED283">
            <v>0</v>
          </cell>
          <cell r="EF283">
            <v>0</v>
          </cell>
          <cell r="EH283">
            <v>0</v>
          </cell>
          <cell r="EJ283">
            <v>0</v>
          </cell>
          <cell r="EL283">
            <v>0</v>
          </cell>
          <cell r="EN283">
            <v>0</v>
          </cell>
          <cell r="EP283">
            <v>0</v>
          </cell>
          <cell r="ER283">
            <v>0</v>
          </cell>
          <cell r="ET283">
            <v>0</v>
          </cell>
          <cell r="EV283">
            <v>0</v>
          </cell>
          <cell r="EX283">
            <v>0</v>
          </cell>
          <cell r="EZ283">
            <v>0</v>
          </cell>
          <cell r="FB283">
            <v>0</v>
          </cell>
          <cell r="FD283">
            <v>0</v>
          </cell>
          <cell r="FF283">
            <v>0</v>
          </cell>
          <cell r="FH283">
            <v>0</v>
          </cell>
          <cell r="FJ283">
            <v>0</v>
          </cell>
          <cell r="FL283">
            <v>0</v>
          </cell>
          <cell r="FN283">
            <v>0</v>
          </cell>
          <cell r="FP283">
            <v>0</v>
          </cell>
          <cell r="FR283">
            <v>0</v>
          </cell>
          <cell r="FT283">
            <v>0</v>
          </cell>
          <cell r="FV283">
            <v>0</v>
          </cell>
          <cell r="GD283">
            <v>14</v>
          </cell>
          <cell r="GF283">
            <v>4</v>
          </cell>
          <cell r="GH283">
            <v>1</v>
          </cell>
          <cell r="GJ283">
            <v>7</v>
          </cell>
          <cell r="GM283">
            <v>151.01</v>
          </cell>
          <cell r="GN28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154.檢查勞工個人防護具：█有 □無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W283" t="str">
            <v>（一）施工廠商施工前檢查事項辦理情形：█完成 □未完成 （二）其他工地安全衛生督導事項：</v>
          </cell>
          <cell r="GX283">
            <v>853901</v>
          </cell>
          <cell r="GY283">
            <v>0</v>
          </cell>
        </row>
        <row r="284">
          <cell r="N284">
            <v>1</v>
          </cell>
          <cell r="P284">
            <v>1</v>
          </cell>
          <cell r="R284">
            <v>672</v>
          </cell>
          <cell r="T284">
            <v>108</v>
          </cell>
          <cell r="V284">
            <v>661</v>
          </cell>
          <cell r="X284">
            <v>2</v>
          </cell>
          <cell r="Z284">
            <v>1</v>
          </cell>
          <cell r="AB284">
            <v>661</v>
          </cell>
          <cell r="AD284">
            <v>2</v>
          </cell>
          <cell r="AF284">
            <v>1</v>
          </cell>
          <cell r="AH284">
            <v>1</v>
          </cell>
          <cell r="AJ284">
            <v>1</v>
          </cell>
          <cell r="AL284">
            <v>0</v>
          </cell>
          <cell r="AN284">
            <v>0</v>
          </cell>
          <cell r="AP284">
            <v>0</v>
          </cell>
          <cell r="AR284">
            <v>0</v>
          </cell>
          <cell r="AT284">
            <v>0</v>
          </cell>
          <cell r="AV284">
            <v>0</v>
          </cell>
          <cell r="AX284">
            <v>0</v>
          </cell>
          <cell r="AZ284">
            <v>0</v>
          </cell>
          <cell r="BB284">
            <v>0</v>
          </cell>
          <cell r="BD284">
            <v>0</v>
          </cell>
          <cell r="BF284">
            <v>0</v>
          </cell>
          <cell r="BH284">
            <v>0</v>
          </cell>
          <cell r="BJ284">
            <v>0</v>
          </cell>
          <cell r="BL284">
            <v>0</v>
          </cell>
          <cell r="BN284">
            <v>0</v>
          </cell>
          <cell r="BP284">
            <v>0</v>
          </cell>
          <cell r="BR284">
            <v>0</v>
          </cell>
          <cell r="BT284">
            <v>0</v>
          </cell>
          <cell r="BV284">
            <v>0</v>
          </cell>
          <cell r="BX284">
            <v>0</v>
          </cell>
          <cell r="BZ284">
            <v>0</v>
          </cell>
          <cell r="CB284">
            <v>0</v>
          </cell>
          <cell r="CD284">
            <v>0</v>
          </cell>
          <cell r="CF284">
            <v>0</v>
          </cell>
          <cell r="CH284">
            <v>0</v>
          </cell>
          <cell r="CJ284">
            <v>0</v>
          </cell>
          <cell r="CL284">
            <v>0</v>
          </cell>
          <cell r="CN284">
            <v>0</v>
          </cell>
          <cell r="CP284">
            <v>0</v>
          </cell>
          <cell r="CR284">
            <v>0</v>
          </cell>
          <cell r="CT284">
            <v>0</v>
          </cell>
          <cell r="CV284">
            <v>0</v>
          </cell>
          <cell r="CX284">
            <v>0</v>
          </cell>
          <cell r="CZ284">
            <v>0</v>
          </cell>
          <cell r="DB284">
            <v>0</v>
          </cell>
          <cell r="DD284">
            <v>0</v>
          </cell>
          <cell r="DF284">
            <v>0</v>
          </cell>
          <cell r="DH284">
            <v>0</v>
          </cell>
          <cell r="DJ284">
            <v>0</v>
          </cell>
          <cell r="DL284">
            <v>0</v>
          </cell>
          <cell r="DN284">
            <v>0</v>
          </cell>
          <cell r="DP284">
            <v>0</v>
          </cell>
          <cell r="DR284">
            <v>0</v>
          </cell>
          <cell r="DT284">
            <v>0</v>
          </cell>
          <cell r="DV284">
            <v>0</v>
          </cell>
          <cell r="DX284">
            <v>0</v>
          </cell>
          <cell r="DZ284">
            <v>0</v>
          </cell>
          <cell r="EB284">
            <v>0</v>
          </cell>
          <cell r="ED284">
            <v>0</v>
          </cell>
          <cell r="EF284">
            <v>0</v>
          </cell>
          <cell r="EH284">
            <v>0</v>
          </cell>
          <cell r="EJ284">
            <v>0</v>
          </cell>
          <cell r="EL284">
            <v>0</v>
          </cell>
          <cell r="EN284">
            <v>0</v>
          </cell>
          <cell r="EP284">
            <v>0</v>
          </cell>
          <cell r="ER284">
            <v>0</v>
          </cell>
          <cell r="ET284">
            <v>0</v>
          </cell>
          <cell r="EV284">
            <v>0</v>
          </cell>
          <cell r="EX284">
            <v>0</v>
          </cell>
          <cell r="EZ284">
            <v>0</v>
          </cell>
          <cell r="FB284">
            <v>0</v>
          </cell>
          <cell r="FD284">
            <v>0</v>
          </cell>
          <cell r="FF284">
            <v>0</v>
          </cell>
          <cell r="FH284">
            <v>0</v>
          </cell>
          <cell r="FJ284">
            <v>0</v>
          </cell>
          <cell r="FL284">
            <v>0</v>
          </cell>
          <cell r="FN284">
            <v>0</v>
          </cell>
          <cell r="FP284">
            <v>0</v>
          </cell>
          <cell r="FR284">
            <v>0</v>
          </cell>
          <cell r="FT284">
            <v>0</v>
          </cell>
          <cell r="FV284">
            <v>0</v>
          </cell>
          <cell r="GD284">
            <v>14</v>
          </cell>
          <cell r="GF284">
            <v>4</v>
          </cell>
          <cell r="GH284">
            <v>1</v>
          </cell>
          <cell r="GJ284">
            <v>7</v>
          </cell>
          <cell r="GM284">
            <v>152.01</v>
          </cell>
          <cell r="GN28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155.檢查勞工個人防護具：█有 □無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W284" t="str">
            <v>（一）施工廠商施工前檢查事項辦理情形：█完成 □未完成 （二）其他工地安全衛生督導事項：</v>
          </cell>
          <cell r="GX284">
            <v>853901</v>
          </cell>
          <cell r="GY284">
            <v>0</v>
          </cell>
        </row>
        <row r="285">
          <cell r="N285">
            <v>1</v>
          </cell>
          <cell r="P285">
            <v>1</v>
          </cell>
          <cell r="R285">
            <v>672</v>
          </cell>
          <cell r="T285">
            <v>108</v>
          </cell>
          <cell r="V285">
            <v>661</v>
          </cell>
          <cell r="X285">
            <v>2</v>
          </cell>
          <cell r="Z285">
            <v>1</v>
          </cell>
          <cell r="AB285">
            <v>661</v>
          </cell>
          <cell r="AD285">
            <v>2</v>
          </cell>
          <cell r="AF285">
            <v>1</v>
          </cell>
          <cell r="AH285">
            <v>1</v>
          </cell>
          <cell r="AJ285">
            <v>1</v>
          </cell>
          <cell r="AL285">
            <v>0</v>
          </cell>
          <cell r="AN285">
            <v>0</v>
          </cell>
          <cell r="AP285">
            <v>0</v>
          </cell>
          <cell r="AR285">
            <v>0</v>
          </cell>
          <cell r="AT285">
            <v>0</v>
          </cell>
          <cell r="AV285">
            <v>0</v>
          </cell>
          <cell r="AX285">
            <v>0</v>
          </cell>
          <cell r="AZ285">
            <v>0</v>
          </cell>
          <cell r="BB285">
            <v>0</v>
          </cell>
          <cell r="BD285">
            <v>0</v>
          </cell>
          <cell r="BF285">
            <v>0</v>
          </cell>
          <cell r="BH285">
            <v>0</v>
          </cell>
          <cell r="BJ285">
            <v>0</v>
          </cell>
          <cell r="BL285">
            <v>0</v>
          </cell>
          <cell r="BN285">
            <v>0</v>
          </cell>
          <cell r="BP285">
            <v>0</v>
          </cell>
          <cell r="BR285">
            <v>0</v>
          </cell>
          <cell r="BT285">
            <v>0</v>
          </cell>
          <cell r="BV285">
            <v>0</v>
          </cell>
          <cell r="BX285">
            <v>0</v>
          </cell>
          <cell r="BZ285">
            <v>0</v>
          </cell>
          <cell r="CB285">
            <v>0</v>
          </cell>
          <cell r="CD285">
            <v>0</v>
          </cell>
          <cell r="CF285">
            <v>0</v>
          </cell>
          <cell r="CH285">
            <v>0</v>
          </cell>
          <cell r="CJ285">
            <v>0</v>
          </cell>
          <cell r="CL285">
            <v>0</v>
          </cell>
          <cell r="CN285">
            <v>0</v>
          </cell>
          <cell r="CP285">
            <v>0</v>
          </cell>
          <cell r="CR285">
            <v>0</v>
          </cell>
          <cell r="CT285">
            <v>0</v>
          </cell>
          <cell r="CV285">
            <v>0</v>
          </cell>
          <cell r="CX285">
            <v>0</v>
          </cell>
          <cell r="CZ285">
            <v>0</v>
          </cell>
          <cell r="DB285">
            <v>0</v>
          </cell>
          <cell r="DD285">
            <v>0</v>
          </cell>
          <cell r="DF285">
            <v>0</v>
          </cell>
          <cell r="DH285">
            <v>0</v>
          </cell>
          <cell r="DJ285">
            <v>0</v>
          </cell>
          <cell r="DL285">
            <v>0</v>
          </cell>
          <cell r="DN285">
            <v>0</v>
          </cell>
          <cell r="DP285">
            <v>0</v>
          </cell>
          <cell r="DR285">
            <v>0</v>
          </cell>
          <cell r="DT285">
            <v>0</v>
          </cell>
          <cell r="DV285">
            <v>0</v>
          </cell>
          <cell r="DX285">
            <v>0</v>
          </cell>
          <cell r="DZ285">
            <v>0</v>
          </cell>
          <cell r="EB285">
            <v>0</v>
          </cell>
          <cell r="ED285">
            <v>0</v>
          </cell>
          <cell r="EF285">
            <v>0</v>
          </cell>
          <cell r="EH285">
            <v>0</v>
          </cell>
          <cell r="EJ285">
            <v>0</v>
          </cell>
          <cell r="EL285">
            <v>0</v>
          </cell>
          <cell r="EN285">
            <v>0</v>
          </cell>
          <cell r="EP285">
            <v>0</v>
          </cell>
          <cell r="ER285">
            <v>0</v>
          </cell>
          <cell r="ET285">
            <v>0</v>
          </cell>
          <cell r="EV285">
            <v>0</v>
          </cell>
          <cell r="EX285">
            <v>0</v>
          </cell>
          <cell r="EZ285">
            <v>0</v>
          </cell>
          <cell r="FB285">
            <v>0</v>
          </cell>
          <cell r="FD285">
            <v>0</v>
          </cell>
          <cell r="FF285">
            <v>0</v>
          </cell>
          <cell r="FH285">
            <v>0</v>
          </cell>
          <cell r="FJ285">
            <v>0</v>
          </cell>
          <cell r="FL285">
            <v>0</v>
          </cell>
          <cell r="FN285">
            <v>0</v>
          </cell>
          <cell r="FP285">
            <v>0</v>
          </cell>
          <cell r="FR285">
            <v>0</v>
          </cell>
          <cell r="FT285">
            <v>0</v>
          </cell>
          <cell r="FV285">
            <v>0</v>
          </cell>
          <cell r="GD285">
            <v>14</v>
          </cell>
          <cell r="GF285">
            <v>4</v>
          </cell>
          <cell r="GH285">
            <v>1</v>
          </cell>
          <cell r="GJ285">
            <v>7</v>
          </cell>
          <cell r="GM285">
            <v>153.01</v>
          </cell>
          <cell r="GN28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156.檢查勞工個人防護具：█有 □無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W285" t="str">
            <v>（一）施工廠商施工前檢查事項辦理情形：█完成 □未完成 （二）其他工地安全衛生督導事項：</v>
          </cell>
          <cell r="GX285">
            <v>853901</v>
          </cell>
          <cell r="GY285">
            <v>0</v>
          </cell>
        </row>
        <row r="286">
          <cell r="N286">
            <v>1</v>
          </cell>
          <cell r="P286">
            <v>1</v>
          </cell>
          <cell r="R286">
            <v>672</v>
          </cell>
          <cell r="T286">
            <v>108</v>
          </cell>
          <cell r="V286">
            <v>661</v>
          </cell>
          <cell r="X286">
            <v>2</v>
          </cell>
          <cell r="Z286">
            <v>1</v>
          </cell>
          <cell r="AB286">
            <v>661</v>
          </cell>
          <cell r="AD286">
            <v>2</v>
          </cell>
          <cell r="AF286">
            <v>1</v>
          </cell>
          <cell r="AH286">
            <v>1</v>
          </cell>
          <cell r="AJ286">
            <v>1</v>
          </cell>
          <cell r="AL286">
            <v>0</v>
          </cell>
          <cell r="AN286">
            <v>0</v>
          </cell>
          <cell r="AP286">
            <v>0</v>
          </cell>
          <cell r="AR286">
            <v>0</v>
          </cell>
          <cell r="AT286">
            <v>0</v>
          </cell>
          <cell r="AV286">
            <v>0</v>
          </cell>
          <cell r="AX286">
            <v>0</v>
          </cell>
          <cell r="AZ286">
            <v>0</v>
          </cell>
          <cell r="BB286">
            <v>0</v>
          </cell>
          <cell r="BD286">
            <v>0</v>
          </cell>
          <cell r="BF286">
            <v>0</v>
          </cell>
          <cell r="BH286">
            <v>0</v>
          </cell>
          <cell r="BJ286">
            <v>0</v>
          </cell>
          <cell r="BL286">
            <v>0</v>
          </cell>
          <cell r="BN286">
            <v>0</v>
          </cell>
          <cell r="BP286">
            <v>0</v>
          </cell>
          <cell r="BR286">
            <v>0</v>
          </cell>
          <cell r="BT286">
            <v>0</v>
          </cell>
          <cell r="BV286">
            <v>0</v>
          </cell>
          <cell r="BX286">
            <v>0</v>
          </cell>
          <cell r="BZ286">
            <v>0</v>
          </cell>
          <cell r="CB286">
            <v>0</v>
          </cell>
          <cell r="CD286">
            <v>0</v>
          </cell>
          <cell r="CF286">
            <v>0</v>
          </cell>
          <cell r="CH286">
            <v>0</v>
          </cell>
          <cell r="CJ286">
            <v>0</v>
          </cell>
          <cell r="CL286">
            <v>0</v>
          </cell>
          <cell r="CN286">
            <v>0</v>
          </cell>
          <cell r="CP286">
            <v>0</v>
          </cell>
          <cell r="CR286">
            <v>0</v>
          </cell>
          <cell r="CT286">
            <v>0</v>
          </cell>
          <cell r="CV286">
            <v>0</v>
          </cell>
          <cell r="CX286">
            <v>0</v>
          </cell>
          <cell r="CZ286">
            <v>0</v>
          </cell>
          <cell r="DB286">
            <v>0</v>
          </cell>
          <cell r="DD286">
            <v>0</v>
          </cell>
          <cell r="DF286">
            <v>0</v>
          </cell>
          <cell r="DH286">
            <v>0</v>
          </cell>
          <cell r="DJ286">
            <v>0</v>
          </cell>
          <cell r="DL286">
            <v>0</v>
          </cell>
          <cell r="DN286">
            <v>0</v>
          </cell>
          <cell r="DP286">
            <v>0</v>
          </cell>
          <cell r="DR286">
            <v>0</v>
          </cell>
          <cell r="DT286">
            <v>0</v>
          </cell>
          <cell r="DV286">
            <v>0</v>
          </cell>
          <cell r="DX286">
            <v>0</v>
          </cell>
          <cell r="DZ286">
            <v>0</v>
          </cell>
          <cell r="EB286">
            <v>0</v>
          </cell>
          <cell r="ED286">
            <v>0</v>
          </cell>
          <cell r="EF286">
            <v>0</v>
          </cell>
          <cell r="EH286">
            <v>0</v>
          </cell>
          <cell r="EJ286">
            <v>0</v>
          </cell>
          <cell r="EL286">
            <v>0</v>
          </cell>
          <cell r="EN286">
            <v>0</v>
          </cell>
          <cell r="EP286">
            <v>0</v>
          </cell>
          <cell r="ER286">
            <v>0</v>
          </cell>
          <cell r="ET286">
            <v>0</v>
          </cell>
          <cell r="EV286">
            <v>0</v>
          </cell>
          <cell r="EX286">
            <v>0</v>
          </cell>
          <cell r="EZ286">
            <v>0</v>
          </cell>
          <cell r="FB286">
            <v>0</v>
          </cell>
          <cell r="FD286">
            <v>0</v>
          </cell>
          <cell r="FF286">
            <v>0</v>
          </cell>
          <cell r="FH286">
            <v>0</v>
          </cell>
          <cell r="FJ286">
            <v>0</v>
          </cell>
          <cell r="FL286">
            <v>0</v>
          </cell>
          <cell r="FN286">
            <v>0</v>
          </cell>
          <cell r="FP286">
            <v>0</v>
          </cell>
          <cell r="FR286">
            <v>0</v>
          </cell>
          <cell r="FT286">
            <v>0</v>
          </cell>
          <cell r="FV286">
            <v>0</v>
          </cell>
          <cell r="GD286">
            <v>14</v>
          </cell>
          <cell r="GF286">
            <v>4</v>
          </cell>
          <cell r="GH286">
            <v>1</v>
          </cell>
          <cell r="GJ286">
            <v>7</v>
          </cell>
          <cell r="GM286">
            <v>154.01</v>
          </cell>
          <cell r="GN28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157.檢查勞工個人防護具：█有 □無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W286" t="str">
            <v>（一）施工廠商施工前檢查事項辦理情形：█完成 □未完成 （二）其他工地安全衛生督導事項：</v>
          </cell>
          <cell r="GX286">
            <v>853901</v>
          </cell>
          <cell r="GY286">
            <v>0</v>
          </cell>
        </row>
        <row r="287">
          <cell r="N287">
            <v>1</v>
          </cell>
          <cell r="P287">
            <v>1</v>
          </cell>
          <cell r="R287">
            <v>672</v>
          </cell>
          <cell r="T287">
            <v>108</v>
          </cell>
          <cell r="V287">
            <v>661</v>
          </cell>
          <cell r="X287">
            <v>2</v>
          </cell>
          <cell r="Z287">
            <v>1</v>
          </cell>
          <cell r="AB287">
            <v>661</v>
          </cell>
          <cell r="AD287">
            <v>2</v>
          </cell>
          <cell r="AF287">
            <v>1</v>
          </cell>
          <cell r="AH287">
            <v>1</v>
          </cell>
          <cell r="AJ287">
            <v>1</v>
          </cell>
          <cell r="AL287">
            <v>0</v>
          </cell>
          <cell r="AN287">
            <v>0</v>
          </cell>
          <cell r="AP287">
            <v>0</v>
          </cell>
          <cell r="AR287">
            <v>0</v>
          </cell>
          <cell r="AT287">
            <v>0</v>
          </cell>
          <cell r="AV287">
            <v>0</v>
          </cell>
          <cell r="AX287">
            <v>0</v>
          </cell>
          <cell r="AZ287">
            <v>0</v>
          </cell>
          <cell r="BB287">
            <v>0</v>
          </cell>
          <cell r="BD287">
            <v>0</v>
          </cell>
          <cell r="BF287">
            <v>0</v>
          </cell>
          <cell r="BH287">
            <v>0</v>
          </cell>
          <cell r="BJ287">
            <v>0</v>
          </cell>
          <cell r="BL287">
            <v>0</v>
          </cell>
          <cell r="BN287">
            <v>0</v>
          </cell>
          <cell r="BP287">
            <v>0</v>
          </cell>
          <cell r="BR287">
            <v>0</v>
          </cell>
          <cell r="BT287">
            <v>0</v>
          </cell>
          <cell r="BV287">
            <v>0</v>
          </cell>
          <cell r="BX287">
            <v>0</v>
          </cell>
          <cell r="BZ287">
            <v>0</v>
          </cell>
          <cell r="CB287">
            <v>0</v>
          </cell>
          <cell r="CD287">
            <v>0</v>
          </cell>
          <cell r="CF287">
            <v>0</v>
          </cell>
          <cell r="CH287">
            <v>0</v>
          </cell>
          <cell r="CJ287">
            <v>0</v>
          </cell>
          <cell r="CL287">
            <v>0</v>
          </cell>
          <cell r="CN287">
            <v>0</v>
          </cell>
          <cell r="CP287">
            <v>0</v>
          </cell>
          <cell r="CR287">
            <v>0</v>
          </cell>
          <cell r="CT287">
            <v>0</v>
          </cell>
          <cell r="CV287">
            <v>0</v>
          </cell>
          <cell r="CX287">
            <v>0</v>
          </cell>
          <cell r="CZ287">
            <v>0</v>
          </cell>
          <cell r="DB287">
            <v>0</v>
          </cell>
          <cell r="DD287">
            <v>0</v>
          </cell>
          <cell r="DF287">
            <v>0</v>
          </cell>
          <cell r="DH287">
            <v>0</v>
          </cell>
          <cell r="DJ287">
            <v>0</v>
          </cell>
          <cell r="DL287">
            <v>0</v>
          </cell>
          <cell r="DN287">
            <v>0</v>
          </cell>
          <cell r="DP287">
            <v>0</v>
          </cell>
          <cell r="DR287">
            <v>0</v>
          </cell>
          <cell r="DT287">
            <v>0</v>
          </cell>
          <cell r="DV287">
            <v>0</v>
          </cell>
          <cell r="DX287">
            <v>0</v>
          </cell>
          <cell r="DZ287">
            <v>0</v>
          </cell>
          <cell r="EB287">
            <v>0</v>
          </cell>
          <cell r="ED287">
            <v>0</v>
          </cell>
          <cell r="EF287">
            <v>0</v>
          </cell>
          <cell r="EH287">
            <v>0</v>
          </cell>
          <cell r="EJ287">
            <v>0</v>
          </cell>
          <cell r="EL287">
            <v>0</v>
          </cell>
          <cell r="EN287">
            <v>0</v>
          </cell>
          <cell r="EP287">
            <v>0</v>
          </cell>
          <cell r="ER287">
            <v>0</v>
          </cell>
          <cell r="ET287">
            <v>0</v>
          </cell>
          <cell r="EV287">
            <v>0</v>
          </cell>
          <cell r="EX287">
            <v>0</v>
          </cell>
          <cell r="EZ287">
            <v>0</v>
          </cell>
          <cell r="FB287">
            <v>0</v>
          </cell>
          <cell r="FD287">
            <v>0</v>
          </cell>
          <cell r="FF287">
            <v>0</v>
          </cell>
          <cell r="FH287">
            <v>0</v>
          </cell>
          <cell r="FJ287">
            <v>0</v>
          </cell>
          <cell r="FL287">
            <v>0</v>
          </cell>
          <cell r="FN287">
            <v>0</v>
          </cell>
          <cell r="FP287">
            <v>0</v>
          </cell>
          <cell r="FR287">
            <v>0</v>
          </cell>
          <cell r="FT287">
            <v>0</v>
          </cell>
          <cell r="FV287">
            <v>0</v>
          </cell>
          <cell r="GD287">
            <v>14</v>
          </cell>
          <cell r="GF287">
            <v>4</v>
          </cell>
          <cell r="GH287">
            <v>1</v>
          </cell>
          <cell r="GJ287">
            <v>7</v>
          </cell>
          <cell r="GM287">
            <v>155.01</v>
          </cell>
          <cell r="GN28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158.檢查勞工個人防護具：█有 □無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W287" t="str">
            <v>（一）施工廠商施工前檢查事項辦理情形：█完成 □未完成 （二）其他工地安全衛生督導事項：</v>
          </cell>
          <cell r="GX287">
            <v>853901</v>
          </cell>
          <cell r="GY287">
            <v>0</v>
          </cell>
        </row>
        <row r="288">
          <cell r="N288">
            <v>1</v>
          </cell>
          <cell r="P288">
            <v>1</v>
          </cell>
          <cell r="R288">
            <v>672</v>
          </cell>
          <cell r="T288">
            <v>108</v>
          </cell>
          <cell r="V288">
            <v>661</v>
          </cell>
          <cell r="X288">
            <v>2</v>
          </cell>
          <cell r="Z288">
            <v>1</v>
          </cell>
          <cell r="AB288">
            <v>661</v>
          </cell>
          <cell r="AD288">
            <v>2</v>
          </cell>
          <cell r="AF288">
            <v>1</v>
          </cell>
          <cell r="AH288">
            <v>1</v>
          </cell>
          <cell r="AJ288">
            <v>1</v>
          </cell>
          <cell r="AL288">
            <v>0</v>
          </cell>
          <cell r="AN288">
            <v>0</v>
          </cell>
          <cell r="AP288">
            <v>0</v>
          </cell>
          <cell r="AR288">
            <v>0</v>
          </cell>
          <cell r="AT288">
            <v>0</v>
          </cell>
          <cell r="AV288">
            <v>0</v>
          </cell>
          <cell r="AX288">
            <v>0</v>
          </cell>
          <cell r="AZ288">
            <v>0</v>
          </cell>
          <cell r="BB288">
            <v>0</v>
          </cell>
          <cell r="BD288">
            <v>0</v>
          </cell>
          <cell r="BF288">
            <v>0</v>
          </cell>
          <cell r="BH288">
            <v>0</v>
          </cell>
          <cell r="BJ288">
            <v>0</v>
          </cell>
          <cell r="BL288">
            <v>0</v>
          </cell>
          <cell r="BN288">
            <v>0</v>
          </cell>
          <cell r="BP288">
            <v>0</v>
          </cell>
          <cell r="BR288">
            <v>0</v>
          </cell>
          <cell r="BT288">
            <v>0</v>
          </cell>
          <cell r="BV288">
            <v>0</v>
          </cell>
          <cell r="BX288">
            <v>0</v>
          </cell>
          <cell r="BZ288">
            <v>0</v>
          </cell>
          <cell r="CB288">
            <v>0</v>
          </cell>
          <cell r="CD288">
            <v>0</v>
          </cell>
          <cell r="CF288">
            <v>0</v>
          </cell>
          <cell r="CH288">
            <v>0</v>
          </cell>
          <cell r="CJ288">
            <v>0</v>
          </cell>
          <cell r="CL288">
            <v>0</v>
          </cell>
          <cell r="CN288">
            <v>0</v>
          </cell>
          <cell r="CP288">
            <v>0</v>
          </cell>
          <cell r="CR288">
            <v>0</v>
          </cell>
          <cell r="CT288">
            <v>0</v>
          </cell>
          <cell r="CV288">
            <v>0</v>
          </cell>
          <cell r="CX288">
            <v>0</v>
          </cell>
          <cell r="CZ288">
            <v>0</v>
          </cell>
          <cell r="DB288">
            <v>0</v>
          </cell>
          <cell r="DD288">
            <v>0</v>
          </cell>
          <cell r="DF288">
            <v>0</v>
          </cell>
          <cell r="DH288">
            <v>0</v>
          </cell>
          <cell r="DJ288">
            <v>0</v>
          </cell>
          <cell r="DL288">
            <v>0</v>
          </cell>
          <cell r="DN288">
            <v>0</v>
          </cell>
          <cell r="DP288">
            <v>0</v>
          </cell>
          <cell r="DR288">
            <v>0</v>
          </cell>
          <cell r="DT288">
            <v>0</v>
          </cell>
          <cell r="DV288">
            <v>0</v>
          </cell>
          <cell r="DX288">
            <v>0</v>
          </cell>
          <cell r="DZ288">
            <v>0</v>
          </cell>
          <cell r="EB288">
            <v>0</v>
          </cell>
          <cell r="ED288">
            <v>0</v>
          </cell>
          <cell r="EF288">
            <v>0</v>
          </cell>
          <cell r="EH288">
            <v>0</v>
          </cell>
          <cell r="EJ288">
            <v>0</v>
          </cell>
          <cell r="EL288">
            <v>0</v>
          </cell>
          <cell r="EN288">
            <v>0</v>
          </cell>
          <cell r="EP288">
            <v>0</v>
          </cell>
          <cell r="ER288">
            <v>0</v>
          </cell>
          <cell r="ET288">
            <v>0</v>
          </cell>
          <cell r="EV288">
            <v>0</v>
          </cell>
          <cell r="EX288">
            <v>0</v>
          </cell>
          <cell r="EZ288">
            <v>0</v>
          </cell>
          <cell r="FB288">
            <v>0</v>
          </cell>
          <cell r="FD288">
            <v>0</v>
          </cell>
          <cell r="FF288">
            <v>0</v>
          </cell>
          <cell r="FH288">
            <v>0</v>
          </cell>
          <cell r="FJ288">
            <v>0</v>
          </cell>
          <cell r="FL288">
            <v>0</v>
          </cell>
          <cell r="FN288">
            <v>0</v>
          </cell>
          <cell r="FP288">
            <v>0</v>
          </cell>
          <cell r="FR288">
            <v>0</v>
          </cell>
          <cell r="FT288">
            <v>0</v>
          </cell>
          <cell r="FV288">
            <v>0</v>
          </cell>
          <cell r="GD288">
            <v>14</v>
          </cell>
          <cell r="GF288">
            <v>4</v>
          </cell>
          <cell r="GH288">
            <v>1</v>
          </cell>
          <cell r="GJ288">
            <v>7</v>
          </cell>
          <cell r="GM288">
            <v>156.01</v>
          </cell>
          <cell r="GN28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159.檢查勞工個人防護具：█有 □無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W288" t="str">
            <v>（一）施工廠商施工前檢查事項辦理情形：█完成 □未完成 （二）其他工地安全衛生督導事項：</v>
          </cell>
          <cell r="GX288">
            <v>853901</v>
          </cell>
          <cell r="GY288">
            <v>0</v>
          </cell>
        </row>
        <row r="289">
          <cell r="N289">
            <v>1</v>
          </cell>
          <cell r="P289">
            <v>1</v>
          </cell>
          <cell r="R289">
            <v>672</v>
          </cell>
          <cell r="T289">
            <v>108</v>
          </cell>
          <cell r="V289">
            <v>661</v>
          </cell>
          <cell r="X289">
            <v>2</v>
          </cell>
          <cell r="Z289">
            <v>1</v>
          </cell>
          <cell r="AB289">
            <v>661</v>
          </cell>
          <cell r="AD289">
            <v>2</v>
          </cell>
          <cell r="AF289">
            <v>1</v>
          </cell>
          <cell r="AH289">
            <v>1</v>
          </cell>
          <cell r="AJ289">
            <v>1</v>
          </cell>
          <cell r="AL289">
            <v>0</v>
          </cell>
          <cell r="AN289">
            <v>0</v>
          </cell>
          <cell r="AP289">
            <v>0</v>
          </cell>
          <cell r="AR289">
            <v>0</v>
          </cell>
          <cell r="AT289">
            <v>0</v>
          </cell>
          <cell r="AV289">
            <v>0</v>
          </cell>
          <cell r="AX289">
            <v>0</v>
          </cell>
          <cell r="AZ289">
            <v>0</v>
          </cell>
          <cell r="BB289">
            <v>0</v>
          </cell>
          <cell r="BD289">
            <v>0</v>
          </cell>
          <cell r="BF289">
            <v>0</v>
          </cell>
          <cell r="BH289">
            <v>0</v>
          </cell>
          <cell r="BJ289">
            <v>0</v>
          </cell>
          <cell r="BL289">
            <v>0</v>
          </cell>
          <cell r="BN289">
            <v>0</v>
          </cell>
          <cell r="BP289">
            <v>0</v>
          </cell>
          <cell r="BR289">
            <v>0</v>
          </cell>
          <cell r="BT289">
            <v>0</v>
          </cell>
          <cell r="BV289">
            <v>0</v>
          </cell>
          <cell r="BX289">
            <v>0</v>
          </cell>
          <cell r="BZ289">
            <v>0</v>
          </cell>
          <cell r="CB289">
            <v>0</v>
          </cell>
          <cell r="CD289">
            <v>0</v>
          </cell>
          <cell r="CF289">
            <v>0</v>
          </cell>
          <cell r="CH289">
            <v>0</v>
          </cell>
          <cell r="CJ289">
            <v>0</v>
          </cell>
          <cell r="CL289">
            <v>0</v>
          </cell>
          <cell r="CN289">
            <v>0</v>
          </cell>
          <cell r="CP289">
            <v>0</v>
          </cell>
          <cell r="CR289">
            <v>0</v>
          </cell>
          <cell r="CT289">
            <v>0</v>
          </cell>
          <cell r="CV289">
            <v>0</v>
          </cell>
          <cell r="CX289">
            <v>0</v>
          </cell>
          <cell r="CZ289">
            <v>0</v>
          </cell>
          <cell r="DB289">
            <v>0</v>
          </cell>
          <cell r="DD289">
            <v>0</v>
          </cell>
          <cell r="DF289">
            <v>0</v>
          </cell>
          <cell r="DH289">
            <v>0</v>
          </cell>
          <cell r="DJ289">
            <v>0</v>
          </cell>
          <cell r="DL289">
            <v>0</v>
          </cell>
          <cell r="DN289">
            <v>0</v>
          </cell>
          <cell r="DP289">
            <v>0</v>
          </cell>
          <cell r="DR289">
            <v>0</v>
          </cell>
          <cell r="DT289">
            <v>0</v>
          </cell>
          <cell r="DV289">
            <v>0</v>
          </cell>
          <cell r="DX289">
            <v>0</v>
          </cell>
          <cell r="DZ289">
            <v>0</v>
          </cell>
          <cell r="EB289">
            <v>0</v>
          </cell>
          <cell r="ED289">
            <v>0</v>
          </cell>
          <cell r="EF289">
            <v>0</v>
          </cell>
          <cell r="EH289">
            <v>0</v>
          </cell>
          <cell r="EJ289">
            <v>0</v>
          </cell>
          <cell r="EL289">
            <v>0</v>
          </cell>
          <cell r="EN289">
            <v>0</v>
          </cell>
          <cell r="EP289">
            <v>0</v>
          </cell>
          <cell r="ER289">
            <v>0</v>
          </cell>
          <cell r="ET289">
            <v>0</v>
          </cell>
          <cell r="EV289">
            <v>0</v>
          </cell>
          <cell r="EX289">
            <v>0</v>
          </cell>
          <cell r="EZ289">
            <v>0</v>
          </cell>
          <cell r="FB289">
            <v>0</v>
          </cell>
          <cell r="FD289">
            <v>0</v>
          </cell>
          <cell r="FF289">
            <v>0</v>
          </cell>
          <cell r="FH289">
            <v>0</v>
          </cell>
          <cell r="FJ289">
            <v>0</v>
          </cell>
          <cell r="FL289">
            <v>0</v>
          </cell>
          <cell r="FN289">
            <v>0</v>
          </cell>
          <cell r="FP289">
            <v>0</v>
          </cell>
          <cell r="FR289">
            <v>0</v>
          </cell>
          <cell r="FT289">
            <v>0</v>
          </cell>
          <cell r="FV289">
            <v>0</v>
          </cell>
          <cell r="GD289">
            <v>14</v>
          </cell>
          <cell r="GF289">
            <v>4</v>
          </cell>
          <cell r="GH289">
            <v>1</v>
          </cell>
          <cell r="GJ289">
            <v>7</v>
          </cell>
          <cell r="GM289">
            <v>157.01</v>
          </cell>
          <cell r="GN28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160.檢查勞工個人防護具：█有 □無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W289" t="str">
            <v>（一）施工廠商施工前檢查事項辦理情形：█完成 □未完成 （二）其他工地安全衛生督導事項：</v>
          </cell>
          <cell r="GX289">
            <v>853901</v>
          </cell>
          <cell r="GY289">
            <v>0</v>
          </cell>
        </row>
        <row r="290">
          <cell r="N290">
            <v>1</v>
          </cell>
          <cell r="P290">
            <v>1</v>
          </cell>
          <cell r="R290">
            <v>672</v>
          </cell>
          <cell r="T290">
            <v>108</v>
          </cell>
          <cell r="V290">
            <v>661</v>
          </cell>
          <cell r="X290">
            <v>2</v>
          </cell>
          <cell r="Z290">
            <v>1</v>
          </cell>
          <cell r="AB290">
            <v>661</v>
          </cell>
          <cell r="AD290">
            <v>2</v>
          </cell>
          <cell r="AF290">
            <v>1</v>
          </cell>
          <cell r="AH290">
            <v>1</v>
          </cell>
          <cell r="AJ290">
            <v>1</v>
          </cell>
          <cell r="AL290">
            <v>0</v>
          </cell>
          <cell r="AN290">
            <v>0</v>
          </cell>
          <cell r="AP290">
            <v>0</v>
          </cell>
          <cell r="AR290">
            <v>0</v>
          </cell>
          <cell r="AT290">
            <v>0</v>
          </cell>
          <cell r="AV290">
            <v>0</v>
          </cell>
          <cell r="AX290">
            <v>0</v>
          </cell>
          <cell r="AZ290">
            <v>0</v>
          </cell>
          <cell r="BB290">
            <v>0</v>
          </cell>
          <cell r="BD290">
            <v>0</v>
          </cell>
          <cell r="BF290">
            <v>0</v>
          </cell>
          <cell r="BH290">
            <v>0</v>
          </cell>
          <cell r="BJ290">
            <v>0</v>
          </cell>
          <cell r="BL290">
            <v>0</v>
          </cell>
          <cell r="BN290">
            <v>0</v>
          </cell>
          <cell r="BP290">
            <v>0</v>
          </cell>
          <cell r="BR290">
            <v>0</v>
          </cell>
          <cell r="BT290">
            <v>0</v>
          </cell>
          <cell r="BV290">
            <v>0</v>
          </cell>
          <cell r="BX290">
            <v>0</v>
          </cell>
          <cell r="BZ290">
            <v>0</v>
          </cell>
          <cell r="CB290">
            <v>0</v>
          </cell>
          <cell r="CD290">
            <v>0</v>
          </cell>
          <cell r="CF290">
            <v>0</v>
          </cell>
          <cell r="CH290">
            <v>0</v>
          </cell>
          <cell r="CJ290">
            <v>0</v>
          </cell>
          <cell r="CL290">
            <v>0</v>
          </cell>
          <cell r="CN290">
            <v>0</v>
          </cell>
          <cell r="CP290">
            <v>0</v>
          </cell>
          <cell r="CR290">
            <v>0</v>
          </cell>
          <cell r="CT290">
            <v>0</v>
          </cell>
          <cell r="CV290">
            <v>0</v>
          </cell>
          <cell r="CX290">
            <v>0</v>
          </cell>
          <cell r="CZ290">
            <v>0</v>
          </cell>
          <cell r="DB290">
            <v>0</v>
          </cell>
          <cell r="DD290">
            <v>0</v>
          </cell>
          <cell r="DF290">
            <v>0</v>
          </cell>
          <cell r="DH290">
            <v>0</v>
          </cell>
          <cell r="DJ290">
            <v>0</v>
          </cell>
          <cell r="DL290">
            <v>0</v>
          </cell>
          <cell r="DN290">
            <v>0</v>
          </cell>
          <cell r="DP290">
            <v>0</v>
          </cell>
          <cell r="DR290">
            <v>0</v>
          </cell>
          <cell r="DT290">
            <v>0</v>
          </cell>
          <cell r="DV290">
            <v>0</v>
          </cell>
          <cell r="DX290">
            <v>0</v>
          </cell>
          <cell r="DZ290">
            <v>0</v>
          </cell>
          <cell r="EB290">
            <v>0</v>
          </cell>
          <cell r="ED290">
            <v>0</v>
          </cell>
          <cell r="EF290">
            <v>0</v>
          </cell>
          <cell r="EH290">
            <v>0</v>
          </cell>
          <cell r="EJ290">
            <v>0</v>
          </cell>
          <cell r="EL290">
            <v>0</v>
          </cell>
          <cell r="EN290">
            <v>0</v>
          </cell>
          <cell r="EP290">
            <v>0</v>
          </cell>
          <cell r="ER290">
            <v>0</v>
          </cell>
          <cell r="ET290">
            <v>0</v>
          </cell>
          <cell r="EV290">
            <v>0</v>
          </cell>
          <cell r="EX290">
            <v>0</v>
          </cell>
          <cell r="EZ290">
            <v>0</v>
          </cell>
          <cell r="FB290">
            <v>0</v>
          </cell>
          <cell r="FD290">
            <v>0</v>
          </cell>
          <cell r="FF290">
            <v>0</v>
          </cell>
          <cell r="FH290">
            <v>0</v>
          </cell>
          <cell r="FJ290">
            <v>0</v>
          </cell>
          <cell r="FL290">
            <v>0</v>
          </cell>
          <cell r="FN290">
            <v>0</v>
          </cell>
          <cell r="FP290">
            <v>0</v>
          </cell>
          <cell r="FR290">
            <v>0</v>
          </cell>
          <cell r="FT290">
            <v>0</v>
          </cell>
          <cell r="FV290">
            <v>0</v>
          </cell>
          <cell r="GD290">
            <v>14</v>
          </cell>
          <cell r="GF290">
            <v>4</v>
          </cell>
          <cell r="GH290">
            <v>1</v>
          </cell>
          <cell r="GJ290">
            <v>7</v>
          </cell>
          <cell r="GM290">
            <v>158.01</v>
          </cell>
          <cell r="GN29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161.檢查勞工個人防護具：█有 □無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W290" t="str">
            <v>（一）施工廠商施工前檢查事項辦理情形：█完成 □未完成 （二）其他工地安全衛生督導事項：</v>
          </cell>
          <cell r="GX290">
            <v>853901</v>
          </cell>
          <cell r="GY290">
            <v>0</v>
          </cell>
        </row>
        <row r="291">
          <cell r="N291">
            <v>1</v>
          </cell>
          <cell r="P291">
            <v>1</v>
          </cell>
          <cell r="R291">
            <v>672</v>
          </cell>
          <cell r="T291">
            <v>108</v>
          </cell>
          <cell r="V291">
            <v>661</v>
          </cell>
          <cell r="X291">
            <v>2</v>
          </cell>
          <cell r="Z291">
            <v>1</v>
          </cell>
          <cell r="AB291">
            <v>661</v>
          </cell>
          <cell r="AD291">
            <v>2</v>
          </cell>
          <cell r="AF291">
            <v>1</v>
          </cell>
          <cell r="AH291">
            <v>1</v>
          </cell>
          <cell r="AJ291">
            <v>1</v>
          </cell>
          <cell r="AL291">
            <v>0</v>
          </cell>
          <cell r="AN291">
            <v>0</v>
          </cell>
          <cell r="AP291">
            <v>0</v>
          </cell>
          <cell r="AR291">
            <v>0</v>
          </cell>
          <cell r="AT291">
            <v>0</v>
          </cell>
          <cell r="AV291">
            <v>0</v>
          </cell>
          <cell r="AX291">
            <v>0</v>
          </cell>
          <cell r="AZ291">
            <v>0</v>
          </cell>
          <cell r="BB291">
            <v>0</v>
          </cell>
          <cell r="BD291">
            <v>0</v>
          </cell>
          <cell r="BF291">
            <v>0</v>
          </cell>
          <cell r="BH291">
            <v>0</v>
          </cell>
          <cell r="BJ291">
            <v>0</v>
          </cell>
          <cell r="BL291">
            <v>0</v>
          </cell>
          <cell r="BN291">
            <v>0</v>
          </cell>
          <cell r="BP291">
            <v>0</v>
          </cell>
          <cell r="BR291">
            <v>0</v>
          </cell>
          <cell r="BT291">
            <v>0</v>
          </cell>
          <cell r="BV291">
            <v>0</v>
          </cell>
          <cell r="BX291">
            <v>0</v>
          </cell>
          <cell r="BZ291">
            <v>0</v>
          </cell>
          <cell r="CB291">
            <v>0</v>
          </cell>
          <cell r="CD291">
            <v>0</v>
          </cell>
          <cell r="CF291">
            <v>0</v>
          </cell>
          <cell r="CH291">
            <v>0</v>
          </cell>
          <cell r="CJ291">
            <v>0</v>
          </cell>
          <cell r="CL291">
            <v>0</v>
          </cell>
          <cell r="CN291">
            <v>0</v>
          </cell>
          <cell r="CP291">
            <v>0</v>
          </cell>
          <cell r="CR291">
            <v>0</v>
          </cell>
          <cell r="CT291">
            <v>0</v>
          </cell>
          <cell r="CV291">
            <v>0</v>
          </cell>
          <cell r="CX291">
            <v>0</v>
          </cell>
          <cell r="CZ291">
            <v>0</v>
          </cell>
          <cell r="DB291">
            <v>0</v>
          </cell>
          <cell r="DD291">
            <v>0</v>
          </cell>
          <cell r="DF291">
            <v>0</v>
          </cell>
          <cell r="DH291">
            <v>0</v>
          </cell>
          <cell r="DJ291">
            <v>0</v>
          </cell>
          <cell r="DL291">
            <v>0</v>
          </cell>
          <cell r="DN291">
            <v>0</v>
          </cell>
          <cell r="DP291">
            <v>0</v>
          </cell>
          <cell r="DR291">
            <v>0</v>
          </cell>
          <cell r="DT291">
            <v>0</v>
          </cell>
          <cell r="DV291">
            <v>0</v>
          </cell>
          <cell r="DX291">
            <v>0</v>
          </cell>
          <cell r="DZ291">
            <v>0</v>
          </cell>
          <cell r="EB291">
            <v>0</v>
          </cell>
          <cell r="ED291">
            <v>0</v>
          </cell>
          <cell r="EF291">
            <v>0</v>
          </cell>
          <cell r="EH291">
            <v>0</v>
          </cell>
          <cell r="EJ291">
            <v>0</v>
          </cell>
          <cell r="EL291">
            <v>0</v>
          </cell>
          <cell r="EN291">
            <v>0</v>
          </cell>
          <cell r="EP291">
            <v>0</v>
          </cell>
          <cell r="ER291">
            <v>0</v>
          </cell>
          <cell r="ET291">
            <v>0</v>
          </cell>
          <cell r="EV291">
            <v>0</v>
          </cell>
          <cell r="EX291">
            <v>0</v>
          </cell>
          <cell r="EZ291">
            <v>0</v>
          </cell>
          <cell r="FB291">
            <v>0</v>
          </cell>
          <cell r="FD291">
            <v>0</v>
          </cell>
          <cell r="FF291">
            <v>0</v>
          </cell>
          <cell r="FH291">
            <v>0</v>
          </cell>
          <cell r="FJ291">
            <v>0</v>
          </cell>
          <cell r="FL291">
            <v>0</v>
          </cell>
          <cell r="FN291">
            <v>0</v>
          </cell>
          <cell r="FP291">
            <v>0</v>
          </cell>
          <cell r="FR291">
            <v>0</v>
          </cell>
          <cell r="FT291">
            <v>0</v>
          </cell>
          <cell r="FV291">
            <v>0</v>
          </cell>
          <cell r="GD291">
            <v>14</v>
          </cell>
          <cell r="GF291">
            <v>4</v>
          </cell>
          <cell r="GH291">
            <v>1</v>
          </cell>
          <cell r="GJ291">
            <v>7</v>
          </cell>
          <cell r="GM291">
            <v>159.01</v>
          </cell>
          <cell r="GN29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162.檢查勞工個人防護具：█有 □無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W291" t="str">
            <v>（一）施工廠商施工前檢查事項辦理情形：█完成 □未完成 （二）其他工地安全衛生督導事項：</v>
          </cell>
          <cell r="GX291">
            <v>853901</v>
          </cell>
          <cell r="GY291">
            <v>0</v>
          </cell>
        </row>
        <row r="292">
          <cell r="N292">
            <v>1</v>
          </cell>
          <cell r="P292">
            <v>1</v>
          </cell>
          <cell r="R292">
            <v>672</v>
          </cell>
          <cell r="T292">
            <v>108</v>
          </cell>
          <cell r="V292">
            <v>661</v>
          </cell>
          <cell r="X292">
            <v>2</v>
          </cell>
          <cell r="Z292">
            <v>1</v>
          </cell>
          <cell r="AB292">
            <v>661</v>
          </cell>
          <cell r="AD292">
            <v>2</v>
          </cell>
          <cell r="AF292">
            <v>1</v>
          </cell>
          <cell r="AH292">
            <v>1</v>
          </cell>
          <cell r="AJ292">
            <v>1</v>
          </cell>
          <cell r="AL292">
            <v>0</v>
          </cell>
          <cell r="AN292">
            <v>0</v>
          </cell>
          <cell r="AP292">
            <v>0</v>
          </cell>
          <cell r="AR292">
            <v>0</v>
          </cell>
          <cell r="AT292">
            <v>0</v>
          </cell>
          <cell r="AV292">
            <v>0</v>
          </cell>
          <cell r="AX292">
            <v>0</v>
          </cell>
          <cell r="AZ292">
            <v>0</v>
          </cell>
          <cell r="BB292">
            <v>0</v>
          </cell>
          <cell r="BD292">
            <v>0</v>
          </cell>
          <cell r="BF292">
            <v>0</v>
          </cell>
          <cell r="BH292">
            <v>0</v>
          </cell>
          <cell r="BJ292">
            <v>0</v>
          </cell>
          <cell r="BL292">
            <v>0</v>
          </cell>
          <cell r="BN292">
            <v>0</v>
          </cell>
          <cell r="BP292">
            <v>0</v>
          </cell>
          <cell r="BR292">
            <v>0</v>
          </cell>
          <cell r="BT292">
            <v>0</v>
          </cell>
          <cell r="BV292">
            <v>0</v>
          </cell>
          <cell r="BX292">
            <v>0</v>
          </cell>
          <cell r="BZ292">
            <v>0</v>
          </cell>
          <cell r="CB292">
            <v>0</v>
          </cell>
          <cell r="CD292">
            <v>0</v>
          </cell>
          <cell r="CF292">
            <v>0</v>
          </cell>
          <cell r="CH292">
            <v>0</v>
          </cell>
          <cell r="CJ292">
            <v>0</v>
          </cell>
          <cell r="CL292">
            <v>0</v>
          </cell>
          <cell r="CN292">
            <v>0</v>
          </cell>
          <cell r="CP292">
            <v>0</v>
          </cell>
          <cell r="CR292">
            <v>0</v>
          </cell>
          <cell r="CT292">
            <v>0</v>
          </cell>
          <cell r="CV292">
            <v>0</v>
          </cell>
          <cell r="CX292">
            <v>0</v>
          </cell>
          <cell r="CZ292">
            <v>0</v>
          </cell>
          <cell r="DB292">
            <v>0</v>
          </cell>
          <cell r="DD292">
            <v>0</v>
          </cell>
          <cell r="DF292">
            <v>0</v>
          </cell>
          <cell r="DH292">
            <v>0</v>
          </cell>
          <cell r="DJ292">
            <v>0</v>
          </cell>
          <cell r="DL292">
            <v>0</v>
          </cell>
          <cell r="DN292">
            <v>0</v>
          </cell>
          <cell r="DP292">
            <v>0</v>
          </cell>
          <cell r="DR292">
            <v>0</v>
          </cell>
          <cell r="DT292">
            <v>0</v>
          </cell>
          <cell r="DV292">
            <v>0</v>
          </cell>
          <cell r="DX292">
            <v>0</v>
          </cell>
          <cell r="DZ292">
            <v>0</v>
          </cell>
          <cell r="EB292">
            <v>0</v>
          </cell>
          <cell r="ED292">
            <v>0</v>
          </cell>
          <cell r="EF292">
            <v>0</v>
          </cell>
          <cell r="EH292">
            <v>0</v>
          </cell>
          <cell r="EJ292">
            <v>0</v>
          </cell>
          <cell r="EL292">
            <v>0</v>
          </cell>
          <cell r="EN292">
            <v>0</v>
          </cell>
          <cell r="EP292">
            <v>0</v>
          </cell>
          <cell r="ER292">
            <v>0</v>
          </cell>
          <cell r="ET292">
            <v>0</v>
          </cell>
          <cell r="EV292">
            <v>0</v>
          </cell>
          <cell r="EX292">
            <v>0</v>
          </cell>
          <cell r="EZ292">
            <v>0</v>
          </cell>
          <cell r="FB292">
            <v>0</v>
          </cell>
          <cell r="FD292">
            <v>0</v>
          </cell>
          <cell r="FF292">
            <v>0</v>
          </cell>
          <cell r="FH292">
            <v>0</v>
          </cell>
          <cell r="FJ292">
            <v>0</v>
          </cell>
          <cell r="FL292">
            <v>0</v>
          </cell>
          <cell r="FN292">
            <v>0</v>
          </cell>
          <cell r="FP292">
            <v>0</v>
          </cell>
          <cell r="FR292">
            <v>0</v>
          </cell>
          <cell r="FT292">
            <v>0</v>
          </cell>
          <cell r="FV292">
            <v>0</v>
          </cell>
          <cell r="GD292">
            <v>14</v>
          </cell>
          <cell r="GF292">
            <v>4</v>
          </cell>
          <cell r="GH292">
            <v>1</v>
          </cell>
          <cell r="GJ292">
            <v>7</v>
          </cell>
          <cell r="GM292">
            <v>160.01</v>
          </cell>
          <cell r="GN29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163.檢查勞工個人防護具：█有 □無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W292" t="str">
            <v>（一）施工廠商施工前檢查事項辦理情形：█完成 □未完成 （二）其他工地安全衛生督導事項：</v>
          </cell>
          <cell r="GX292">
            <v>853901</v>
          </cell>
          <cell r="GY292">
            <v>0</v>
          </cell>
        </row>
        <row r="293">
          <cell r="N293">
            <v>1</v>
          </cell>
          <cell r="P293">
            <v>1</v>
          </cell>
          <cell r="R293">
            <v>672</v>
          </cell>
          <cell r="T293">
            <v>108</v>
          </cell>
          <cell r="V293">
            <v>661</v>
          </cell>
          <cell r="X293">
            <v>2</v>
          </cell>
          <cell r="Z293">
            <v>1</v>
          </cell>
          <cell r="AB293">
            <v>661</v>
          </cell>
          <cell r="AD293">
            <v>2</v>
          </cell>
          <cell r="AF293">
            <v>1</v>
          </cell>
          <cell r="AH293">
            <v>1</v>
          </cell>
          <cell r="AJ293">
            <v>1</v>
          </cell>
          <cell r="AL293">
            <v>0</v>
          </cell>
          <cell r="AN293">
            <v>0</v>
          </cell>
          <cell r="AP293">
            <v>0</v>
          </cell>
          <cell r="AR293">
            <v>0</v>
          </cell>
          <cell r="AT293">
            <v>0</v>
          </cell>
          <cell r="AV293">
            <v>0</v>
          </cell>
          <cell r="AX293">
            <v>0</v>
          </cell>
          <cell r="AZ293">
            <v>0</v>
          </cell>
          <cell r="BB293">
            <v>0</v>
          </cell>
          <cell r="BD293">
            <v>0</v>
          </cell>
          <cell r="BF293">
            <v>0</v>
          </cell>
          <cell r="BH293">
            <v>0</v>
          </cell>
          <cell r="BJ293">
            <v>0</v>
          </cell>
          <cell r="BL293">
            <v>0</v>
          </cell>
          <cell r="BN293">
            <v>0</v>
          </cell>
          <cell r="BP293">
            <v>0</v>
          </cell>
          <cell r="BR293">
            <v>0</v>
          </cell>
          <cell r="BT293">
            <v>0</v>
          </cell>
          <cell r="BV293">
            <v>0</v>
          </cell>
          <cell r="BX293">
            <v>0</v>
          </cell>
          <cell r="BZ293">
            <v>0</v>
          </cell>
          <cell r="CB293">
            <v>0</v>
          </cell>
          <cell r="CD293">
            <v>0</v>
          </cell>
          <cell r="CF293">
            <v>0</v>
          </cell>
          <cell r="CH293">
            <v>0</v>
          </cell>
          <cell r="CJ293">
            <v>0</v>
          </cell>
          <cell r="CL293">
            <v>0</v>
          </cell>
          <cell r="CN293">
            <v>0</v>
          </cell>
          <cell r="CP293">
            <v>0</v>
          </cell>
          <cell r="CR293">
            <v>0</v>
          </cell>
          <cell r="CT293">
            <v>0</v>
          </cell>
          <cell r="CV293">
            <v>0</v>
          </cell>
          <cell r="CX293">
            <v>0</v>
          </cell>
          <cell r="CZ293">
            <v>0</v>
          </cell>
          <cell r="DB293">
            <v>0</v>
          </cell>
          <cell r="DD293">
            <v>0</v>
          </cell>
          <cell r="DF293">
            <v>0</v>
          </cell>
          <cell r="DH293">
            <v>0</v>
          </cell>
          <cell r="DJ293">
            <v>0</v>
          </cell>
          <cell r="DL293">
            <v>0</v>
          </cell>
          <cell r="DN293">
            <v>0</v>
          </cell>
          <cell r="DP293">
            <v>0</v>
          </cell>
          <cell r="DR293">
            <v>0</v>
          </cell>
          <cell r="DT293">
            <v>0</v>
          </cell>
          <cell r="DV293">
            <v>0</v>
          </cell>
          <cell r="DX293">
            <v>0</v>
          </cell>
          <cell r="DZ293">
            <v>0</v>
          </cell>
          <cell r="EB293">
            <v>0</v>
          </cell>
          <cell r="ED293">
            <v>0</v>
          </cell>
          <cell r="EF293">
            <v>0</v>
          </cell>
          <cell r="EH293">
            <v>0</v>
          </cell>
          <cell r="EJ293">
            <v>0</v>
          </cell>
          <cell r="EL293">
            <v>0</v>
          </cell>
          <cell r="EN293">
            <v>0</v>
          </cell>
          <cell r="EP293">
            <v>0</v>
          </cell>
          <cell r="ER293">
            <v>0</v>
          </cell>
          <cell r="ET293">
            <v>0</v>
          </cell>
          <cell r="EV293">
            <v>0</v>
          </cell>
          <cell r="EX293">
            <v>0</v>
          </cell>
          <cell r="EZ293">
            <v>0</v>
          </cell>
          <cell r="FB293">
            <v>0</v>
          </cell>
          <cell r="FD293">
            <v>0</v>
          </cell>
          <cell r="FF293">
            <v>0</v>
          </cell>
          <cell r="FH293">
            <v>0</v>
          </cell>
          <cell r="FJ293">
            <v>0</v>
          </cell>
          <cell r="FL293">
            <v>0</v>
          </cell>
          <cell r="FN293">
            <v>0</v>
          </cell>
          <cell r="FP293">
            <v>0</v>
          </cell>
          <cell r="FR293">
            <v>0</v>
          </cell>
          <cell r="FT293">
            <v>0</v>
          </cell>
          <cell r="FV293">
            <v>0</v>
          </cell>
          <cell r="GD293">
            <v>14</v>
          </cell>
          <cell r="GF293">
            <v>4</v>
          </cell>
          <cell r="GH293">
            <v>1</v>
          </cell>
          <cell r="GJ293">
            <v>7</v>
          </cell>
          <cell r="GM293">
            <v>161.01</v>
          </cell>
          <cell r="GN29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164.檢查勞工個人防護具：█有 □無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W293" t="str">
            <v>（一）施工廠商施工前檢查事項辦理情形：█完成 □未完成 （二）其他工地安全衛生督導事項：</v>
          </cell>
          <cell r="GX293">
            <v>853901</v>
          </cell>
          <cell r="GY293">
            <v>0</v>
          </cell>
        </row>
        <row r="294">
          <cell r="N294">
            <v>1</v>
          </cell>
          <cell r="P294">
            <v>1</v>
          </cell>
          <cell r="R294">
            <v>672</v>
          </cell>
          <cell r="T294">
            <v>108</v>
          </cell>
          <cell r="V294">
            <v>661</v>
          </cell>
          <cell r="X294">
            <v>2</v>
          </cell>
          <cell r="Z294">
            <v>1</v>
          </cell>
          <cell r="AB294">
            <v>661</v>
          </cell>
          <cell r="AD294">
            <v>2</v>
          </cell>
          <cell r="AF294">
            <v>1</v>
          </cell>
          <cell r="AH294">
            <v>1</v>
          </cell>
          <cell r="AJ294">
            <v>1</v>
          </cell>
          <cell r="AL294">
            <v>0</v>
          </cell>
          <cell r="AN294">
            <v>0</v>
          </cell>
          <cell r="AP294">
            <v>0</v>
          </cell>
          <cell r="AR294">
            <v>0</v>
          </cell>
          <cell r="AT294">
            <v>0</v>
          </cell>
          <cell r="AV294">
            <v>0</v>
          </cell>
          <cell r="AX294">
            <v>0</v>
          </cell>
          <cell r="AZ294">
            <v>0</v>
          </cell>
          <cell r="BB294">
            <v>0</v>
          </cell>
          <cell r="BD294">
            <v>0</v>
          </cell>
          <cell r="BF294">
            <v>0</v>
          </cell>
          <cell r="BH294">
            <v>0</v>
          </cell>
          <cell r="BJ294">
            <v>0</v>
          </cell>
          <cell r="BL294">
            <v>0</v>
          </cell>
          <cell r="BN294">
            <v>0</v>
          </cell>
          <cell r="BP294">
            <v>0</v>
          </cell>
          <cell r="BR294">
            <v>0</v>
          </cell>
          <cell r="BT294">
            <v>0</v>
          </cell>
          <cell r="BV294">
            <v>0</v>
          </cell>
          <cell r="BX294">
            <v>0</v>
          </cell>
          <cell r="BZ294">
            <v>0</v>
          </cell>
          <cell r="CB294">
            <v>0</v>
          </cell>
          <cell r="CD294">
            <v>0</v>
          </cell>
          <cell r="CF294">
            <v>0</v>
          </cell>
          <cell r="CH294">
            <v>0</v>
          </cell>
          <cell r="CJ294">
            <v>0</v>
          </cell>
          <cell r="CL294">
            <v>0</v>
          </cell>
          <cell r="CN294">
            <v>0</v>
          </cell>
          <cell r="CP294">
            <v>0</v>
          </cell>
          <cell r="CR294">
            <v>0</v>
          </cell>
          <cell r="CT294">
            <v>0</v>
          </cell>
          <cell r="CV294">
            <v>0</v>
          </cell>
          <cell r="CX294">
            <v>0</v>
          </cell>
          <cell r="CZ294">
            <v>0</v>
          </cell>
          <cell r="DB294">
            <v>0</v>
          </cell>
          <cell r="DD294">
            <v>0</v>
          </cell>
          <cell r="DF294">
            <v>0</v>
          </cell>
          <cell r="DH294">
            <v>0</v>
          </cell>
          <cell r="DJ294">
            <v>0</v>
          </cell>
          <cell r="DL294">
            <v>0</v>
          </cell>
          <cell r="DN294">
            <v>0</v>
          </cell>
          <cell r="DP294">
            <v>0</v>
          </cell>
          <cell r="DR294">
            <v>0</v>
          </cell>
          <cell r="DT294">
            <v>0</v>
          </cell>
          <cell r="DV294">
            <v>0</v>
          </cell>
          <cell r="DX294">
            <v>0</v>
          </cell>
          <cell r="DZ294">
            <v>0</v>
          </cell>
          <cell r="EB294">
            <v>0</v>
          </cell>
          <cell r="ED294">
            <v>0</v>
          </cell>
          <cell r="EF294">
            <v>0</v>
          </cell>
          <cell r="EH294">
            <v>0</v>
          </cell>
          <cell r="EJ294">
            <v>0</v>
          </cell>
          <cell r="EL294">
            <v>0</v>
          </cell>
          <cell r="EN294">
            <v>0</v>
          </cell>
          <cell r="EP294">
            <v>0</v>
          </cell>
          <cell r="ER294">
            <v>0</v>
          </cell>
          <cell r="ET294">
            <v>0</v>
          </cell>
          <cell r="EV294">
            <v>0</v>
          </cell>
          <cell r="EX294">
            <v>0</v>
          </cell>
          <cell r="EZ294">
            <v>0</v>
          </cell>
          <cell r="FB294">
            <v>0</v>
          </cell>
          <cell r="FD294">
            <v>0</v>
          </cell>
          <cell r="FF294">
            <v>0</v>
          </cell>
          <cell r="FH294">
            <v>0</v>
          </cell>
          <cell r="FJ294">
            <v>0</v>
          </cell>
          <cell r="FL294">
            <v>0</v>
          </cell>
          <cell r="FN294">
            <v>0</v>
          </cell>
          <cell r="FP294">
            <v>0</v>
          </cell>
          <cell r="FR294">
            <v>0</v>
          </cell>
          <cell r="FT294">
            <v>0</v>
          </cell>
          <cell r="FV294">
            <v>0</v>
          </cell>
          <cell r="GD294">
            <v>14</v>
          </cell>
          <cell r="GF294">
            <v>4</v>
          </cell>
          <cell r="GH294">
            <v>1</v>
          </cell>
          <cell r="GJ294">
            <v>7</v>
          </cell>
          <cell r="GM294">
            <v>162.01</v>
          </cell>
          <cell r="GN29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165.檢查勞工個人防護具：█有 □無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W294" t="str">
            <v>（一）施工廠商施工前檢查事項辦理情形：█完成 □未完成 （二）其他工地安全衛生督導事項：</v>
          </cell>
          <cell r="GX294">
            <v>853901</v>
          </cell>
          <cell r="GY294">
            <v>0</v>
          </cell>
        </row>
        <row r="295">
          <cell r="N295">
            <v>1</v>
          </cell>
          <cell r="P295">
            <v>1</v>
          </cell>
          <cell r="R295">
            <v>672</v>
          </cell>
          <cell r="T295">
            <v>108</v>
          </cell>
          <cell r="V295">
            <v>661</v>
          </cell>
          <cell r="X295">
            <v>2</v>
          </cell>
          <cell r="Z295">
            <v>1</v>
          </cell>
          <cell r="AB295">
            <v>661</v>
          </cell>
          <cell r="AD295">
            <v>2</v>
          </cell>
          <cell r="AF295">
            <v>1</v>
          </cell>
          <cell r="AH295">
            <v>1</v>
          </cell>
          <cell r="AJ295">
            <v>1</v>
          </cell>
          <cell r="AL295">
            <v>0</v>
          </cell>
          <cell r="AN295">
            <v>0</v>
          </cell>
          <cell r="AP295">
            <v>0</v>
          </cell>
          <cell r="AR295">
            <v>0</v>
          </cell>
          <cell r="AT295">
            <v>0</v>
          </cell>
          <cell r="AV295">
            <v>0</v>
          </cell>
          <cell r="AX295">
            <v>0</v>
          </cell>
          <cell r="AZ295">
            <v>0</v>
          </cell>
          <cell r="BB295">
            <v>0</v>
          </cell>
          <cell r="BD295">
            <v>0</v>
          </cell>
          <cell r="BF295">
            <v>0</v>
          </cell>
          <cell r="BH295">
            <v>0</v>
          </cell>
          <cell r="BJ295">
            <v>0</v>
          </cell>
          <cell r="BL295">
            <v>0</v>
          </cell>
          <cell r="BN295">
            <v>0</v>
          </cell>
          <cell r="BP295">
            <v>0</v>
          </cell>
          <cell r="BR295">
            <v>0</v>
          </cell>
          <cell r="BT295">
            <v>0</v>
          </cell>
          <cell r="BV295">
            <v>0</v>
          </cell>
          <cell r="BX295">
            <v>0</v>
          </cell>
          <cell r="BZ295">
            <v>0</v>
          </cell>
          <cell r="CB295">
            <v>0</v>
          </cell>
          <cell r="CD295">
            <v>0</v>
          </cell>
          <cell r="CF295">
            <v>0</v>
          </cell>
          <cell r="CH295">
            <v>0</v>
          </cell>
          <cell r="CJ295">
            <v>0</v>
          </cell>
          <cell r="CL295">
            <v>0</v>
          </cell>
          <cell r="CN295">
            <v>0</v>
          </cell>
          <cell r="CP295">
            <v>0</v>
          </cell>
          <cell r="CR295">
            <v>0</v>
          </cell>
          <cell r="CT295">
            <v>0</v>
          </cell>
          <cell r="CV295">
            <v>0</v>
          </cell>
          <cell r="CX295">
            <v>0</v>
          </cell>
          <cell r="CZ295">
            <v>0</v>
          </cell>
          <cell r="DB295">
            <v>0</v>
          </cell>
          <cell r="DD295">
            <v>0</v>
          </cell>
          <cell r="DF295">
            <v>0</v>
          </cell>
          <cell r="DH295">
            <v>0</v>
          </cell>
          <cell r="DJ295">
            <v>0</v>
          </cell>
          <cell r="DL295">
            <v>0</v>
          </cell>
          <cell r="DN295">
            <v>0</v>
          </cell>
          <cell r="DP295">
            <v>0</v>
          </cell>
          <cell r="DR295">
            <v>0</v>
          </cell>
          <cell r="DT295">
            <v>0</v>
          </cell>
          <cell r="DV295">
            <v>0</v>
          </cell>
          <cell r="DX295">
            <v>0</v>
          </cell>
          <cell r="DZ295">
            <v>0</v>
          </cell>
          <cell r="EB295">
            <v>0</v>
          </cell>
          <cell r="ED295">
            <v>0</v>
          </cell>
          <cell r="EF295">
            <v>0</v>
          </cell>
          <cell r="EH295">
            <v>0</v>
          </cell>
          <cell r="EJ295">
            <v>0</v>
          </cell>
          <cell r="EL295">
            <v>0</v>
          </cell>
          <cell r="EN295">
            <v>0</v>
          </cell>
          <cell r="EP295">
            <v>0</v>
          </cell>
          <cell r="ER295">
            <v>0</v>
          </cell>
          <cell r="ET295">
            <v>0</v>
          </cell>
          <cell r="EV295">
            <v>0</v>
          </cell>
          <cell r="EX295">
            <v>0</v>
          </cell>
          <cell r="EZ295">
            <v>0</v>
          </cell>
          <cell r="FB295">
            <v>0</v>
          </cell>
          <cell r="FD295">
            <v>0</v>
          </cell>
          <cell r="FF295">
            <v>0</v>
          </cell>
          <cell r="FH295">
            <v>0</v>
          </cell>
          <cell r="FJ295">
            <v>0</v>
          </cell>
          <cell r="FL295">
            <v>0</v>
          </cell>
          <cell r="FN295">
            <v>0</v>
          </cell>
          <cell r="FP295">
            <v>0</v>
          </cell>
          <cell r="FR295">
            <v>0</v>
          </cell>
          <cell r="FT295">
            <v>0</v>
          </cell>
          <cell r="FV295">
            <v>0</v>
          </cell>
          <cell r="GD295">
            <v>14</v>
          </cell>
          <cell r="GF295">
            <v>4</v>
          </cell>
          <cell r="GH295">
            <v>1</v>
          </cell>
          <cell r="GJ295">
            <v>7</v>
          </cell>
          <cell r="GM295">
            <v>163.01</v>
          </cell>
          <cell r="GN29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166.檢查勞工個人防護具：█有 □無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W295" t="str">
            <v>（一）施工廠商施工前檢查事項辦理情形：█完成 □未完成 （二）其他工地安全衛生督導事項：</v>
          </cell>
          <cell r="GX295">
            <v>853901</v>
          </cell>
          <cell r="GY295">
            <v>0</v>
          </cell>
        </row>
        <row r="296">
          <cell r="N296">
            <v>1</v>
          </cell>
          <cell r="P296">
            <v>1</v>
          </cell>
          <cell r="R296">
            <v>672</v>
          </cell>
          <cell r="T296">
            <v>108</v>
          </cell>
          <cell r="V296">
            <v>661</v>
          </cell>
          <cell r="X296">
            <v>2</v>
          </cell>
          <cell r="Z296">
            <v>1</v>
          </cell>
          <cell r="AB296">
            <v>661</v>
          </cell>
          <cell r="AD296">
            <v>2</v>
          </cell>
          <cell r="AF296">
            <v>1</v>
          </cell>
          <cell r="AH296">
            <v>1</v>
          </cell>
          <cell r="AJ296">
            <v>1</v>
          </cell>
          <cell r="AL296">
            <v>0</v>
          </cell>
          <cell r="AN296">
            <v>0</v>
          </cell>
          <cell r="AP296">
            <v>0</v>
          </cell>
          <cell r="AR296">
            <v>0</v>
          </cell>
          <cell r="AT296">
            <v>0</v>
          </cell>
          <cell r="AV296">
            <v>0</v>
          </cell>
          <cell r="AX296">
            <v>0</v>
          </cell>
          <cell r="AZ296">
            <v>0</v>
          </cell>
          <cell r="BB296">
            <v>0</v>
          </cell>
          <cell r="BD296">
            <v>0</v>
          </cell>
          <cell r="BF296">
            <v>0</v>
          </cell>
          <cell r="BH296">
            <v>0</v>
          </cell>
          <cell r="BJ296">
            <v>0</v>
          </cell>
          <cell r="BL296">
            <v>0</v>
          </cell>
          <cell r="BN296">
            <v>0</v>
          </cell>
          <cell r="BP296">
            <v>0</v>
          </cell>
          <cell r="BR296">
            <v>0</v>
          </cell>
          <cell r="BT296">
            <v>0</v>
          </cell>
          <cell r="BV296">
            <v>0</v>
          </cell>
          <cell r="BX296">
            <v>0</v>
          </cell>
          <cell r="BZ296">
            <v>0</v>
          </cell>
          <cell r="CB296">
            <v>0</v>
          </cell>
          <cell r="CD296">
            <v>0</v>
          </cell>
          <cell r="CF296">
            <v>0</v>
          </cell>
          <cell r="CH296">
            <v>0</v>
          </cell>
          <cell r="CJ296">
            <v>0</v>
          </cell>
          <cell r="CL296">
            <v>0</v>
          </cell>
          <cell r="CN296">
            <v>0</v>
          </cell>
          <cell r="CP296">
            <v>0</v>
          </cell>
          <cell r="CR296">
            <v>0</v>
          </cell>
          <cell r="CT296">
            <v>0</v>
          </cell>
          <cell r="CV296">
            <v>0</v>
          </cell>
          <cell r="CX296">
            <v>0</v>
          </cell>
          <cell r="CZ296">
            <v>0</v>
          </cell>
          <cell r="DB296">
            <v>0</v>
          </cell>
          <cell r="DD296">
            <v>0</v>
          </cell>
          <cell r="DF296">
            <v>0</v>
          </cell>
          <cell r="DH296">
            <v>0</v>
          </cell>
          <cell r="DJ296">
            <v>0</v>
          </cell>
          <cell r="DL296">
            <v>0</v>
          </cell>
          <cell r="DN296">
            <v>0</v>
          </cell>
          <cell r="DP296">
            <v>0</v>
          </cell>
          <cell r="DR296">
            <v>0</v>
          </cell>
          <cell r="DT296">
            <v>0</v>
          </cell>
          <cell r="DV296">
            <v>0</v>
          </cell>
          <cell r="DX296">
            <v>0</v>
          </cell>
          <cell r="DZ296">
            <v>0</v>
          </cell>
          <cell r="EB296">
            <v>0</v>
          </cell>
          <cell r="ED296">
            <v>0</v>
          </cell>
          <cell r="EF296">
            <v>0</v>
          </cell>
          <cell r="EH296">
            <v>0</v>
          </cell>
          <cell r="EJ296">
            <v>0</v>
          </cell>
          <cell r="EL296">
            <v>0</v>
          </cell>
          <cell r="EN296">
            <v>0</v>
          </cell>
          <cell r="EP296">
            <v>0</v>
          </cell>
          <cell r="ER296">
            <v>0</v>
          </cell>
          <cell r="ET296">
            <v>0</v>
          </cell>
          <cell r="EV296">
            <v>0</v>
          </cell>
          <cell r="EX296">
            <v>0</v>
          </cell>
          <cell r="EZ296">
            <v>0</v>
          </cell>
          <cell r="FB296">
            <v>0</v>
          </cell>
          <cell r="FD296">
            <v>0</v>
          </cell>
          <cell r="FF296">
            <v>0</v>
          </cell>
          <cell r="FH296">
            <v>0</v>
          </cell>
          <cell r="FJ296">
            <v>0</v>
          </cell>
          <cell r="FL296">
            <v>0</v>
          </cell>
          <cell r="FN296">
            <v>0</v>
          </cell>
          <cell r="FP296">
            <v>0</v>
          </cell>
          <cell r="FR296">
            <v>0</v>
          </cell>
          <cell r="FT296">
            <v>0</v>
          </cell>
          <cell r="FV296">
            <v>0</v>
          </cell>
          <cell r="GD296">
            <v>14</v>
          </cell>
          <cell r="GF296">
            <v>4</v>
          </cell>
          <cell r="GH296">
            <v>1</v>
          </cell>
          <cell r="GJ296">
            <v>7</v>
          </cell>
          <cell r="GM296">
            <v>164.01</v>
          </cell>
          <cell r="GN29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167.檢查勞工個人防護具：█有 □無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W296" t="str">
            <v>（一）施工廠商施工前檢查事項辦理情形：█完成 □未完成 （二）其他工地安全衛生督導事項：</v>
          </cell>
          <cell r="GX296">
            <v>853901</v>
          </cell>
          <cell r="GY296">
            <v>0</v>
          </cell>
        </row>
        <row r="297">
          <cell r="N297">
            <v>1</v>
          </cell>
          <cell r="P297">
            <v>1</v>
          </cell>
          <cell r="R297">
            <v>672</v>
          </cell>
          <cell r="T297">
            <v>108</v>
          </cell>
          <cell r="V297">
            <v>661</v>
          </cell>
          <cell r="X297">
            <v>2</v>
          </cell>
          <cell r="Z297">
            <v>1</v>
          </cell>
          <cell r="AB297">
            <v>661</v>
          </cell>
          <cell r="AD297">
            <v>2</v>
          </cell>
          <cell r="AF297">
            <v>1</v>
          </cell>
          <cell r="AH297">
            <v>1</v>
          </cell>
          <cell r="AJ297">
            <v>1</v>
          </cell>
          <cell r="AL297">
            <v>0</v>
          </cell>
          <cell r="AN297">
            <v>0</v>
          </cell>
          <cell r="AP297">
            <v>0</v>
          </cell>
          <cell r="AR297">
            <v>0</v>
          </cell>
          <cell r="AT297">
            <v>0</v>
          </cell>
          <cell r="AV297">
            <v>0</v>
          </cell>
          <cell r="AX297">
            <v>0</v>
          </cell>
          <cell r="AZ297">
            <v>0</v>
          </cell>
          <cell r="BB297">
            <v>0</v>
          </cell>
          <cell r="BD297">
            <v>0</v>
          </cell>
          <cell r="BF297">
            <v>0</v>
          </cell>
          <cell r="BH297">
            <v>0</v>
          </cell>
          <cell r="BJ297">
            <v>0</v>
          </cell>
          <cell r="BL297">
            <v>0</v>
          </cell>
          <cell r="BN297">
            <v>0</v>
          </cell>
          <cell r="BP297">
            <v>0</v>
          </cell>
          <cell r="BR297">
            <v>0</v>
          </cell>
          <cell r="BT297">
            <v>0</v>
          </cell>
          <cell r="BV297">
            <v>0</v>
          </cell>
          <cell r="BX297">
            <v>0</v>
          </cell>
          <cell r="BZ297">
            <v>0</v>
          </cell>
          <cell r="CB297">
            <v>0</v>
          </cell>
          <cell r="CD297">
            <v>0</v>
          </cell>
          <cell r="CF297">
            <v>0</v>
          </cell>
          <cell r="CH297">
            <v>0</v>
          </cell>
          <cell r="CJ297">
            <v>0</v>
          </cell>
          <cell r="CL297">
            <v>0</v>
          </cell>
          <cell r="CN297">
            <v>0</v>
          </cell>
          <cell r="CP297">
            <v>0</v>
          </cell>
          <cell r="CR297">
            <v>0</v>
          </cell>
          <cell r="CT297">
            <v>0</v>
          </cell>
          <cell r="CV297">
            <v>0</v>
          </cell>
          <cell r="CX297">
            <v>0</v>
          </cell>
          <cell r="CZ297">
            <v>0</v>
          </cell>
          <cell r="DB297">
            <v>0</v>
          </cell>
          <cell r="DD297">
            <v>0</v>
          </cell>
          <cell r="DF297">
            <v>0</v>
          </cell>
          <cell r="DH297">
            <v>0</v>
          </cell>
          <cell r="DJ297">
            <v>0</v>
          </cell>
          <cell r="DL297">
            <v>0</v>
          </cell>
          <cell r="DN297">
            <v>0</v>
          </cell>
          <cell r="DP297">
            <v>0</v>
          </cell>
          <cell r="DR297">
            <v>0</v>
          </cell>
          <cell r="DT297">
            <v>0</v>
          </cell>
          <cell r="DV297">
            <v>0</v>
          </cell>
          <cell r="DX297">
            <v>0</v>
          </cell>
          <cell r="DZ297">
            <v>0</v>
          </cell>
          <cell r="EB297">
            <v>0</v>
          </cell>
          <cell r="ED297">
            <v>0</v>
          </cell>
          <cell r="EF297">
            <v>0</v>
          </cell>
          <cell r="EH297">
            <v>0</v>
          </cell>
          <cell r="EJ297">
            <v>0</v>
          </cell>
          <cell r="EL297">
            <v>0</v>
          </cell>
          <cell r="EN297">
            <v>0</v>
          </cell>
          <cell r="EP297">
            <v>0</v>
          </cell>
          <cell r="ER297">
            <v>0</v>
          </cell>
          <cell r="ET297">
            <v>0</v>
          </cell>
          <cell r="EV297">
            <v>0</v>
          </cell>
          <cell r="EX297">
            <v>0</v>
          </cell>
          <cell r="EZ297">
            <v>0</v>
          </cell>
          <cell r="FB297">
            <v>0</v>
          </cell>
          <cell r="FD297">
            <v>0</v>
          </cell>
          <cell r="FF297">
            <v>0</v>
          </cell>
          <cell r="FH297">
            <v>0</v>
          </cell>
          <cell r="FJ297">
            <v>0</v>
          </cell>
          <cell r="FL297">
            <v>0</v>
          </cell>
          <cell r="FN297">
            <v>0</v>
          </cell>
          <cell r="FP297">
            <v>0</v>
          </cell>
          <cell r="FR297">
            <v>0</v>
          </cell>
          <cell r="FT297">
            <v>0</v>
          </cell>
          <cell r="FV297">
            <v>0</v>
          </cell>
          <cell r="GD297">
            <v>14</v>
          </cell>
          <cell r="GF297">
            <v>4</v>
          </cell>
          <cell r="GH297">
            <v>1</v>
          </cell>
          <cell r="GJ297">
            <v>7</v>
          </cell>
          <cell r="GM297">
            <v>165.01</v>
          </cell>
          <cell r="GN29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168.檢查勞工個人防護具：█有 □無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W297" t="str">
            <v>（一）施工廠商施工前檢查事項辦理情形：█完成 □未完成 （二）其他工地安全衛生督導事項：</v>
          </cell>
          <cell r="GX297">
            <v>853901</v>
          </cell>
          <cell r="GY297">
            <v>0</v>
          </cell>
        </row>
        <row r="298">
          <cell r="N298">
            <v>1</v>
          </cell>
          <cell r="P298">
            <v>1</v>
          </cell>
          <cell r="R298">
            <v>672</v>
          </cell>
          <cell r="T298">
            <v>108</v>
          </cell>
          <cell r="V298">
            <v>661</v>
          </cell>
          <cell r="X298">
            <v>2</v>
          </cell>
          <cell r="Z298">
            <v>1</v>
          </cell>
          <cell r="AB298">
            <v>661</v>
          </cell>
          <cell r="AD298">
            <v>2</v>
          </cell>
          <cell r="AF298">
            <v>1</v>
          </cell>
          <cell r="AH298">
            <v>1</v>
          </cell>
          <cell r="AJ298">
            <v>1</v>
          </cell>
          <cell r="AL298">
            <v>0</v>
          </cell>
          <cell r="AN298">
            <v>0</v>
          </cell>
          <cell r="AP298">
            <v>0</v>
          </cell>
          <cell r="AR298">
            <v>0</v>
          </cell>
          <cell r="AT298">
            <v>0</v>
          </cell>
          <cell r="AV298">
            <v>0</v>
          </cell>
          <cell r="AX298">
            <v>0</v>
          </cell>
          <cell r="AZ298">
            <v>0</v>
          </cell>
          <cell r="BB298">
            <v>0</v>
          </cell>
          <cell r="BD298">
            <v>0</v>
          </cell>
          <cell r="BF298">
            <v>0</v>
          </cell>
          <cell r="BH298">
            <v>0</v>
          </cell>
          <cell r="BJ298">
            <v>0</v>
          </cell>
          <cell r="BL298">
            <v>0</v>
          </cell>
          <cell r="BN298">
            <v>0</v>
          </cell>
          <cell r="BP298">
            <v>0</v>
          </cell>
          <cell r="BR298">
            <v>0</v>
          </cell>
          <cell r="BT298">
            <v>0</v>
          </cell>
          <cell r="BV298">
            <v>0</v>
          </cell>
          <cell r="BX298">
            <v>0</v>
          </cell>
          <cell r="BZ298">
            <v>0</v>
          </cell>
          <cell r="CB298">
            <v>0</v>
          </cell>
          <cell r="CD298">
            <v>0</v>
          </cell>
          <cell r="CF298">
            <v>0</v>
          </cell>
          <cell r="CH298">
            <v>0</v>
          </cell>
          <cell r="CJ298">
            <v>0</v>
          </cell>
          <cell r="CL298">
            <v>0</v>
          </cell>
          <cell r="CN298">
            <v>0</v>
          </cell>
          <cell r="CP298">
            <v>0</v>
          </cell>
          <cell r="CR298">
            <v>0</v>
          </cell>
          <cell r="CT298">
            <v>0</v>
          </cell>
          <cell r="CV298">
            <v>0</v>
          </cell>
          <cell r="CX298">
            <v>0</v>
          </cell>
          <cell r="CZ298">
            <v>0</v>
          </cell>
          <cell r="DB298">
            <v>0</v>
          </cell>
          <cell r="DD298">
            <v>0</v>
          </cell>
          <cell r="DF298">
            <v>0</v>
          </cell>
          <cell r="DH298">
            <v>0</v>
          </cell>
          <cell r="DJ298">
            <v>0</v>
          </cell>
          <cell r="DL298">
            <v>0</v>
          </cell>
          <cell r="DN298">
            <v>0</v>
          </cell>
          <cell r="DP298">
            <v>0</v>
          </cell>
          <cell r="DR298">
            <v>0</v>
          </cell>
          <cell r="DT298">
            <v>0</v>
          </cell>
          <cell r="DV298">
            <v>0</v>
          </cell>
          <cell r="DX298">
            <v>0</v>
          </cell>
          <cell r="DZ298">
            <v>0</v>
          </cell>
          <cell r="EB298">
            <v>0</v>
          </cell>
          <cell r="ED298">
            <v>0</v>
          </cell>
          <cell r="EF298">
            <v>0</v>
          </cell>
          <cell r="EH298">
            <v>0</v>
          </cell>
          <cell r="EJ298">
            <v>0</v>
          </cell>
          <cell r="EL298">
            <v>0</v>
          </cell>
          <cell r="EN298">
            <v>0</v>
          </cell>
          <cell r="EP298">
            <v>0</v>
          </cell>
          <cell r="ER298">
            <v>0</v>
          </cell>
          <cell r="ET298">
            <v>0</v>
          </cell>
          <cell r="EV298">
            <v>0</v>
          </cell>
          <cell r="EX298">
            <v>0</v>
          </cell>
          <cell r="EZ298">
            <v>0</v>
          </cell>
          <cell r="FB298">
            <v>0</v>
          </cell>
          <cell r="FD298">
            <v>0</v>
          </cell>
          <cell r="FF298">
            <v>0</v>
          </cell>
          <cell r="FH298">
            <v>0</v>
          </cell>
          <cell r="FJ298">
            <v>0</v>
          </cell>
          <cell r="FL298">
            <v>0</v>
          </cell>
          <cell r="FN298">
            <v>0</v>
          </cell>
          <cell r="FP298">
            <v>0</v>
          </cell>
          <cell r="FR298">
            <v>0</v>
          </cell>
          <cell r="FT298">
            <v>0</v>
          </cell>
          <cell r="FV298">
            <v>0</v>
          </cell>
          <cell r="GD298">
            <v>14</v>
          </cell>
          <cell r="GF298">
            <v>4</v>
          </cell>
          <cell r="GH298">
            <v>1</v>
          </cell>
          <cell r="GJ298">
            <v>7</v>
          </cell>
          <cell r="GM298">
            <v>166.01</v>
          </cell>
          <cell r="GN29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169.檢查勞工個人防護具：█有 □無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W298" t="str">
            <v>（一）施工廠商施工前檢查事項辦理情形：█完成 □未完成 （二）其他工地安全衛生督導事項：</v>
          </cell>
          <cell r="GX298">
            <v>853901</v>
          </cell>
          <cell r="GY298">
            <v>0</v>
          </cell>
        </row>
        <row r="299">
          <cell r="N299">
            <v>1</v>
          </cell>
          <cell r="P299">
            <v>1</v>
          </cell>
          <cell r="R299">
            <v>672</v>
          </cell>
          <cell r="T299">
            <v>108</v>
          </cell>
          <cell r="V299">
            <v>661</v>
          </cell>
          <cell r="X299">
            <v>2</v>
          </cell>
          <cell r="Z299">
            <v>1</v>
          </cell>
          <cell r="AB299">
            <v>661</v>
          </cell>
          <cell r="AD299">
            <v>2</v>
          </cell>
          <cell r="AF299">
            <v>1</v>
          </cell>
          <cell r="AH299">
            <v>1</v>
          </cell>
          <cell r="AJ299">
            <v>1</v>
          </cell>
          <cell r="AL299">
            <v>0</v>
          </cell>
          <cell r="AN299">
            <v>0</v>
          </cell>
          <cell r="AP299">
            <v>0</v>
          </cell>
          <cell r="AR299">
            <v>0</v>
          </cell>
          <cell r="AT299">
            <v>0</v>
          </cell>
          <cell r="AV299">
            <v>0</v>
          </cell>
          <cell r="AX299">
            <v>0</v>
          </cell>
          <cell r="AZ299">
            <v>0</v>
          </cell>
          <cell r="BB299">
            <v>0</v>
          </cell>
          <cell r="BD299">
            <v>0</v>
          </cell>
          <cell r="BF299">
            <v>0</v>
          </cell>
          <cell r="BH299">
            <v>0</v>
          </cell>
          <cell r="BJ299">
            <v>0</v>
          </cell>
          <cell r="BL299">
            <v>0</v>
          </cell>
          <cell r="BN299">
            <v>0</v>
          </cell>
          <cell r="BP299">
            <v>0</v>
          </cell>
          <cell r="BR299">
            <v>0</v>
          </cell>
          <cell r="BT299">
            <v>0</v>
          </cell>
          <cell r="BV299">
            <v>0</v>
          </cell>
          <cell r="BX299">
            <v>0</v>
          </cell>
          <cell r="BZ299">
            <v>0</v>
          </cell>
          <cell r="CB299">
            <v>0</v>
          </cell>
          <cell r="CD299">
            <v>0</v>
          </cell>
          <cell r="CF299">
            <v>0</v>
          </cell>
          <cell r="CH299">
            <v>0</v>
          </cell>
          <cell r="CJ299">
            <v>0</v>
          </cell>
          <cell r="CL299">
            <v>0</v>
          </cell>
          <cell r="CN299">
            <v>0</v>
          </cell>
          <cell r="CP299">
            <v>0</v>
          </cell>
          <cell r="CR299">
            <v>0</v>
          </cell>
          <cell r="CT299">
            <v>0</v>
          </cell>
          <cell r="CV299">
            <v>0</v>
          </cell>
          <cell r="CX299">
            <v>0</v>
          </cell>
          <cell r="CZ299">
            <v>0</v>
          </cell>
          <cell r="DB299">
            <v>0</v>
          </cell>
          <cell r="DD299">
            <v>0</v>
          </cell>
          <cell r="DF299">
            <v>0</v>
          </cell>
          <cell r="DH299">
            <v>0</v>
          </cell>
          <cell r="DJ299">
            <v>0</v>
          </cell>
          <cell r="DL299">
            <v>0</v>
          </cell>
          <cell r="DN299">
            <v>0</v>
          </cell>
          <cell r="DP299">
            <v>0</v>
          </cell>
          <cell r="DR299">
            <v>0</v>
          </cell>
          <cell r="DT299">
            <v>0</v>
          </cell>
          <cell r="DV299">
            <v>0</v>
          </cell>
          <cell r="DX299">
            <v>0</v>
          </cell>
          <cell r="DZ299">
            <v>0</v>
          </cell>
          <cell r="EB299">
            <v>0</v>
          </cell>
          <cell r="ED299">
            <v>0</v>
          </cell>
          <cell r="EF299">
            <v>0</v>
          </cell>
          <cell r="EH299">
            <v>0</v>
          </cell>
          <cell r="EJ299">
            <v>0</v>
          </cell>
          <cell r="EL299">
            <v>0</v>
          </cell>
          <cell r="EN299">
            <v>0</v>
          </cell>
          <cell r="EP299">
            <v>0</v>
          </cell>
          <cell r="ER299">
            <v>0</v>
          </cell>
          <cell r="ET299">
            <v>0</v>
          </cell>
          <cell r="EV299">
            <v>0</v>
          </cell>
          <cell r="EX299">
            <v>0</v>
          </cell>
          <cell r="EZ299">
            <v>0</v>
          </cell>
          <cell r="FB299">
            <v>0</v>
          </cell>
          <cell r="FD299">
            <v>0</v>
          </cell>
          <cell r="FF299">
            <v>0</v>
          </cell>
          <cell r="FH299">
            <v>0</v>
          </cell>
          <cell r="FJ299">
            <v>0</v>
          </cell>
          <cell r="FL299">
            <v>0</v>
          </cell>
          <cell r="FN299">
            <v>0</v>
          </cell>
          <cell r="FP299">
            <v>0</v>
          </cell>
          <cell r="FR299">
            <v>0</v>
          </cell>
          <cell r="FT299">
            <v>0</v>
          </cell>
          <cell r="FV299">
            <v>0</v>
          </cell>
          <cell r="GD299">
            <v>14</v>
          </cell>
          <cell r="GF299">
            <v>4</v>
          </cell>
          <cell r="GH299">
            <v>1</v>
          </cell>
          <cell r="GJ299">
            <v>7</v>
          </cell>
          <cell r="GM299">
            <v>167.01</v>
          </cell>
          <cell r="GN29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170.檢查勞工個人防護具：█有 □無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W299" t="str">
            <v>（一）施工廠商施工前檢查事項辦理情形：█完成 □未完成 （二）其他工地安全衛生督導事項：</v>
          </cell>
          <cell r="GX299">
            <v>853901</v>
          </cell>
          <cell r="GY299">
            <v>0</v>
          </cell>
        </row>
        <row r="300">
          <cell r="N300">
            <v>1</v>
          </cell>
          <cell r="P300">
            <v>1</v>
          </cell>
          <cell r="R300">
            <v>672</v>
          </cell>
          <cell r="T300">
            <v>108</v>
          </cell>
          <cell r="V300">
            <v>661</v>
          </cell>
          <cell r="X300">
            <v>2</v>
          </cell>
          <cell r="Z300">
            <v>1</v>
          </cell>
          <cell r="AB300">
            <v>661</v>
          </cell>
          <cell r="AD300">
            <v>2</v>
          </cell>
          <cell r="AF300">
            <v>1</v>
          </cell>
          <cell r="AH300">
            <v>1</v>
          </cell>
          <cell r="AJ300">
            <v>1</v>
          </cell>
          <cell r="AL300">
            <v>0</v>
          </cell>
          <cell r="AN300">
            <v>0</v>
          </cell>
          <cell r="AP300">
            <v>0</v>
          </cell>
          <cell r="AR300">
            <v>0</v>
          </cell>
          <cell r="AT300">
            <v>0</v>
          </cell>
          <cell r="AV300">
            <v>0</v>
          </cell>
          <cell r="AX300">
            <v>0</v>
          </cell>
          <cell r="AZ300">
            <v>0</v>
          </cell>
          <cell r="BB300">
            <v>0</v>
          </cell>
          <cell r="BD300">
            <v>0</v>
          </cell>
          <cell r="BF300">
            <v>0</v>
          </cell>
          <cell r="BH300">
            <v>0</v>
          </cell>
          <cell r="BJ300">
            <v>0</v>
          </cell>
          <cell r="BL300">
            <v>0</v>
          </cell>
          <cell r="BN300">
            <v>0</v>
          </cell>
          <cell r="BP300">
            <v>0</v>
          </cell>
          <cell r="BR300">
            <v>0</v>
          </cell>
          <cell r="BT300">
            <v>0</v>
          </cell>
          <cell r="BV300">
            <v>0</v>
          </cell>
          <cell r="BX300">
            <v>0</v>
          </cell>
          <cell r="BZ300">
            <v>0</v>
          </cell>
          <cell r="CB300">
            <v>0</v>
          </cell>
          <cell r="CD300">
            <v>0</v>
          </cell>
          <cell r="CF300">
            <v>0</v>
          </cell>
          <cell r="CH300">
            <v>0</v>
          </cell>
          <cell r="CJ300">
            <v>0</v>
          </cell>
          <cell r="CL300">
            <v>0</v>
          </cell>
          <cell r="CN300">
            <v>0</v>
          </cell>
          <cell r="CP300">
            <v>0</v>
          </cell>
          <cell r="CR300">
            <v>0</v>
          </cell>
          <cell r="CT300">
            <v>0</v>
          </cell>
          <cell r="CV300">
            <v>0</v>
          </cell>
          <cell r="CX300">
            <v>0</v>
          </cell>
          <cell r="CZ300">
            <v>0</v>
          </cell>
          <cell r="DB300">
            <v>0</v>
          </cell>
          <cell r="DD300">
            <v>0</v>
          </cell>
          <cell r="DF300">
            <v>0</v>
          </cell>
          <cell r="DH300">
            <v>0</v>
          </cell>
          <cell r="DJ300">
            <v>0</v>
          </cell>
          <cell r="DL300">
            <v>0</v>
          </cell>
          <cell r="DN300">
            <v>0</v>
          </cell>
          <cell r="DP300">
            <v>0</v>
          </cell>
          <cell r="DR300">
            <v>0</v>
          </cell>
          <cell r="DT300">
            <v>0</v>
          </cell>
          <cell r="DV300">
            <v>0</v>
          </cell>
          <cell r="DX300">
            <v>0</v>
          </cell>
          <cell r="DZ300">
            <v>0</v>
          </cell>
          <cell r="EB300">
            <v>0</v>
          </cell>
          <cell r="ED300">
            <v>0</v>
          </cell>
          <cell r="EF300">
            <v>0</v>
          </cell>
          <cell r="EH300">
            <v>0</v>
          </cell>
          <cell r="EJ300">
            <v>0</v>
          </cell>
          <cell r="EL300">
            <v>0</v>
          </cell>
          <cell r="EN300">
            <v>0</v>
          </cell>
          <cell r="EP300">
            <v>0</v>
          </cell>
          <cell r="ER300">
            <v>0</v>
          </cell>
          <cell r="ET300">
            <v>0</v>
          </cell>
          <cell r="EV300">
            <v>0</v>
          </cell>
          <cell r="EX300">
            <v>0</v>
          </cell>
          <cell r="EZ300">
            <v>0</v>
          </cell>
          <cell r="FB300">
            <v>0</v>
          </cell>
          <cell r="FD300">
            <v>0</v>
          </cell>
          <cell r="FF300">
            <v>0</v>
          </cell>
          <cell r="FH300">
            <v>0</v>
          </cell>
          <cell r="FJ300">
            <v>0</v>
          </cell>
          <cell r="FL300">
            <v>0</v>
          </cell>
          <cell r="FN300">
            <v>0</v>
          </cell>
          <cell r="FP300">
            <v>0</v>
          </cell>
          <cell r="FR300">
            <v>0</v>
          </cell>
          <cell r="FT300">
            <v>0</v>
          </cell>
          <cell r="FV300">
            <v>0</v>
          </cell>
          <cell r="GD300">
            <v>14</v>
          </cell>
          <cell r="GF300">
            <v>4</v>
          </cell>
          <cell r="GH300">
            <v>1</v>
          </cell>
          <cell r="GJ300">
            <v>7</v>
          </cell>
          <cell r="GM300">
            <v>168.01</v>
          </cell>
          <cell r="GN30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171.檢查勞工個人防護具：█有 □無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W300" t="str">
            <v>（一）施工廠商施工前檢查事項辦理情形：█完成 □未完成 （二）其他工地安全衛生督導事項：</v>
          </cell>
          <cell r="GX300">
            <v>853901</v>
          </cell>
          <cell r="GY300">
            <v>0</v>
          </cell>
        </row>
        <row r="301">
          <cell r="N301">
            <v>1</v>
          </cell>
          <cell r="P301">
            <v>1</v>
          </cell>
          <cell r="R301">
            <v>672</v>
          </cell>
          <cell r="T301">
            <v>108</v>
          </cell>
          <cell r="V301">
            <v>661</v>
          </cell>
          <cell r="X301">
            <v>2</v>
          </cell>
          <cell r="Z301">
            <v>1</v>
          </cell>
          <cell r="AB301">
            <v>661</v>
          </cell>
          <cell r="AD301">
            <v>2</v>
          </cell>
          <cell r="AF301">
            <v>1</v>
          </cell>
          <cell r="AH301">
            <v>1</v>
          </cell>
          <cell r="AJ301">
            <v>1</v>
          </cell>
          <cell r="AL301">
            <v>0</v>
          </cell>
          <cell r="AN301">
            <v>0</v>
          </cell>
          <cell r="AP301">
            <v>0</v>
          </cell>
          <cell r="AR301">
            <v>0</v>
          </cell>
          <cell r="AT301">
            <v>0</v>
          </cell>
          <cell r="AV301">
            <v>0</v>
          </cell>
          <cell r="AX301">
            <v>0</v>
          </cell>
          <cell r="AZ301">
            <v>0</v>
          </cell>
          <cell r="BB301">
            <v>0</v>
          </cell>
          <cell r="BD301">
            <v>0</v>
          </cell>
          <cell r="BF301">
            <v>0</v>
          </cell>
          <cell r="BH301">
            <v>0</v>
          </cell>
          <cell r="BJ301">
            <v>0</v>
          </cell>
          <cell r="BL301">
            <v>0</v>
          </cell>
          <cell r="BN301">
            <v>0</v>
          </cell>
          <cell r="BP301">
            <v>0</v>
          </cell>
          <cell r="BR301">
            <v>0</v>
          </cell>
          <cell r="BT301">
            <v>0</v>
          </cell>
          <cell r="BV301">
            <v>0</v>
          </cell>
          <cell r="BX301">
            <v>0</v>
          </cell>
          <cell r="BZ301">
            <v>0</v>
          </cell>
          <cell r="CB301">
            <v>0</v>
          </cell>
          <cell r="CD301">
            <v>0</v>
          </cell>
          <cell r="CF301">
            <v>0</v>
          </cell>
          <cell r="CH301">
            <v>0</v>
          </cell>
          <cell r="CJ301">
            <v>0</v>
          </cell>
          <cell r="CL301">
            <v>0</v>
          </cell>
          <cell r="CN301">
            <v>0</v>
          </cell>
          <cell r="CP301">
            <v>0</v>
          </cell>
          <cell r="CR301">
            <v>0</v>
          </cell>
          <cell r="CT301">
            <v>0</v>
          </cell>
          <cell r="CV301">
            <v>0</v>
          </cell>
          <cell r="CX301">
            <v>0</v>
          </cell>
          <cell r="CZ301">
            <v>0</v>
          </cell>
          <cell r="DB301">
            <v>0</v>
          </cell>
          <cell r="DD301">
            <v>0</v>
          </cell>
          <cell r="DF301">
            <v>0</v>
          </cell>
          <cell r="DH301">
            <v>0</v>
          </cell>
          <cell r="DJ301">
            <v>0</v>
          </cell>
          <cell r="DL301">
            <v>0</v>
          </cell>
          <cell r="DN301">
            <v>0</v>
          </cell>
          <cell r="DP301">
            <v>0</v>
          </cell>
          <cell r="DR301">
            <v>0</v>
          </cell>
          <cell r="DT301">
            <v>0</v>
          </cell>
          <cell r="DV301">
            <v>0</v>
          </cell>
          <cell r="DX301">
            <v>0</v>
          </cell>
          <cell r="DZ301">
            <v>0</v>
          </cell>
          <cell r="EB301">
            <v>0</v>
          </cell>
          <cell r="ED301">
            <v>0</v>
          </cell>
          <cell r="EF301">
            <v>0</v>
          </cell>
          <cell r="EH301">
            <v>0</v>
          </cell>
          <cell r="EJ301">
            <v>0</v>
          </cell>
          <cell r="EL301">
            <v>0</v>
          </cell>
          <cell r="EN301">
            <v>0</v>
          </cell>
          <cell r="EP301">
            <v>0</v>
          </cell>
          <cell r="ER301">
            <v>0</v>
          </cell>
          <cell r="ET301">
            <v>0</v>
          </cell>
          <cell r="EV301">
            <v>0</v>
          </cell>
          <cell r="EX301">
            <v>0</v>
          </cell>
          <cell r="EZ301">
            <v>0</v>
          </cell>
          <cell r="FB301">
            <v>0</v>
          </cell>
          <cell r="FD301">
            <v>0</v>
          </cell>
          <cell r="FF301">
            <v>0</v>
          </cell>
          <cell r="FH301">
            <v>0</v>
          </cell>
          <cell r="FJ301">
            <v>0</v>
          </cell>
          <cell r="FL301">
            <v>0</v>
          </cell>
          <cell r="FN301">
            <v>0</v>
          </cell>
          <cell r="FP301">
            <v>0</v>
          </cell>
          <cell r="FR301">
            <v>0</v>
          </cell>
          <cell r="FT301">
            <v>0</v>
          </cell>
          <cell r="FV301">
            <v>0</v>
          </cell>
          <cell r="GD301">
            <v>14</v>
          </cell>
          <cell r="GF301">
            <v>4</v>
          </cell>
          <cell r="GH301">
            <v>1</v>
          </cell>
          <cell r="GJ301">
            <v>7</v>
          </cell>
          <cell r="GM301">
            <v>169.01</v>
          </cell>
          <cell r="GN30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172.檢查勞工個人防護具：█有 □無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W301" t="str">
            <v>（一）施工廠商施工前檢查事項辦理情形：█完成 □未完成 （二）其他工地安全衛生督導事項：</v>
          </cell>
          <cell r="GX301">
            <v>853901</v>
          </cell>
          <cell r="GY301">
            <v>0</v>
          </cell>
        </row>
        <row r="302">
          <cell r="N302">
            <v>1</v>
          </cell>
          <cell r="P302">
            <v>1</v>
          </cell>
          <cell r="R302">
            <v>672</v>
          </cell>
          <cell r="T302">
            <v>108</v>
          </cell>
          <cell r="V302">
            <v>661</v>
          </cell>
          <cell r="X302">
            <v>2</v>
          </cell>
          <cell r="Z302">
            <v>1</v>
          </cell>
          <cell r="AB302">
            <v>661</v>
          </cell>
          <cell r="AD302">
            <v>2</v>
          </cell>
          <cell r="AF302">
            <v>1</v>
          </cell>
          <cell r="AH302">
            <v>1</v>
          </cell>
          <cell r="AJ302">
            <v>1</v>
          </cell>
          <cell r="AL302">
            <v>0</v>
          </cell>
          <cell r="AN302">
            <v>0</v>
          </cell>
          <cell r="AP302">
            <v>0</v>
          </cell>
          <cell r="AR302">
            <v>0</v>
          </cell>
          <cell r="AT302">
            <v>0</v>
          </cell>
          <cell r="AV302">
            <v>0</v>
          </cell>
          <cell r="AX302">
            <v>0</v>
          </cell>
          <cell r="AZ302">
            <v>0</v>
          </cell>
          <cell r="BB302">
            <v>0</v>
          </cell>
          <cell r="BD302">
            <v>0</v>
          </cell>
          <cell r="BF302">
            <v>0</v>
          </cell>
          <cell r="BH302">
            <v>0</v>
          </cell>
          <cell r="BJ302">
            <v>0</v>
          </cell>
          <cell r="BL302">
            <v>0</v>
          </cell>
          <cell r="BN302">
            <v>0</v>
          </cell>
          <cell r="BP302">
            <v>0</v>
          </cell>
          <cell r="BR302">
            <v>0</v>
          </cell>
          <cell r="BT302">
            <v>0</v>
          </cell>
          <cell r="BV302">
            <v>0</v>
          </cell>
          <cell r="BX302">
            <v>0</v>
          </cell>
          <cell r="BZ302">
            <v>0</v>
          </cell>
          <cell r="CB302">
            <v>0</v>
          </cell>
          <cell r="CD302">
            <v>0</v>
          </cell>
          <cell r="CF302">
            <v>0</v>
          </cell>
          <cell r="CH302">
            <v>0</v>
          </cell>
          <cell r="CJ302">
            <v>0</v>
          </cell>
          <cell r="CL302">
            <v>0</v>
          </cell>
          <cell r="CN302">
            <v>0</v>
          </cell>
          <cell r="CP302">
            <v>0</v>
          </cell>
          <cell r="CR302">
            <v>0</v>
          </cell>
          <cell r="CT302">
            <v>0</v>
          </cell>
          <cell r="CV302">
            <v>0</v>
          </cell>
          <cell r="CX302">
            <v>0</v>
          </cell>
          <cell r="CZ302">
            <v>0</v>
          </cell>
          <cell r="DB302">
            <v>0</v>
          </cell>
          <cell r="DD302">
            <v>0</v>
          </cell>
          <cell r="DF302">
            <v>0</v>
          </cell>
          <cell r="DH302">
            <v>0</v>
          </cell>
          <cell r="DJ302">
            <v>0</v>
          </cell>
          <cell r="DL302">
            <v>0</v>
          </cell>
          <cell r="DN302">
            <v>0</v>
          </cell>
          <cell r="DP302">
            <v>0</v>
          </cell>
          <cell r="DR302">
            <v>0</v>
          </cell>
          <cell r="DT302">
            <v>0</v>
          </cell>
          <cell r="DV302">
            <v>0</v>
          </cell>
          <cell r="DX302">
            <v>0</v>
          </cell>
          <cell r="DZ302">
            <v>0</v>
          </cell>
          <cell r="EB302">
            <v>0</v>
          </cell>
          <cell r="ED302">
            <v>0</v>
          </cell>
          <cell r="EF302">
            <v>0</v>
          </cell>
          <cell r="EH302">
            <v>0</v>
          </cell>
          <cell r="EJ302">
            <v>0</v>
          </cell>
          <cell r="EL302">
            <v>0</v>
          </cell>
          <cell r="EN302">
            <v>0</v>
          </cell>
          <cell r="EP302">
            <v>0</v>
          </cell>
          <cell r="ER302">
            <v>0</v>
          </cell>
          <cell r="ET302">
            <v>0</v>
          </cell>
          <cell r="EV302">
            <v>0</v>
          </cell>
          <cell r="EX302">
            <v>0</v>
          </cell>
          <cell r="EZ302">
            <v>0</v>
          </cell>
          <cell r="FB302">
            <v>0</v>
          </cell>
          <cell r="FD302">
            <v>0</v>
          </cell>
          <cell r="FF302">
            <v>0</v>
          </cell>
          <cell r="FH302">
            <v>0</v>
          </cell>
          <cell r="FJ302">
            <v>0</v>
          </cell>
          <cell r="FL302">
            <v>0</v>
          </cell>
          <cell r="FN302">
            <v>0</v>
          </cell>
          <cell r="FP302">
            <v>0</v>
          </cell>
          <cell r="FR302">
            <v>0</v>
          </cell>
          <cell r="FT302">
            <v>0</v>
          </cell>
          <cell r="FV302">
            <v>0</v>
          </cell>
          <cell r="GD302">
            <v>14</v>
          </cell>
          <cell r="GF302">
            <v>4</v>
          </cell>
          <cell r="GH302">
            <v>1</v>
          </cell>
          <cell r="GJ302">
            <v>7</v>
          </cell>
          <cell r="GM302">
            <v>170.01</v>
          </cell>
          <cell r="GN30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173.檢查勞工個人防護具：█有 □無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W302" t="str">
            <v>（一）施工廠商施工前檢查事項辦理情形：█完成 □未完成 （二）其他工地安全衛生督導事項：</v>
          </cell>
          <cell r="GX302">
            <v>853901</v>
          </cell>
          <cell r="GY302">
            <v>0</v>
          </cell>
        </row>
        <row r="303">
          <cell r="N303">
            <v>1</v>
          </cell>
          <cell r="P303">
            <v>1</v>
          </cell>
          <cell r="R303">
            <v>672</v>
          </cell>
          <cell r="T303">
            <v>108</v>
          </cell>
          <cell r="V303">
            <v>661</v>
          </cell>
          <cell r="X303">
            <v>2</v>
          </cell>
          <cell r="Z303">
            <v>1</v>
          </cell>
          <cell r="AB303">
            <v>661</v>
          </cell>
          <cell r="AD303">
            <v>2</v>
          </cell>
          <cell r="AF303">
            <v>1</v>
          </cell>
          <cell r="AH303">
            <v>1</v>
          </cell>
          <cell r="AJ303">
            <v>1</v>
          </cell>
          <cell r="AL303">
            <v>0</v>
          </cell>
          <cell r="AN303">
            <v>0</v>
          </cell>
          <cell r="AP303">
            <v>0</v>
          </cell>
          <cell r="AR303">
            <v>0</v>
          </cell>
          <cell r="AT303">
            <v>0</v>
          </cell>
          <cell r="AV303">
            <v>0</v>
          </cell>
          <cell r="AX303">
            <v>0</v>
          </cell>
          <cell r="AZ303">
            <v>0</v>
          </cell>
          <cell r="BB303">
            <v>0</v>
          </cell>
          <cell r="BD303">
            <v>0</v>
          </cell>
          <cell r="BF303">
            <v>0</v>
          </cell>
          <cell r="BH303">
            <v>0</v>
          </cell>
          <cell r="BJ303">
            <v>0</v>
          </cell>
          <cell r="BL303">
            <v>0</v>
          </cell>
          <cell r="BN303">
            <v>0</v>
          </cell>
          <cell r="BP303">
            <v>0</v>
          </cell>
          <cell r="BR303">
            <v>0</v>
          </cell>
          <cell r="BT303">
            <v>0</v>
          </cell>
          <cell r="BV303">
            <v>0</v>
          </cell>
          <cell r="BX303">
            <v>0</v>
          </cell>
          <cell r="BZ303">
            <v>0</v>
          </cell>
          <cell r="CB303">
            <v>0</v>
          </cell>
          <cell r="CD303">
            <v>0</v>
          </cell>
          <cell r="CF303">
            <v>0</v>
          </cell>
          <cell r="CH303">
            <v>0</v>
          </cell>
          <cell r="CJ303">
            <v>0</v>
          </cell>
          <cell r="CL303">
            <v>0</v>
          </cell>
          <cell r="CN303">
            <v>0</v>
          </cell>
          <cell r="CP303">
            <v>0</v>
          </cell>
          <cell r="CR303">
            <v>0</v>
          </cell>
          <cell r="CT303">
            <v>0</v>
          </cell>
          <cell r="CV303">
            <v>0</v>
          </cell>
          <cell r="CX303">
            <v>0</v>
          </cell>
          <cell r="CZ303">
            <v>0</v>
          </cell>
          <cell r="DB303">
            <v>0</v>
          </cell>
          <cell r="DD303">
            <v>0</v>
          </cell>
          <cell r="DF303">
            <v>0</v>
          </cell>
          <cell r="DH303">
            <v>0</v>
          </cell>
          <cell r="DJ303">
            <v>0</v>
          </cell>
          <cell r="DL303">
            <v>0</v>
          </cell>
          <cell r="DN303">
            <v>0</v>
          </cell>
          <cell r="DP303">
            <v>0</v>
          </cell>
          <cell r="DR303">
            <v>0</v>
          </cell>
          <cell r="DT303">
            <v>0</v>
          </cell>
          <cell r="DV303">
            <v>0</v>
          </cell>
          <cell r="DX303">
            <v>0</v>
          </cell>
          <cell r="DZ303">
            <v>0</v>
          </cell>
          <cell r="EB303">
            <v>0</v>
          </cell>
          <cell r="ED303">
            <v>0</v>
          </cell>
          <cell r="EF303">
            <v>0</v>
          </cell>
          <cell r="EH303">
            <v>0</v>
          </cell>
          <cell r="EJ303">
            <v>0</v>
          </cell>
          <cell r="EL303">
            <v>0</v>
          </cell>
          <cell r="EN303">
            <v>0</v>
          </cell>
          <cell r="EP303">
            <v>0</v>
          </cell>
          <cell r="ER303">
            <v>0</v>
          </cell>
          <cell r="ET303">
            <v>0</v>
          </cell>
          <cell r="EV303">
            <v>0</v>
          </cell>
          <cell r="EX303">
            <v>0</v>
          </cell>
          <cell r="EZ303">
            <v>0</v>
          </cell>
          <cell r="FB303">
            <v>0</v>
          </cell>
          <cell r="FD303">
            <v>0</v>
          </cell>
          <cell r="FF303">
            <v>0</v>
          </cell>
          <cell r="FH303">
            <v>0</v>
          </cell>
          <cell r="FJ303">
            <v>0</v>
          </cell>
          <cell r="FL303">
            <v>0</v>
          </cell>
          <cell r="FN303">
            <v>0</v>
          </cell>
          <cell r="FP303">
            <v>0</v>
          </cell>
          <cell r="FR303">
            <v>0</v>
          </cell>
          <cell r="FT303">
            <v>0</v>
          </cell>
          <cell r="FV303">
            <v>0</v>
          </cell>
          <cell r="GD303">
            <v>14</v>
          </cell>
          <cell r="GF303">
            <v>4</v>
          </cell>
          <cell r="GH303">
            <v>1</v>
          </cell>
          <cell r="GJ303">
            <v>7</v>
          </cell>
          <cell r="GM303">
            <v>171.01</v>
          </cell>
          <cell r="GN30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174.檢查勞工個人防護具：█有 □無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W303" t="str">
            <v>（一）施工廠商施工前檢查事項辦理情形：█完成 □未完成 （二）其他工地安全衛生督導事項：</v>
          </cell>
          <cell r="GX303">
            <v>853901</v>
          </cell>
          <cell r="GY303">
            <v>0</v>
          </cell>
        </row>
        <row r="304">
          <cell r="N304">
            <v>1</v>
          </cell>
          <cell r="P304">
            <v>1</v>
          </cell>
          <cell r="R304">
            <v>672</v>
          </cell>
          <cell r="T304">
            <v>108</v>
          </cell>
          <cell r="V304">
            <v>661</v>
          </cell>
          <cell r="X304">
            <v>2</v>
          </cell>
          <cell r="Z304">
            <v>1</v>
          </cell>
          <cell r="AB304">
            <v>661</v>
          </cell>
          <cell r="AD304">
            <v>2</v>
          </cell>
          <cell r="AF304">
            <v>1</v>
          </cell>
          <cell r="AH304">
            <v>1</v>
          </cell>
          <cell r="AJ304">
            <v>1</v>
          </cell>
          <cell r="AL304">
            <v>0</v>
          </cell>
          <cell r="AN304">
            <v>0</v>
          </cell>
          <cell r="AP304">
            <v>0</v>
          </cell>
          <cell r="AR304">
            <v>0</v>
          </cell>
          <cell r="AT304">
            <v>0</v>
          </cell>
          <cell r="AV304">
            <v>0</v>
          </cell>
          <cell r="AX304">
            <v>0</v>
          </cell>
          <cell r="AZ304">
            <v>0</v>
          </cell>
          <cell r="BB304">
            <v>0</v>
          </cell>
          <cell r="BD304">
            <v>0</v>
          </cell>
          <cell r="BF304">
            <v>0</v>
          </cell>
          <cell r="BH304">
            <v>0</v>
          </cell>
          <cell r="BJ304">
            <v>0</v>
          </cell>
          <cell r="BL304">
            <v>0</v>
          </cell>
          <cell r="BN304">
            <v>0</v>
          </cell>
          <cell r="BP304">
            <v>0</v>
          </cell>
          <cell r="BR304">
            <v>0</v>
          </cell>
          <cell r="BT304">
            <v>0</v>
          </cell>
          <cell r="BV304">
            <v>0</v>
          </cell>
          <cell r="BX304">
            <v>0</v>
          </cell>
          <cell r="BZ304">
            <v>0</v>
          </cell>
          <cell r="CB304">
            <v>0</v>
          </cell>
          <cell r="CD304">
            <v>0</v>
          </cell>
          <cell r="CF304">
            <v>0</v>
          </cell>
          <cell r="CH304">
            <v>0</v>
          </cell>
          <cell r="CJ304">
            <v>0</v>
          </cell>
          <cell r="CL304">
            <v>0</v>
          </cell>
          <cell r="CN304">
            <v>0</v>
          </cell>
          <cell r="CP304">
            <v>0</v>
          </cell>
          <cell r="CR304">
            <v>0</v>
          </cell>
          <cell r="CT304">
            <v>0</v>
          </cell>
          <cell r="CV304">
            <v>0</v>
          </cell>
          <cell r="CX304">
            <v>0</v>
          </cell>
          <cell r="CZ304">
            <v>0</v>
          </cell>
          <cell r="DB304">
            <v>0</v>
          </cell>
          <cell r="DD304">
            <v>0</v>
          </cell>
          <cell r="DF304">
            <v>0</v>
          </cell>
          <cell r="DH304">
            <v>0</v>
          </cell>
          <cell r="DJ304">
            <v>0</v>
          </cell>
          <cell r="DL304">
            <v>0</v>
          </cell>
          <cell r="DN304">
            <v>0</v>
          </cell>
          <cell r="DP304">
            <v>0</v>
          </cell>
          <cell r="DR304">
            <v>0</v>
          </cell>
          <cell r="DT304">
            <v>0</v>
          </cell>
          <cell r="DV304">
            <v>0</v>
          </cell>
          <cell r="DX304">
            <v>0</v>
          </cell>
          <cell r="DZ304">
            <v>0</v>
          </cell>
          <cell r="EB304">
            <v>0</v>
          </cell>
          <cell r="ED304">
            <v>0</v>
          </cell>
          <cell r="EF304">
            <v>0</v>
          </cell>
          <cell r="EH304">
            <v>0</v>
          </cell>
          <cell r="EJ304">
            <v>0</v>
          </cell>
          <cell r="EL304">
            <v>0</v>
          </cell>
          <cell r="EN304">
            <v>0</v>
          </cell>
          <cell r="EP304">
            <v>0</v>
          </cell>
          <cell r="ER304">
            <v>0</v>
          </cell>
          <cell r="ET304">
            <v>0</v>
          </cell>
          <cell r="EV304">
            <v>0</v>
          </cell>
          <cell r="EX304">
            <v>0</v>
          </cell>
          <cell r="EZ304">
            <v>0</v>
          </cell>
          <cell r="FB304">
            <v>0</v>
          </cell>
          <cell r="FD304">
            <v>0</v>
          </cell>
          <cell r="FF304">
            <v>0</v>
          </cell>
          <cell r="FH304">
            <v>0</v>
          </cell>
          <cell r="FJ304">
            <v>0</v>
          </cell>
          <cell r="FL304">
            <v>0</v>
          </cell>
          <cell r="FN304">
            <v>0</v>
          </cell>
          <cell r="FP304">
            <v>0</v>
          </cell>
          <cell r="FR304">
            <v>0</v>
          </cell>
          <cell r="FT304">
            <v>0</v>
          </cell>
          <cell r="FV304">
            <v>0</v>
          </cell>
          <cell r="GD304">
            <v>14</v>
          </cell>
          <cell r="GF304">
            <v>4</v>
          </cell>
          <cell r="GH304">
            <v>1</v>
          </cell>
          <cell r="GJ304">
            <v>7</v>
          </cell>
          <cell r="GM304">
            <v>172.01</v>
          </cell>
          <cell r="GN30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175.檢查勞工個人防護具：█有 □無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W304" t="str">
            <v>（一）施工廠商施工前檢查事項辦理情形：█完成 □未完成 （二）其他工地安全衛生督導事項：</v>
          </cell>
          <cell r="GX304">
            <v>853901</v>
          </cell>
          <cell r="GY304">
            <v>0</v>
          </cell>
        </row>
        <row r="305">
          <cell r="N305">
            <v>1</v>
          </cell>
          <cell r="P305">
            <v>1</v>
          </cell>
          <cell r="R305">
            <v>672</v>
          </cell>
          <cell r="T305">
            <v>108</v>
          </cell>
          <cell r="V305">
            <v>661</v>
          </cell>
          <cell r="X305">
            <v>2</v>
          </cell>
          <cell r="Z305">
            <v>1</v>
          </cell>
          <cell r="AB305">
            <v>661</v>
          </cell>
          <cell r="AD305">
            <v>2</v>
          </cell>
          <cell r="AF305">
            <v>1</v>
          </cell>
          <cell r="AH305">
            <v>1</v>
          </cell>
          <cell r="AJ305">
            <v>1</v>
          </cell>
          <cell r="AL305">
            <v>0</v>
          </cell>
          <cell r="AN305">
            <v>0</v>
          </cell>
          <cell r="AP305">
            <v>0</v>
          </cell>
          <cell r="AR305">
            <v>0</v>
          </cell>
          <cell r="AT305">
            <v>0</v>
          </cell>
          <cell r="AV305">
            <v>0</v>
          </cell>
          <cell r="AX305">
            <v>0</v>
          </cell>
          <cell r="AZ305">
            <v>0</v>
          </cell>
          <cell r="BB305">
            <v>0</v>
          </cell>
          <cell r="BD305">
            <v>0</v>
          </cell>
          <cell r="BF305">
            <v>0</v>
          </cell>
          <cell r="BH305">
            <v>0</v>
          </cell>
          <cell r="BJ305">
            <v>0</v>
          </cell>
          <cell r="BL305">
            <v>0</v>
          </cell>
          <cell r="BN305">
            <v>0</v>
          </cell>
          <cell r="BP305">
            <v>0</v>
          </cell>
          <cell r="BR305">
            <v>0</v>
          </cell>
          <cell r="BT305">
            <v>0</v>
          </cell>
          <cell r="BV305">
            <v>0</v>
          </cell>
          <cell r="BX305">
            <v>0</v>
          </cell>
          <cell r="BZ305">
            <v>0</v>
          </cell>
          <cell r="CB305">
            <v>0</v>
          </cell>
          <cell r="CD305">
            <v>0</v>
          </cell>
          <cell r="CF305">
            <v>0</v>
          </cell>
          <cell r="CH305">
            <v>0</v>
          </cell>
          <cell r="CJ305">
            <v>0</v>
          </cell>
          <cell r="CL305">
            <v>0</v>
          </cell>
          <cell r="CN305">
            <v>0</v>
          </cell>
          <cell r="CP305">
            <v>0</v>
          </cell>
          <cell r="CR305">
            <v>0</v>
          </cell>
          <cell r="CT305">
            <v>0</v>
          </cell>
          <cell r="CV305">
            <v>0</v>
          </cell>
          <cell r="CX305">
            <v>0</v>
          </cell>
          <cell r="CZ305">
            <v>0</v>
          </cell>
          <cell r="DB305">
            <v>0</v>
          </cell>
          <cell r="DD305">
            <v>0</v>
          </cell>
          <cell r="DF305">
            <v>0</v>
          </cell>
          <cell r="DH305">
            <v>0</v>
          </cell>
          <cell r="DJ305">
            <v>0</v>
          </cell>
          <cell r="DL305">
            <v>0</v>
          </cell>
          <cell r="DN305">
            <v>0</v>
          </cell>
          <cell r="DP305">
            <v>0</v>
          </cell>
          <cell r="DR305">
            <v>0</v>
          </cell>
          <cell r="DT305">
            <v>0</v>
          </cell>
          <cell r="DV305">
            <v>0</v>
          </cell>
          <cell r="DX305">
            <v>0</v>
          </cell>
          <cell r="DZ305">
            <v>0</v>
          </cell>
          <cell r="EB305">
            <v>0</v>
          </cell>
          <cell r="ED305">
            <v>0</v>
          </cell>
          <cell r="EF305">
            <v>0</v>
          </cell>
          <cell r="EH305">
            <v>0</v>
          </cell>
          <cell r="EJ305">
            <v>0</v>
          </cell>
          <cell r="EL305">
            <v>0</v>
          </cell>
          <cell r="EN305">
            <v>0</v>
          </cell>
          <cell r="EP305">
            <v>0</v>
          </cell>
          <cell r="ER305">
            <v>0</v>
          </cell>
          <cell r="ET305">
            <v>0</v>
          </cell>
          <cell r="EV305">
            <v>0</v>
          </cell>
          <cell r="EX305">
            <v>0</v>
          </cell>
          <cell r="EZ305">
            <v>0</v>
          </cell>
          <cell r="FB305">
            <v>0</v>
          </cell>
          <cell r="FD305">
            <v>0</v>
          </cell>
          <cell r="FF305">
            <v>0</v>
          </cell>
          <cell r="FH305">
            <v>0</v>
          </cell>
          <cell r="FJ305">
            <v>0</v>
          </cell>
          <cell r="FL305">
            <v>0</v>
          </cell>
          <cell r="FN305">
            <v>0</v>
          </cell>
          <cell r="FP305">
            <v>0</v>
          </cell>
          <cell r="FR305">
            <v>0</v>
          </cell>
          <cell r="FT305">
            <v>0</v>
          </cell>
          <cell r="FV305">
            <v>0</v>
          </cell>
          <cell r="GD305">
            <v>14</v>
          </cell>
          <cell r="GF305">
            <v>4</v>
          </cell>
          <cell r="GH305">
            <v>1</v>
          </cell>
          <cell r="GJ305">
            <v>7</v>
          </cell>
          <cell r="GM305">
            <v>173.01</v>
          </cell>
          <cell r="GN30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176.檢查勞工個人防護具：█有 □無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W305" t="str">
            <v>（一）施工廠商施工前檢查事項辦理情形：█完成 □未完成 （二）其他工地安全衛生督導事項：</v>
          </cell>
          <cell r="GX305">
            <v>853901</v>
          </cell>
          <cell r="GY305">
            <v>0</v>
          </cell>
        </row>
        <row r="306">
          <cell r="N306">
            <v>1</v>
          </cell>
          <cell r="P306">
            <v>1</v>
          </cell>
          <cell r="R306">
            <v>672</v>
          </cell>
          <cell r="T306">
            <v>108</v>
          </cell>
          <cell r="V306">
            <v>661</v>
          </cell>
          <cell r="X306">
            <v>2</v>
          </cell>
          <cell r="Z306">
            <v>1</v>
          </cell>
          <cell r="AB306">
            <v>661</v>
          </cell>
          <cell r="AD306">
            <v>2</v>
          </cell>
          <cell r="AF306">
            <v>1</v>
          </cell>
          <cell r="AH306">
            <v>1</v>
          </cell>
          <cell r="AJ306">
            <v>1</v>
          </cell>
          <cell r="AL306">
            <v>0</v>
          </cell>
          <cell r="AN306">
            <v>0</v>
          </cell>
          <cell r="AP306">
            <v>0</v>
          </cell>
          <cell r="AR306">
            <v>0</v>
          </cell>
          <cell r="AT306">
            <v>0</v>
          </cell>
          <cell r="AV306">
            <v>0</v>
          </cell>
          <cell r="AX306">
            <v>0</v>
          </cell>
          <cell r="AZ306">
            <v>0</v>
          </cell>
          <cell r="BB306">
            <v>0</v>
          </cell>
          <cell r="BD306">
            <v>0</v>
          </cell>
          <cell r="BF306">
            <v>0</v>
          </cell>
          <cell r="BH306">
            <v>0</v>
          </cell>
          <cell r="BJ306">
            <v>0</v>
          </cell>
          <cell r="BL306">
            <v>0</v>
          </cell>
          <cell r="BN306">
            <v>0</v>
          </cell>
          <cell r="BP306">
            <v>0</v>
          </cell>
          <cell r="BR306">
            <v>0</v>
          </cell>
          <cell r="BT306">
            <v>0</v>
          </cell>
          <cell r="BV306">
            <v>0</v>
          </cell>
          <cell r="BX306">
            <v>0</v>
          </cell>
          <cell r="BZ306">
            <v>0</v>
          </cell>
          <cell r="CB306">
            <v>0</v>
          </cell>
          <cell r="CD306">
            <v>0</v>
          </cell>
          <cell r="CF306">
            <v>0</v>
          </cell>
          <cell r="CH306">
            <v>0</v>
          </cell>
          <cell r="CJ306">
            <v>0</v>
          </cell>
          <cell r="CL306">
            <v>0</v>
          </cell>
          <cell r="CN306">
            <v>0</v>
          </cell>
          <cell r="CP306">
            <v>0</v>
          </cell>
          <cell r="CR306">
            <v>0</v>
          </cell>
          <cell r="CT306">
            <v>0</v>
          </cell>
          <cell r="CV306">
            <v>0</v>
          </cell>
          <cell r="CX306">
            <v>0</v>
          </cell>
          <cell r="CZ306">
            <v>0</v>
          </cell>
          <cell r="DB306">
            <v>0</v>
          </cell>
          <cell r="DD306">
            <v>0</v>
          </cell>
          <cell r="DF306">
            <v>0</v>
          </cell>
          <cell r="DH306">
            <v>0</v>
          </cell>
          <cell r="DJ306">
            <v>0</v>
          </cell>
          <cell r="DL306">
            <v>0</v>
          </cell>
          <cell r="DN306">
            <v>0</v>
          </cell>
          <cell r="DP306">
            <v>0</v>
          </cell>
          <cell r="DR306">
            <v>0</v>
          </cell>
          <cell r="DT306">
            <v>0</v>
          </cell>
          <cell r="DV306">
            <v>0</v>
          </cell>
          <cell r="DX306">
            <v>0</v>
          </cell>
          <cell r="DZ306">
            <v>0</v>
          </cell>
          <cell r="EB306">
            <v>0</v>
          </cell>
          <cell r="ED306">
            <v>0</v>
          </cell>
          <cell r="EF306">
            <v>0</v>
          </cell>
          <cell r="EH306">
            <v>0</v>
          </cell>
          <cell r="EJ306">
            <v>0</v>
          </cell>
          <cell r="EL306">
            <v>0</v>
          </cell>
          <cell r="EN306">
            <v>0</v>
          </cell>
          <cell r="EP306">
            <v>0</v>
          </cell>
          <cell r="ER306">
            <v>0</v>
          </cell>
          <cell r="ET306">
            <v>0</v>
          </cell>
          <cell r="EV306">
            <v>0</v>
          </cell>
          <cell r="EX306">
            <v>0</v>
          </cell>
          <cell r="EZ306">
            <v>0</v>
          </cell>
          <cell r="FB306">
            <v>0</v>
          </cell>
          <cell r="FD306">
            <v>0</v>
          </cell>
          <cell r="FF306">
            <v>0</v>
          </cell>
          <cell r="FH306">
            <v>0</v>
          </cell>
          <cell r="FJ306">
            <v>0</v>
          </cell>
          <cell r="FL306">
            <v>0</v>
          </cell>
          <cell r="FN306">
            <v>0</v>
          </cell>
          <cell r="FP306">
            <v>0</v>
          </cell>
          <cell r="FR306">
            <v>0</v>
          </cell>
          <cell r="FT306">
            <v>0</v>
          </cell>
          <cell r="FV306">
            <v>0</v>
          </cell>
          <cell r="GD306">
            <v>14</v>
          </cell>
          <cell r="GF306">
            <v>4</v>
          </cell>
          <cell r="GH306">
            <v>1</v>
          </cell>
          <cell r="GJ306">
            <v>7</v>
          </cell>
          <cell r="GM306">
            <v>174.01</v>
          </cell>
          <cell r="GN30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177.檢查勞工個人防護具：█有 □無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W306" t="str">
            <v>（一）施工廠商施工前檢查事項辦理情形：█完成 □未完成 （二）其他工地安全衛生督導事項：</v>
          </cell>
          <cell r="GX306">
            <v>853901</v>
          </cell>
          <cell r="GY306">
            <v>0</v>
          </cell>
        </row>
        <row r="307">
          <cell r="N307">
            <v>1</v>
          </cell>
          <cell r="P307">
            <v>1</v>
          </cell>
          <cell r="R307">
            <v>672</v>
          </cell>
          <cell r="T307">
            <v>108</v>
          </cell>
          <cell r="V307">
            <v>661</v>
          </cell>
          <cell r="X307">
            <v>2</v>
          </cell>
          <cell r="Z307">
            <v>1</v>
          </cell>
          <cell r="AB307">
            <v>661</v>
          </cell>
          <cell r="AD307">
            <v>2</v>
          </cell>
          <cell r="AF307">
            <v>1</v>
          </cell>
          <cell r="AH307">
            <v>1</v>
          </cell>
          <cell r="AJ307">
            <v>1</v>
          </cell>
          <cell r="AL307">
            <v>0</v>
          </cell>
          <cell r="AN307">
            <v>0</v>
          </cell>
          <cell r="AP307">
            <v>0</v>
          </cell>
          <cell r="AR307">
            <v>0</v>
          </cell>
          <cell r="AT307">
            <v>0</v>
          </cell>
          <cell r="AV307">
            <v>0</v>
          </cell>
          <cell r="AX307">
            <v>0</v>
          </cell>
          <cell r="AZ307">
            <v>0</v>
          </cell>
          <cell r="BB307">
            <v>0</v>
          </cell>
          <cell r="BD307">
            <v>0</v>
          </cell>
          <cell r="BF307">
            <v>0</v>
          </cell>
          <cell r="BH307">
            <v>0</v>
          </cell>
          <cell r="BJ307">
            <v>0</v>
          </cell>
          <cell r="BL307">
            <v>0</v>
          </cell>
          <cell r="BN307">
            <v>0</v>
          </cell>
          <cell r="BP307">
            <v>0</v>
          </cell>
          <cell r="BR307">
            <v>0</v>
          </cell>
          <cell r="BT307">
            <v>0</v>
          </cell>
          <cell r="BV307">
            <v>0</v>
          </cell>
          <cell r="BX307">
            <v>0</v>
          </cell>
          <cell r="BZ307">
            <v>0</v>
          </cell>
          <cell r="CB307">
            <v>0</v>
          </cell>
          <cell r="CD307">
            <v>0</v>
          </cell>
          <cell r="CF307">
            <v>0</v>
          </cell>
          <cell r="CH307">
            <v>0</v>
          </cell>
          <cell r="CJ307">
            <v>0</v>
          </cell>
          <cell r="CL307">
            <v>0</v>
          </cell>
          <cell r="CN307">
            <v>0</v>
          </cell>
          <cell r="CP307">
            <v>0</v>
          </cell>
          <cell r="CR307">
            <v>0</v>
          </cell>
          <cell r="CT307">
            <v>0</v>
          </cell>
          <cell r="CV307">
            <v>0</v>
          </cell>
          <cell r="CX307">
            <v>0</v>
          </cell>
          <cell r="CZ307">
            <v>0</v>
          </cell>
          <cell r="DB307">
            <v>0</v>
          </cell>
          <cell r="DD307">
            <v>0</v>
          </cell>
          <cell r="DF307">
            <v>0</v>
          </cell>
          <cell r="DH307">
            <v>0</v>
          </cell>
          <cell r="DJ307">
            <v>0</v>
          </cell>
          <cell r="DL307">
            <v>0</v>
          </cell>
          <cell r="DN307">
            <v>0</v>
          </cell>
          <cell r="DP307">
            <v>0</v>
          </cell>
          <cell r="DR307">
            <v>0</v>
          </cell>
          <cell r="DT307">
            <v>0</v>
          </cell>
          <cell r="DV307">
            <v>0</v>
          </cell>
          <cell r="DX307">
            <v>0</v>
          </cell>
          <cell r="DZ307">
            <v>0</v>
          </cell>
          <cell r="EB307">
            <v>0</v>
          </cell>
          <cell r="ED307">
            <v>0</v>
          </cell>
          <cell r="EF307">
            <v>0</v>
          </cell>
          <cell r="EH307">
            <v>0</v>
          </cell>
          <cell r="EJ307">
            <v>0</v>
          </cell>
          <cell r="EL307">
            <v>0</v>
          </cell>
          <cell r="EN307">
            <v>0</v>
          </cell>
          <cell r="EP307">
            <v>0</v>
          </cell>
          <cell r="ER307">
            <v>0</v>
          </cell>
          <cell r="ET307">
            <v>0</v>
          </cell>
          <cell r="EV307">
            <v>0</v>
          </cell>
          <cell r="EX307">
            <v>0</v>
          </cell>
          <cell r="EZ307">
            <v>0</v>
          </cell>
          <cell r="FB307">
            <v>0</v>
          </cell>
          <cell r="FD307">
            <v>0</v>
          </cell>
          <cell r="FF307">
            <v>0</v>
          </cell>
          <cell r="FH307">
            <v>0</v>
          </cell>
          <cell r="FJ307">
            <v>0</v>
          </cell>
          <cell r="FL307">
            <v>0</v>
          </cell>
          <cell r="FN307">
            <v>0</v>
          </cell>
          <cell r="FP307">
            <v>0</v>
          </cell>
          <cell r="FR307">
            <v>0</v>
          </cell>
          <cell r="FT307">
            <v>0</v>
          </cell>
          <cell r="FV307">
            <v>0</v>
          </cell>
          <cell r="GD307">
            <v>14</v>
          </cell>
          <cell r="GF307">
            <v>4</v>
          </cell>
          <cell r="GH307">
            <v>1</v>
          </cell>
          <cell r="GJ307">
            <v>7</v>
          </cell>
          <cell r="GM307">
            <v>175.01</v>
          </cell>
          <cell r="GN30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178.檢查勞工個人防護具：█有 □無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W307" t="str">
            <v>（一）施工廠商施工前檢查事項辦理情形：█完成 □未完成 （二）其他工地安全衛生督導事項：</v>
          </cell>
          <cell r="GX307">
            <v>853901</v>
          </cell>
          <cell r="GY307">
            <v>0</v>
          </cell>
        </row>
        <row r="308">
          <cell r="N308">
            <v>1</v>
          </cell>
          <cell r="P308">
            <v>1</v>
          </cell>
          <cell r="R308">
            <v>672</v>
          </cell>
          <cell r="T308">
            <v>108</v>
          </cell>
          <cell r="V308">
            <v>661</v>
          </cell>
          <cell r="X308">
            <v>2</v>
          </cell>
          <cell r="Z308">
            <v>1</v>
          </cell>
          <cell r="AB308">
            <v>661</v>
          </cell>
          <cell r="AD308">
            <v>2</v>
          </cell>
          <cell r="AF308">
            <v>1</v>
          </cell>
          <cell r="AH308">
            <v>1</v>
          </cell>
          <cell r="AJ308">
            <v>1</v>
          </cell>
          <cell r="AL308">
            <v>0</v>
          </cell>
          <cell r="AN308">
            <v>0</v>
          </cell>
          <cell r="AP308">
            <v>0</v>
          </cell>
          <cell r="AR308">
            <v>0</v>
          </cell>
          <cell r="AT308">
            <v>0</v>
          </cell>
          <cell r="AV308">
            <v>0</v>
          </cell>
          <cell r="AX308">
            <v>0</v>
          </cell>
          <cell r="AZ308">
            <v>0</v>
          </cell>
          <cell r="BB308">
            <v>0</v>
          </cell>
          <cell r="BD308">
            <v>0</v>
          </cell>
          <cell r="BF308">
            <v>0</v>
          </cell>
          <cell r="BH308">
            <v>0</v>
          </cell>
          <cell r="BJ308">
            <v>0</v>
          </cell>
          <cell r="BL308">
            <v>0</v>
          </cell>
          <cell r="BN308">
            <v>0</v>
          </cell>
          <cell r="BP308">
            <v>0</v>
          </cell>
          <cell r="BR308">
            <v>0</v>
          </cell>
          <cell r="BT308">
            <v>0</v>
          </cell>
          <cell r="BV308">
            <v>0</v>
          </cell>
          <cell r="BX308">
            <v>0</v>
          </cell>
          <cell r="BZ308">
            <v>0</v>
          </cell>
          <cell r="CB308">
            <v>0</v>
          </cell>
          <cell r="CD308">
            <v>0</v>
          </cell>
          <cell r="CF308">
            <v>0</v>
          </cell>
          <cell r="CH308">
            <v>0</v>
          </cell>
          <cell r="CJ308">
            <v>0</v>
          </cell>
          <cell r="CL308">
            <v>0</v>
          </cell>
          <cell r="CN308">
            <v>0</v>
          </cell>
          <cell r="CP308">
            <v>0</v>
          </cell>
          <cell r="CR308">
            <v>0</v>
          </cell>
          <cell r="CT308">
            <v>0</v>
          </cell>
          <cell r="CV308">
            <v>0</v>
          </cell>
          <cell r="CX308">
            <v>0</v>
          </cell>
          <cell r="CZ308">
            <v>0</v>
          </cell>
          <cell r="DB308">
            <v>0</v>
          </cell>
          <cell r="DD308">
            <v>0</v>
          </cell>
          <cell r="DF308">
            <v>0</v>
          </cell>
          <cell r="DH308">
            <v>0</v>
          </cell>
          <cell r="DJ308">
            <v>0</v>
          </cell>
          <cell r="DL308">
            <v>0</v>
          </cell>
          <cell r="DN308">
            <v>0</v>
          </cell>
          <cell r="DP308">
            <v>0</v>
          </cell>
          <cell r="DR308">
            <v>0</v>
          </cell>
          <cell r="DT308">
            <v>0</v>
          </cell>
          <cell r="DV308">
            <v>0</v>
          </cell>
          <cell r="DX308">
            <v>0</v>
          </cell>
          <cell r="DZ308">
            <v>0</v>
          </cell>
          <cell r="EB308">
            <v>0</v>
          </cell>
          <cell r="ED308">
            <v>0</v>
          </cell>
          <cell r="EF308">
            <v>0</v>
          </cell>
          <cell r="EH308">
            <v>0</v>
          </cell>
          <cell r="EJ308">
            <v>0</v>
          </cell>
          <cell r="EL308">
            <v>0</v>
          </cell>
          <cell r="EN308">
            <v>0</v>
          </cell>
          <cell r="EP308">
            <v>0</v>
          </cell>
          <cell r="ER308">
            <v>0</v>
          </cell>
          <cell r="ET308">
            <v>0</v>
          </cell>
          <cell r="EV308">
            <v>0</v>
          </cell>
          <cell r="EX308">
            <v>0</v>
          </cell>
          <cell r="EZ308">
            <v>0</v>
          </cell>
          <cell r="FB308">
            <v>0</v>
          </cell>
          <cell r="FD308">
            <v>0</v>
          </cell>
          <cell r="FF308">
            <v>0</v>
          </cell>
          <cell r="FH308">
            <v>0</v>
          </cell>
          <cell r="FJ308">
            <v>0</v>
          </cell>
          <cell r="FL308">
            <v>0</v>
          </cell>
          <cell r="FN308">
            <v>0</v>
          </cell>
          <cell r="FP308">
            <v>0</v>
          </cell>
          <cell r="FR308">
            <v>0</v>
          </cell>
          <cell r="FT308">
            <v>0</v>
          </cell>
          <cell r="FV308">
            <v>0</v>
          </cell>
          <cell r="GD308">
            <v>14</v>
          </cell>
          <cell r="GF308">
            <v>4</v>
          </cell>
          <cell r="GH308">
            <v>1</v>
          </cell>
          <cell r="GJ308">
            <v>7</v>
          </cell>
          <cell r="GM308">
            <v>176.01</v>
          </cell>
          <cell r="GN30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179.檢查勞工個人防護具：█有 □無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W308" t="str">
            <v>（一）施工廠商施工前檢查事項辦理情形：█完成 □未完成 （二）其他工地安全衛生督導事項：</v>
          </cell>
          <cell r="GX308">
            <v>853901</v>
          </cell>
          <cell r="GY308">
            <v>0</v>
          </cell>
        </row>
        <row r="309">
          <cell r="N309">
            <v>1</v>
          </cell>
          <cell r="P309">
            <v>1</v>
          </cell>
          <cell r="R309">
            <v>672</v>
          </cell>
          <cell r="T309">
            <v>108</v>
          </cell>
          <cell r="V309">
            <v>661</v>
          </cell>
          <cell r="X309">
            <v>2</v>
          </cell>
          <cell r="Z309">
            <v>1</v>
          </cell>
          <cell r="AB309">
            <v>661</v>
          </cell>
          <cell r="AD309">
            <v>2</v>
          </cell>
          <cell r="AF309">
            <v>1</v>
          </cell>
          <cell r="AH309">
            <v>1</v>
          </cell>
          <cell r="AJ309">
            <v>1</v>
          </cell>
          <cell r="AL309">
            <v>0</v>
          </cell>
          <cell r="AN309">
            <v>0</v>
          </cell>
          <cell r="AP309">
            <v>0</v>
          </cell>
          <cell r="AR309">
            <v>0</v>
          </cell>
          <cell r="AT309">
            <v>0</v>
          </cell>
          <cell r="AV309">
            <v>0</v>
          </cell>
          <cell r="AX309">
            <v>0</v>
          </cell>
          <cell r="AZ309">
            <v>0</v>
          </cell>
          <cell r="BB309">
            <v>0</v>
          </cell>
          <cell r="BD309">
            <v>0</v>
          </cell>
          <cell r="BF309">
            <v>0</v>
          </cell>
          <cell r="BH309">
            <v>0</v>
          </cell>
          <cell r="BJ309">
            <v>0</v>
          </cell>
          <cell r="BL309">
            <v>0</v>
          </cell>
          <cell r="BN309">
            <v>0</v>
          </cell>
          <cell r="BP309">
            <v>0</v>
          </cell>
          <cell r="BR309">
            <v>0</v>
          </cell>
          <cell r="BT309">
            <v>0</v>
          </cell>
          <cell r="BV309">
            <v>0</v>
          </cell>
          <cell r="BX309">
            <v>0</v>
          </cell>
          <cell r="BZ309">
            <v>0</v>
          </cell>
          <cell r="CB309">
            <v>0</v>
          </cell>
          <cell r="CD309">
            <v>0</v>
          </cell>
          <cell r="CF309">
            <v>0</v>
          </cell>
          <cell r="CH309">
            <v>0</v>
          </cell>
          <cell r="CJ309">
            <v>0</v>
          </cell>
          <cell r="CL309">
            <v>0</v>
          </cell>
          <cell r="CN309">
            <v>0</v>
          </cell>
          <cell r="CP309">
            <v>0</v>
          </cell>
          <cell r="CR309">
            <v>0</v>
          </cell>
          <cell r="CT309">
            <v>0</v>
          </cell>
          <cell r="CV309">
            <v>0</v>
          </cell>
          <cell r="CX309">
            <v>0</v>
          </cell>
          <cell r="CZ309">
            <v>0</v>
          </cell>
          <cell r="DB309">
            <v>0</v>
          </cell>
          <cell r="DD309">
            <v>0</v>
          </cell>
          <cell r="DF309">
            <v>0</v>
          </cell>
          <cell r="DH309">
            <v>0</v>
          </cell>
          <cell r="DJ309">
            <v>0</v>
          </cell>
          <cell r="DL309">
            <v>0</v>
          </cell>
          <cell r="DN309">
            <v>0</v>
          </cell>
          <cell r="DP309">
            <v>0</v>
          </cell>
          <cell r="DR309">
            <v>0</v>
          </cell>
          <cell r="DT309">
            <v>0</v>
          </cell>
          <cell r="DV309">
            <v>0</v>
          </cell>
          <cell r="DX309">
            <v>0</v>
          </cell>
          <cell r="DZ309">
            <v>0</v>
          </cell>
          <cell r="EB309">
            <v>0</v>
          </cell>
          <cell r="ED309">
            <v>0</v>
          </cell>
          <cell r="EF309">
            <v>0</v>
          </cell>
          <cell r="EH309">
            <v>0</v>
          </cell>
          <cell r="EJ309">
            <v>0</v>
          </cell>
          <cell r="EL309">
            <v>0</v>
          </cell>
          <cell r="EN309">
            <v>0</v>
          </cell>
          <cell r="EP309">
            <v>0</v>
          </cell>
          <cell r="ER309">
            <v>0</v>
          </cell>
          <cell r="ET309">
            <v>0</v>
          </cell>
          <cell r="EV309">
            <v>0</v>
          </cell>
          <cell r="EX309">
            <v>0</v>
          </cell>
          <cell r="EZ309">
            <v>0</v>
          </cell>
          <cell r="FB309">
            <v>0</v>
          </cell>
          <cell r="FD309">
            <v>0</v>
          </cell>
          <cell r="FF309">
            <v>0</v>
          </cell>
          <cell r="FH309">
            <v>0</v>
          </cell>
          <cell r="FJ309">
            <v>0</v>
          </cell>
          <cell r="FL309">
            <v>0</v>
          </cell>
          <cell r="FN309">
            <v>0</v>
          </cell>
          <cell r="FP309">
            <v>0</v>
          </cell>
          <cell r="FR309">
            <v>0</v>
          </cell>
          <cell r="FT309">
            <v>0</v>
          </cell>
          <cell r="FV309">
            <v>0</v>
          </cell>
          <cell r="GD309">
            <v>14</v>
          </cell>
          <cell r="GF309">
            <v>4</v>
          </cell>
          <cell r="GH309">
            <v>1</v>
          </cell>
          <cell r="GJ309">
            <v>7</v>
          </cell>
          <cell r="GM309">
            <v>177.01</v>
          </cell>
          <cell r="GN30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180.檢查勞工個人防護具：█有 □無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W309" t="str">
            <v>（一）施工廠商施工前檢查事項辦理情形：█完成 □未完成 （二）其他工地安全衛生督導事項：</v>
          </cell>
          <cell r="GX309">
            <v>853901</v>
          </cell>
          <cell r="GY309">
            <v>0</v>
          </cell>
        </row>
        <row r="310">
          <cell r="N310">
            <v>1</v>
          </cell>
          <cell r="P310">
            <v>1</v>
          </cell>
          <cell r="R310">
            <v>672</v>
          </cell>
          <cell r="T310">
            <v>108</v>
          </cell>
          <cell r="V310">
            <v>661</v>
          </cell>
          <cell r="X310">
            <v>2</v>
          </cell>
          <cell r="Z310">
            <v>1</v>
          </cell>
          <cell r="AB310">
            <v>661</v>
          </cell>
          <cell r="AD310">
            <v>2</v>
          </cell>
          <cell r="AF310">
            <v>1</v>
          </cell>
          <cell r="AH310">
            <v>1</v>
          </cell>
          <cell r="AJ310">
            <v>1</v>
          </cell>
          <cell r="AL310">
            <v>0</v>
          </cell>
          <cell r="AN310">
            <v>0</v>
          </cell>
          <cell r="AP310">
            <v>0</v>
          </cell>
          <cell r="AR310">
            <v>0</v>
          </cell>
          <cell r="AT310">
            <v>0</v>
          </cell>
          <cell r="AV310">
            <v>0</v>
          </cell>
          <cell r="AX310">
            <v>0</v>
          </cell>
          <cell r="AZ310">
            <v>0</v>
          </cell>
          <cell r="BB310">
            <v>0</v>
          </cell>
          <cell r="BD310">
            <v>0</v>
          </cell>
          <cell r="BF310">
            <v>0</v>
          </cell>
          <cell r="BH310">
            <v>0</v>
          </cell>
          <cell r="BJ310">
            <v>0</v>
          </cell>
          <cell r="BL310">
            <v>0</v>
          </cell>
          <cell r="BN310">
            <v>0</v>
          </cell>
          <cell r="BP310">
            <v>0</v>
          </cell>
          <cell r="BR310">
            <v>0</v>
          </cell>
          <cell r="BT310">
            <v>0</v>
          </cell>
          <cell r="BV310">
            <v>0</v>
          </cell>
          <cell r="BX310">
            <v>0</v>
          </cell>
          <cell r="BZ310">
            <v>0</v>
          </cell>
          <cell r="CB310">
            <v>0</v>
          </cell>
          <cell r="CD310">
            <v>0</v>
          </cell>
          <cell r="CF310">
            <v>0</v>
          </cell>
          <cell r="CH310">
            <v>0</v>
          </cell>
          <cell r="CJ310">
            <v>0</v>
          </cell>
          <cell r="CL310">
            <v>0</v>
          </cell>
          <cell r="CN310">
            <v>0</v>
          </cell>
          <cell r="CP310">
            <v>0</v>
          </cell>
          <cell r="CR310">
            <v>0</v>
          </cell>
          <cell r="CT310">
            <v>0</v>
          </cell>
          <cell r="CV310">
            <v>0</v>
          </cell>
          <cell r="CX310">
            <v>0</v>
          </cell>
          <cell r="CZ310">
            <v>0</v>
          </cell>
          <cell r="DB310">
            <v>0</v>
          </cell>
          <cell r="DD310">
            <v>0</v>
          </cell>
          <cell r="DF310">
            <v>0</v>
          </cell>
          <cell r="DH310">
            <v>0</v>
          </cell>
          <cell r="DJ310">
            <v>0</v>
          </cell>
          <cell r="DL310">
            <v>0</v>
          </cell>
          <cell r="DN310">
            <v>0</v>
          </cell>
          <cell r="DP310">
            <v>0</v>
          </cell>
          <cell r="DR310">
            <v>0</v>
          </cell>
          <cell r="DT310">
            <v>0</v>
          </cell>
          <cell r="DV310">
            <v>0</v>
          </cell>
          <cell r="DX310">
            <v>0</v>
          </cell>
          <cell r="DZ310">
            <v>0</v>
          </cell>
          <cell r="EB310">
            <v>0</v>
          </cell>
          <cell r="ED310">
            <v>0</v>
          </cell>
          <cell r="EF310">
            <v>0</v>
          </cell>
          <cell r="EH310">
            <v>0</v>
          </cell>
          <cell r="EJ310">
            <v>0</v>
          </cell>
          <cell r="EL310">
            <v>0</v>
          </cell>
          <cell r="EN310">
            <v>0</v>
          </cell>
          <cell r="EP310">
            <v>0</v>
          </cell>
          <cell r="ER310">
            <v>0</v>
          </cell>
          <cell r="ET310">
            <v>0</v>
          </cell>
          <cell r="EV310">
            <v>0</v>
          </cell>
          <cell r="EX310">
            <v>0</v>
          </cell>
          <cell r="EZ310">
            <v>0</v>
          </cell>
          <cell r="FB310">
            <v>0</v>
          </cell>
          <cell r="FD310">
            <v>0</v>
          </cell>
          <cell r="FF310">
            <v>0</v>
          </cell>
          <cell r="FH310">
            <v>0</v>
          </cell>
          <cell r="FJ310">
            <v>0</v>
          </cell>
          <cell r="FL310">
            <v>0</v>
          </cell>
          <cell r="FN310">
            <v>0</v>
          </cell>
          <cell r="FP310">
            <v>0</v>
          </cell>
          <cell r="FR310">
            <v>0</v>
          </cell>
          <cell r="FT310">
            <v>0</v>
          </cell>
          <cell r="FV310">
            <v>0</v>
          </cell>
          <cell r="GD310">
            <v>14</v>
          </cell>
          <cell r="GF310">
            <v>4</v>
          </cell>
          <cell r="GH310">
            <v>1</v>
          </cell>
          <cell r="GJ310">
            <v>7</v>
          </cell>
          <cell r="GM310">
            <v>178.01</v>
          </cell>
          <cell r="GN31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181.檢查勞工個人防護具：█有 □無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W310" t="str">
            <v>（一）施工廠商施工前檢查事項辦理情形：█完成 □未完成 （二）其他工地安全衛生督導事項：</v>
          </cell>
          <cell r="GX310">
            <v>853901</v>
          </cell>
          <cell r="GY310">
            <v>0</v>
          </cell>
        </row>
        <row r="311">
          <cell r="N311">
            <v>1</v>
          </cell>
          <cell r="P311">
            <v>1</v>
          </cell>
          <cell r="R311">
            <v>672</v>
          </cell>
          <cell r="T311">
            <v>108</v>
          </cell>
          <cell r="V311">
            <v>661</v>
          </cell>
          <cell r="X311">
            <v>2</v>
          </cell>
          <cell r="Z311">
            <v>1</v>
          </cell>
          <cell r="AB311">
            <v>661</v>
          </cell>
          <cell r="AD311">
            <v>2</v>
          </cell>
          <cell r="AF311">
            <v>1</v>
          </cell>
          <cell r="AH311">
            <v>1</v>
          </cell>
          <cell r="AJ311">
            <v>1</v>
          </cell>
          <cell r="AL311">
            <v>0</v>
          </cell>
          <cell r="AN311">
            <v>0</v>
          </cell>
          <cell r="AP311">
            <v>0</v>
          </cell>
          <cell r="AR311">
            <v>0</v>
          </cell>
          <cell r="AT311">
            <v>0</v>
          </cell>
          <cell r="AV311">
            <v>0</v>
          </cell>
          <cell r="AX311">
            <v>0</v>
          </cell>
          <cell r="AZ311">
            <v>0</v>
          </cell>
          <cell r="BB311">
            <v>0</v>
          </cell>
          <cell r="BD311">
            <v>0</v>
          </cell>
          <cell r="BF311">
            <v>0</v>
          </cell>
          <cell r="BH311">
            <v>0</v>
          </cell>
          <cell r="BJ311">
            <v>0</v>
          </cell>
          <cell r="BL311">
            <v>0</v>
          </cell>
          <cell r="BN311">
            <v>0</v>
          </cell>
          <cell r="BP311">
            <v>0</v>
          </cell>
          <cell r="BR311">
            <v>0</v>
          </cell>
          <cell r="BT311">
            <v>0</v>
          </cell>
          <cell r="BV311">
            <v>0</v>
          </cell>
          <cell r="BX311">
            <v>0</v>
          </cell>
          <cell r="BZ311">
            <v>0</v>
          </cell>
          <cell r="CB311">
            <v>0</v>
          </cell>
          <cell r="CD311">
            <v>0</v>
          </cell>
          <cell r="CF311">
            <v>0</v>
          </cell>
          <cell r="CH311">
            <v>0</v>
          </cell>
          <cell r="CJ311">
            <v>0</v>
          </cell>
          <cell r="CL311">
            <v>0</v>
          </cell>
          <cell r="CN311">
            <v>0</v>
          </cell>
          <cell r="CP311">
            <v>0</v>
          </cell>
          <cell r="CR311">
            <v>0</v>
          </cell>
          <cell r="CT311">
            <v>0</v>
          </cell>
          <cell r="CV311">
            <v>0</v>
          </cell>
          <cell r="CX311">
            <v>0</v>
          </cell>
          <cell r="CZ311">
            <v>0</v>
          </cell>
          <cell r="DB311">
            <v>0</v>
          </cell>
          <cell r="DD311">
            <v>0</v>
          </cell>
          <cell r="DF311">
            <v>0</v>
          </cell>
          <cell r="DH311">
            <v>0</v>
          </cell>
          <cell r="DJ311">
            <v>0</v>
          </cell>
          <cell r="DL311">
            <v>0</v>
          </cell>
          <cell r="DN311">
            <v>0</v>
          </cell>
          <cell r="DP311">
            <v>0</v>
          </cell>
          <cell r="DR311">
            <v>0</v>
          </cell>
          <cell r="DT311">
            <v>0</v>
          </cell>
          <cell r="DV311">
            <v>0</v>
          </cell>
          <cell r="DX311">
            <v>0</v>
          </cell>
          <cell r="DZ311">
            <v>0</v>
          </cell>
          <cell r="EB311">
            <v>0</v>
          </cell>
          <cell r="ED311">
            <v>0</v>
          </cell>
          <cell r="EF311">
            <v>0</v>
          </cell>
          <cell r="EH311">
            <v>0</v>
          </cell>
          <cell r="EJ311">
            <v>0</v>
          </cell>
          <cell r="EL311">
            <v>0</v>
          </cell>
          <cell r="EN311">
            <v>0</v>
          </cell>
          <cell r="EP311">
            <v>0</v>
          </cell>
          <cell r="ER311">
            <v>0</v>
          </cell>
          <cell r="ET311">
            <v>0</v>
          </cell>
          <cell r="EV311">
            <v>0</v>
          </cell>
          <cell r="EX311">
            <v>0</v>
          </cell>
          <cell r="EZ311">
            <v>0</v>
          </cell>
          <cell r="FB311">
            <v>0</v>
          </cell>
          <cell r="FD311">
            <v>0</v>
          </cell>
          <cell r="FF311">
            <v>0</v>
          </cell>
          <cell r="FH311">
            <v>0</v>
          </cell>
          <cell r="FJ311">
            <v>0</v>
          </cell>
          <cell r="FL311">
            <v>0</v>
          </cell>
          <cell r="FN311">
            <v>0</v>
          </cell>
          <cell r="FP311">
            <v>0</v>
          </cell>
          <cell r="FR311">
            <v>0</v>
          </cell>
          <cell r="FT311">
            <v>0</v>
          </cell>
          <cell r="FV311">
            <v>0</v>
          </cell>
          <cell r="GD311">
            <v>14</v>
          </cell>
          <cell r="GF311">
            <v>4</v>
          </cell>
          <cell r="GH311">
            <v>1</v>
          </cell>
          <cell r="GJ311">
            <v>7</v>
          </cell>
          <cell r="GM311">
            <v>179.01</v>
          </cell>
          <cell r="GN31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182.檢查勞工個人防護具：█有 □無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W311" t="str">
            <v>（一）施工廠商施工前檢查事項辦理情形：█完成 □未完成 （二）其他工地安全衛生督導事項：</v>
          </cell>
          <cell r="GX311">
            <v>853901</v>
          </cell>
          <cell r="GY311">
            <v>0</v>
          </cell>
        </row>
        <row r="312">
          <cell r="N312">
            <v>1</v>
          </cell>
          <cell r="P312">
            <v>1</v>
          </cell>
          <cell r="R312">
            <v>672</v>
          </cell>
          <cell r="T312">
            <v>108</v>
          </cell>
          <cell r="V312">
            <v>661</v>
          </cell>
          <cell r="X312">
            <v>2</v>
          </cell>
          <cell r="Z312">
            <v>1</v>
          </cell>
          <cell r="AB312">
            <v>661</v>
          </cell>
          <cell r="AD312">
            <v>2</v>
          </cell>
          <cell r="AF312">
            <v>1</v>
          </cell>
          <cell r="AH312">
            <v>1</v>
          </cell>
          <cell r="AJ312">
            <v>1</v>
          </cell>
          <cell r="AL312">
            <v>0</v>
          </cell>
          <cell r="AN312">
            <v>0</v>
          </cell>
          <cell r="AP312">
            <v>0</v>
          </cell>
          <cell r="AR312">
            <v>0</v>
          </cell>
          <cell r="AT312">
            <v>0</v>
          </cell>
          <cell r="AV312">
            <v>0</v>
          </cell>
          <cell r="AX312">
            <v>0</v>
          </cell>
          <cell r="AZ312">
            <v>0</v>
          </cell>
          <cell r="BB312">
            <v>0</v>
          </cell>
          <cell r="BD312">
            <v>0</v>
          </cell>
          <cell r="BF312">
            <v>0</v>
          </cell>
          <cell r="BH312">
            <v>0</v>
          </cell>
          <cell r="BJ312">
            <v>0</v>
          </cell>
          <cell r="BL312">
            <v>0</v>
          </cell>
          <cell r="BN312">
            <v>0</v>
          </cell>
          <cell r="BP312">
            <v>0</v>
          </cell>
          <cell r="BR312">
            <v>0</v>
          </cell>
          <cell r="BT312">
            <v>0</v>
          </cell>
          <cell r="BV312">
            <v>0</v>
          </cell>
          <cell r="BX312">
            <v>0</v>
          </cell>
          <cell r="BZ312">
            <v>0</v>
          </cell>
          <cell r="CB312">
            <v>0</v>
          </cell>
          <cell r="CD312">
            <v>0</v>
          </cell>
          <cell r="CF312">
            <v>0</v>
          </cell>
          <cell r="CH312">
            <v>0</v>
          </cell>
          <cell r="CJ312">
            <v>0</v>
          </cell>
          <cell r="CL312">
            <v>0</v>
          </cell>
          <cell r="CN312">
            <v>0</v>
          </cell>
          <cell r="CP312">
            <v>0</v>
          </cell>
          <cell r="CR312">
            <v>0</v>
          </cell>
          <cell r="CT312">
            <v>0</v>
          </cell>
          <cell r="CV312">
            <v>0</v>
          </cell>
          <cell r="CX312">
            <v>0</v>
          </cell>
          <cell r="CZ312">
            <v>0</v>
          </cell>
          <cell r="DB312">
            <v>0</v>
          </cell>
          <cell r="DD312">
            <v>0</v>
          </cell>
          <cell r="DF312">
            <v>0</v>
          </cell>
          <cell r="DH312">
            <v>0</v>
          </cell>
          <cell r="DJ312">
            <v>0</v>
          </cell>
          <cell r="DL312">
            <v>0</v>
          </cell>
          <cell r="DN312">
            <v>0</v>
          </cell>
          <cell r="DP312">
            <v>0</v>
          </cell>
          <cell r="DR312">
            <v>0</v>
          </cell>
          <cell r="DT312">
            <v>0</v>
          </cell>
          <cell r="DV312">
            <v>0</v>
          </cell>
          <cell r="DX312">
            <v>0</v>
          </cell>
          <cell r="DZ312">
            <v>0</v>
          </cell>
          <cell r="EB312">
            <v>0</v>
          </cell>
          <cell r="ED312">
            <v>0</v>
          </cell>
          <cell r="EF312">
            <v>0</v>
          </cell>
          <cell r="EH312">
            <v>0</v>
          </cell>
          <cell r="EJ312">
            <v>0</v>
          </cell>
          <cell r="EL312">
            <v>0</v>
          </cell>
          <cell r="EN312">
            <v>0</v>
          </cell>
          <cell r="EP312">
            <v>0</v>
          </cell>
          <cell r="ER312">
            <v>0</v>
          </cell>
          <cell r="ET312">
            <v>0</v>
          </cell>
          <cell r="EV312">
            <v>0</v>
          </cell>
          <cell r="EX312">
            <v>0</v>
          </cell>
          <cell r="EZ312">
            <v>0</v>
          </cell>
          <cell r="FB312">
            <v>0</v>
          </cell>
          <cell r="FD312">
            <v>0</v>
          </cell>
          <cell r="FF312">
            <v>0</v>
          </cell>
          <cell r="FH312">
            <v>0</v>
          </cell>
          <cell r="FJ312">
            <v>0</v>
          </cell>
          <cell r="FL312">
            <v>0</v>
          </cell>
          <cell r="FN312">
            <v>0</v>
          </cell>
          <cell r="FP312">
            <v>0</v>
          </cell>
          <cell r="FR312">
            <v>0</v>
          </cell>
          <cell r="FT312">
            <v>0</v>
          </cell>
          <cell r="FV312">
            <v>0</v>
          </cell>
          <cell r="GD312">
            <v>14</v>
          </cell>
          <cell r="GF312">
            <v>4</v>
          </cell>
          <cell r="GH312">
            <v>1</v>
          </cell>
          <cell r="GJ312">
            <v>7</v>
          </cell>
          <cell r="GM312">
            <v>180.01</v>
          </cell>
          <cell r="GN31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183.檢查勞工個人防護具：█有 □無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W312" t="str">
            <v>（一）施工廠商施工前檢查事項辦理情形：█完成 □未完成 （二）其他工地安全衛生督導事項：</v>
          </cell>
          <cell r="GX312">
            <v>853901</v>
          </cell>
          <cell r="GY312">
            <v>0</v>
          </cell>
        </row>
        <row r="313">
          <cell r="N313">
            <v>1</v>
          </cell>
          <cell r="P313">
            <v>1</v>
          </cell>
          <cell r="R313">
            <v>672</v>
          </cell>
          <cell r="T313">
            <v>108</v>
          </cell>
          <cell r="V313">
            <v>661</v>
          </cell>
          <cell r="X313">
            <v>2</v>
          </cell>
          <cell r="Z313">
            <v>1</v>
          </cell>
          <cell r="AB313">
            <v>661</v>
          </cell>
          <cell r="AD313">
            <v>2</v>
          </cell>
          <cell r="AF313">
            <v>1</v>
          </cell>
          <cell r="AH313">
            <v>1</v>
          </cell>
          <cell r="AJ313">
            <v>1</v>
          </cell>
          <cell r="AL313">
            <v>0</v>
          </cell>
          <cell r="AN313">
            <v>0</v>
          </cell>
          <cell r="AP313">
            <v>0</v>
          </cell>
          <cell r="AR313">
            <v>0</v>
          </cell>
          <cell r="AT313">
            <v>0</v>
          </cell>
          <cell r="AV313">
            <v>0</v>
          </cell>
          <cell r="AX313">
            <v>0</v>
          </cell>
          <cell r="AZ313">
            <v>0</v>
          </cell>
          <cell r="BB313">
            <v>0</v>
          </cell>
          <cell r="BD313">
            <v>0</v>
          </cell>
          <cell r="BF313">
            <v>0</v>
          </cell>
          <cell r="BH313">
            <v>0</v>
          </cell>
          <cell r="BJ313">
            <v>0</v>
          </cell>
          <cell r="BL313">
            <v>0</v>
          </cell>
          <cell r="BN313">
            <v>0</v>
          </cell>
          <cell r="BP313">
            <v>0</v>
          </cell>
          <cell r="BR313">
            <v>0</v>
          </cell>
          <cell r="BT313">
            <v>0</v>
          </cell>
          <cell r="BV313">
            <v>0</v>
          </cell>
          <cell r="BX313">
            <v>0</v>
          </cell>
          <cell r="BZ313">
            <v>0</v>
          </cell>
          <cell r="CB313">
            <v>0</v>
          </cell>
          <cell r="CD313">
            <v>0</v>
          </cell>
          <cell r="CF313">
            <v>0</v>
          </cell>
          <cell r="CH313">
            <v>0</v>
          </cell>
          <cell r="CJ313">
            <v>0</v>
          </cell>
          <cell r="CL313">
            <v>0</v>
          </cell>
          <cell r="CN313">
            <v>0</v>
          </cell>
          <cell r="CP313">
            <v>0</v>
          </cell>
          <cell r="CR313">
            <v>0</v>
          </cell>
          <cell r="CT313">
            <v>0</v>
          </cell>
          <cell r="CV313">
            <v>0</v>
          </cell>
          <cell r="CX313">
            <v>0</v>
          </cell>
          <cell r="CZ313">
            <v>0</v>
          </cell>
          <cell r="DB313">
            <v>0</v>
          </cell>
          <cell r="DD313">
            <v>0</v>
          </cell>
          <cell r="DF313">
            <v>0</v>
          </cell>
          <cell r="DH313">
            <v>0</v>
          </cell>
          <cell r="DJ313">
            <v>0</v>
          </cell>
          <cell r="DL313">
            <v>0</v>
          </cell>
          <cell r="DN313">
            <v>0</v>
          </cell>
          <cell r="DP313">
            <v>0</v>
          </cell>
          <cell r="DR313">
            <v>0</v>
          </cell>
          <cell r="DT313">
            <v>0</v>
          </cell>
          <cell r="DV313">
            <v>0</v>
          </cell>
          <cell r="DX313">
            <v>0</v>
          </cell>
          <cell r="DZ313">
            <v>0</v>
          </cell>
          <cell r="EB313">
            <v>0</v>
          </cell>
          <cell r="ED313">
            <v>0</v>
          </cell>
          <cell r="EF313">
            <v>0</v>
          </cell>
          <cell r="EH313">
            <v>0</v>
          </cell>
          <cell r="EJ313">
            <v>0</v>
          </cell>
          <cell r="EL313">
            <v>0</v>
          </cell>
          <cell r="EN313">
            <v>0</v>
          </cell>
          <cell r="EP313">
            <v>0</v>
          </cell>
          <cell r="ER313">
            <v>0</v>
          </cell>
          <cell r="ET313">
            <v>0</v>
          </cell>
          <cell r="EV313">
            <v>0</v>
          </cell>
          <cell r="EX313">
            <v>0</v>
          </cell>
          <cell r="EZ313">
            <v>0</v>
          </cell>
          <cell r="FB313">
            <v>0</v>
          </cell>
          <cell r="FD313">
            <v>0</v>
          </cell>
          <cell r="FF313">
            <v>0</v>
          </cell>
          <cell r="FH313">
            <v>0</v>
          </cell>
          <cell r="FJ313">
            <v>0</v>
          </cell>
          <cell r="FL313">
            <v>0</v>
          </cell>
          <cell r="FN313">
            <v>0</v>
          </cell>
          <cell r="FP313">
            <v>0</v>
          </cell>
          <cell r="FR313">
            <v>0</v>
          </cell>
          <cell r="FT313">
            <v>0</v>
          </cell>
          <cell r="FV313">
            <v>0</v>
          </cell>
          <cell r="GD313">
            <v>14</v>
          </cell>
          <cell r="GF313">
            <v>4</v>
          </cell>
          <cell r="GH313">
            <v>1</v>
          </cell>
          <cell r="GJ313">
            <v>7</v>
          </cell>
          <cell r="GM313">
            <v>181.01</v>
          </cell>
          <cell r="GN31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184.檢查勞工個人防護具：█有 □無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W313" t="str">
            <v>（一）施工廠商施工前檢查事項辦理情形：█完成 □未完成 （二）其他工地安全衛生督導事項：</v>
          </cell>
          <cell r="GX313">
            <v>853901</v>
          </cell>
          <cell r="GY313">
            <v>0</v>
          </cell>
        </row>
        <row r="314">
          <cell r="N314">
            <v>1</v>
          </cell>
          <cell r="P314">
            <v>1</v>
          </cell>
          <cell r="R314">
            <v>672</v>
          </cell>
          <cell r="T314">
            <v>108</v>
          </cell>
          <cell r="V314">
            <v>661</v>
          </cell>
          <cell r="X314">
            <v>2</v>
          </cell>
          <cell r="Z314">
            <v>1</v>
          </cell>
          <cell r="AB314">
            <v>661</v>
          </cell>
          <cell r="AD314">
            <v>2</v>
          </cell>
          <cell r="AF314">
            <v>1</v>
          </cell>
          <cell r="AH314">
            <v>1</v>
          </cell>
          <cell r="AJ314">
            <v>1</v>
          </cell>
          <cell r="AL314">
            <v>0</v>
          </cell>
          <cell r="AN314">
            <v>0</v>
          </cell>
          <cell r="AP314">
            <v>0</v>
          </cell>
          <cell r="AR314">
            <v>0</v>
          </cell>
          <cell r="AT314">
            <v>0</v>
          </cell>
          <cell r="AV314">
            <v>0</v>
          </cell>
          <cell r="AX314">
            <v>0</v>
          </cell>
          <cell r="AZ314">
            <v>0</v>
          </cell>
          <cell r="BB314">
            <v>0</v>
          </cell>
          <cell r="BD314">
            <v>0</v>
          </cell>
          <cell r="BF314">
            <v>0</v>
          </cell>
          <cell r="BH314">
            <v>0</v>
          </cell>
          <cell r="BJ314">
            <v>0</v>
          </cell>
          <cell r="BL314">
            <v>0</v>
          </cell>
          <cell r="BN314">
            <v>0</v>
          </cell>
          <cell r="BP314">
            <v>0</v>
          </cell>
          <cell r="BR314">
            <v>0</v>
          </cell>
          <cell r="BT314">
            <v>0</v>
          </cell>
          <cell r="BV314">
            <v>0</v>
          </cell>
          <cell r="BX314">
            <v>0</v>
          </cell>
          <cell r="BZ314">
            <v>0</v>
          </cell>
          <cell r="CB314">
            <v>0</v>
          </cell>
          <cell r="CD314">
            <v>0</v>
          </cell>
          <cell r="CF314">
            <v>0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R314">
            <v>0</v>
          </cell>
          <cell r="CT314">
            <v>0</v>
          </cell>
          <cell r="CV314">
            <v>0</v>
          </cell>
          <cell r="CX314">
            <v>0</v>
          </cell>
          <cell r="CZ314">
            <v>0</v>
          </cell>
          <cell r="DB314">
            <v>0</v>
          </cell>
          <cell r="DD314">
            <v>0</v>
          </cell>
          <cell r="DF314">
            <v>0</v>
          </cell>
          <cell r="DH314">
            <v>0</v>
          </cell>
          <cell r="DJ314">
            <v>0</v>
          </cell>
          <cell r="DL314">
            <v>0</v>
          </cell>
          <cell r="DN314">
            <v>0</v>
          </cell>
          <cell r="DP314">
            <v>0</v>
          </cell>
          <cell r="DR314">
            <v>0</v>
          </cell>
          <cell r="DT314">
            <v>0</v>
          </cell>
          <cell r="DV314">
            <v>0</v>
          </cell>
          <cell r="DX314">
            <v>0</v>
          </cell>
          <cell r="DZ314">
            <v>0</v>
          </cell>
          <cell r="EB314">
            <v>0</v>
          </cell>
          <cell r="ED314">
            <v>0</v>
          </cell>
          <cell r="EF314">
            <v>0</v>
          </cell>
          <cell r="EH314">
            <v>0</v>
          </cell>
          <cell r="EJ314">
            <v>0</v>
          </cell>
          <cell r="EL314">
            <v>0</v>
          </cell>
          <cell r="EN314">
            <v>0</v>
          </cell>
          <cell r="EP314">
            <v>0</v>
          </cell>
          <cell r="ER314">
            <v>0</v>
          </cell>
          <cell r="ET314">
            <v>0</v>
          </cell>
          <cell r="EV314">
            <v>0</v>
          </cell>
          <cell r="EX314">
            <v>0</v>
          </cell>
          <cell r="EZ314">
            <v>0</v>
          </cell>
          <cell r="FB314">
            <v>0</v>
          </cell>
          <cell r="FD314">
            <v>0</v>
          </cell>
          <cell r="FF314">
            <v>0</v>
          </cell>
          <cell r="FH314">
            <v>0</v>
          </cell>
          <cell r="FJ314">
            <v>0</v>
          </cell>
          <cell r="FL314">
            <v>0</v>
          </cell>
          <cell r="FN314">
            <v>0</v>
          </cell>
          <cell r="FP314">
            <v>0</v>
          </cell>
          <cell r="FR314">
            <v>0</v>
          </cell>
          <cell r="FT314">
            <v>0</v>
          </cell>
          <cell r="FV314">
            <v>0</v>
          </cell>
          <cell r="GD314">
            <v>14</v>
          </cell>
          <cell r="GF314">
            <v>4</v>
          </cell>
          <cell r="GH314">
            <v>1</v>
          </cell>
          <cell r="GJ314">
            <v>7</v>
          </cell>
          <cell r="GM314">
            <v>182.01</v>
          </cell>
          <cell r="GN31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185.檢查勞工個人防護具：█有 □無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W314" t="str">
            <v>（一）施工廠商施工前檢查事項辦理情形：█完成 □未完成 （二）其他工地安全衛生督導事項：</v>
          </cell>
          <cell r="GX314">
            <v>853901</v>
          </cell>
          <cell r="GY314">
            <v>0</v>
          </cell>
        </row>
        <row r="315">
          <cell r="N315">
            <v>1</v>
          </cell>
          <cell r="P315">
            <v>1</v>
          </cell>
          <cell r="R315">
            <v>672</v>
          </cell>
          <cell r="T315">
            <v>108</v>
          </cell>
          <cell r="V315">
            <v>661</v>
          </cell>
          <cell r="X315">
            <v>2</v>
          </cell>
          <cell r="Z315">
            <v>1</v>
          </cell>
          <cell r="AB315">
            <v>661</v>
          </cell>
          <cell r="AD315">
            <v>2</v>
          </cell>
          <cell r="AF315">
            <v>1</v>
          </cell>
          <cell r="AH315">
            <v>1</v>
          </cell>
          <cell r="AJ315">
            <v>1</v>
          </cell>
          <cell r="AL315">
            <v>0</v>
          </cell>
          <cell r="AN315">
            <v>0</v>
          </cell>
          <cell r="AP315">
            <v>0</v>
          </cell>
          <cell r="AR315">
            <v>0</v>
          </cell>
          <cell r="AT315">
            <v>0</v>
          </cell>
          <cell r="AV315">
            <v>0</v>
          </cell>
          <cell r="AX315">
            <v>0</v>
          </cell>
          <cell r="AZ315">
            <v>0</v>
          </cell>
          <cell r="BB315">
            <v>0</v>
          </cell>
          <cell r="BD315">
            <v>0</v>
          </cell>
          <cell r="BF315">
            <v>0</v>
          </cell>
          <cell r="BH315">
            <v>0</v>
          </cell>
          <cell r="BJ315">
            <v>0</v>
          </cell>
          <cell r="BL315">
            <v>0</v>
          </cell>
          <cell r="BN315">
            <v>0</v>
          </cell>
          <cell r="BP315">
            <v>0</v>
          </cell>
          <cell r="BR315">
            <v>0</v>
          </cell>
          <cell r="BT315">
            <v>0</v>
          </cell>
          <cell r="BV315">
            <v>0</v>
          </cell>
          <cell r="BX315">
            <v>0</v>
          </cell>
          <cell r="BZ315">
            <v>0</v>
          </cell>
          <cell r="CB315">
            <v>0</v>
          </cell>
          <cell r="CD315">
            <v>0</v>
          </cell>
          <cell r="CF315">
            <v>0</v>
          </cell>
          <cell r="CH315">
            <v>0</v>
          </cell>
          <cell r="CJ315">
            <v>0</v>
          </cell>
          <cell r="CL315">
            <v>0</v>
          </cell>
          <cell r="CN315">
            <v>0</v>
          </cell>
          <cell r="CP315">
            <v>0</v>
          </cell>
          <cell r="CR315">
            <v>0</v>
          </cell>
          <cell r="CT315">
            <v>0</v>
          </cell>
          <cell r="CV315">
            <v>0</v>
          </cell>
          <cell r="CX315">
            <v>0</v>
          </cell>
          <cell r="CZ315">
            <v>0</v>
          </cell>
          <cell r="DB315">
            <v>0</v>
          </cell>
          <cell r="DD315">
            <v>0</v>
          </cell>
          <cell r="DF315">
            <v>0</v>
          </cell>
          <cell r="DH315">
            <v>0</v>
          </cell>
          <cell r="DJ315">
            <v>0</v>
          </cell>
          <cell r="DL315">
            <v>0</v>
          </cell>
          <cell r="DN315">
            <v>0</v>
          </cell>
          <cell r="DP315">
            <v>0</v>
          </cell>
          <cell r="DR315">
            <v>0</v>
          </cell>
          <cell r="DT315">
            <v>0</v>
          </cell>
          <cell r="DV315">
            <v>0</v>
          </cell>
          <cell r="DX315">
            <v>0</v>
          </cell>
          <cell r="DZ315">
            <v>0</v>
          </cell>
          <cell r="EB315">
            <v>0</v>
          </cell>
          <cell r="ED315">
            <v>0</v>
          </cell>
          <cell r="EF315">
            <v>0</v>
          </cell>
          <cell r="EH315">
            <v>0</v>
          </cell>
          <cell r="EJ315">
            <v>0</v>
          </cell>
          <cell r="EL315">
            <v>0</v>
          </cell>
          <cell r="EN315">
            <v>0</v>
          </cell>
          <cell r="EP315">
            <v>0</v>
          </cell>
          <cell r="ER315">
            <v>0</v>
          </cell>
          <cell r="ET315">
            <v>0</v>
          </cell>
          <cell r="EV315">
            <v>0</v>
          </cell>
          <cell r="EX315">
            <v>0</v>
          </cell>
          <cell r="EZ315">
            <v>0</v>
          </cell>
          <cell r="FB315">
            <v>0</v>
          </cell>
          <cell r="FD315">
            <v>0</v>
          </cell>
          <cell r="FF315">
            <v>0</v>
          </cell>
          <cell r="FH315">
            <v>0</v>
          </cell>
          <cell r="FJ315">
            <v>0</v>
          </cell>
          <cell r="FL315">
            <v>0</v>
          </cell>
          <cell r="FN315">
            <v>0</v>
          </cell>
          <cell r="FP315">
            <v>0</v>
          </cell>
          <cell r="FR315">
            <v>0</v>
          </cell>
          <cell r="FT315">
            <v>0</v>
          </cell>
          <cell r="FV315">
            <v>0</v>
          </cell>
          <cell r="GD315">
            <v>14</v>
          </cell>
          <cell r="GF315">
            <v>4</v>
          </cell>
          <cell r="GH315">
            <v>1</v>
          </cell>
          <cell r="GJ315">
            <v>7</v>
          </cell>
          <cell r="GM315">
            <v>183.01</v>
          </cell>
          <cell r="GN31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186.檢查勞工個人防護具：█有 □無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W315" t="str">
            <v>（一）施工廠商施工前檢查事項辦理情形：█完成 □未完成 （二）其他工地安全衛生督導事項：</v>
          </cell>
          <cell r="GX315">
            <v>853901</v>
          </cell>
          <cell r="GY315">
            <v>0</v>
          </cell>
        </row>
        <row r="316">
          <cell r="N316">
            <v>1</v>
          </cell>
          <cell r="P316">
            <v>1</v>
          </cell>
          <cell r="R316">
            <v>672</v>
          </cell>
          <cell r="T316">
            <v>108</v>
          </cell>
          <cell r="V316">
            <v>661</v>
          </cell>
          <cell r="X316">
            <v>2</v>
          </cell>
          <cell r="Z316">
            <v>1</v>
          </cell>
          <cell r="AB316">
            <v>661</v>
          </cell>
          <cell r="AD316">
            <v>2</v>
          </cell>
          <cell r="AF316">
            <v>1</v>
          </cell>
          <cell r="AH316">
            <v>1</v>
          </cell>
          <cell r="AJ316">
            <v>1</v>
          </cell>
          <cell r="AL316">
            <v>0</v>
          </cell>
          <cell r="AN316">
            <v>0</v>
          </cell>
          <cell r="AP316">
            <v>0</v>
          </cell>
          <cell r="AR316">
            <v>0</v>
          </cell>
          <cell r="AT316">
            <v>0</v>
          </cell>
          <cell r="AV316">
            <v>0</v>
          </cell>
          <cell r="AX316">
            <v>0</v>
          </cell>
          <cell r="AZ316">
            <v>0</v>
          </cell>
          <cell r="BB316">
            <v>0</v>
          </cell>
          <cell r="BD316">
            <v>0</v>
          </cell>
          <cell r="BF316">
            <v>0</v>
          </cell>
          <cell r="BH316">
            <v>0</v>
          </cell>
          <cell r="BJ316">
            <v>0</v>
          </cell>
          <cell r="BL316">
            <v>0</v>
          </cell>
          <cell r="BN316">
            <v>0</v>
          </cell>
          <cell r="BP316">
            <v>0</v>
          </cell>
          <cell r="BR316">
            <v>0</v>
          </cell>
          <cell r="BT316">
            <v>0</v>
          </cell>
          <cell r="BV316">
            <v>0</v>
          </cell>
          <cell r="BX316">
            <v>0</v>
          </cell>
          <cell r="BZ316">
            <v>0</v>
          </cell>
          <cell r="CB316">
            <v>0</v>
          </cell>
          <cell r="CD316">
            <v>0</v>
          </cell>
          <cell r="CF316">
            <v>0</v>
          </cell>
          <cell r="CH316">
            <v>0</v>
          </cell>
          <cell r="CJ316">
            <v>0</v>
          </cell>
          <cell r="CL316">
            <v>0</v>
          </cell>
          <cell r="CN316">
            <v>0</v>
          </cell>
          <cell r="CP316">
            <v>0</v>
          </cell>
          <cell r="CR316">
            <v>0</v>
          </cell>
          <cell r="CT316">
            <v>0</v>
          </cell>
          <cell r="CV316">
            <v>0</v>
          </cell>
          <cell r="CX316">
            <v>0</v>
          </cell>
          <cell r="CZ316">
            <v>0</v>
          </cell>
          <cell r="DB316">
            <v>0</v>
          </cell>
          <cell r="DD316">
            <v>0</v>
          </cell>
          <cell r="DF316">
            <v>0</v>
          </cell>
          <cell r="DH316">
            <v>0</v>
          </cell>
          <cell r="DJ316">
            <v>0</v>
          </cell>
          <cell r="DL316">
            <v>0</v>
          </cell>
          <cell r="DN316">
            <v>0</v>
          </cell>
          <cell r="DP316">
            <v>0</v>
          </cell>
          <cell r="DR316">
            <v>0</v>
          </cell>
          <cell r="DT316">
            <v>0</v>
          </cell>
          <cell r="DV316">
            <v>0</v>
          </cell>
          <cell r="DX316">
            <v>0</v>
          </cell>
          <cell r="DZ316">
            <v>0</v>
          </cell>
          <cell r="EB316">
            <v>0</v>
          </cell>
          <cell r="ED316">
            <v>0</v>
          </cell>
          <cell r="EF316">
            <v>0</v>
          </cell>
          <cell r="EH316">
            <v>0</v>
          </cell>
          <cell r="EJ316">
            <v>0</v>
          </cell>
          <cell r="EL316">
            <v>0</v>
          </cell>
          <cell r="EN316">
            <v>0</v>
          </cell>
          <cell r="EP316">
            <v>0</v>
          </cell>
          <cell r="ER316">
            <v>0</v>
          </cell>
          <cell r="ET316">
            <v>0</v>
          </cell>
          <cell r="EV316">
            <v>0</v>
          </cell>
          <cell r="EX316">
            <v>0</v>
          </cell>
          <cell r="EZ316">
            <v>0</v>
          </cell>
          <cell r="FB316">
            <v>0</v>
          </cell>
          <cell r="FD316">
            <v>0</v>
          </cell>
          <cell r="FF316">
            <v>0</v>
          </cell>
          <cell r="FH316">
            <v>0</v>
          </cell>
          <cell r="FJ316">
            <v>0</v>
          </cell>
          <cell r="FL316">
            <v>0</v>
          </cell>
          <cell r="FN316">
            <v>0</v>
          </cell>
          <cell r="FP316">
            <v>0</v>
          </cell>
          <cell r="FR316">
            <v>0</v>
          </cell>
          <cell r="FT316">
            <v>0</v>
          </cell>
          <cell r="FV316">
            <v>0</v>
          </cell>
          <cell r="GD316">
            <v>14</v>
          </cell>
          <cell r="GF316">
            <v>4</v>
          </cell>
          <cell r="GH316">
            <v>1</v>
          </cell>
          <cell r="GJ316">
            <v>7</v>
          </cell>
          <cell r="GM316">
            <v>184.01</v>
          </cell>
          <cell r="GN31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187.檢查勞工個人防護具：█有 □無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W316" t="str">
            <v>（一）施工廠商施工前檢查事項辦理情形：█完成 □未完成 （二）其他工地安全衛生督導事項：</v>
          </cell>
          <cell r="GX316">
            <v>853901</v>
          </cell>
          <cell r="GY316">
            <v>0</v>
          </cell>
        </row>
        <row r="317">
          <cell r="N317">
            <v>1</v>
          </cell>
          <cell r="P317">
            <v>1</v>
          </cell>
          <cell r="R317">
            <v>672</v>
          </cell>
          <cell r="T317">
            <v>108</v>
          </cell>
          <cell r="V317">
            <v>661</v>
          </cell>
          <cell r="X317">
            <v>2</v>
          </cell>
          <cell r="Z317">
            <v>1</v>
          </cell>
          <cell r="AB317">
            <v>661</v>
          </cell>
          <cell r="AD317">
            <v>2</v>
          </cell>
          <cell r="AF317">
            <v>1</v>
          </cell>
          <cell r="AH317">
            <v>1</v>
          </cell>
          <cell r="AJ317">
            <v>1</v>
          </cell>
          <cell r="AL317">
            <v>0</v>
          </cell>
          <cell r="AN317">
            <v>0</v>
          </cell>
          <cell r="AP317">
            <v>0</v>
          </cell>
          <cell r="AR317">
            <v>0</v>
          </cell>
          <cell r="AT317">
            <v>0</v>
          </cell>
          <cell r="AV317">
            <v>0</v>
          </cell>
          <cell r="AX317">
            <v>0</v>
          </cell>
          <cell r="AZ317">
            <v>0</v>
          </cell>
          <cell r="BB317">
            <v>0</v>
          </cell>
          <cell r="BD317">
            <v>0</v>
          </cell>
          <cell r="BF317">
            <v>0</v>
          </cell>
          <cell r="BH317">
            <v>0</v>
          </cell>
          <cell r="BJ317">
            <v>0</v>
          </cell>
          <cell r="BL317">
            <v>0</v>
          </cell>
          <cell r="BN317">
            <v>0</v>
          </cell>
          <cell r="BP317">
            <v>0</v>
          </cell>
          <cell r="BR317">
            <v>0</v>
          </cell>
          <cell r="BT317">
            <v>0</v>
          </cell>
          <cell r="BV317">
            <v>0</v>
          </cell>
          <cell r="BX317">
            <v>0</v>
          </cell>
          <cell r="BZ317">
            <v>0</v>
          </cell>
          <cell r="CB317">
            <v>0</v>
          </cell>
          <cell r="CD317">
            <v>0</v>
          </cell>
          <cell r="CF317">
            <v>0</v>
          </cell>
          <cell r="CH317">
            <v>0</v>
          </cell>
          <cell r="CJ317">
            <v>0</v>
          </cell>
          <cell r="CL317">
            <v>0</v>
          </cell>
          <cell r="CN317">
            <v>0</v>
          </cell>
          <cell r="CP317">
            <v>0</v>
          </cell>
          <cell r="CR317">
            <v>0</v>
          </cell>
          <cell r="CT317">
            <v>0</v>
          </cell>
          <cell r="CV317">
            <v>0</v>
          </cell>
          <cell r="CX317">
            <v>0</v>
          </cell>
          <cell r="CZ317">
            <v>0</v>
          </cell>
          <cell r="DB317">
            <v>0</v>
          </cell>
          <cell r="DD317">
            <v>0</v>
          </cell>
          <cell r="DF317">
            <v>0</v>
          </cell>
          <cell r="DH317">
            <v>0</v>
          </cell>
          <cell r="DJ317">
            <v>0</v>
          </cell>
          <cell r="DL317">
            <v>0</v>
          </cell>
          <cell r="DN317">
            <v>0</v>
          </cell>
          <cell r="DP317">
            <v>0</v>
          </cell>
          <cell r="DR317">
            <v>0</v>
          </cell>
          <cell r="DT317">
            <v>0</v>
          </cell>
          <cell r="DV317">
            <v>0</v>
          </cell>
          <cell r="DX317">
            <v>0</v>
          </cell>
          <cell r="DZ317">
            <v>0</v>
          </cell>
          <cell r="EB317">
            <v>0</v>
          </cell>
          <cell r="ED317">
            <v>0</v>
          </cell>
          <cell r="EF317">
            <v>0</v>
          </cell>
          <cell r="EH317">
            <v>0</v>
          </cell>
          <cell r="EJ317">
            <v>0</v>
          </cell>
          <cell r="EL317">
            <v>0</v>
          </cell>
          <cell r="EN317">
            <v>0</v>
          </cell>
          <cell r="EP317">
            <v>0</v>
          </cell>
          <cell r="ER317">
            <v>0</v>
          </cell>
          <cell r="ET317">
            <v>0</v>
          </cell>
          <cell r="EV317">
            <v>0</v>
          </cell>
          <cell r="EX317">
            <v>0</v>
          </cell>
          <cell r="EZ317">
            <v>0</v>
          </cell>
          <cell r="FB317">
            <v>0</v>
          </cell>
          <cell r="FD317">
            <v>0</v>
          </cell>
          <cell r="FF317">
            <v>0</v>
          </cell>
          <cell r="FH317">
            <v>0</v>
          </cell>
          <cell r="FJ317">
            <v>0</v>
          </cell>
          <cell r="FL317">
            <v>0</v>
          </cell>
          <cell r="FN317">
            <v>0</v>
          </cell>
          <cell r="FP317">
            <v>0</v>
          </cell>
          <cell r="FR317">
            <v>0</v>
          </cell>
          <cell r="FT317">
            <v>0</v>
          </cell>
          <cell r="FV317">
            <v>0</v>
          </cell>
          <cell r="GD317">
            <v>14</v>
          </cell>
          <cell r="GF317">
            <v>4</v>
          </cell>
          <cell r="GH317">
            <v>1</v>
          </cell>
          <cell r="GJ317">
            <v>7</v>
          </cell>
          <cell r="GM317">
            <v>185.01</v>
          </cell>
          <cell r="GN31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188.檢查勞工個人防護具：█有 □無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W317" t="str">
            <v>（一）施工廠商施工前檢查事項辦理情形：█完成 □未完成 （二）其他工地安全衛生督導事項：</v>
          </cell>
          <cell r="GX317">
            <v>853901</v>
          </cell>
          <cell r="GY317">
            <v>0</v>
          </cell>
        </row>
        <row r="318">
          <cell r="N318">
            <v>1</v>
          </cell>
          <cell r="P318">
            <v>1</v>
          </cell>
          <cell r="R318">
            <v>672</v>
          </cell>
          <cell r="T318">
            <v>108</v>
          </cell>
          <cell r="V318">
            <v>661</v>
          </cell>
          <cell r="X318">
            <v>2</v>
          </cell>
          <cell r="Z318">
            <v>1</v>
          </cell>
          <cell r="AB318">
            <v>661</v>
          </cell>
          <cell r="AD318">
            <v>2</v>
          </cell>
          <cell r="AF318">
            <v>1</v>
          </cell>
          <cell r="AH318">
            <v>1</v>
          </cell>
          <cell r="AJ318">
            <v>1</v>
          </cell>
          <cell r="AL318">
            <v>0</v>
          </cell>
          <cell r="AN318">
            <v>0</v>
          </cell>
          <cell r="AP318">
            <v>0</v>
          </cell>
          <cell r="AR318">
            <v>0</v>
          </cell>
          <cell r="AT318">
            <v>0</v>
          </cell>
          <cell r="AV318">
            <v>0</v>
          </cell>
          <cell r="AX318">
            <v>0</v>
          </cell>
          <cell r="AZ318">
            <v>0</v>
          </cell>
          <cell r="BB318">
            <v>0</v>
          </cell>
          <cell r="BD318">
            <v>0</v>
          </cell>
          <cell r="BF318">
            <v>0</v>
          </cell>
          <cell r="BH318">
            <v>0</v>
          </cell>
          <cell r="BJ318">
            <v>0</v>
          </cell>
          <cell r="BL318">
            <v>0</v>
          </cell>
          <cell r="BN318">
            <v>0</v>
          </cell>
          <cell r="BP318">
            <v>0</v>
          </cell>
          <cell r="BR318">
            <v>0</v>
          </cell>
          <cell r="BT318">
            <v>0</v>
          </cell>
          <cell r="BV318">
            <v>0</v>
          </cell>
          <cell r="BX318">
            <v>0</v>
          </cell>
          <cell r="BZ318">
            <v>0</v>
          </cell>
          <cell r="CB318">
            <v>0</v>
          </cell>
          <cell r="CD318">
            <v>0</v>
          </cell>
          <cell r="CF318">
            <v>0</v>
          </cell>
          <cell r="CH318">
            <v>0</v>
          </cell>
          <cell r="CJ318">
            <v>0</v>
          </cell>
          <cell r="CL318">
            <v>0</v>
          </cell>
          <cell r="CN318">
            <v>0</v>
          </cell>
          <cell r="CP318">
            <v>0</v>
          </cell>
          <cell r="CR318">
            <v>0</v>
          </cell>
          <cell r="CT318">
            <v>0</v>
          </cell>
          <cell r="CV318">
            <v>0</v>
          </cell>
          <cell r="CX318">
            <v>0</v>
          </cell>
          <cell r="CZ318">
            <v>0</v>
          </cell>
          <cell r="DB318">
            <v>0</v>
          </cell>
          <cell r="DD318">
            <v>0</v>
          </cell>
          <cell r="DF318">
            <v>0</v>
          </cell>
          <cell r="DH318">
            <v>0</v>
          </cell>
          <cell r="DJ318">
            <v>0</v>
          </cell>
          <cell r="DL318">
            <v>0</v>
          </cell>
          <cell r="DN318">
            <v>0</v>
          </cell>
          <cell r="DP318">
            <v>0</v>
          </cell>
          <cell r="DR318">
            <v>0</v>
          </cell>
          <cell r="DT318">
            <v>0</v>
          </cell>
          <cell r="DV318">
            <v>0</v>
          </cell>
          <cell r="DX318">
            <v>0</v>
          </cell>
          <cell r="DZ318">
            <v>0</v>
          </cell>
          <cell r="EB318">
            <v>0</v>
          </cell>
          <cell r="ED318">
            <v>0</v>
          </cell>
          <cell r="EF318">
            <v>0</v>
          </cell>
          <cell r="EH318">
            <v>0</v>
          </cell>
          <cell r="EJ318">
            <v>0</v>
          </cell>
          <cell r="EL318">
            <v>0</v>
          </cell>
          <cell r="EN318">
            <v>0</v>
          </cell>
          <cell r="EP318">
            <v>0</v>
          </cell>
          <cell r="ER318">
            <v>0</v>
          </cell>
          <cell r="ET318">
            <v>0</v>
          </cell>
          <cell r="EV318">
            <v>0</v>
          </cell>
          <cell r="EX318">
            <v>0</v>
          </cell>
          <cell r="EZ318">
            <v>0</v>
          </cell>
          <cell r="FB318">
            <v>0</v>
          </cell>
          <cell r="FD318">
            <v>0</v>
          </cell>
          <cell r="FF318">
            <v>0</v>
          </cell>
          <cell r="FH318">
            <v>0</v>
          </cell>
          <cell r="FJ318">
            <v>0</v>
          </cell>
          <cell r="FL318">
            <v>0</v>
          </cell>
          <cell r="FN318">
            <v>0</v>
          </cell>
          <cell r="FP318">
            <v>0</v>
          </cell>
          <cell r="FR318">
            <v>0</v>
          </cell>
          <cell r="FT318">
            <v>0</v>
          </cell>
          <cell r="FV318">
            <v>0</v>
          </cell>
          <cell r="GD318">
            <v>14</v>
          </cell>
          <cell r="GF318">
            <v>4</v>
          </cell>
          <cell r="GH318">
            <v>1</v>
          </cell>
          <cell r="GJ318">
            <v>7</v>
          </cell>
          <cell r="GM318">
            <v>186.01</v>
          </cell>
          <cell r="GN31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189.檢查勞工個人防護具：█有 □無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W318" t="str">
            <v>（一）施工廠商施工前檢查事項辦理情形：█完成 □未完成 （二）其他工地安全衛生督導事項：</v>
          </cell>
          <cell r="GX318">
            <v>853901</v>
          </cell>
          <cell r="GY318">
            <v>0</v>
          </cell>
        </row>
        <row r="319">
          <cell r="N319">
            <v>1</v>
          </cell>
          <cell r="P319">
            <v>1</v>
          </cell>
          <cell r="R319">
            <v>672</v>
          </cell>
          <cell r="T319">
            <v>108</v>
          </cell>
          <cell r="V319">
            <v>661</v>
          </cell>
          <cell r="X319">
            <v>2</v>
          </cell>
          <cell r="Z319">
            <v>1</v>
          </cell>
          <cell r="AB319">
            <v>661</v>
          </cell>
          <cell r="AD319">
            <v>2</v>
          </cell>
          <cell r="AF319">
            <v>1</v>
          </cell>
          <cell r="AH319">
            <v>1</v>
          </cell>
          <cell r="AJ319">
            <v>1</v>
          </cell>
          <cell r="AL319">
            <v>0</v>
          </cell>
          <cell r="AN319">
            <v>0</v>
          </cell>
          <cell r="AP319">
            <v>0</v>
          </cell>
          <cell r="AR319">
            <v>0</v>
          </cell>
          <cell r="AT319">
            <v>0</v>
          </cell>
          <cell r="AV319">
            <v>0</v>
          </cell>
          <cell r="AX319">
            <v>0</v>
          </cell>
          <cell r="AZ319">
            <v>0</v>
          </cell>
          <cell r="BB319">
            <v>0</v>
          </cell>
          <cell r="BD319">
            <v>0</v>
          </cell>
          <cell r="BF319">
            <v>0</v>
          </cell>
          <cell r="BH319">
            <v>0</v>
          </cell>
          <cell r="BJ319">
            <v>0</v>
          </cell>
          <cell r="BL319">
            <v>0</v>
          </cell>
          <cell r="BN319">
            <v>0</v>
          </cell>
          <cell r="BP319">
            <v>0</v>
          </cell>
          <cell r="BR319">
            <v>0</v>
          </cell>
          <cell r="BT319">
            <v>0</v>
          </cell>
          <cell r="BV319">
            <v>0</v>
          </cell>
          <cell r="BX319">
            <v>0</v>
          </cell>
          <cell r="BZ319">
            <v>0</v>
          </cell>
          <cell r="CB319">
            <v>0</v>
          </cell>
          <cell r="CD319">
            <v>0</v>
          </cell>
          <cell r="CF319">
            <v>0</v>
          </cell>
          <cell r="CH319">
            <v>0</v>
          </cell>
          <cell r="CJ319">
            <v>0</v>
          </cell>
          <cell r="CL319">
            <v>0</v>
          </cell>
          <cell r="CN319">
            <v>0</v>
          </cell>
          <cell r="CP319">
            <v>0</v>
          </cell>
          <cell r="CR319">
            <v>0</v>
          </cell>
          <cell r="CT319">
            <v>0</v>
          </cell>
          <cell r="CV319">
            <v>0</v>
          </cell>
          <cell r="CX319">
            <v>0</v>
          </cell>
          <cell r="CZ319">
            <v>0</v>
          </cell>
          <cell r="DB319">
            <v>0</v>
          </cell>
          <cell r="DD319">
            <v>0</v>
          </cell>
          <cell r="DF319">
            <v>0</v>
          </cell>
          <cell r="DH319">
            <v>0</v>
          </cell>
          <cell r="DJ319">
            <v>0</v>
          </cell>
          <cell r="DL319">
            <v>0</v>
          </cell>
          <cell r="DN319">
            <v>0</v>
          </cell>
          <cell r="DP319">
            <v>0</v>
          </cell>
          <cell r="DR319">
            <v>0</v>
          </cell>
          <cell r="DT319">
            <v>0</v>
          </cell>
          <cell r="DV319">
            <v>0</v>
          </cell>
          <cell r="DX319">
            <v>0</v>
          </cell>
          <cell r="DZ319">
            <v>0</v>
          </cell>
          <cell r="EB319">
            <v>0</v>
          </cell>
          <cell r="ED319">
            <v>0</v>
          </cell>
          <cell r="EF319">
            <v>0</v>
          </cell>
          <cell r="EH319">
            <v>0</v>
          </cell>
          <cell r="EJ319">
            <v>0</v>
          </cell>
          <cell r="EL319">
            <v>0</v>
          </cell>
          <cell r="EN319">
            <v>0</v>
          </cell>
          <cell r="EP319">
            <v>0</v>
          </cell>
          <cell r="ER319">
            <v>0</v>
          </cell>
          <cell r="ET319">
            <v>0</v>
          </cell>
          <cell r="EV319">
            <v>0</v>
          </cell>
          <cell r="EX319">
            <v>0</v>
          </cell>
          <cell r="EZ319">
            <v>0</v>
          </cell>
          <cell r="FB319">
            <v>0</v>
          </cell>
          <cell r="FD319">
            <v>0</v>
          </cell>
          <cell r="FF319">
            <v>0</v>
          </cell>
          <cell r="FH319">
            <v>0</v>
          </cell>
          <cell r="FJ319">
            <v>0</v>
          </cell>
          <cell r="FL319">
            <v>0</v>
          </cell>
          <cell r="FN319">
            <v>0</v>
          </cell>
          <cell r="FP319">
            <v>0</v>
          </cell>
          <cell r="FR319">
            <v>0</v>
          </cell>
          <cell r="FT319">
            <v>0</v>
          </cell>
          <cell r="FV319">
            <v>0</v>
          </cell>
          <cell r="GD319">
            <v>14</v>
          </cell>
          <cell r="GF319">
            <v>4</v>
          </cell>
          <cell r="GH319">
            <v>1</v>
          </cell>
          <cell r="GJ319">
            <v>7</v>
          </cell>
          <cell r="GM319">
            <v>187.01</v>
          </cell>
          <cell r="GN31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190.檢查勞工個人防護具：█有 □無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W319" t="str">
            <v>（一）施工廠商施工前檢查事項辦理情形：█完成 □未完成 （二）其他工地安全衛生督導事項：</v>
          </cell>
          <cell r="GX319">
            <v>853901</v>
          </cell>
          <cell r="GY319">
            <v>0</v>
          </cell>
        </row>
        <row r="320">
          <cell r="N320">
            <v>1</v>
          </cell>
          <cell r="P320">
            <v>1</v>
          </cell>
          <cell r="R320">
            <v>672</v>
          </cell>
          <cell r="T320">
            <v>108</v>
          </cell>
          <cell r="V320">
            <v>661</v>
          </cell>
          <cell r="X320">
            <v>2</v>
          </cell>
          <cell r="Z320">
            <v>1</v>
          </cell>
          <cell r="AB320">
            <v>661</v>
          </cell>
          <cell r="AD320">
            <v>2</v>
          </cell>
          <cell r="AF320">
            <v>1</v>
          </cell>
          <cell r="AH320">
            <v>1</v>
          </cell>
          <cell r="AJ320">
            <v>1</v>
          </cell>
          <cell r="AL320">
            <v>0</v>
          </cell>
          <cell r="AN320">
            <v>0</v>
          </cell>
          <cell r="AP320">
            <v>0</v>
          </cell>
          <cell r="AR320">
            <v>0</v>
          </cell>
          <cell r="AT320">
            <v>0</v>
          </cell>
          <cell r="AV320">
            <v>0</v>
          </cell>
          <cell r="AX320">
            <v>0</v>
          </cell>
          <cell r="AZ320">
            <v>0</v>
          </cell>
          <cell r="BB320">
            <v>0</v>
          </cell>
          <cell r="BD320">
            <v>0</v>
          </cell>
          <cell r="BF320">
            <v>0</v>
          </cell>
          <cell r="BH320">
            <v>0</v>
          </cell>
          <cell r="BJ320">
            <v>0</v>
          </cell>
          <cell r="BL320">
            <v>0</v>
          </cell>
          <cell r="BN320">
            <v>0</v>
          </cell>
          <cell r="BP320">
            <v>0</v>
          </cell>
          <cell r="BR320">
            <v>0</v>
          </cell>
          <cell r="BT320">
            <v>0</v>
          </cell>
          <cell r="BV320">
            <v>0</v>
          </cell>
          <cell r="BX320">
            <v>0</v>
          </cell>
          <cell r="BZ320">
            <v>0</v>
          </cell>
          <cell r="CB320">
            <v>0</v>
          </cell>
          <cell r="CD320">
            <v>0</v>
          </cell>
          <cell r="CF320">
            <v>0</v>
          </cell>
          <cell r="CH320">
            <v>0</v>
          </cell>
          <cell r="CJ320">
            <v>0</v>
          </cell>
          <cell r="CL320">
            <v>0</v>
          </cell>
          <cell r="CN320">
            <v>0</v>
          </cell>
          <cell r="CP320">
            <v>0</v>
          </cell>
          <cell r="CR320">
            <v>0</v>
          </cell>
          <cell r="CT320">
            <v>0</v>
          </cell>
          <cell r="CV320">
            <v>0</v>
          </cell>
          <cell r="CX320">
            <v>0</v>
          </cell>
          <cell r="CZ320">
            <v>0</v>
          </cell>
          <cell r="DB320">
            <v>0</v>
          </cell>
          <cell r="DD320">
            <v>0</v>
          </cell>
          <cell r="DF320">
            <v>0</v>
          </cell>
          <cell r="DH320">
            <v>0</v>
          </cell>
          <cell r="DJ320">
            <v>0</v>
          </cell>
          <cell r="DL320">
            <v>0</v>
          </cell>
          <cell r="DN320">
            <v>0</v>
          </cell>
          <cell r="DP320">
            <v>0</v>
          </cell>
          <cell r="DR320">
            <v>0</v>
          </cell>
          <cell r="DT320">
            <v>0</v>
          </cell>
          <cell r="DV320">
            <v>0</v>
          </cell>
          <cell r="DX320">
            <v>0</v>
          </cell>
          <cell r="DZ320">
            <v>0</v>
          </cell>
          <cell r="EB320">
            <v>0</v>
          </cell>
          <cell r="ED320">
            <v>0</v>
          </cell>
          <cell r="EF320">
            <v>0</v>
          </cell>
          <cell r="EH320">
            <v>0</v>
          </cell>
          <cell r="EJ320">
            <v>0</v>
          </cell>
          <cell r="EL320">
            <v>0</v>
          </cell>
          <cell r="EN320">
            <v>0</v>
          </cell>
          <cell r="EP320">
            <v>0</v>
          </cell>
          <cell r="ER320">
            <v>0</v>
          </cell>
          <cell r="ET320">
            <v>0</v>
          </cell>
          <cell r="EV320">
            <v>0</v>
          </cell>
          <cell r="EX320">
            <v>0</v>
          </cell>
          <cell r="EZ320">
            <v>0</v>
          </cell>
          <cell r="FB320">
            <v>0</v>
          </cell>
          <cell r="FD320">
            <v>0</v>
          </cell>
          <cell r="FF320">
            <v>0</v>
          </cell>
          <cell r="FH320">
            <v>0</v>
          </cell>
          <cell r="FJ320">
            <v>0</v>
          </cell>
          <cell r="FL320">
            <v>0</v>
          </cell>
          <cell r="FN320">
            <v>0</v>
          </cell>
          <cell r="FP320">
            <v>0</v>
          </cell>
          <cell r="FR320">
            <v>0</v>
          </cell>
          <cell r="FT320">
            <v>0</v>
          </cell>
          <cell r="FV320">
            <v>0</v>
          </cell>
          <cell r="GD320">
            <v>14</v>
          </cell>
          <cell r="GF320">
            <v>4</v>
          </cell>
          <cell r="GH320">
            <v>1</v>
          </cell>
          <cell r="GJ320">
            <v>7</v>
          </cell>
          <cell r="GM320">
            <v>188.01</v>
          </cell>
          <cell r="GN32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191.檢查勞工個人防護具：█有 □無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W320" t="str">
            <v>（一）施工廠商施工前檢查事項辦理情形：█完成 □未完成 （二）其他工地安全衛生督導事項：</v>
          </cell>
          <cell r="GX320">
            <v>853901</v>
          </cell>
          <cell r="GY320">
            <v>0</v>
          </cell>
        </row>
        <row r="321">
          <cell r="N321">
            <v>1</v>
          </cell>
          <cell r="P321">
            <v>1</v>
          </cell>
          <cell r="R321">
            <v>672</v>
          </cell>
          <cell r="T321">
            <v>108</v>
          </cell>
          <cell r="V321">
            <v>661</v>
          </cell>
          <cell r="X321">
            <v>2</v>
          </cell>
          <cell r="Z321">
            <v>1</v>
          </cell>
          <cell r="AB321">
            <v>661</v>
          </cell>
          <cell r="AD321">
            <v>2</v>
          </cell>
          <cell r="AF321">
            <v>1</v>
          </cell>
          <cell r="AH321">
            <v>1</v>
          </cell>
          <cell r="AJ321">
            <v>1</v>
          </cell>
          <cell r="AL321">
            <v>0</v>
          </cell>
          <cell r="AN321">
            <v>0</v>
          </cell>
          <cell r="AP321">
            <v>0</v>
          </cell>
          <cell r="AR321">
            <v>0</v>
          </cell>
          <cell r="AT321">
            <v>0</v>
          </cell>
          <cell r="AV321">
            <v>0</v>
          </cell>
          <cell r="AX321">
            <v>0</v>
          </cell>
          <cell r="AZ321">
            <v>0</v>
          </cell>
          <cell r="BB321">
            <v>0</v>
          </cell>
          <cell r="BD321">
            <v>0</v>
          </cell>
          <cell r="BF321">
            <v>0</v>
          </cell>
          <cell r="BH321">
            <v>0</v>
          </cell>
          <cell r="BJ321">
            <v>0</v>
          </cell>
          <cell r="BL321">
            <v>0</v>
          </cell>
          <cell r="BN321">
            <v>0</v>
          </cell>
          <cell r="BP321">
            <v>0</v>
          </cell>
          <cell r="BR321">
            <v>0</v>
          </cell>
          <cell r="BT321">
            <v>0</v>
          </cell>
          <cell r="BV321">
            <v>0</v>
          </cell>
          <cell r="BX321">
            <v>0</v>
          </cell>
          <cell r="BZ321">
            <v>0</v>
          </cell>
          <cell r="CB321">
            <v>0</v>
          </cell>
          <cell r="CD321">
            <v>0</v>
          </cell>
          <cell r="CF321">
            <v>0</v>
          </cell>
          <cell r="CH321">
            <v>0</v>
          </cell>
          <cell r="CJ321">
            <v>0</v>
          </cell>
          <cell r="CL321">
            <v>0</v>
          </cell>
          <cell r="CN321">
            <v>0</v>
          </cell>
          <cell r="CP321">
            <v>0</v>
          </cell>
          <cell r="CR321">
            <v>0</v>
          </cell>
          <cell r="CT321">
            <v>0</v>
          </cell>
          <cell r="CV321">
            <v>0</v>
          </cell>
          <cell r="CX321">
            <v>0</v>
          </cell>
          <cell r="CZ321">
            <v>0</v>
          </cell>
          <cell r="DB321">
            <v>0</v>
          </cell>
          <cell r="DD321">
            <v>0</v>
          </cell>
          <cell r="DF321">
            <v>0</v>
          </cell>
          <cell r="DH321">
            <v>0</v>
          </cell>
          <cell r="DJ321">
            <v>0</v>
          </cell>
          <cell r="DL321">
            <v>0</v>
          </cell>
          <cell r="DN321">
            <v>0</v>
          </cell>
          <cell r="DP321">
            <v>0</v>
          </cell>
          <cell r="DR321">
            <v>0</v>
          </cell>
          <cell r="DT321">
            <v>0</v>
          </cell>
          <cell r="DV321">
            <v>0</v>
          </cell>
          <cell r="DX321">
            <v>0</v>
          </cell>
          <cell r="DZ321">
            <v>0</v>
          </cell>
          <cell r="EB321">
            <v>0</v>
          </cell>
          <cell r="ED321">
            <v>0</v>
          </cell>
          <cell r="EF321">
            <v>0</v>
          </cell>
          <cell r="EH321">
            <v>0</v>
          </cell>
          <cell r="EJ321">
            <v>0</v>
          </cell>
          <cell r="EL321">
            <v>0</v>
          </cell>
          <cell r="EN321">
            <v>0</v>
          </cell>
          <cell r="EP321">
            <v>0</v>
          </cell>
          <cell r="ER321">
            <v>0</v>
          </cell>
          <cell r="ET321">
            <v>0</v>
          </cell>
          <cell r="EV321">
            <v>0</v>
          </cell>
          <cell r="EX321">
            <v>0</v>
          </cell>
          <cell r="EZ321">
            <v>0</v>
          </cell>
          <cell r="FB321">
            <v>0</v>
          </cell>
          <cell r="FD321">
            <v>0</v>
          </cell>
          <cell r="FF321">
            <v>0</v>
          </cell>
          <cell r="FH321">
            <v>0</v>
          </cell>
          <cell r="FJ321">
            <v>0</v>
          </cell>
          <cell r="FL321">
            <v>0</v>
          </cell>
          <cell r="FN321">
            <v>0</v>
          </cell>
          <cell r="FP321">
            <v>0</v>
          </cell>
          <cell r="FR321">
            <v>0</v>
          </cell>
          <cell r="FT321">
            <v>0</v>
          </cell>
          <cell r="FV321">
            <v>0</v>
          </cell>
          <cell r="GD321">
            <v>14</v>
          </cell>
          <cell r="GF321">
            <v>4</v>
          </cell>
          <cell r="GH321">
            <v>1</v>
          </cell>
          <cell r="GJ321">
            <v>7</v>
          </cell>
          <cell r="GM321">
            <v>189.01</v>
          </cell>
          <cell r="GN32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192.檢查勞工個人防護具：█有 □無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W321" t="str">
            <v>（一）施工廠商施工前檢查事項辦理情形：█完成 □未完成 （二）其他工地安全衛生督導事項：</v>
          </cell>
          <cell r="GX321">
            <v>853901</v>
          </cell>
          <cell r="GY321">
            <v>0</v>
          </cell>
        </row>
        <row r="322">
          <cell r="N322">
            <v>1</v>
          </cell>
          <cell r="P322">
            <v>1</v>
          </cell>
          <cell r="R322">
            <v>672</v>
          </cell>
          <cell r="T322">
            <v>108</v>
          </cell>
          <cell r="V322">
            <v>661</v>
          </cell>
          <cell r="X322">
            <v>2</v>
          </cell>
          <cell r="Z322">
            <v>1</v>
          </cell>
          <cell r="AB322">
            <v>661</v>
          </cell>
          <cell r="AD322">
            <v>2</v>
          </cell>
          <cell r="AF322">
            <v>1</v>
          </cell>
          <cell r="AH322">
            <v>1</v>
          </cell>
          <cell r="AJ322">
            <v>1</v>
          </cell>
          <cell r="AL322">
            <v>0</v>
          </cell>
          <cell r="AN322">
            <v>0</v>
          </cell>
          <cell r="AP322">
            <v>0</v>
          </cell>
          <cell r="AR322">
            <v>0</v>
          </cell>
          <cell r="AT322">
            <v>0</v>
          </cell>
          <cell r="AV322">
            <v>0</v>
          </cell>
          <cell r="AX322">
            <v>0</v>
          </cell>
          <cell r="AZ322">
            <v>0</v>
          </cell>
          <cell r="BB322">
            <v>0</v>
          </cell>
          <cell r="BD322">
            <v>0</v>
          </cell>
          <cell r="BF322">
            <v>0</v>
          </cell>
          <cell r="BH322">
            <v>0</v>
          </cell>
          <cell r="BJ322">
            <v>0</v>
          </cell>
          <cell r="BL322">
            <v>0</v>
          </cell>
          <cell r="BN322">
            <v>0</v>
          </cell>
          <cell r="BP322">
            <v>0</v>
          </cell>
          <cell r="BR322">
            <v>0</v>
          </cell>
          <cell r="BT322">
            <v>0</v>
          </cell>
          <cell r="BV322">
            <v>0</v>
          </cell>
          <cell r="BX322">
            <v>0</v>
          </cell>
          <cell r="BZ322">
            <v>0</v>
          </cell>
          <cell r="CB322">
            <v>0</v>
          </cell>
          <cell r="CD322">
            <v>0</v>
          </cell>
          <cell r="CF322">
            <v>0</v>
          </cell>
          <cell r="CH322">
            <v>0</v>
          </cell>
          <cell r="CJ322">
            <v>0</v>
          </cell>
          <cell r="CL322">
            <v>0</v>
          </cell>
          <cell r="CN322">
            <v>0</v>
          </cell>
          <cell r="CP322">
            <v>0</v>
          </cell>
          <cell r="CR322">
            <v>0</v>
          </cell>
          <cell r="CT322">
            <v>0</v>
          </cell>
          <cell r="CV322">
            <v>0</v>
          </cell>
          <cell r="CX322">
            <v>0</v>
          </cell>
          <cell r="CZ322">
            <v>0</v>
          </cell>
          <cell r="DB322">
            <v>0</v>
          </cell>
          <cell r="DD322">
            <v>0</v>
          </cell>
          <cell r="DF322">
            <v>0</v>
          </cell>
          <cell r="DH322">
            <v>0</v>
          </cell>
          <cell r="DJ322">
            <v>0</v>
          </cell>
          <cell r="DL322">
            <v>0</v>
          </cell>
          <cell r="DN322">
            <v>0</v>
          </cell>
          <cell r="DP322">
            <v>0</v>
          </cell>
          <cell r="DR322">
            <v>0</v>
          </cell>
          <cell r="DT322">
            <v>0</v>
          </cell>
          <cell r="DV322">
            <v>0</v>
          </cell>
          <cell r="DX322">
            <v>0</v>
          </cell>
          <cell r="DZ322">
            <v>0</v>
          </cell>
          <cell r="EB322">
            <v>0</v>
          </cell>
          <cell r="ED322">
            <v>0</v>
          </cell>
          <cell r="EF322">
            <v>0</v>
          </cell>
          <cell r="EH322">
            <v>0</v>
          </cell>
          <cell r="EJ322">
            <v>0</v>
          </cell>
          <cell r="EL322">
            <v>0</v>
          </cell>
          <cell r="EN322">
            <v>0</v>
          </cell>
          <cell r="EP322">
            <v>0</v>
          </cell>
          <cell r="ER322">
            <v>0</v>
          </cell>
          <cell r="ET322">
            <v>0</v>
          </cell>
          <cell r="EV322">
            <v>0</v>
          </cell>
          <cell r="EX322">
            <v>0</v>
          </cell>
          <cell r="EZ322">
            <v>0</v>
          </cell>
          <cell r="FB322">
            <v>0</v>
          </cell>
          <cell r="FD322">
            <v>0</v>
          </cell>
          <cell r="FF322">
            <v>0</v>
          </cell>
          <cell r="FH322">
            <v>0</v>
          </cell>
          <cell r="FJ322">
            <v>0</v>
          </cell>
          <cell r="FL322">
            <v>0</v>
          </cell>
          <cell r="FN322">
            <v>0</v>
          </cell>
          <cell r="FP322">
            <v>0</v>
          </cell>
          <cell r="FR322">
            <v>0</v>
          </cell>
          <cell r="FT322">
            <v>0</v>
          </cell>
          <cell r="FV322">
            <v>0</v>
          </cell>
          <cell r="GD322">
            <v>14</v>
          </cell>
          <cell r="GF322">
            <v>4</v>
          </cell>
          <cell r="GH322">
            <v>1</v>
          </cell>
          <cell r="GJ322">
            <v>7</v>
          </cell>
          <cell r="GM322">
            <v>190.01</v>
          </cell>
          <cell r="GN32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193.檢查勞工個人防護具：█有 □無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W322" t="str">
            <v>（一）施工廠商施工前檢查事項辦理情形：█完成 □未完成 （二）其他工地安全衛生督導事項：</v>
          </cell>
          <cell r="GX322">
            <v>853901</v>
          </cell>
          <cell r="GY322">
            <v>0</v>
          </cell>
        </row>
        <row r="323">
          <cell r="N323">
            <v>1</v>
          </cell>
          <cell r="P323">
            <v>1</v>
          </cell>
          <cell r="R323">
            <v>672</v>
          </cell>
          <cell r="T323">
            <v>108</v>
          </cell>
          <cell r="V323">
            <v>661</v>
          </cell>
          <cell r="X323">
            <v>2</v>
          </cell>
          <cell r="Z323">
            <v>1</v>
          </cell>
          <cell r="AB323">
            <v>661</v>
          </cell>
          <cell r="AD323">
            <v>2</v>
          </cell>
          <cell r="AF323">
            <v>1</v>
          </cell>
          <cell r="AH323">
            <v>1</v>
          </cell>
          <cell r="AJ323">
            <v>1</v>
          </cell>
          <cell r="AL323">
            <v>0</v>
          </cell>
          <cell r="AN323">
            <v>0</v>
          </cell>
          <cell r="AP323">
            <v>0</v>
          </cell>
          <cell r="AR323">
            <v>0</v>
          </cell>
          <cell r="AT323">
            <v>0</v>
          </cell>
          <cell r="AV323">
            <v>0</v>
          </cell>
          <cell r="AX323">
            <v>0</v>
          </cell>
          <cell r="AZ323">
            <v>0</v>
          </cell>
          <cell r="BB323">
            <v>0</v>
          </cell>
          <cell r="BD323">
            <v>0</v>
          </cell>
          <cell r="BF323">
            <v>0</v>
          </cell>
          <cell r="BH323">
            <v>0</v>
          </cell>
          <cell r="BJ323">
            <v>0</v>
          </cell>
          <cell r="BL323">
            <v>0</v>
          </cell>
          <cell r="BN323">
            <v>0</v>
          </cell>
          <cell r="BP323">
            <v>0</v>
          </cell>
          <cell r="BR323">
            <v>0</v>
          </cell>
          <cell r="BT323">
            <v>0</v>
          </cell>
          <cell r="BV323">
            <v>0</v>
          </cell>
          <cell r="BX323">
            <v>0</v>
          </cell>
          <cell r="BZ323">
            <v>0</v>
          </cell>
          <cell r="CB323">
            <v>0</v>
          </cell>
          <cell r="CD323">
            <v>0</v>
          </cell>
          <cell r="CF323">
            <v>0</v>
          </cell>
          <cell r="CH323">
            <v>0</v>
          </cell>
          <cell r="CJ323">
            <v>0</v>
          </cell>
          <cell r="CL323">
            <v>0</v>
          </cell>
          <cell r="CN323">
            <v>0</v>
          </cell>
          <cell r="CP323">
            <v>0</v>
          </cell>
          <cell r="CR323">
            <v>0</v>
          </cell>
          <cell r="CT323">
            <v>0</v>
          </cell>
          <cell r="CV323">
            <v>0</v>
          </cell>
          <cell r="CX323">
            <v>0</v>
          </cell>
          <cell r="CZ323">
            <v>0</v>
          </cell>
          <cell r="DB323">
            <v>0</v>
          </cell>
          <cell r="DD323">
            <v>0</v>
          </cell>
          <cell r="DF323">
            <v>0</v>
          </cell>
          <cell r="DH323">
            <v>0</v>
          </cell>
          <cell r="DJ323">
            <v>0</v>
          </cell>
          <cell r="DL323">
            <v>0</v>
          </cell>
          <cell r="DN323">
            <v>0</v>
          </cell>
          <cell r="DP323">
            <v>0</v>
          </cell>
          <cell r="DR323">
            <v>0</v>
          </cell>
          <cell r="DT323">
            <v>0</v>
          </cell>
          <cell r="DV323">
            <v>0</v>
          </cell>
          <cell r="DX323">
            <v>0</v>
          </cell>
          <cell r="DZ323">
            <v>0</v>
          </cell>
          <cell r="EB323">
            <v>0</v>
          </cell>
          <cell r="ED323">
            <v>0</v>
          </cell>
          <cell r="EF323">
            <v>0</v>
          </cell>
          <cell r="EH323">
            <v>0</v>
          </cell>
          <cell r="EJ323">
            <v>0</v>
          </cell>
          <cell r="EL323">
            <v>0</v>
          </cell>
          <cell r="EN323">
            <v>0</v>
          </cell>
          <cell r="EP323">
            <v>0</v>
          </cell>
          <cell r="ER323">
            <v>0</v>
          </cell>
          <cell r="ET323">
            <v>0</v>
          </cell>
          <cell r="EV323">
            <v>0</v>
          </cell>
          <cell r="EX323">
            <v>0</v>
          </cell>
          <cell r="EZ323">
            <v>0</v>
          </cell>
          <cell r="FB323">
            <v>0</v>
          </cell>
          <cell r="FD323">
            <v>0</v>
          </cell>
          <cell r="FF323">
            <v>0</v>
          </cell>
          <cell r="FH323">
            <v>0</v>
          </cell>
          <cell r="FJ323">
            <v>0</v>
          </cell>
          <cell r="FL323">
            <v>0</v>
          </cell>
          <cell r="FN323">
            <v>0</v>
          </cell>
          <cell r="FP323">
            <v>0</v>
          </cell>
          <cell r="FR323">
            <v>0</v>
          </cell>
          <cell r="FT323">
            <v>0</v>
          </cell>
          <cell r="FV323">
            <v>0</v>
          </cell>
          <cell r="GD323">
            <v>14</v>
          </cell>
          <cell r="GF323">
            <v>4</v>
          </cell>
          <cell r="GH323">
            <v>1</v>
          </cell>
          <cell r="GJ323">
            <v>7</v>
          </cell>
          <cell r="GM323">
            <v>191.01</v>
          </cell>
          <cell r="GN32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194.檢查勞工個人防護具：█有 □無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W323" t="str">
            <v>（一）施工廠商施工前檢查事項辦理情形：█完成 □未完成 （二）其他工地安全衛生督導事項：</v>
          </cell>
          <cell r="GX323">
            <v>853901</v>
          </cell>
          <cell r="GY323">
            <v>0</v>
          </cell>
        </row>
        <row r="324">
          <cell r="N324">
            <v>1</v>
          </cell>
          <cell r="P324">
            <v>1</v>
          </cell>
          <cell r="R324">
            <v>672</v>
          </cell>
          <cell r="T324">
            <v>108</v>
          </cell>
          <cell r="V324">
            <v>661</v>
          </cell>
          <cell r="X324">
            <v>2</v>
          </cell>
          <cell r="Z324">
            <v>1</v>
          </cell>
          <cell r="AB324">
            <v>661</v>
          </cell>
          <cell r="AD324">
            <v>2</v>
          </cell>
          <cell r="AF324">
            <v>1</v>
          </cell>
          <cell r="AH324">
            <v>1</v>
          </cell>
          <cell r="AJ324">
            <v>1</v>
          </cell>
          <cell r="AL324">
            <v>0</v>
          </cell>
          <cell r="AN324">
            <v>0</v>
          </cell>
          <cell r="AP324">
            <v>0</v>
          </cell>
          <cell r="AR324">
            <v>0</v>
          </cell>
          <cell r="AT324">
            <v>0</v>
          </cell>
          <cell r="AV324">
            <v>0</v>
          </cell>
          <cell r="AX324">
            <v>0</v>
          </cell>
          <cell r="AZ324">
            <v>0</v>
          </cell>
          <cell r="BB324">
            <v>0</v>
          </cell>
          <cell r="BD324">
            <v>0</v>
          </cell>
          <cell r="BF324">
            <v>0</v>
          </cell>
          <cell r="BH324">
            <v>0</v>
          </cell>
          <cell r="BJ324">
            <v>0</v>
          </cell>
          <cell r="BL324">
            <v>0</v>
          </cell>
          <cell r="BN324">
            <v>0</v>
          </cell>
          <cell r="BP324">
            <v>0</v>
          </cell>
          <cell r="BR324">
            <v>0</v>
          </cell>
          <cell r="BT324">
            <v>0</v>
          </cell>
          <cell r="BV324">
            <v>0</v>
          </cell>
          <cell r="BX324">
            <v>0</v>
          </cell>
          <cell r="BZ324">
            <v>0</v>
          </cell>
          <cell r="CB324">
            <v>0</v>
          </cell>
          <cell r="CD324">
            <v>0</v>
          </cell>
          <cell r="CF324">
            <v>0</v>
          </cell>
          <cell r="CH324">
            <v>0</v>
          </cell>
          <cell r="CJ324">
            <v>0</v>
          </cell>
          <cell r="CL324">
            <v>0</v>
          </cell>
          <cell r="CN324">
            <v>0</v>
          </cell>
          <cell r="CP324">
            <v>0</v>
          </cell>
          <cell r="CR324">
            <v>0</v>
          </cell>
          <cell r="CT324">
            <v>0</v>
          </cell>
          <cell r="CV324">
            <v>0</v>
          </cell>
          <cell r="CX324">
            <v>0</v>
          </cell>
          <cell r="CZ324">
            <v>0</v>
          </cell>
          <cell r="DB324">
            <v>0</v>
          </cell>
          <cell r="DD324">
            <v>0</v>
          </cell>
          <cell r="DF324">
            <v>0</v>
          </cell>
          <cell r="DH324">
            <v>0</v>
          </cell>
          <cell r="DJ324">
            <v>0</v>
          </cell>
          <cell r="DL324">
            <v>0</v>
          </cell>
          <cell r="DN324">
            <v>0</v>
          </cell>
          <cell r="DP324">
            <v>0</v>
          </cell>
          <cell r="DR324">
            <v>0</v>
          </cell>
          <cell r="DT324">
            <v>0</v>
          </cell>
          <cell r="DV324">
            <v>0</v>
          </cell>
          <cell r="DX324">
            <v>0</v>
          </cell>
          <cell r="DZ324">
            <v>0</v>
          </cell>
          <cell r="EB324">
            <v>0</v>
          </cell>
          <cell r="ED324">
            <v>0</v>
          </cell>
          <cell r="EF324">
            <v>0</v>
          </cell>
          <cell r="EH324">
            <v>0</v>
          </cell>
          <cell r="EJ324">
            <v>0</v>
          </cell>
          <cell r="EL324">
            <v>0</v>
          </cell>
          <cell r="EN324">
            <v>0</v>
          </cell>
          <cell r="EP324">
            <v>0</v>
          </cell>
          <cell r="ER324">
            <v>0</v>
          </cell>
          <cell r="ET324">
            <v>0</v>
          </cell>
          <cell r="EV324">
            <v>0</v>
          </cell>
          <cell r="EX324">
            <v>0</v>
          </cell>
          <cell r="EZ324">
            <v>0</v>
          </cell>
          <cell r="FB324">
            <v>0</v>
          </cell>
          <cell r="FD324">
            <v>0</v>
          </cell>
          <cell r="FF324">
            <v>0</v>
          </cell>
          <cell r="FH324">
            <v>0</v>
          </cell>
          <cell r="FJ324">
            <v>0</v>
          </cell>
          <cell r="FL324">
            <v>0</v>
          </cell>
          <cell r="FN324">
            <v>0</v>
          </cell>
          <cell r="FP324">
            <v>0</v>
          </cell>
          <cell r="FR324">
            <v>0</v>
          </cell>
          <cell r="FT324">
            <v>0</v>
          </cell>
          <cell r="FV324">
            <v>0</v>
          </cell>
          <cell r="GD324">
            <v>14</v>
          </cell>
          <cell r="GF324">
            <v>4</v>
          </cell>
          <cell r="GH324">
            <v>1</v>
          </cell>
          <cell r="GJ324">
            <v>7</v>
          </cell>
          <cell r="GM324">
            <v>192.01</v>
          </cell>
          <cell r="GN32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195.檢查勞工個人防護具：█有 □無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W324" t="str">
            <v>（一）施工廠商施工前檢查事項辦理情形：█完成 □未完成 （二）其他工地安全衛生督導事項：</v>
          </cell>
          <cell r="GX324">
            <v>853901</v>
          </cell>
          <cell r="GY324">
            <v>0</v>
          </cell>
        </row>
        <row r="325">
          <cell r="N325">
            <v>1</v>
          </cell>
          <cell r="P325">
            <v>1</v>
          </cell>
          <cell r="R325">
            <v>672</v>
          </cell>
          <cell r="T325">
            <v>108</v>
          </cell>
          <cell r="V325">
            <v>661</v>
          </cell>
          <cell r="X325">
            <v>2</v>
          </cell>
          <cell r="Z325">
            <v>1</v>
          </cell>
          <cell r="AB325">
            <v>661</v>
          </cell>
          <cell r="AD325">
            <v>2</v>
          </cell>
          <cell r="AF325">
            <v>1</v>
          </cell>
          <cell r="AH325">
            <v>1</v>
          </cell>
          <cell r="AJ325">
            <v>1</v>
          </cell>
          <cell r="AL325">
            <v>0</v>
          </cell>
          <cell r="AN325">
            <v>0</v>
          </cell>
          <cell r="AP325">
            <v>0</v>
          </cell>
          <cell r="AR325">
            <v>0</v>
          </cell>
          <cell r="AT325">
            <v>0</v>
          </cell>
          <cell r="AV325">
            <v>0</v>
          </cell>
          <cell r="AX325">
            <v>0</v>
          </cell>
          <cell r="AZ325">
            <v>0</v>
          </cell>
          <cell r="BB325">
            <v>0</v>
          </cell>
          <cell r="BD325">
            <v>0</v>
          </cell>
          <cell r="BF325">
            <v>0</v>
          </cell>
          <cell r="BH325">
            <v>0</v>
          </cell>
          <cell r="BJ325">
            <v>0</v>
          </cell>
          <cell r="BL325">
            <v>0</v>
          </cell>
          <cell r="BN325">
            <v>0</v>
          </cell>
          <cell r="BP325">
            <v>0</v>
          </cell>
          <cell r="BR325">
            <v>0</v>
          </cell>
          <cell r="BT325">
            <v>0</v>
          </cell>
          <cell r="BV325">
            <v>0</v>
          </cell>
          <cell r="BX325">
            <v>0</v>
          </cell>
          <cell r="BZ325">
            <v>0</v>
          </cell>
          <cell r="CB325">
            <v>0</v>
          </cell>
          <cell r="CD325">
            <v>0</v>
          </cell>
          <cell r="CF325">
            <v>0</v>
          </cell>
          <cell r="CH325">
            <v>0</v>
          </cell>
          <cell r="CJ325">
            <v>0</v>
          </cell>
          <cell r="CL325">
            <v>0</v>
          </cell>
          <cell r="CN325">
            <v>0</v>
          </cell>
          <cell r="CP325">
            <v>0</v>
          </cell>
          <cell r="CR325">
            <v>0</v>
          </cell>
          <cell r="CT325">
            <v>0</v>
          </cell>
          <cell r="CV325">
            <v>0</v>
          </cell>
          <cell r="CX325">
            <v>0</v>
          </cell>
          <cell r="CZ325">
            <v>0</v>
          </cell>
          <cell r="DB325">
            <v>0</v>
          </cell>
          <cell r="DD325">
            <v>0</v>
          </cell>
          <cell r="DF325">
            <v>0</v>
          </cell>
          <cell r="DH325">
            <v>0</v>
          </cell>
          <cell r="DJ325">
            <v>0</v>
          </cell>
          <cell r="DL325">
            <v>0</v>
          </cell>
          <cell r="DN325">
            <v>0</v>
          </cell>
          <cell r="DP325">
            <v>0</v>
          </cell>
          <cell r="DR325">
            <v>0</v>
          </cell>
          <cell r="DT325">
            <v>0</v>
          </cell>
          <cell r="DV325">
            <v>0</v>
          </cell>
          <cell r="DX325">
            <v>0</v>
          </cell>
          <cell r="DZ325">
            <v>0</v>
          </cell>
          <cell r="EB325">
            <v>0</v>
          </cell>
          <cell r="ED325">
            <v>0</v>
          </cell>
          <cell r="EF325">
            <v>0</v>
          </cell>
          <cell r="EH325">
            <v>0</v>
          </cell>
          <cell r="EJ325">
            <v>0</v>
          </cell>
          <cell r="EL325">
            <v>0</v>
          </cell>
          <cell r="EN325">
            <v>0</v>
          </cell>
          <cell r="EP325">
            <v>0</v>
          </cell>
          <cell r="ER325">
            <v>0</v>
          </cell>
          <cell r="ET325">
            <v>0</v>
          </cell>
          <cell r="EV325">
            <v>0</v>
          </cell>
          <cell r="EX325">
            <v>0</v>
          </cell>
          <cell r="EZ325">
            <v>0</v>
          </cell>
          <cell r="FB325">
            <v>0</v>
          </cell>
          <cell r="FD325">
            <v>0</v>
          </cell>
          <cell r="FF325">
            <v>0</v>
          </cell>
          <cell r="FH325">
            <v>0</v>
          </cell>
          <cell r="FJ325">
            <v>0</v>
          </cell>
          <cell r="FL325">
            <v>0</v>
          </cell>
          <cell r="FN325">
            <v>0</v>
          </cell>
          <cell r="FP325">
            <v>0</v>
          </cell>
          <cell r="FR325">
            <v>0</v>
          </cell>
          <cell r="FT325">
            <v>0</v>
          </cell>
          <cell r="FV325">
            <v>0</v>
          </cell>
          <cell r="GD325">
            <v>14</v>
          </cell>
          <cell r="GF325">
            <v>4</v>
          </cell>
          <cell r="GH325">
            <v>1</v>
          </cell>
          <cell r="GJ325">
            <v>7</v>
          </cell>
          <cell r="GM325">
            <v>193.01</v>
          </cell>
          <cell r="GN32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196.檢查勞工個人防護具：█有 □無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W325" t="str">
            <v>（一）施工廠商施工前檢查事項辦理情形：█完成 □未完成 （二）其他工地安全衛生督導事項：</v>
          </cell>
          <cell r="GX325">
            <v>853901</v>
          </cell>
          <cell r="GY325">
            <v>0</v>
          </cell>
        </row>
        <row r="326">
          <cell r="N326">
            <v>1</v>
          </cell>
          <cell r="P326">
            <v>1</v>
          </cell>
          <cell r="R326">
            <v>672</v>
          </cell>
          <cell r="T326">
            <v>108</v>
          </cell>
          <cell r="V326">
            <v>661</v>
          </cell>
          <cell r="X326">
            <v>2</v>
          </cell>
          <cell r="Z326">
            <v>1</v>
          </cell>
          <cell r="AB326">
            <v>661</v>
          </cell>
          <cell r="AD326">
            <v>2</v>
          </cell>
          <cell r="AF326">
            <v>1</v>
          </cell>
          <cell r="AH326">
            <v>1</v>
          </cell>
          <cell r="AJ326">
            <v>1</v>
          </cell>
          <cell r="AL326">
            <v>0</v>
          </cell>
          <cell r="AN326">
            <v>0</v>
          </cell>
          <cell r="AP326">
            <v>0</v>
          </cell>
          <cell r="AR326">
            <v>0</v>
          </cell>
          <cell r="AT326">
            <v>0</v>
          </cell>
          <cell r="AV326">
            <v>0</v>
          </cell>
          <cell r="AX326">
            <v>0</v>
          </cell>
          <cell r="AZ326">
            <v>0</v>
          </cell>
          <cell r="BB326">
            <v>0</v>
          </cell>
          <cell r="BD326">
            <v>0</v>
          </cell>
          <cell r="BF326">
            <v>0</v>
          </cell>
          <cell r="BH326">
            <v>0</v>
          </cell>
          <cell r="BJ326">
            <v>0</v>
          </cell>
          <cell r="BL326">
            <v>0</v>
          </cell>
          <cell r="BN326">
            <v>0</v>
          </cell>
          <cell r="BP326">
            <v>0</v>
          </cell>
          <cell r="BR326">
            <v>0</v>
          </cell>
          <cell r="BT326">
            <v>0</v>
          </cell>
          <cell r="BV326">
            <v>0</v>
          </cell>
          <cell r="BX326">
            <v>0</v>
          </cell>
          <cell r="BZ326">
            <v>0</v>
          </cell>
          <cell r="CB326">
            <v>0</v>
          </cell>
          <cell r="CD326">
            <v>0</v>
          </cell>
          <cell r="CF326">
            <v>0</v>
          </cell>
          <cell r="CH326">
            <v>0</v>
          </cell>
          <cell r="CJ326">
            <v>0</v>
          </cell>
          <cell r="CL326">
            <v>0</v>
          </cell>
          <cell r="CN326">
            <v>0</v>
          </cell>
          <cell r="CP326">
            <v>0</v>
          </cell>
          <cell r="CR326">
            <v>0</v>
          </cell>
          <cell r="CT326">
            <v>0</v>
          </cell>
          <cell r="CV326">
            <v>0</v>
          </cell>
          <cell r="CX326">
            <v>0</v>
          </cell>
          <cell r="CZ326">
            <v>0</v>
          </cell>
          <cell r="DB326">
            <v>0</v>
          </cell>
          <cell r="DD326">
            <v>0</v>
          </cell>
          <cell r="DF326">
            <v>0</v>
          </cell>
          <cell r="DH326">
            <v>0</v>
          </cell>
          <cell r="DJ326">
            <v>0</v>
          </cell>
          <cell r="DL326">
            <v>0</v>
          </cell>
          <cell r="DN326">
            <v>0</v>
          </cell>
          <cell r="DP326">
            <v>0</v>
          </cell>
          <cell r="DR326">
            <v>0</v>
          </cell>
          <cell r="DT326">
            <v>0</v>
          </cell>
          <cell r="DV326">
            <v>0</v>
          </cell>
          <cell r="DX326">
            <v>0</v>
          </cell>
          <cell r="DZ326">
            <v>0</v>
          </cell>
          <cell r="EB326">
            <v>0</v>
          </cell>
          <cell r="ED326">
            <v>0</v>
          </cell>
          <cell r="EF326">
            <v>0</v>
          </cell>
          <cell r="EH326">
            <v>0</v>
          </cell>
          <cell r="EJ326">
            <v>0</v>
          </cell>
          <cell r="EL326">
            <v>0</v>
          </cell>
          <cell r="EN326">
            <v>0</v>
          </cell>
          <cell r="EP326">
            <v>0</v>
          </cell>
          <cell r="ER326">
            <v>0</v>
          </cell>
          <cell r="ET326">
            <v>0</v>
          </cell>
          <cell r="EV326">
            <v>0</v>
          </cell>
          <cell r="EX326">
            <v>0</v>
          </cell>
          <cell r="EZ326">
            <v>0</v>
          </cell>
          <cell r="FB326">
            <v>0</v>
          </cell>
          <cell r="FD326">
            <v>0</v>
          </cell>
          <cell r="FF326">
            <v>0</v>
          </cell>
          <cell r="FH326">
            <v>0</v>
          </cell>
          <cell r="FJ326">
            <v>0</v>
          </cell>
          <cell r="FL326">
            <v>0</v>
          </cell>
          <cell r="FN326">
            <v>0</v>
          </cell>
          <cell r="FP326">
            <v>0</v>
          </cell>
          <cell r="FR326">
            <v>0</v>
          </cell>
          <cell r="FT326">
            <v>0</v>
          </cell>
          <cell r="FV326">
            <v>0</v>
          </cell>
          <cell r="GD326">
            <v>14</v>
          </cell>
          <cell r="GF326">
            <v>4</v>
          </cell>
          <cell r="GH326">
            <v>1</v>
          </cell>
          <cell r="GJ326">
            <v>7</v>
          </cell>
          <cell r="GM326">
            <v>194.01</v>
          </cell>
          <cell r="GN32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197.檢查勞工個人防護具：█有 □無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W326" t="str">
            <v>（一）施工廠商施工前檢查事項辦理情形：█完成 □未完成 （二）其他工地安全衛生督導事項：</v>
          </cell>
          <cell r="GX326">
            <v>853901</v>
          </cell>
          <cell r="GY326">
            <v>0</v>
          </cell>
        </row>
        <row r="327">
          <cell r="N327">
            <v>1</v>
          </cell>
          <cell r="P327">
            <v>1</v>
          </cell>
          <cell r="R327">
            <v>672</v>
          </cell>
          <cell r="T327">
            <v>108</v>
          </cell>
          <cell r="V327">
            <v>661</v>
          </cell>
          <cell r="X327">
            <v>2</v>
          </cell>
          <cell r="Z327">
            <v>1</v>
          </cell>
          <cell r="AB327">
            <v>661</v>
          </cell>
          <cell r="AD327">
            <v>2</v>
          </cell>
          <cell r="AF327">
            <v>1</v>
          </cell>
          <cell r="AH327">
            <v>1</v>
          </cell>
          <cell r="AJ327">
            <v>1</v>
          </cell>
          <cell r="AL327">
            <v>0</v>
          </cell>
          <cell r="AN327">
            <v>0</v>
          </cell>
          <cell r="AP327">
            <v>0</v>
          </cell>
          <cell r="AR327">
            <v>0</v>
          </cell>
          <cell r="AT327">
            <v>0</v>
          </cell>
          <cell r="AV327">
            <v>0</v>
          </cell>
          <cell r="AX327">
            <v>0</v>
          </cell>
          <cell r="AZ327">
            <v>0</v>
          </cell>
          <cell r="BB327">
            <v>0</v>
          </cell>
          <cell r="BD327">
            <v>0</v>
          </cell>
          <cell r="BF327">
            <v>0</v>
          </cell>
          <cell r="BH327">
            <v>0</v>
          </cell>
          <cell r="BJ327">
            <v>0</v>
          </cell>
          <cell r="BL327">
            <v>0</v>
          </cell>
          <cell r="BN327">
            <v>0</v>
          </cell>
          <cell r="BP327">
            <v>0</v>
          </cell>
          <cell r="BR327">
            <v>0</v>
          </cell>
          <cell r="BT327">
            <v>0</v>
          </cell>
          <cell r="BV327">
            <v>0</v>
          </cell>
          <cell r="BX327">
            <v>0</v>
          </cell>
          <cell r="BZ327">
            <v>0</v>
          </cell>
          <cell r="CB327">
            <v>0</v>
          </cell>
          <cell r="CD327">
            <v>0</v>
          </cell>
          <cell r="CF327">
            <v>0</v>
          </cell>
          <cell r="CH327">
            <v>0</v>
          </cell>
          <cell r="CJ327">
            <v>0</v>
          </cell>
          <cell r="CL327">
            <v>0</v>
          </cell>
          <cell r="CN327">
            <v>0</v>
          </cell>
          <cell r="CP327">
            <v>0</v>
          </cell>
          <cell r="CR327">
            <v>0</v>
          </cell>
          <cell r="CT327">
            <v>0</v>
          </cell>
          <cell r="CV327">
            <v>0</v>
          </cell>
          <cell r="CX327">
            <v>0</v>
          </cell>
          <cell r="CZ327">
            <v>0</v>
          </cell>
          <cell r="DB327">
            <v>0</v>
          </cell>
          <cell r="DD327">
            <v>0</v>
          </cell>
          <cell r="DF327">
            <v>0</v>
          </cell>
          <cell r="DH327">
            <v>0</v>
          </cell>
          <cell r="DJ327">
            <v>0</v>
          </cell>
          <cell r="DL327">
            <v>0</v>
          </cell>
          <cell r="DN327">
            <v>0</v>
          </cell>
          <cell r="DP327">
            <v>0</v>
          </cell>
          <cell r="DR327">
            <v>0</v>
          </cell>
          <cell r="DT327">
            <v>0</v>
          </cell>
          <cell r="DV327">
            <v>0</v>
          </cell>
          <cell r="DX327">
            <v>0</v>
          </cell>
          <cell r="DZ327">
            <v>0</v>
          </cell>
          <cell r="EB327">
            <v>0</v>
          </cell>
          <cell r="ED327">
            <v>0</v>
          </cell>
          <cell r="EF327">
            <v>0</v>
          </cell>
          <cell r="EH327">
            <v>0</v>
          </cell>
          <cell r="EJ327">
            <v>0</v>
          </cell>
          <cell r="EL327">
            <v>0</v>
          </cell>
          <cell r="EN327">
            <v>0</v>
          </cell>
          <cell r="EP327">
            <v>0</v>
          </cell>
          <cell r="ER327">
            <v>0</v>
          </cell>
          <cell r="ET327">
            <v>0</v>
          </cell>
          <cell r="EV327">
            <v>0</v>
          </cell>
          <cell r="EX327">
            <v>0</v>
          </cell>
          <cell r="EZ327">
            <v>0</v>
          </cell>
          <cell r="FB327">
            <v>0</v>
          </cell>
          <cell r="FD327">
            <v>0</v>
          </cell>
          <cell r="FF327">
            <v>0</v>
          </cell>
          <cell r="FH327">
            <v>0</v>
          </cell>
          <cell r="FJ327">
            <v>0</v>
          </cell>
          <cell r="FL327">
            <v>0</v>
          </cell>
          <cell r="FN327">
            <v>0</v>
          </cell>
          <cell r="FP327">
            <v>0</v>
          </cell>
          <cell r="FR327">
            <v>0</v>
          </cell>
          <cell r="FT327">
            <v>0</v>
          </cell>
          <cell r="FV327">
            <v>0</v>
          </cell>
          <cell r="GD327">
            <v>14</v>
          </cell>
          <cell r="GF327">
            <v>4</v>
          </cell>
          <cell r="GH327">
            <v>1</v>
          </cell>
          <cell r="GJ327">
            <v>7</v>
          </cell>
          <cell r="GM327">
            <v>195.01</v>
          </cell>
          <cell r="GN32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198.檢查勞工個人防護具：█有 □無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W327" t="str">
            <v>（一）施工廠商施工前檢查事項辦理情形：█完成 □未完成 （二）其他工地安全衛生督導事項：</v>
          </cell>
          <cell r="GX327">
            <v>853901</v>
          </cell>
          <cell r="GY327">
            <v>0</v>
          </cell>
        </row>
        <row r="328">
          <cell r="N328">
            <v>1</v>
          </cell>
          <cell r="P328">
            <v>1</v>
          </cell>
          <cell r="R328">
            <v>672</v>
          </cell>
          <cell r="T328">
            <v>108</v>
          </cell>
          <cell r="V328">
            <v>661</v>
          </cell>
          <cell r="X328">
            <v>2</v>
          </cell>
          <cell r="Z328">
            <v>1</v>
          </cell>
          <cell r="AB328">
            <v>661</v>
          </cell>
          <cell r="AD328">
            <v>2</v>
          </cell>
          <cell r="AF328">
            <v>1</v>
          </cell>
          <cell r="AH328">
            <v>1</v>
          </cell>
          <cell r="AJ328">
            <v>1</v>
          </cell>
          <cell r="AL328">
            <v>0</v>
          </cell>
          <cell r="AN328">
            <v>0</v>
          </cell>
          <cell r="AP328">
            <v>0</v>
          </cell>
          <cell r="AR328">
            <v>0</v>
          </cell>
          <cell r="AT328">
            <v>0</v>
          </cell>
          <cell r="AV328">
            <v>0</v>
          </cell>
          <cell r="AX328">
            <v>0</v>
          </cell>
          <cell r="AZ328">
            <v>0</v>
          </cell>
          <cell r="BB328">
            <v>0</v>
          </cell>
          <cell r="BD328">
            <v>0</v>
          </cell>
          <cell r="BF328">
            <v>0</v>
          </cell>
          <cell r="BH328">
            <v>0</v>
          </cell>
          <cell r="BJ328">
            <v>0</v>
          </cell>
          <cell r="BL328">
            <v>0</v>
          </cell>
          <cell r="BN328">
            <v>0</v>
          </cell>
          <cell r="BP328">
            <v>0</v>
          </cell>
          <cell r="BR328">
            <v>0</v>
          </cell>
          <cell r="BT328">
            <v>0</v>
          </cell>
          <cell r="BV328">
            <v>0</v>
          </cell>
          <cell r="BX328">
            <v>0</v>
          </cell>
          <cell r="BZ328">
            <v>0</v>
          </cell>
          <cell r="CB328">
            <v>0</v>
          </cell>
          <cell r="CD328">
            <v>0</v>
          </cell>
          <cell r="CF328">
            <v>0</v>
          </cell>
          <cell r="CH328">
            <v>0</v>
          </cell>
          <cell r="CJ328">
            <v>0</v>
          </cell>
          <cell r="CL328">
            <v>0</v>
          </cell>
          <cell r="CN328">
            <v>0</v>
          </cell>
          <cell r="CP328">
            <v>0</v>
          </cell>
          <cell r="CR328">
            <v>0</v>
          </cell>
          <cell r="CT328">
            <v>0</v>
          </cell>
          <cell r="CV328">
            <v>0</v>
          </cell>
          <cell r="CX328">
            <v>0</v>
          </cell>
          <cell r="CZ328">
            <v>0</v>
          </cell>
          <cell r="DB328">
            <v>0</v>
          </cell>
          <cell r="DD328">
            <v>0</v>
          </cell>
          <cell r="DF328">
            <v>0</v>
          </cell>
          <cell r="DH328">
            <v>0</v>
          </cell>
          <cell r="DJ328">
            <v>0</v>
          </cell>
          <cell r="DL328">
            <v>0</v>
          </cell>
          <cell r="DN328">
            <v>0</v>
          </cell>
          <cell r="DP328">
            <v>0</v>
          </cell>
          <cell r="DR328">
            <v>0</v>
          </cell>
          <cell r="DT328">
            <v>0</v>
          </cell>
          <cell r="DV328">
            <v>0</v>
          </cell>
          <cell r="DX328">
            <v>0</v>
          </cell>
          <cell r="DZ328">
            <v>0</v>
          </cell>
          <cell r="EB328">
            <v>0</v>
          </cell>
          <cell r="ED328">
            <v>0</v>
          </cell>
          <cell r="EF328">
            <v>0</v>
          </cell>
          <cell r="EH328">
            <v>0</v>
          </cell>
          <cell r="EJ328">
            <v>0</v>
          </cell>
          <cell r="EL328">
            <v>0</v>
          </cell>
          <cell r="EN328">
            <v>0</v>
          </cell>
          <cell r="EP328">
            <v>0</v>
          </cell>
          <cell r="ER328">
            <v>0</v>
          </cell>
          <cell r="ET328">
            <v>0</v>
          </cell>
          <cell r="EV328">
            <v>0</v>
          </cell>
          <cell r="EX328">
            <v>0</v>
          </cell>
          <cell r="EZ328">
            <v>0</v>
          </cell>
          <cell r="FB328">
            <v>0</v>
          </cell>
          <cell r="FD328">
            <v>0</v>
          </cell>
          <cell r="FF328">
            <v>0</v>
          </cell>
          <cell r="FH328">
            <v>0</v>
          </cell>
          <cell r="FJ328">
            <v>0</v>
          </cell>
          <cell r="FL328">
            <v>0</v>
          </cell>
          <cell r="FN328">
            <v>0</v>
          </cell>
          <cell r="FP328">
            <v>0</v>
          </cell>
          <cell r="FR328">
            <v>0</v>
          </cell>
          <cell r="FT328">
            <v>0</v>
          </cell>
          <cell r="FV328">
            <v>0</v>
          </cell>
          <cell r="GD328">
            <v>14</v>
          </cell>
          <cell r="GF328">
            <v>4</v>
          </cell>
          <cell r="GH328">
            <v>1</v>
          </cell>
          <cell r="GJ328">
            <v>7</v>
          </cell>
          <cell r="GM328">
            <v>196.01</v>
          </cell>
          <cell r="GN32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199.檢查勞工個人防護具：█有 □無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W328" t="str">
            <v>（一）施工廠商施工前檢查事項辦理情形：█完成 □未完成 （二）其他工地安全衛生督導事項：</v>
          </cell>
          <cell r="GX328">
            <v>853901</v>
          </cell>
          <cell r="GY328">
            <v>0</v>
          </cell>
        </row>
        <row r="329">
          <cell r="N329">
            <v>1</v>
          </cell>
          <cell r="P329">
            <v>1</v>
          </cell>
          <cell r="R329">
            <v>672</v>
          </cell>
          <cell r="T329">
            <v>108</v>
          </cell>
          <cell r="V329">
            <v>661</v>
          </cell>
          <cell r="X329">
            <v>2</v>
          </cell>
          <cell r="Z329">
            <v>1</v>
          </cell>
          <cell r="AB329">
            <v>661</v>
          </cell>
          <cell r="AD329">
            <v>2</v>
          </cell>
          <cell r="AF329">
            <v>1</v>
          </cell>
          <cell r="AH329">
            <v>1</v>
          </cell>
          <cell r="AJ329">
            <v>1</v>
          </cell>
          <cell r="AL329">
            <v>0</v>
          </cell>
          <cell r="AN329">
            <v>0</v>
          </cell>
          <cell r="AP329">
            <v>0</v>
          </cell>
          <cell r="AR329">
            <v>0</v>
          </cell>
          <cell r="AT329">
            <v>0</v>
          </cell>
          <cell r="AV329">
            <v>0</v>
          </cell>
          <cell r="AX329">
            <v>0</v>
          </cell>
          <cell r="AZ329">
            <v>0</v>
          </cell>
          <cell r="BB329">
            <v>0</v>
          </cell>
          <cell r="BD329">
            <v>0</v>
          </cell>
          <cell r="BF329">
            <v>0</v>
          </cell>
          <cell r="BH329">
            <v>0</v>
          </cell>
          <cell r="BJ329">
            <v>0</v>
          </cell>
          <cell r="BL329">
            <v>0</v>
          </cell>
          <cell r="BN329">
            <v>0</v>
          </cell>
          <cell r="BP329">
            <v>0</v>
          </cell>
          <cell r="BR329">
            <v>0</v>
          </cell>
          <cell r="BT329">
            <v>0</v>
          </cell>
          <cell r="BV329">
            <v>0</v>
          </cell>
          <cell r="BX329">
            <v>0</v>
          </cell>
          <cell r="BZ329">
            <v>0</v>
          </cell>
          <cell r="CB329">
            <v>0</v>
          </cell>
          <cell r="CD329">
            <v>0</v>
          </cell>
          <cell r="CF329">
            <v>0</v>
          </cell>
          <cell r="CH329">
            <v>0</v>
          </cell>
          <cell r="CJ329">
            <v>0</v>
          </cell>
          <cell r="CL329">
            <v>0</v>
          </cell>
          <cell r="CN329">
            <v>0</v>
          </cell>
          <cell r="CP329">
            <v>0</v>
          </cell>
          <cell r="CR329">
            <v>0</v>
          </cell>
          <cell r="CT329">
            <v>0</v>
          </cell>
          <cell r="CV329">
            <v>0</v>
          </cell>
          <cell r="CX329">
            <v>0</v>
          </cell>
          <cell r="CZ329">
            <v>0</v>
          </cell>
          <cell r="DB329">
            <v>0</v>
          </cell>
          <cell r="DD329">
            <v>0</v>
          </cell>
          <cell r="DF329">
            <v>0</v>
          </cell>
          <cell r="DH329">
            <v>0</v>
          </cell>
          <cell r="DJ329">
            <v>0</v>
          </cell>
          <cell r="DL329">
            <v>0</v>
          </cell>
          <cell r="DN329">
            <v>0</v>
          </cell>
          <cell r="DP329">
            <v>0</v>
          </cell>
          <cell r="DR329">
            <v>0</v>
          </cell>
          <cell r="DT329">
            <v>0</v>
          </cell>
          <cell r="DV329">
            <v>0</v>
          </cell>
          <cell r="DX329">
            <v>0</v>
          </cell>
          <cell r="DZ329">
            <v>0</v>
          </cell>
          <cell r="EB329">
            <v>0</v>
          </cell>
          <cell r="ED329">
            <v>0</v>
          </cell>
          <cell r="EF329">
            <v>0</v>
          </cell>
          <cell r="EH329">
            <v>0</v>
          </cell>
          <cell r="EJ329">
            <v>0</v>
          </cell>
          <cell r="EL329">
            <v>0</v>
          </cell>
          <cell r="EN329">
            <v>0</v>
          </cell>
          <cell r="EP329">
            <v>0</v>
          </cell>
          <cell r="ER329">
            <v>0</v>
          </cell>
          <cell r="ET329">
            <v>0</v>
          </cell>
          <cell r="EV329">
            <v>0</v>
          </cell>
          <cell r="EX329">
            <v>0</v>
          </cell>
          <cell r="EZ329">
            <v>0</v>
          </cell>
          <cell r="FB329">
            <v>0</v>
          </cell>
          <cell r="FD329">
            <v>0</v>
          </cell>
          <cell r="FF329">
            <v>0</v>
          </cell>
          <cell r="FH329">
            <v>0</v>
          </cell>
          <cell r="FJ329">
            <v>0</v>
          </cell>
          <cell r="FL329">
            <v>0</v>
          </cell>
          <cell r="FN329">
            <v>0</v>
          </cell>
          <cell r="FP329">
            <v>0</v>
          </cell>
          <cell r="FR329">
            <v>0</v>
          </cell>
          <cell r="FT329">
            <v>0</v>
          </cell>
          <cell r="FV329">
            <v>0</v>
          </cell>
          <cell r="GD329">
            <v>14</v>
          </cell>
          <cell r="GF329">
            <v>4</v>
          </cell>
          <cell r="GH329">
            <v>1</v>
          </cell>
          <cell r="GJ329">
            <v>7</v>
          </cell>
          <cell r="GM329">
            <v>197.01</v>
          </cell>
          <cell r="GN32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200.檢查勞工個人防護具：█有 □無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W329" t="str">
            <v>（一）施工廠商施工前檢查事項辦理情形：█完成 □未完成 （二）其他工地安全衛生督導事項：</v>
          </cell>
          <cell r="GX329">
            <v>853901</v>
          </cell>
          <cell r="GY329">
            <v>0</v>
          </cell>
        </row>
        <row r="330">
          <cell r="N330">
            <v>1</v>
          </cell>
          <cell r="P330">
            <v>1</v>
          </cell>
          <cell r="R330">
            <v>672</v>
          </cell>
          <cell r="T330">
            <v>108</v>
          </cell>
          <cell r="V330">
            <v>661</v>
          </cell>
          <cell r="X330">
            <v>2</v>
          </cell>
          <cell r="Z330">
            <v>1</v>
          </cell>
          <cell r="AB330">
            <v>661</v>
          </cell>
          <cell r="AD330">
            <v>2</v>
          </cell>
          <cell r="AF330">
            <v>1</v>
          </cell>
          <cell r="AH330">
            <v>1</v>
          </cell>
          <cell r="AJ330">
            <v>1</v>
          </cell>
          <cell r="AL330">
            <v>0</v>
          </cell>
          <cell r="AN330">
            <v>0</v>
          </cell>
          <cell r="AP330">
            <v>0</v>
          </cell>
          <cell r="AR330">
            <v>0</v>
          </cell>
          <cell r="AT330">
            <v>0</v>
          </cell>
          <cell r="AV330">
            <v>0</v>
          </cell>
          <cell r="AX330">
            <v>0</v>
          </cell>
          <cell r="AZ330">
            <v>0</v>
          </cell>
          <cell r="BB330">
            <v>0</v>
          </cell>
          <cell r="BD330">
            <v>0</v>
          </cell>
          <cell r="BF330">
            <v>0</v>
          </cell>
          <cell r="BH330">
            <v>0</v>
          </cell>
          <cell r="BJ330">
            <v>0</v>
          </cell>
          <cell r="BL330">
            <v>0</v>
          </cell>
          <cell r="BN330">
            <v>0</v>
          </cell>
          <cell r="BP330">
            <v>0</v>
          </cell>
          <cell r="BR330">
            <v>0</v>
          </cell>
          <cell r="BT330">
            <v>0</v>
          </cell>
          <cell r="BV330">
            <v>0</v>
          </cell>
          <cell r="BX330">
            <v>0</v>
          </cell>
          <cell r="BZ330">
            <v>0</v>
          </cell>
          <cell r="CB330">
            <v>0</v>
          </cell>
          <cell r="CD330">
            <v>0</v>
          </cell>
          <cell r="CF330">
            <v>0</v>
          </cell>
          <cell r="CH330">
            <v>0</v>
          </cell>
          <cell r="CJ330">
            <v>0</v>
          </cell>
          <cell r="CL330">
            <v>0</v>
          </cell>
          <cell r="CN330">
            <v>0</v>
          </cell>
          <cell r="CP330">
            <v>0</v>
          </cell>
          <cell r="CR330">
            <v>0</v>
          </cell>
          <cell r="CT330">
            <v>0</v>
          </cell>
          <cell r="CV330">
            <v>0</v>
          </cell>
          <cell r="CX330">
            <v>0</v>
          </cell>
          <cell r="CZ330">
            <v>0</v>
          </cell>
          <cell r="DB330">
            <v>0</v>
          </cell>
          <cell r="DD330">
            <v>0</v>
          </cell>
          <cell r="DF330">
            <v>0</v>
          </cell>
          <cell r="DH330">
            <v>0</v>
          </cell>
          <cell r="DJ330">
            <v>0</v>
          </cell>
          <cell r="DL330">
            <v>0</v>
          </cell>
          <cell r="DN330">
            <v>0</v>
          </cell>
          <cell r="DP330">
            <v>0</v>
          </cell>
          <cell r="DR330">
            <v>0</v>
          </cell>
          <cell r="DT330">
            <v>0</v>
          </cell>
          <cell r="DV330">
            <v>0</v>
          </cell>
          <cell r="DX330">
            <v>0</v>
          </cell>
          <cell r="DZ330">
            <v>0</v>
          </cell>
          <cell r="EB330">
            <v>0</v>
          </cell>
          <cell r="ED330">
            <v>0</v>
          </cell>
          <cell r="EF330">
            <v>0</v>
          </cell>
          <cell r="EH330">
            <v>0</v>
          </cell>
          <cell r="EJ330">
            <v>0</v>
          </cell>
          <cell r="EL330">
            <v>0</v>
          </cell>
          <cell r="EN330">
            <v>0</v>
          </cell>
          <cell r="EP330">
            <v>0</v>
          </cell>
          <cell r="ER330">
            <v>0</v>
          </cell>
          <cell r="ET330">
            <v>0</v>
          </cell>
          <cell r="EV330">
            <v>0</v>
          </cell>
          <cell r="EX330">
            <v>0</v>
          </cell>
          <cell r="EZ330">
            <v>0</v>
          </cell>
          <cell r="FB330">
            <v>0</v>
          </cell>
          <cell r="FD330">
            <v>0</v>
          </cell>
          <cell r="FF330">
            <v>0</v>
          </cell>
          <cell r="FH330">
            <v>0</v>
          </cell>
          <cell r="FJ330">
            <v>0</v>
          </cell>
          <cell r="FL330">
            <v>0</v>
          </cell>
          <cell r="FN330">
            <v>0</v>
          </cell>
          <cell r="FP330">
            <v>0</v>
          </cell>
          <cell r="FR330">
            <v>0</v>
          </cell>
          <cell r="FT330">
            <v>0</v>
          </cell>
          <cell r="FV330">
            <v>0</v>
          </cell>
          <cell r="GD330">
            <v>14</v>
          </cell>
          <cell r="GF330">
            <v>4</v>
          </cell>
          <cell r="GH330">
            <v>1</v>
          </cell>
          <cell r="GJ330">
            <v>7</v>
          </cell>
          <cell r="GM330">
            <v>198.01</v>
          </cell>
          <cell r="GN33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201.檢查勞工個人防護具：█有 □無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W330" t="str">
            <v>（一）施工廠商施工前檢查事項辦理情形：█完成 □未完成 （二）其他工地安全衛生督導事項：</v>
          </cell>
          <cell r="GX330">
            <v>853901</v>
          </cell>
          <cell r="GY330">
            <v>0</v>
          </cell>
        </row>
        <row r="331">
          <cell r="N331">
            <v>1</v>
          </cell>
          <cell r="P331">
            <v>1</v>
          </cell>
          <cell r="R331">
            <v>672</v>
          </cell>
          <cell r="T331">
            <v>108</v>
          </cell>
          <cell r="V331">
            <v>661</v>
          </cell>
          <cell r="X331">
            <v>2</v>
          </cell>
          <cell r="Z331">
            <v>1</v>
          </cell>
          <cell r="AB331">
            <v>661</v>
          </cell>
          <cell r="AD331">
            <v>2</v>
          </cell>
          <cell r="AF331">
            <v>1</v>
          </cell>
          <cell r="AH331">
            <v>1</v>
          </cell>
          <cell r="AJ331">
            <v>1</v>
          </cell>
          <cell r="AL331">
            <v>0</v>
          </cell>
          <cell r="AN331">
            <v>0</v>
          </cell>
          <cell r="AP331">
            <v>0</v>
          </cell>
          <cell r="AR331">
            <v>0</v>
          </cell>
          <cell r="AT331">
            <v>0</v>
          </cell>
          <cell r="AV331">
            <v>0</v>
          </cell>
          <cell r="AX331">
            <v>0</v>
          </cell>
          <cell r="AZ331">
            <v>0</v>
          </cell>
          <cell r="BB331">
            <v>0</v>
          </cell>
          <cell r="BD331">
            <v>0</v>
          </cell>
          <cell r="BF331">
            <v>0</v>
          </cell>
          <cell r="BH331">
            <v>0</v>
          </cell>
          <cell r="BJ331">
            <v>0</v>
          </cell>
          <cell r="BL331">
            <v>0</v>
          </cell>
          <cell r="BN331">
            <v>0</v>
          </cell>
          <cell r="BP331">
            <v>0</v>
          </cell>
          <cell r="BR331">
            <v>0</v>
          </cell>
          <cell r="BT331">
            <v>0</v>
          </cell>
          <cell r="BV331">
            <v>0</v>
          </cell>
          <cell r="BX331">
            <v>0</v>
          </cell>
          <cell r="BZ331">
            <v>0</v>
          </cell>
          <cell r="CB331">
            <v>0</v>
          </cell>
          <cell r="CD331">
            <v>0</v>
          </cell>
          <cell r="CF331">
            <v>0</v>
          </cell>
          <cell r="CH331">
            <v>0</v>
          </cell>
          <cell r="CJ331">
            <v>0</v>
          </cell>
          <cell r="CL331">
            <v>0</v>
          </cell>
          <cell r="CN331">
            <v>0</v>
          </cell>
          <cell r="CP331">
            <v>0</v>
          </cell>
          <cell r="CR331">
            <v>0</v>
          </cell>
          <cell r="CT331">
            <v>0</v>
          </cell>
          <cell r="CV331">
            <v>0</v>
          </cell>
          <cell r="CX331">
            <v>0</v>
          </cell>
          <cell r="CZ331">
            <v>0</v>
          </cell>
          <cell r="DB331">
            <v>0</v>
          </cell>
          <cell r="DD331">
            <v>0</v>
          </cell>
          <cell r="DF331">
            <v>0</v>
          </cell>
          <cell r="DH331">
            <v>0</v>
          </cell>
          <cell r="DJ331">
            <v>0</v>
          </cell>
          <cell r="DL331">
            <v>0</v>
          </cell>
          <cell r="DN331">
            <v>0</v>
          </cell>
          <cell r="DP331">
            <v>0</v>
          </cell>
          <cell r="DR331">
            <v>0</v>
          </cell>
          <cell r="DT331">
            <v>0</v>
          </cell>
          <cell r="DV331">
            <v>0</v>
          </cell>
          <cell r="DX331">
            <v>0</v>
          </cell>
          <cell r="DZ331">
            <v>0</v>
          </cell>
          <cell r="EB331">
            <v>0</v>
          </cell>
          <cell r="ED331">
            <v>0</v>
          </cell>
          <cell r="EF331">
            <v>0</v>
          </cell>
          <cell r="EH331">
            <v>0</v>
          </cell>
          <cell r="EJ331">
            <v>0</v>
          </cell>
          <cell r="EL331">
            <v>0</v>
          </cell>
          <cell r="EN331">
            <v>0</v>
          </cell>
          <cell r="EP331">
            <v>0</v>
          </cell>
          <cell r="ER331">
            <v>0</v>
          </cell>
          <cell r="ET331">
            <v>0</v>
          </cell>
          <cell r="EV331">
            <v>0</v>
          </cell>
          <cell r="EX331">
            <v>0</v>
          </cell>
          <cell r="EZ331">
            <v>0</v>
          </cell>
          <cell r="FB331">
            <v>0</v>
          </cell>
          <cell r="FD331">
            <v>0</v>
          </cell>
          <cell r="FF331">
            <v>0</v>
          </cell>
          <cell r="FH331">
            <v>0</v>
          </cell>
          <cell r="FJ331">
            <v>0</v>
          </cell>
          <cell r="FL331">
            <v>0</v>
          </cell>
          <cell r="FN331">
            <v>0</v>
          </cell>
          <cell r="FP331">
            <v>0</v>
          </cell>
          <cell r="FR331">
            <v>0</v>
          </cell>
          <cell r="FT331">
            <v>0</v>
          </cell>
          <cell r="FV331">
            <v>0</v>
          </cell>
          <cell r="GD331">
            <v>14</v>
          </cell>
          <cell r="GF331">
            <v>4</v>
          </cell>
          <cell r="GH331">
            <v>1</v>
          </cell>
          <cell r="GJ331">
            <v>7</v>
          </cell>
          <cell r="GM331">
            <v>199.01</v>
          </cell>
          <cell r="GN33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202.檢查勞工個人防護具：█有 □無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W331" t="str">
            <v>（一）施工廠商施工前檢查事項辦理情形：█完成 □未完成 （二）其他工地安全衛生督導事項：</v>
          </cell>
          <cell r="GX331">
            <v>853901</v>
          </cell>
          <cell r="GY331">
            <v>0</v>
          </cell>
        </row>
        <row r="332">
          <cell r="N332">
            <v>1</v>
          </cell>
          <cell r="P332">
            <v>1</v>
          </cell>
          <cell r="R332">
            <v>672</v>
          </cell>
          <cell r="T332">
            <v>108</v>
          </cell>
          <cell r="V332">
            <v>661</v>
          </cell>
          <cell r="X332">
            <v>2</v>
          </cell>
          <cell r="Z332">
            <v>1</v>
          </cell>
          <cell r="AB332">
            <v>661</v>
          </cell>
          <cell r="AD332">
            <v>2</v>
          </cell>
          <cell r="AF332">
            <v>1</v>
          </cell>
          <cell r="AH332">
            <v>1</v>
          </cell>
          <cell r="AJ332">
            <v>1</v>
          </cell>
          <cell r="AL332">
            <v>0</v>
          </cell>
          <cell r="AN332">
            <v>0</v>
          </cell>
          <cell r="AP332">
            <v>0</v>
          </cell>
          <cell r="AR332">
            <v>0</v>
          </cell>
          <cell r="AT332">
            <v>0</v>
          </cell>
          <cell r="AV332">
            <v>0</v>
          </cell>
          <cell r="AX332">
            <v>0</v>
          </cell>
          <cell r="AZ332">
            <v>0</v>
          </cell>
          <cell r="BB332">
            <v>0</v>
          </cell>
          <cell r="BD332">
            <v>0</v>
          </cell>
          <cell r="BF332">
            <v>0</v>
          </cell>
          <cell r="BH332">
            <v>0</v>
          </cell>
          <cell r="BJ332">
            <v>0</v>
          </cell>
          <cell r="BL332">
            <v>0</v>
          </cell>
          <cell r="BN332">
            <v>0</v>
          </cell>
          <cell r="BP332">
            <v>0</v>
          </cell>
          <cell r="BR332">
            <v>0</v>
          </cell>
          <cell r="BT332">
            <v>0</v>
          </cell>
          <cell r="BV332">
            <v>0</v>
          </cell>
          <cell r="BX332">
            <v>0</v>
          </cell>
          <cell r="BZ332">
            <v>0</v>
          </cell>
          <cell r="CB332">
            <v>0</v>
          </cell>
          <cell r="CD332">
            <v>0</v>
          </cell>
          <cell r="CF332">
            <v>0</v>
          </cell>
          <cell r="CH332">
            <v>0</v>
          </cell>
          <cell r="CJ332">
            <v>0</v>
          </cell>
          <cell r="CL332">
            <v>0</v>
          </cell>
          <cell r="CN332">
            <v>0</v>
          </cell>
          <cell r="CP332">
            <v>0</v>
          </cell>
          <cell r="CR332">
            <v>0</v>
          </cell>
          <cell r="CT332">
            <v>0</v>
          </cell>
          <cell r="CV332">
            <v>0</v>
          </cell>
          <cell r="CX332">
            <v>0</v>
          </cell>
          <cell r="CZ332">
            <v>0</v>
          </cell>
          <cell r="DB332">
            <v>0</v>
          </cell>
          <cell r="DD332">
            <v>0</v>
          </cell>
          <cell r="DF332">
            <v>0</v>
          </cell>
          <cell r="DH332">
            <v>0</v>
          </cell>
          <cell r="DJ332">
            <v>0</v>
          </cell>
          <cell r="DL332">
            <v>0</v>
          </cell>
          <cell r="DN332">
            <v>0</v>
          </cell>
          <cell r="DP332">
            <v>0</v>
          </cell>
          <cell r="DR332">
            <v>0</v>
          </cell>
          <cell r="DT332">
            <v>0</v>
          </cell>
          <cell r="DV332">
            <v>0</v>
          </cell>
          <cell r="DX332">
            <v>0</v>
          </cell>
          <cell r="DZ332">
            <v>0</v>
          </cell>
          <cell r="EB332">
            <v>0</v>
          </cell>
          <cell r="ED332">
            <v>0</v>
          </cell>
          <cell r="EF332">
            <v>0</v>
          </cell>
          <cell r="EH332">
            <v>0</v>
          </cell>
          <cell r="EJ332">
            <v>0</v>
          </cell>
          <cell r="EL332">
            <v>0</v>
          </cell>
          <cell r="EN332">
            <v>0</v>
          </cell>
          <cell r="EP332">
            <v>0</v>
          </cell>
          <cell r="ER332">
            <v>0</v>
          </cell>
          <cell r="ET332">
            <v>0</v>
          </cell>
          <cell r="EV332">
            <v>0</v>
          </cell>
          <cell r="EX332">
            <v>0</v>
          </cell>
          <cell r="EZ332">
            <v>0</v>
          </cell>
          <cell r="FB332">
            <v>0</v>
          </cell>
          <cell r="FD332">
            <v>0</v>
          </cell>
          <cell r="FF332">
            <v>0</v>
          </cell>
          <cell r="FH332">
            <v>0</v>
          </cell>
          <cell r="FJ332">
            <v>0</v>
          </cell>
          <cell r="FL332">
            <v>0</v>
          </cell>
          <cell r="FN332">
            <v>0</v>
          </cell>
          <cell r="FP332">
            <v>0</v>
          </cell>
          <cell r="FR332">
            <v>0</v>
          </cell>
          <cell r="FT332">
            <v>0</v>
          </cell>
          <cell r="FV332">
            <v>0</v>
          </cell>
          <cell r="GD332">
            <v>14</v>
          </cell>
          <cell r="GF332">
            <v>4</v>
          </cell>
          <cell r="GH332">
            <v>1</v>
          </cell>
          <cell r="GJ332">
            <v>7</v>
          </cell>
          <cell r="GM332">
            <v>200.01</v>
          </cell>
          <cell r="GN33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203.檢查勞工個人防護具：█有 □無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W332" t="str">
            <v>（一）施工廠商施工前檢查事項辦理情形：█完成 □未完成 （二）其他工地安全衛生督導事項：</v>
          </cell>
          <cell r="GX332">
            <v>853901</v>
          </cell>
          <cell r="GY332">
            <v>0</v>
          </cell>
        </row>
        <row r="333">
          <cell r="N333">
            <v>1</v>
          </cell>
          <cell r="P333">
            <v>1</v>
          </cell>
          <cell r="R333">
            <v>672</v>
          </cell>
          <cell r="T333">
            <v>108</v>
          </cell>
          <cell r="V333">
            <v>661</v>
          </cell>
          <cell r="X333">
            <v>2</v>
          </cell>
          <cell r="Z333">
            <v>1</v>
          </cell>
          <cell r="AB333">
            <v>661</v>
          </cell>
          <cell r="AD333">
            <v>2</v>
          </cell>
          <cell r="AF333">
            <v>1</v>
          </cell>
          <cell r="AH333">
            <v>1</v>
          </cell>
          <cell r="AJ333">
            <v>1</v>
          </cell>
          <cell r="AL333">
            <v>0</v>
          </cell>
          <cell r="AN333">
            <v>0</v>
          </cell>
          <cell r="AP333">
            <v>0</v>
          </cell>
          <cell r="AR333">
            <v>0</v>
          </cell>
          <cell r="AT333">
            <v>0</v>
          </cell>
          <cell r="AV333">
            <v>0</v>
          </cell>
          <cell r="AX333">
            <v>0</v>
          </cell>
          <cell r="AZ333">
            <v>0</v>
          </cell>
          <cell r="BB333">
            <v>0</v>
          </cell>
          <cell r="BD333">
            <v>0</v>
          </cell>
          <cell r="BF333">
            <v>0</v>
          </cell>
          <cell r="BH333">
            <v>0</v>
          </cell>
          <cell r="BJ333">
            <v>0</v>
          </cell>
          <cell r="BL333">
            <v>0</v>
          </cell>
          <cell r="BN333">
            <v>0</v>
          </cell>
          <cell r="BP333">
            <v>0</v>
          </cell>
          <cell r="BR333">
            <v>0</v>
          </cell>
          <cell r="BT333">
            <v>0</v>
          </cell>
          <cell r="BV333">
            <v>0</v>
          </cell>
          <cell r="BX333">
            <v>0</v>
          </cell>
          <cell r="BZ333">
            <v>0</v>
          </cell>
          <cell r="CB333">
            <v>0</v>
          </cell>
          <cell r="CD333">
            <v>0</v>
          </cell>
          <cell r="CF333">
            <v>0</v>
          </cell>
          <cell r="CH333">
            <v>0</v>
          </cell>
          <cell r="CJ333">
            <v>0</v>
          </cell>
          <cell r="CL333">
            <v>0</v>
          </cell>
          <cell r="CN333">
            <v>0</v>
          </cell>
          <cell r="CP333">
            <v>0</v>
          </cell>
          <cell r="CR333">
            <v>0</v>
          </cell>
          <cell r="CT333">
            <v>0</v>
          </cell>
          <cell r="CV333">
            <v>0</v>
          </cell>
          <cell r="CX333">
            <v>0</v>
          </cell>
          <cell r="CZ333">
            <v>0</v>
          </cell>
          <cell r="DB333">
            <v>0</v>
          </cell>
          <cell r="DD333">
            <v>0</v>
          </cell>
          <cell r="DF333">
            <v>0</v>
          </cell>
          <cell r="DH333">
            <v>0</v>
          </cell>
          <cell r="DJ333">
            <v>0</v>
          </cell>
          <cell r="DL333">
            <v>0</v>
          </cell>
          <cell r="DN333">
            <v>0</v>
          </cell>
          <cell r="DP333">
            <v>0</v>
          </cell>
          <cell r="DR333">
            <v>0</v>
          </cell>
          <cell r="DT333">
            <v>0</v>
          </cell>
          <cell r="DV333">
            <v>0</v>
          </cell>
          <cell r="DX333">
            <v>0</v>
          </cell>
          <cell r="DZ333">
            <v>0</v>
          </cell>
          <cell r="EB333">
            <v>0</v>
          </cell>
          <cell r="ED333">
            <v>0</v>
          </cell>
          <cell r="EF333">
            <v>0</v>
          </cell>
          <cell r="EH333">
            <v>0</v>
          </cell>
          <cell r="EJ333">
            <v>0</v>
          </cell>
          <cell r="EL333">
            <v>0</v>
          </cell>
          <cell r="EN333">
            <v>0</v>
          </cell>
          <cell r="EP333">
            <v>0</v>
          </cell>
          <cell r="ER333">
            <v>0</v>
          </cell>
          <cell r="ET333">
            <v>0</v>
          </cell>
          <cell r="EV333">
            <v>0</v>
          </cell>
          <cell r="EX333">
            <v>0</v>
          </cell>
          <cell r="EZ333">
            <v>0</v>
          </cell>
          <cell r="FB333">
            <v>0</v>
          </cell>
          <cell r="FD333">
            <v>0</v>
          </cell>
          <cell r="FF333">
            <v>0</v>
          </cell>
          <cell r="FH333">
            <v>0</v>
          </cell>
          <cell r="FJ333">
            <v>0</v>
          </cell>
          <cell r="FL333">
            <v>0</v>
          </cell>
          <cell r="FN333">
            <v>0</v>
          </cell>
          <cell r="FP333">
            <v>0</v>
          </cell>
          <cell r="FR333">
            <v>0</v>
          </cell>
          <cell r="FT333">
            <v>0</v>
          </cell>
          <cell r="FV333">
            <v>0</v>
          </cell>
          <cell r="GD333">
            <v>14</v>
          </cell>
          <cell r="GF333">
            <v>4</v>
          </cell>
          <cell r="GH333">
            <v>1</v>
          </cell>
          <cell r="GJ333">
            <v>7</v>
          </cell>
          <cell r="GM333">
            <v>201.01</v>
          </cell>
          <cell r="GN33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204.檢查勞工個人防護具：█有 □無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W333" t="str">
            <v>（一）施工廠商施工前檢查事項辦理情形：█完成 □未完成 （二）其他工地安全衛生督導事項：</v>
          </cell>
          <cell r="GX333">
            <v>853901</v>
          </cell>
          <cell r="GY333">
            <v>0</v>
          </cell>
        </row>
        <row r="334">
          <cell r="N334">
            <v>1</v>
          </cell>
          <cell r="P334">
            <v>1</v>
          </cell>
          <cell r="R334">
            <v>672</v>
          </cell>
          <cell r="T334">
            <v>108</v>
          </cell>
          <cell r="V334">
            <v>661</v>
          </cell>
          <cell r="X334">
            <v>2</v>
          </cell>
          <cell r="Z334">
            <v>1</v>
          </cell>
          <cell r="AB334">
            <v>661</v>
          </cell>
          <cell r="AD334">
            <v>2</v>
          </cell>
          <cell r="AF334">
            <v>1</v>
          </cell>
          <cell r="AH334">
            <v>1</v>
          </cell>
          <cell r="AJ334">
            <v>1</v>
          </cell>
          <cell r="AL334">
            <v>0</v>
          </cell>
          <cell r="AN334">
            <v>0</v>
          </cell>
          <cell r="AP334">
            <v>0</v>
          </cell>
          <cell r="AR334">
            <v>0</v>
          </cell>
          <cell r="AT334">
            <v>0</v>
          </cell>
          <cell r="AV334">
            <v>0</v>
          </cell>
          <cell r="AX334">
            <v>0</v>
          </cell>
          <cell r="AZ334">
            <v>0</v>
          </cell>
          <cell r="BB334">
            <v>0</v>
          </cell>
          <cell r="BD334">
            <v>0</v>
          </cell>
          <cell r="BF334">
            <v>0</v>
          </cell>
          <cell r="BH334">
            <v>0</v>
          </cell>
          <cell r="BJ334">
            <v>0</v>
          </cell>
          <cell r="BL334">
            <v>0</v>
          </cell>
          <cell r="BN334">
            <v>0</v>
          </cell>
          <cell r="BP334">
            <v>0</v>
          </cell>
          <cell r="BR334">
            <v>0</v>
          </cell>
          <cell r="BT334">
            <v>0</v>
          </cell>
          <cell r="BV334">
            <v>0</v>
          </cell>
          <cell r="BX334">
            <v>0</v>
          </cell>
          <cell r="BZ334">
            <v>0</v>
          </cell>
          <cell r="CB334">
            <v>0</v>
          </cell>
          <cell r="CD334">
            <v>0</v>
          </cell>
          <cell r="CF334">
            <v>0</v>
          </cell>
          <cell r="CH334">
            <v>0</v>
          </cell>
          <cell r="CJ334">
            <v>0</v>
          </cell>
          <cell r="CL334">
            <v>0</v>
          </cell>
          <cell r="CN334">
            <v>0</v>
          </cell>
          <cell r="CP334">
            <v>0</v>
          </cell>
          <cell r="CR334">
            <v>0</v>
          </cell>
          <cell r="CT334">
            <v>0</v>
          </cell>
          <cell r="CV334">
            <v>0</v>
          </cell>
          <cell r="CX334">
            <v>0</v>
          </cell>
          <cell r="CZ334">
            <v>0</v>
          </cell>
          <cell r="DB334">
            <v>0</v>
          </cell>
          <cell r="DD334">
            <v>0</v>
          </cell>
          <cell r="DF334">
            <v>0</v>
          </cell>
          <cell r="DH334">
            <v>0</v>
          </cell>
          <cell r="DJ334">
            <v>0</v>
          </cell>
          <cell r="DL334">
            <v>0</v>
          </cell>
          <cell r="DN334">
            <v>0</v>
          </cell>
          <cell r="DP334">
            <v>0</v>
          </cell>
          <cell r="DR334">
            <v>0</v>
          </cell>
          <cell r="DT334">
            <v>0</v>
          </cell>
          <cell r="DV334">
            <v>0</v>
          </cell>
          <cell r="DX334">
            <v>0</v>
          </cell>
          <cell r="DZ334">
            <v>0</v>
          </cell>
          <cell r="EB334">
            <v>0</v>
          </cell>
          <cell r="ED334">
            <v>0</v>
          </cell>
          <cell r="EF334">
            <v>0</v>
          </cell>
          <cell r="EH334">
            <v>0</v>
          </cell>
          <cell r="EJ334">
            <v>0</v>
          </cell>
          <cell r="EL334">
            <v>0</v>
          </cell>
          <cell r="EN334">
            <v>0</v>
          </cell>
          <cell r="EP334">
            <v>0</v>
          </cell>
          <cell r="ER334">
            <v>0</v>
          </cell>
          <cell r="ET334">
            <v>0</v>
          </cell>
          <cell r="EV334">
            <v>0</v>
          </cell>
          <cell r="EX334">
            <v>0</v>
          </cell>
          <cell r="EZ334">
            <v>0</v>
          </cell>
          <cell r="FB334">
            <v>0</v>
          </cell>
          <cell r="FD334">
            <v>0</v>
          </cell>
          <cell r="FF334">
            <v>0</v>
          </cell>
          <cell r="FH334">
            <v>0</v>
          </cell>
          <cell r="FJ334">
            <v>0</v>
          </cell>
          <cell r="FL334">
            <v>0</v>
          </cell>
          <cell r="FN334">
            <v>0</v>
          </cell>
          <cell r="FP334">
            <v>0</v>
          </cell>
          <cell r="FR334">
            <v>0</v>
          </cell>
          <cell r="FT334">
            <v>0</v>
          </cell>
          <cell r="FV334">
            <v>0</v>
          </cell>
          <cell r="GD334">
            <v>14</v>
          </cell>
          <cell r="GF334">
            <v>4</v>
          </cell>
          <cell r="GH334">
            <v>1</v>
          </cell>
          <cell r="GJ334">
            <v>7</v>
          </cell>
          <cell r="GM334">
            <v>202.01</v>
          </cell>
          <cell r="GN33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205.檢查勞工個人防護具：█有 □無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W334" t="str">
            <v>（一）施工廠商施工前檢查事項辦理情形：█完成 □未完成 （二）其他工地安全衛生督導事項：</v>
          </cell>
          <cell r="GX334">
            <v>853901</v>
          </cell>
          <cell r="GY334">
            <v>0</v>
          </cell>
        </row>
        <row r="335">
          <cell r="N335">
            <v>1</v>
          </cell>
          <cell r="P335">
            <v>1</v>
          </cell>
          <cell r="R335">
            <v>672</v>
          </cell>
          <cell r="T335">
            <v>108</v>
          </cell>
          <cell r="V335">
            <v>661</v>
          </cell>
          <cell r="X335">
            <v>2</v>
          </cell>
          <cell r="Z335">
            <v>1</v>
          </cell>
          <cell r="AB335">
            <v>661</v>
          </cell>
          <cell r="AD335">
            <v>2</v>
          </cell>
          <cell r="AF335">
            <v>1</v>
          </cell>
          <cell r="AH335">
            <v>1</v>
          </cell>
          <cell r="AJ335">
            <v>1</v>
          </cell>
          <cell r="AL335">
            <v>0</v>
          </cell>
          <cell r="AN335">
            <v>0</v>
          </cell>
          <cell r="AP335">
            <v>0</v>
          </cell>
          <cell r="AR335">
            <v>0</v>
          </cell>
          <cell r="AT335">
            <v>0</v>
          </cell>
          <cell r="AV335">
            <v>0</v>
          </cell>
          <cell r="AX335">
            <v>0</v>
          </cell>
          <cell r="AZ335">
            <v>0</v>
          </cell>
          <cell r="BB335">
            <v>0</v>
          </cell>
          <cell r="BD335">
            <v>0</v>
          </cell>
          <cell r="BF335">
            <v>0</v>
          </cell>
          <cell r="BH335">
            <v>0</v>
          </cell>
          <cell r="BJ335">
            <v>0</v>
          </cell>
          <cell r="BL335">
            <v>0</v>
          </cell>
          <cell r="BN335">
            <v>0</v>
          </cell>
          <cell r="BP335">
            <v>0</v>
          </cell>
          <cell r="BR335">
            <v>0</v>
          </cell>
          <cell r="BT335">
            <v>0</v>
          </cell>
          <cell r="BV335">
            <v>0</v>
          </cell>
          <cell r="BX335">
            <v>0</v>
          </cell>
          <cell r="BZ335">
            <v>0</v>
          </cell>
          <cell r="CB335">
            <v>0</v>
          </cell>
          <cell r="CD335">
            <v>0</v>
          </cell>
          <cell r="CF335">
            <v>0</v>
          </cell>
          <cell r="CH335">
            <v>0</v>
          </cell>
          <cell r="CJ335">
            <v>0</v>
          </cell>
          <cell r="CL335">
            <v>0</v>
          </cell>
          <cell r="CN335">
            <v>0</v>
          </cell>
          <cell r="CP335">
            <v>0</v>
          </cell>
          <cell r="CR335">
            <v>0</v>
          </cell>
          <cell r="CT335">
            <v>0</v>
          </cell>
          <cell r="CV335">
            <v>0</v>
          </cell>
          <cell r="CX335">
            <v>0</v>
          </cell>
          <cell r="CZ335">
            <v>0</v>
          </cell>
          <cell r="DB335">
            <v>0</v>
          </cell>
          <cell r="DD335">
            <v>0</v>
          </cell>
          <cell r="DF335">
            <v>0</v>
          </cell>
          <cell r="DH335">
            <v>0</v>
          </cell>
          <cell r="DJ335">
            <v>0</v>
          </cell>
          <cell r="DL335">
            <v>0</v>
          </cell>
          <cell r="DN335">
            <v>0</v>
          </cell>
          <cell r="DP335">
            <v>0</v>
          </cell>
          <cell r="DR335">
            <v>0</v>
          </cell>
          <cell r="DT335">
            <v>0</v>
          </cell>
          <cell r="DV335">
            <v>0</v>
          </cell>
          <cell r="DX335">
            <v>0</v>
          </cell>
          <cell r="DZ335">
            <v>0</v>
          </cell>
          <cell r="EB335">
            <v>0</v>
          </cell>
          <cell r="ED335">
            <v>0</v>
          </cell>
          <cell r="EF335">
            <v>0</v>
          </cell>
          <cell r="EH335">
            <v>0</v>
          </cell>
          <cell r="EJ335">
            <v>0</v>
          </cell>
          <cell r="EL335">
            <v>0</v>
          </cell>
          <cell r="EN335">
            <v>0</v>
          </cell>
          <cell r="EP335">
            <v>0</v>
          </cell>
          <cell r="ER335">
            <v>0</v>
          </cell>
          <cell r="ET335">
            <v>0</v>
          </cell>
          <cell r="EV335">
            <v>0</v>
          </cell>
          <cell r="EX335">
            <v>0</v>
          </cell>
          <cell r="EZ335">
            <v>0</v>
          </cell>
          <cell r="FB335">
            <v>0</v>
          </cell>
          <cell r="FD335">
            <v>0</v>
          </cell>
          <cell r="FF335">
            <v>0</v>
          </cell>
          <cell r="FH335">
            <v>0</v>
          </cell>
          <cell r="FJ335">
            <v>0</v>
          </cell>
          <cell r="FL335">
            <v>0</v>
          </cell>
          <cell r="FN335">
            <v>0</v>
          </cell>
          <cell r="FP335">
            <v>0</v>
          </cell>
          <cell r="FR335">
            <v>0</v>
          </cell>
          <cell r="FT335">
            <v>0</v>
          </cell>
          <cell r="FV335">
            <v>0</v>
          </cell>
          <cell r="GD335">
            <v>14</v>
          </cell>
          <cell r="GF335">
            <v>4</v>
          </cell>
          <cell r="GH335">
            <v>1</v>
          </cell>
          <cell r="GJ335">
            <v>7</v>
          </cell>
          <cell r="GM335">
            <v>203.01</v>
          </cell>
          <cell r="GN33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206.檢查勞工個人防護具：█有 □無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W335" t="str">
            <v>（一）施工廠商施工前檢查事項辦理情形：█完成 □未完成 （二）其他工地安全衛生督導事項：</v>
          </cell>
          <cell r="GX335">
            <v>853901</v>
          </cell>
          <cell r="GY335">
            <v>0</v>
          </cell>
        </row>
        <row r="336">
          <cell r="N336">
            <v>1</v>
          </cell>
          <cell r="P336">
            <v>1</v>
          </cell>
          <cell r="R336">
            <v>672</v>
          </cell>
          <cell r="T336">
            <v>108</v>
          </cell>
          <cell r="V336">
            <v>661</v>
          </cell>
          <cell r="X336">
            <v>2</v>
          </cell>
          <cell r="Z336">
            <v>1</v>
          </cell>
          <cell r="AB336">
            <v>661</v>
          </cell>
          <cell r="AD336">
            <v>2</v>
          </cell>
          <cell r="AF336">
            <v>1</v>
          </cell>
          <cell r="AH336">
            <v>1</v>
          </cell>
          <cell r="AJ336">
            <v>1</v>
          </cell>
          <cell r="AL336">
            <v>0</v>
          </cell>
          <cell r="AN336">
            <v>0</v>
          </cell>
          <cell r="AP336">
            <v>0</v>
          </cell>
          <cell r="AR336">
            <v>0</v>
          </cell>
          <cell r="AT336">
            <v>0</v>
          </cell>
          <cell r="AV336">
            <v>0</v>
          </cell>
          <cell r="AX336">
            <v>0</v>
          </cell>
          <cell r="AZ336">
            <v>0</v>
          </cell>
          <cell r="BB336">
            <v>0</v>
          </cell>
          <cell r="BD336">
            <v>0</v>
          </cell>
          <cell r="BF336">
            <v>0</v>
          </cell>
          <cell r="BH336">
            <v>0</v>
          </cell>
          <cell r="BJ336">
            <v>0</v>
          </cell>
          <cell r="BL336">
            <v>0</v>
          </cell>
          <cell r="BN336">
            <v>0</v>
          </cell>
          <cell r="BP336">
            <v>0</v>
          </cell>
          <cell r="BR336">
            <v>0</v>
          </cell>
          <cell r="BT336">
            <v>0</v>
          </cell>
          <cell r="BV336">
            <v>0</v>
          </cell>
          <cell r="BX336">
            <v>0</v>
          </cell>
          <cell r="BZ336">
            <v>0</v>
          </cell>
          <cell r="CB336">
            <v>0</v>
          </cell>
          <cell r="CD336">
            <v>0</v>
          </cell>
          <cell r="CF336">
            <v>0</v>
          </cell>
          <cell r="CH336">
            <v>0</v>
          </cell>
          <cell r="CJ336">
            <v>0</v>
          </cell>
          <cell r="CL336">
            <v>0</v>
          </cell>
          <cell r="CN336">
            <v>0</v>
          </cell>
          <cell r="CP336">
            <v>0</v>
          </cell>
          <cell r="CR336">
            <v>0</v>
          </cell>
          <cell r="CT336">
            <v>0</v>
          </cell>
          <cell r="CV336">
            <v>0</v>
          </cell>
          <cell r="CX336">
            <v>0</v>
          </cell>
          <cell r="CZ336">
            <v>0</v>
          </cell>
          <cell r="DB336">
            <v>0</v>
          </cell>
          <cell r="DD336">
            <v>0</v>
          </cell>
          <cell r="DF336">
            <v>0</v>
          </cell>
          <cell r="DH336">
            <v>0</v>
          </cell>
          <cell r="DJ336">
            <v>0</v>
          </cell>
          <cell r="DL336">
            <v>0</v>
          </cell>
          <cell r="DN336">
            <v>0</v>
          </cell>
          <cell r="DP336">
            <v>0</v>
          </cell>
          <cell r="DR336">
            <v>0</v>
          </cell>
          <cell r="DT336">
            <v>0</v>
          </cell>
          <cell r="DV336">
            <v>0</v>
          </cell>
          <cell r="DX336">
            <v>0</v>
          </cell>
          <cell r="DZ336">
            <v>0</v>
          </cell>
          <cell r="EB336">
            <v>0</v>
          </cell>
          <cell r="ED336">
            <v>0</v>
          </cell>
          <cell r="EF336">
            <v>0</v>
          </cell>
          <cell r="EH336">
            <v>0</v>
          </cell>
          <cell r="EJ336">
            <v>0</v>
          </cell>
          <cell r="EL336">
            <v>0</v>
          </cell>
          <cell r="EN336">
            <v>0</v>
          </cell>
          <cell r="EP336">
            <v>0</v>
          </cell>
          <cell r="ER336">
            <v>0</v>
          </cell>
          <cell r="ET336">
            <v>0</v>
          </cell>
          <cell r="EV336">
            <v>0</v>
          </cell>
          <cell r="EX336">
            <v>0</v>
          </cell>
          <cell r="EZ336">
            <v>0</v>
          </cell>
          <cell r="FB336">
            <v>0</v>
          </cell>
          <cell r="FD336">
            <v>0</v>
          </cell>
          <cell r="FF336">
            <v>0</v>
          </cell>
          <cell r="FH336">
            <v>0</v>
          </cell>
          <cell r="FJ336">
            <v>0</v>
          </cell>
          <cell r="FL336">
            <v>0</v>
          </cell>
          <cell r="FN336">
            <v>0</v>
          </cell>
          <cell r="FP336">
            <v>0</v>
          </cell>
          <cell r="FR336">
            <v>0</v>
          </cell>
          <cell r="FT336">
            <v>0</v>
          </cell>
          <cell r="FV336">
            <v>0</v>
          </cell>
          <cell r="GD336">
            <v>14</v>
          </cell>
          <cell r="GF336">
            <v>4</v>
          </cell>
          <cell r="GH336">
            <v>1</v>
          </cell>
          <cell r="GJ336">
            <v>7</v>
          </cell>
          <cell r="GM336">
            <v>204.01</v>
          </cell>
          <cell r="GN33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207.檢查勞工個人防護具：█有 □無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W336" t="str">
            <v>（一）施工廠商施工前檢查事項辦理情形：█完成 □未完成 （二）其他工地安全衛生督導事項：</v>
          </cell>
          <cell r="GX336">
            <v>853901</v>
          </cell>
          <cell r="GY336">
            <v>0</v>
          </cell>
        </row>
        <row r="337">
          <cell r="N337">
            <v>1</v>
          </cell>
          <cell r="P337">
            <v>1</v>
          </cell>
          <cell r="R337">
            <v>672</v>
          </cell>
          <cell r="T337">
            <v>108</v>
          </cell>
          <cell r="V337">
            <v>661</v>
          </cell>
          <cell r="X337">
            <v>2</v>
          </cell>
          <cell r="Z337">
            <v>1</v>
          </cell>
          <cell r="AB337">
            <v>661</v>
          </cell>
          <cell r="AD337">
            <v>2</v>
          </cell>
          <cell r="AF337">
            <v>1</v>
          </cell>
          <cell r="AH337">
            <v>1</v>
          </cell>
          <cell r="AJ337">
            <v>1</v>
          </cell>
          <cell r="AL337">
            <v>0</v>
          </cell>
          <cell r="AN337">
            <v>0</v>
          </cell>
          <cell r="AP337">
            <v>0</v>
          </cell>
          <cell r="AR337">
            <v>0</v>
          </cell>
          <cell r="AT337">
            <v>0</v>
          </cell>
          <cell r="AV337">
            <v>0</v>
          </cell>
          <cell r="AX337">
            <v>0</v>
          </cell>
          <cell r="AZ337">
            <v>0</v>
          </cell>
          <cell r="BB337">
            <v>0</v>
          </cell>
          <cell r="BD337">
            <v>0</v>
          </cell>
          <cell r="BF337">
            <v>0</v>
          </cell>
          <cell r="BH337">
            <v>0</v>
          </cell>
          <cell r="BJ337">
            <v>0</v>
          </cell>
          <cell r="BL337">
            <v>0</v>
          </cell>
          <cell r="BN337">
            <v>0</v>
          </cell>
          <cell r="BP337">
            <v>0</v>
          </cell>
          <cell r="BR337">
            <v>0</v>
          </cell>
          <cell r="BT337">
            <v>0</v>
          </cell>
          <cell r="BV337">
            <v>0</v>
          </cell>
          <cell r="BX337">
            <v>0</v>
          </cell>
          <cell r="BZ337">
            <v>0</v>
          </cell>
          <cell r="CB337">
            <v>0</v>
          </cell>
          <cell r="CD337">
            <v>0</v>
          </cell>
          <cell r="CF337">
            <v>0</v>
          </cell>
          <cell r="CH337">
            <v>0</v>
          </cell>
          <cell r="CJ337">
            <v>0</v>
          </cell>
          <cell r="CL337">
            <v>0</v>
          </cell>
          <cell r="CN337">
            <v>0</v>
          </cell>
          <cell r="CP337">
            <v>0</v>
          </cell>
          <cell r="CR337">
            <v>0</v>
          </cell>
          <cell r="CT337">
            <v>0</v>
          </cell>
          <cell r="CV337">
            <v>0</v>
          </cell>
          <cell r="CX337">
            <v>0</v>
          </cell>
          <cell r="CZ337">
            <v>0</v>
          </cell>
          <cell r="DB337">
            <v>0</v>
          </cell>
          <cell r="DD337">
            <v>0</v>
          </cell>
          <cell r="DF337">
            <v>0</v>
          </cell>
          <cell r="DH337">
            <v>0</v>
          </cell>
          <cell r="DJ337">
            <v>0</v>
          </cell>
          <cell r="DL337">
            <v>0</v>
          </cell>
          <cell r="DN337">
            <v>0</v>
          </cell>
          <cell r="DP337">
            <v>0</v>
          </cell>
          <cell r="DR337">
            <v>0</v>
          </cell>
          <cell r="DT337">
            <v>0</v>
          </cell>
          <cell r="DV337">
            <v>0</v>
          </cell>
          <cell r="DX337">
            <v>0</v>
          </cell>
          <cell r="DZ337">
            <v>0</v>
          </cell>
          <cell r="EB337">
            <v>0</v>
          </cell>
          <cell r="ED337">
            <v>0</v>
          </cell>
          <cell r="EF337">
            <v>0</v>
          </cell>
          <cell r="EH337">
            <v>0</v>
          </cell>
          <cell r="EJ337">
            <v>0</v>
          </cell>
          <cell r="EL337">
            <v>0</v>
          </cell>
          <cell r="EN337">
            <v>0</v>
          </cell>
          <cell r="EP337">
            <v>0</v>
          </cell>
          <cell r="ER337">
            <v>0</v>
          </cell>
          <cell r="ET337">
            <v>0</v>
          </cell>
          <cell r="EV337">
            <v>0</v>
          </cell>
          <cell r="EX337">
            <v>0</v>
          </cell>
          <cell r="EZ337">
            <v>0</v>
          </cell>
          <cell r="FB337">
            <v>0</v>
          </cell>
          <cell r="FD337">
            <v>0</v>
          </cell>
          <cell r="FF337">
            <v>0</v>
          </cell>
          <cell r="FH337">
            <v>0</v>
          </cell>
          <cell r="FJ337">
            <v>0</v>
          </cell>
          <cell r="FL337">
            <v>0</v>
          </cell>
          <cell r="FN337">
            <v>0</v>
          </cell>
          <cell r="FP337">
            <v>0</v>
          </cell>
          <cell r="FR337">
            <v>0</v>
          </cell>
          <cell r="FT337">
            <v>0</v>
          </cell>
          <cell r="FV337">
            <v>0</v>
          </cell>
          <cell r="GD337">
            <v>14</v>
          </cell>
          <cell r="GF337">
            <v>4</v>
          </cell>
          <cell r="GH337">
            <v>1</v>
          </cell>
          <cell r="GJ337">
            <v>7</v>
          </cell>
          <cell r="GM337">
            <v>205.01</v>
          </cell>
          <cell r="GN33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208.檢查勞工個人防護具：█有 □無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W337" t="str">
            <v>（一）施工廠商施工前檢查事項辦理情形：█完成 □未完成 （二）其他工地安全衛生督導事項：</v>
          </cell>
          <cell r="GX337">
            <v>853901</v>
          </cell>
          <cell r="GY337">
            <v>0</v>
          </cell>
        </row>
        <row r="338">
          <cell r="N338">
            <v>1</v>
          </cell>
          <cell r="P338">
            <v>1</v>
          </cell>
          <cell r="R338">
            <v>672</v>
          </cell>
          <cell r="T338">
            <v>108</v>
          </cell>
          <cell r="V338">
            <v>661</v>
          </cell>
          <cell r="X338">
            <v>2</v>
          </cell>
          <cell r="Z338">
            <v>1</v>
          </cell>
          <cell r="AB338">
            <v>661</v>
          </cell>
          <cell r="AD338">
            <v>2</v>
          </cell>
          <cell r="AF338">
            <v>1</v>
          </cell>
          <cell r="AH338">
            <v>1</v>
          </cell>
          <cell r="AJ338">
            <v>1</v>
          </cell>
          <cell r="AL338">
            <v>0</v>
          </cell>
          <cell r="AN338">
            <v>0</v>
          </cell>
          <cell r="AP338">
            <v>0</v>
          </cell>
          <cell r="AR338">
            <v>0</v>
          </cell>
          <cell r="AT338">
            <v>0</v>
          </cell>
          <cell r="AV338">
            <v>0</v>
          </cell>
          <cell r="AX338">
            <v>0</v>
          </cell>
          <cell r="AZ338">
            <v>0</v>
          </cell>
          <cell r="BB338">
            <v>0</v>
          </cell>
          <cell r="BD338">
            <v>0</v>
          </cell>
          <cell r="BF338">
            <v>0</v>
          </cell>
          <cell r="BH338">
            <v>0</v>
          </cell>
          <cell r="BJ338">
            <v>0</v>
          </cell>
          <cell r="BL338">
            <v>0</v>
          </cell>
          <cell r="BN338">
            <v>0</v>
          </cell>
          <cell r="BP338">
            <v>0</v>
          </cell>
          <cell r="BR338">
            <v>0</v>
          </cell>
          <cell r="BT338">
            <v>0</v>
          </cell>
          <cell r="BV338">
            <v>0</v>
          </cell>
          <cell r="BX338">
            <v>0</v>
          </cell>
          <cell r="BZ338">
            <v>0</v>
          </cell>
          <cell r="CB338">
            <v>0</v>
          </cell>
          <cell r="CD338">
            <v>0</v>
          </cell>
          <cell r="CF338">
            <v>0</v>
          </cell>
          <cell r="CH338">
            <v>0</v>
          </cell>
          <cell r="CJ338">
            <v>0</v>
          </cell>
          <cell r="CL338">
            <v>0</v>
          </cell>
          <cell r="CN338">
            <v>0</v>
          </cell>
          <cell r="CP338">
            <v>0</v>
          </cell>
          <cell r="CR338">
            <v>0</v>
          </cell>
          <cell r="CT338">
            <v>0</v>
          </cell>
          <cell r="CV338">
            <v>0</v>
          </cell>
          <cell r="CX338">
            <v>0</v>
          </cell>
          <cell r="CZ338">
            <v>0</v>
          </cell>
          <cell r="DB338">
            <v>0</v>
          </cell>
          <cell r="DD338">
            <v>0</v>
          </cell>
          <cell r="DF338">
            <v>0</v>
          </cell>
          <cell r="DH338">
            <v>0</v>
          </cell>
          <cell r="DJ338">
            <v>0</v>
          </cell>
          <cell r="DL338">
            <v>0</v>
          </cell>
          <cell r="DN338">
            <v>0</v>
          </cell>
          <cell r="DP338">
            <v>0</v>
          </cell>
          <cell r="DR338">
            <v>0</v>
          </cell>
          <cell r="DT338">
            <v>0</v>
          </cell>
          <cell r="DV338">
            <v>0</v>
          </cell>
          <cell r="DX338">
            <v>0</v>
          </cell>
          <cell r="DZ338">
            <v>0</v>
          </cell>
          <cell r="EB338">
            <v>0</v>
          </cell>
          <cell r="ED338">
            <v>0</v>
          </cell>
          <cell r="EF338">
            <v>0</v>
          </cell>
          <cell r="EH338">
            <v>0</v>
          </cell>
          <cell r="EJ338">
            <v>0</v>
          </cell>
          <cell r="EL338">
            <v>0</v>
          </cell>
          <cell r="EN338">
            <v>0</v>
          </cell>
          <cell r="EP338">
            <v>0</v>
          </cell>
          <cell r="ER338">
            <v>0</v>
          </cell>
          <cell r="ET338">
            <v>0</v>
          </cell>
          <cell r="EV338">
            <v>0</v>
          </cell>
          <cell r="EX338">
            <v>0</v>
          </cell>
          <cell r="EZ338">
            <v>0</v>
          </cell>
          <cell r="FB338">
            <v>0</v>
          </cell>
          <cell r="FD338">
            <v>0</v>
          </cell>
          <cell r="FF338">
            <v>0</v>
          </cell>
          <cell r="FH338">
            <v>0</v>
          </cell>
          <cell r="FJ338">
            <v>0</v>
          </cell>
          <cell r="FL338">
            <v>0</v>
          </cell>
          <cell r="FN338">
            <v>0</v>
          </cell>
          <cell r="FP338">
            <v>0</v>
          </cell>
          <cell r="FR338">
            <v>0</v>
          </cell>
          <cell r="FT338">
            <v>0</v>
          </cell>
          <cell r="FV338">
            <v>0</v>
          </cell>
          <cell r="GD338">
            <v>14</v>
          </cell>
          <cell r="GF338">
            <v>4</v>
          </cell>
          <cell r="GH338">
            <v>1</v>
          </cell>
          <cell r="GJ338">
            <v>7</v>
          </cell>
          <cell r="GM338">
            <v>206.01</v>
          </cell>
          <cell r="GN33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209.檢查勞工個人防護具：█有 □無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W338" t="str">
            <v>（一）施工廠商施工前檢查事項辦理情形：█完成 □未完成 （二）其他工地安全衛生督導事項：</v>
          </cell>
          <cell r="GX338">
            <v>853901</v>
          </cell>
          <cell r="GY338">
            <v>0</v>
          </cell>
        </row>
        <row r="339">
          <cell r="N339">
            <v>1</v>
          </cell>
          <cell r="P339">
            <v>1</v>
          </cell>
          <cell r="R339">
            <v>672</v>
          </cell>
          <cell r="T339">
            <v>108</v>
          </cell>
          <cell r="V339">
            <v>661</v>
          </cell>
          <cell r="X339">
            <v>2</v>
          </cell>
          <cell r="Z339">
            <v>1</v>
          </cell>
          <cell r="AB339">
            <v>661</v>
          </cell>
          <cell r="AD339">
            <v>2</v>
          </cell>
          <cell r="AF339">
            <v>1</v>
          </cell>
          <cell r="AH339">
            <v>1</v>
          </cell>
          <cell r="AJ339">
            <v>1</v>
          </cell>
          <cell r="AL339">
            <v>0</v>
          </cell>
          <cell r="AN339">
            <v>0</v>
          </cell>
          <cell r="AP339">
            <v>0</v>
          </cell>
          <cell r="AR339">
            <v>0</v>
          </cell>
          <cell r="AT339">
            <v>0</v>
          </cell>
          <cell r="AV339">
            <v>0</v>
          </cell>
          <cell r="AX339">
            <v>0</v>
          </cell>
          <cell r="AZ339">
            <v>0</v>
          </cell>
          <cell r="BB339">
            <v>0</v>
          </cell>
          <cell r="BD339">
            <v>0</v>
          </cell>
          <cell r="BF339">
            <v>0</v>
          </cell>
          <cell r="BH339">
            <v>0</v>
          </cell>
          <cell r="BJ339">
            <v>0</v>
          </cell>
          <cell r="BL339">
            <v>0</v>
          </cell>
          <cell r="BN339">
            <v>0</v>
          </cell>
          <cell r="BP339">
            <v>0</v>
          </cell>
          <cell r="BR339">
            <v>0</v>
          </cell>
          <cell r="BT339">
            <v>0</v>
          </cell>
          <cell r="BV339">
            <v>0</v>
          </cell>
          <cell r="BX339">
            <v>0</v>
          </cell>
          <cell r="BZ339">
            <v>0</v>
          </cell>
          <cell r="CB339">
            <v>0</v>
          </cell>
          <cell r="CD339">
            <v>0</v>
          </cell>
          <cell r="CF339">
            <v>0</v>
          </cell>
          <cell r="CH339">
            <v>0</v>
          </cell>
          <cell r="CJ339">
            <v>0</v>
          </cell>
          <cell r="CL339">
            <v>0</v>
          </cell>
          <cell r="CN339">
            <v>0</v>
          </cell>
          <cell r="CP339">
            <v>0</v>
          </cell>
          <cell r="CR339">
            <v>0</v>
          </cell>
          <cell r="CT339">
            <v>0</v>
          </cell>
          <cell r="CV339">
            <v>0</v>
          </cell>
          <cell r="CX339">
            <v>0</v>
          </cell>
          <cell r="CZ339">
            <v>0</v>
          </cell>
          <cell r="DB339">
            <v>0</v>
          </cell>
          <cell r="DD339">
            <v>0</v>
          </cell>
          <cell r="DF339">
            <v>0</v>
          </cell>
          <cell r="DH339">
            <v>0</v>
          </cell>
          <cell r="DJ339">
            <v>0</v>
          </cell>
          <cell r="DL339">
            <v>0</v>
          </cell>
          <cell r="DN339">
            <v>0</v>
          </cell>
          <cell r="DP339">
            <v>0</v>
          </cell>
          <cell r="DR339">
            <v>0</v>
          </cell>
          <cell r="DT339">
            <v>0</v>
          </cell>
          <cell r="DV339">
            <v>0</v>
          </cell>
          <cell r="DX339">
            <v>0</v>
          </cell>
          <cell r="DZ339">
            <v>0</v>
          </cell>
          <cell r="EB339">
            <v>0</v>
          </cell>
          <cell r="ED339">
            <v>0</v>
          </cell>
          <cell r="EF339">
            <v>0</v>
          </cell>
          <cell r="EH339">
            <v>0</v>
          </cell>
          <cell r="EJ339">
            <v>0</v>
          </cell>
          <cell r="EL339">
            <v>0</v>
          </cell>
          <cell r="EN339">
            <v>0</v>
          </cell>
          <cell r="EP339">
            <v>0</v>
          </cell>
          <cell r="ER339">
            <v>0</v>
          </cell>
          <cell r="ET339">
            <v>0</v>
          </cell>
          <cell r="EV339">
            <v>0</v>
          </cell>
          <cell r="EX339">
            <v>0</v>
          </cell>
          <cell r="EZ339">
            <v>0</v>
          </cell>
          <cell r="FB339">
            <v>0</v>
          </cell>
          <cell r="FD339">
            <v>0</v>
          </cell>
          <cell r="FF339">
            <v>0</v>
          </cell>
          <cell r="FH339">
            <v>0</v>
          </cell>
          <cell r="FJ339">
            <v>0</v>
          </cell>
          <cell r="FL339">
            <v>0</v>
          </cell>
          <cell r="FN339">
            <v>0</v>
          </cell>
          <cell r="FP339">
            <v>0</v>
          </cell>
          <cell r="FR339">
            <v>0</v>
          </cell>
          <cell r="FT339">
            <v>0</v>
          </cell>
          <cell r="FV339">
            <v>0</v>
          </cell>
          <cell r="GD339">
            <v>14</v>
          </cell>
          <cell r="GF339">
            <v>4</v>
          </cell>
          <cell r="GH339">
            <v>1</v>
          </cell>
          <cell r="GJ339">
            <v>7</v>
          </cell>
          <cell r="GM339">
            <v>207.01</v>
          </cell>
          <cell r="GN33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210.檢查勞工個人防護具：█有 □無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W339" t="str">
            <v>（一）施工廠商施工前檢查事項辦理情形：█完成 □未完成 （二）其他工地安全衛生督導事項：</v>
          </cell>
          <cell r="GX339">
            <v>853901</v>
          </cell>
          <cell r="GY339">
            <v>0</v>
          </cell>
        </row>
        <row r="340">
          <cell r="N340">
            <v>1</v>
          </cell>
          <cell r="P340">
            <v>1</v>
          </cell>
          <cell r="R340">
            <v>672</v>
          </cell>
          <cell r="T340">
            <v>108</v>
          </cell>
          <cell r="V340">
            <v>661</v>
          </cell>
          <cell r="X340">
            <v>2</v>
          </cell>
          <cell r="Z340">
            <v>1</v>
          </cell>
          <cell r="AB340">
            <v>661</v>
          </cell>
          <cell r="AD340">
            <v>2</v>
          </cell>
          <cell r="AF340">
            <v>1</v>
          </cell>
          <cell r="AH340">
            <v>1</v>
          </cell>
          <cell r="AJ340">
            <v>1</v>
          </cell>
          <cell r="AL340">
            <v>0</v>
          </cell>
          <cell r="AN340">
            <v>0</v>
          </cell>
          <cell r="AP340">
            <v>0</v>
          </cell>
          <cell r="AR340">
            <v>0</v>
          </cell>
          <cell r="AT340">
            <v>0</v>
          </cell>
          <cell r="AV340">
            <v>0</v>
          </cell>
          <cell r="AX340">
            <v>0</v>
          </cell>
          <cell r="AZ340">
            <v>0</v>
          </cell>
          <cell r="BB340">
            <v>0</v>
          </cell>
          <cell r="BD340">
            <v>0</v>
          </cell>
          <cell r="BF340">
            <v>0</v>
          </cell>
          <cell r="BH340">
            <v>0</v>
          </cell>
          <cell r="BJ340">
            <v>0</v>
          </cell>
          <cell r="BL340">
            <v>0</v>
          </cell>
          <cell r="BN340">
            <v>0</v>
          </cell>
          <cell r="BP340">
            <v>0</v>
          </cell>
          <cell r="BR340">
            <v>0</v>
          </cell>
          <cell r="BT340">
            <v>0</v>
          </cell>
          <cell r="BV340">
            <v>0</v>
          </cell>
          <cell r="BX340">
            <v>0</v>
          </cell>
          <cell r="BZ340">
            <v>0</v>
          </cell>
          <cell r="CB340">
            <v>0</v>
          </cell>
          <cell r="CD340">
            <v>0</v>
          </cell>
          <cell r="CF340">
            <v>0</v>
          </cell>
          <cell r="CH340">
            <v>0</v>
          </cell>
          <cell r="CJ340">
            <v>0</v>
          </cell>
          <cell r="CL340">
            <v>0</v>
          </cell>
          <cell r="CN340">
            <v>0</v>
          </cell>
          <cell r="CP340">
            <v>0</v>
          </cell>
          <cell r="CR340">
            <v>0</v>
          </cell>
          <cell r="CT340">
            <v>0</v>
          </cell>
          <cell r="CV340">
            <v>0</v>
          </cell>
          <cell r="CX340">
            <v>0</v>
          </cell>
          <cell r="CZ340">
            <v>0</v>
          </cell>
          <cell r="DB340">
            <v>0</v>
          </cell>
          <cell r="DD340">
            <v>0</v>
          </cell>
          <cell r="DF340">
            <v>0</v>
          </cell>
          <cell r="DH340">
            <v>0</v>
          </cell>
          <cell r="DJ340">
            <v>0</v>
          </cell>
          <cell r="DL340">
            <v>0</v>
          </cell>
          <cell r="DN340">
            <v>0</v>
          </cell>
          <cell r="DP340">
            <v>0</v>
          </cell>
          <cell r="DR340">
            <v>0</v>
          </cell>
          <cell r="DT340">
            <v>0</v>
          </cell>
          <cell r="DV340">
            <v>0</v>
          </cell>
          <cell r="DX340">
            <v>0</v>
          </cell>
          <cell r="DZ340">
            <v>0</v>
          </cell>
          <cell r="EB340">
            <v>0</v>
          </cell>
          <cell r="ED340">
            <v>0</v>
          </cell>
          <cell r="EF340">
            <v>0</v>
          </cell>
          <cell r="EH340">
            <v>0</v>
          </cell>
          <cell r="EJ340">
            <v>0</v>
          </cell>
          <cell r="EL340">
            <v>0</v>
          </cell>
          <cell r="EN340">
            <v>0</v>
          </cell>
          <cell r="EP340">
            <v>0</v>
          </cell>
          <cell r="ER340">
            <v>0</v>
          </cell>
          <cell r="ET340">
            <v>0</v>
          </cell>
          <cell r="EV340">
            <v>0</v>
          </cell>
          <cell r="EX340">
            <v>0</v>
          </cell>
          <cell r="EZ340">
            <v>0</v>
          </cell>
          <cell r="FB340">
            <v>0</v>
          </cell>
          <cell r="FD340">
            <v>0</v>
          </cell>
          <cell r="FF340">
            <v>0</v>
          </cell>
          <cell r="FH340">
            <v>0</v>
          </cell>
          <cell r="FJ340">
            <v>0</v>
          </cell>
          <cell r="FL340">
            <v>0</v>
          </cell>
          <cell r="FN340">
            <v>0</v>
          </cell>
          <cell r="FP340">
            <v>0</v>
          </cell>
          <cell r="FR340">
            <v>0</v>
          </cell>
          <cell r="FT340">
            <v>0</v>
          </cell>
          <cell r="FV340">
            <v>0</v>
          </cell>
          <cell r="GD340">
            <v>14</v>
          </cell>
          <cell r="GF340">
            <v>4</v>
          </cell>
          <cell r="GH340">
            <v>1</v>
          </cell>
          <cell r="GJ340">
            <v>7</v>
          </cell>
          <cell r="GM340">
            <v>208.01</v>
          </cell>
          <cell r="GN34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211.檢查勞工個人防護具：█有 □無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W340" t="str">
            <v>（一）施工廠商施工前檢查事項辦理情形：█完成 □未完成 （二）其他工地安全衛生督導事項：</v>
          </cell>
          <cell r="GX340">
            <v>853901</v>
          </cell>
          <cell r="GY340">
            <v>0</v>
          </cell>
        </row>
        <row r="341">
          <cell r="N341">
            <v>1</v>
          </cell>
          <cell r="P341">
            <v>1</v>
          </cell>
          <cell r="R341">
            <v>672</v>
          </cell>
          <cell r="T341">
            <v>108</v>
          </cell>
          <cell r="V341">
            <v>661</v>
          </cell>
          <cell r="X341">
            <v>2</v>
          </cell>
          <cell r="Z341">
            <v>1</v>
          </cell>
          <cell r="AB341">
            <v>661</v>
          </cell>
          <cell r="AD341">
            <v>2</v>
          </cell>
          <cell r="AF341">
            <v>1</v>
          </cell>
          <cell r="AH341">
            <v>1</v>
          </cell>
          <cell r="AJ341">
            <v>1</v>
          </cell>
          <cell r="AL341">
            <v>0</v>
          </cell>
          <cell r="AN341">
            <v>0</v>
          </cell>
          <cell r="AP341">
            <v>0</v>
          </cell>
          <cell r="AR341">
            <v>0</v>
          </cell>
          <cell r="AT341">
            <v>0</v>
          </cell>
          <cell r="AV341">
            <v>0</v>
          </cell>
          <cell r="AX341">
            <v>0</v>
          </cell>
          <cell r="AZ341">
            <v>0</v>
          </cell>
          <cell r="BB341">
            <v>0</v>
          </cell>
          <cell r="BD341">
            <v>0</v>
          </cell>
          <cell r="BF341">
            <v>0</v>
          </cell>
          <cell r="BH341">
            <v>0</v>
          </cell>
          <cell r="BJ341">
            <v>0</v>
          </cell>
          <cell r="BL341">
            <v>0</v>
          </cell>
          <cell r="BN341">
            <v>0</v>
          </cell>
          <cell r="BP341">
            <v>0</v>
          </cell>
          <cell r="BR341">
            <v>0</v>
          </cell>
          <cell r="BT341">
            <v>0</v>
          </cell>
          <cell r="BV341">
            <v>0</v>
          </cell>
          <cell r="BX341">
            <v>0</v>
          </cell>
          <cell r="BZ341">
            <v>0</v>
          </cell>
          <cell r="CB341">
            <v>0</v>
          </cell>
          <cell r="CD341">
            <v>0</v>
          </cell>
          <cell r="CF341">
            <v>0</v>
          </cell>
          <cell r="CH341">
            <v>0</v>
          </cell>
          <cell r="CJ341">
            <v>0</v>
          </cell>
          <cell r="CL341">
            <v>0</v>
          </cell>
          <cell r="CN341">
            <v>0</v>
          </cell>
          <cell r="CP341">
            <v>0</v>
          </cell>
          <cell r="CR341">
            <v>0</v>
          </cell>
          <cell r="CT341">
            <v>0</v>
          </cell>
          <cell r="CV341">
            <v>0</v>
          </cell>
          <cell r="CX341">
            <v>0</v>
          </cell>
          <cell r="CZ341">
            <v>0</v>
          </cell>
          <cell r="DB341">
            <v>0</v>
          </cell>
          <cell r="DD341">
            <v>0</v>
          </cell>
          <cell r="DF341">
            <v>0</v>
          </cell>
          <cell r="DH341">
            <v>0</v>
          </cell>
          <cell r="DJ341">
            <v>0</v>
          </cell>
          <cell r="DL341">
            <v>0</v>
          </cell>
          <cell r="DN341">
            <v>0</v>
          </cell>
          <cell r="DP341">
            <v>0</v>
          </cell>
          <cell r="DR341">
            <v>0</v>
          </cell>
          <cell r="DT341">
            <v>0</v>
          </cell>
          <cell r="DV341">
            <v>0</v>
          </cell>
          <cell r="DX341">
            <v>0</v>
          </cell>
          <cell r="DZ341">
            <v>0</v>
          </cell>
          <cell r="EB341">
            <v>0</v>
          </cell>
          <cell r="ED341">
            <v>0</v>
          </cell>
          <cell r="EF341">
            <v>0</v>
          </cell>
          <cell r="EH341">
            <v>0</v>
          </cell>
          <cell r="EJ341">
            <v>0</v>
          </cell>
          <cell r="EL341">
            <v>0</v>
          </cell>
          <cell r="EN341">
            <v>0</v>
          </cell>
          <cell r="EP341">
            <v>0</v>
          </cell>
          <cell r="ER341">
            <v>0</v>
          </cell>
          <cell r="ET341">
            <v>0</v>
          </cell>
          <cell r="EV341">
            <v>0</v>
          </cell>
          <cell r="EX341">
            <v>0</v>
          </cell>
          <cell r="EZ341">
            <v>0</v>
          </cell>
          <cell r="FB341">
            <v>0</v>
          </cell>
          <cell r="FD341">
            <v>0</v>
          </cell>
          <cell r="FF341">
            <v>0</v>
          </cell>
          <cell r="FH341">
            <v>0</v>
          </cell>
          <cell r="FJ341">
            <v>0</v>
          </cell>
          <cell r="FL341">
            <v>0</v>
          </cell>
          <cell r="FN341">
            <v>0</v>
          </cell>
          <cell r="FP341">
            <v>0</v>
          </cell>
          <cell r="FR341">
            <v>0</v>
          </cell>
          <cell r="FT341">
            <v>0</v>
          </cell>
          <cell r="FV341">
            <v>0</v>
          </cell>
          <cell r="GD341">
            <v>14</v>
          </cell>
          <cell r="GF341">
            <v>4</v>
          </cell>
          <cell r="GH341">
            <v>1</v>
          </cell>
          <cell r="GJ341">
            <v>7</v>
          </cell>
          <cell r="GM341">
            <v>209.01</v>
          </cell>
          <cell r="GN34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212.檢查勞工個人防護具：█有 □無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W341" t="str">
            <v>（一）施工廠商施工前檢查事項辦理情形：█完成 □未完成 （二）其他工地安全衛生督導事項：</v>
          </cell>
          <cell r="GX341">
            <v>853901</v>
          </cell>
          <cell r="GY341">
            <v>0</v>
          </cell>
        </row>
        <row r="342">
          <cell r="N342">
            <v>1</v>
          </cell>
          <cell r="P342">
            <v>1</v>
          </cell>
          <cell r="R342">
            <v>672</v>
          </cell>
          <cell r="T342">
            <v>108</v>
          </cell>
          <cell r="V342">
            <v>661</v>
          </cell>
          <cell r="X342">
            <v>2</v>
          </cell>
          <cell r="Z342">
            <v>1</v>
          </cell>
          <cell r="AB342">
            <v>661</v>
          </cell>
          <cell r="AD342">
            <v>2</v>
          </cell>
          <cell r="AF342">
            <v>1</v>
          </cell>
          <cell r="AH342">
            <v>1</v>
          </cell>
          <cell r="AJ342">
            <v>1</v>
          </cell>
          <cell r="AL342">
            <v>0</v>
          </cell>
          <cell r="AN342">
            <v>0</v>
          </cell>
          <cell r="AP342">
            <v>0</v>
          </cell>
          <cell r="AR342">
            <v>0</v>
          </cell>
          <cell r="AT342">
            <v>0</v>
          </cell>
          <cell r="AV342">
            <v>0</v>
          </cell>
          <cell r="AX342">
            <v>0</v>
          </cell>
          <cell r="AZ342">
            <v>0</v>
          </cell>
          <cell r="BB342">
            <v>0</v>
          </cell>
          <cell r="BD342">
            <v>0</v>
          </cell>
          <cell r="BF342">
            <v>0</v>
          </cell>
          <cell r="BH342">
            <v>0</v>
          </cell>
          <cell r="BJ342">
            <v>0</v>
          </cell>
          <cell r="BL342">
            <v>0</v>
          </cell>
          <cell r="BN342">
            <v>0</v>
          </cell>
          <cell r="BP342">
            <v>0</v>
          </cell>
          <cell r="BR342">
            <v>0</v>
          </cell>
          <cell r="BT342">
            <v>0</v>
          </cell>
          <cell r="BV342">
            <v>0</v>
          </cell>
          <cell r="BX342">
            <v>0</v>
          </cell>
          <cell r="BZ342">
            <v>0</v>
          </cell>
          <cell r="CB342">
            <v>0</v>
          </cell>
          <cell r="CD342">
            <v>0</v>
          </cell>
          <cell r="CF342">
            <v>0</v>
          </cell>
          <cell r="CH342">
            <v>0</v>
          </cell>
          <cell r="CJ342">
            <v>0</v>
          </cell>
          <cell r="CL342">
            <v>0</v>
          </cell>
          <cell r="CN342">
            <v>0</v>
          </cell>
          <cell r="CP342">
            <v>0</v>
          </cell>
          <cell r="CR342">
            <v>0</v>
          </cell>
          <cell r="CT342">
            <v>0</v>
          </cell>
          <cell r="CV342">
            <v>0</v>
          </cell>
          <cell r="CX342">
            <v>0</v>
          </cell>
          <cell r="CZ342">
            <v>0</v>
          </cell>
          <cell r="DB342">
            <v>0</v>
          </cell>
          <cell r="DD342">
            <v>0</v>
          </cell>
          <cell r="DF342">
            <v>0</v>
          </cell>
          <cell r="DH342">
            <v>0</v>
          </cell>
          <cell r="DJ342">
            <v>0</v>
          </cell>
          <cell r="DL342">
            <v>0</v>
          </cell>
          <cell r="DN342">
            <v>0</v>
          </cell>
          <cell r="DP342">
            <v>0</v>
          </cell>
          <cell r="DR342">
            <v>0</v>
          </cell>
          <cell r="DT342">
            <v>0</v>
          </cell>
          <cell r="DV342">
            <v>0</v>
          </cell>
          <cell r="DX342">
            <v>0</v>
          </cell>
          <cell r="DZ342">
            <v>0</v>
          </cell>
          <cell r="EB342">
            <v>0</v>
          </cell>
          <cell r="ED342">
            <v>0</v>
          </cell>
          <cell r="EF342">
            <v>0</v>
          </cell>
          <cell r="EH342">
            <v>0</v>
          </cell>
          <cell r="EJ342">
            <v>0</v>
          </cell>
          <cell r="EL342">
            <v>0</v>
          </cell>
          <cell r="EN342">
            <v>0</v>
          </cell>
          <cell r="EP342">
            <v>0</v>
          </cell>
          <cell r="ER342">
            <v>0</v>
          </cell>
          <cell r="ET342">
            <v>0</v>
          </cell>
          <cell r="EV342">
            <v>0</v>
          </cell>
          <cell r="EX342">
            <v>0</v>
          </cell>
          <cell r="EZ342">
            <v>0</v>
          </cell>
          <cell r="FB342">
            <v>0</v>
          </cell>
          <cell r="FD342">
            <v>0</v>
          </cell>
          <cell r="FF342">
            <v>0</v>
          </cell>
          <cell r="FH342">
            <v>0</v>
          </cell>
          <cell r="FJ342">
            <v>0</v>
          </cell>
          <cell r="FL342">
            <v>0</v>
          </cell>
          <cell r="FN342">
            <v>0</v>
          </cell>
          <cell r="FP342">
            <v>0</v>
          </cell>
          <cell r="FR342">
            <v>0</v>
          </cell>
          <cell r="FT342">
            <v>0</v>
          </cell>
          <cell r="FV342">
            <v>0</v>
          </cell>
          <cell r="GD342">
            <v>14</v>
          </cell>
          <cell r="GF342">
            <v>4</v>
          </cell>
          <cell r="GH342">
            <v>1</v>
          </cell>
          <cell r="GJ342">
            <v>7</v>
          </cell>
          <cell r="GM342">
            <v>210.01</v>
          </cell>
          <cell r="GN34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213.檢查勞工個人防護具：█有 □無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W342" t="str">
            <v>（一）施工廠商施工前檢查事項辦理情形：█完成 □未完成 （二）其他工地安全衛生督導事項：</v>
          </cell>
          <cell r="GX342">
            <v>853901</v>
          </cell>
          <cell r="GY342">
            <v>0</v>
          </cell>
        </row>
        <row r="343">
          <cell r="N343">
            <v>1</v>
          </cell>
          <cell r="P343">
            <v>1</v>
          </cell>
          <cell r="R343">
            <v>672</v>
          </cell>
          <cell r="T343">
            <v>108</v>
          </cell>
          <cell r="V343">
            <v>661</v>
          </cell>
          <cell r="X343">
            <v>2</v>
          </cell>
          <cell r="Z343">
            <v>1</v>
          </cell>
          <cell r="AB343">
            <v>661</v>
          </cell>
          <cell r="AD343">
            <v>2</v>
          </cell>
          <cell r="AF343">
            <v>1</v>
          </cell>
          <cell r="AH343">
            <v>1</v>
          </cell>
          <cell r="AJ343">
            <v>1</v>
          </cell>
          <cell r="AL343">
            <v>0</v>
          </cell>
          <cell r="AN343">
            <v>0</v>
          </cell>
          <cell r="AP343">
            <v>0</v>
          </cell>
          <cell r="AR343">
            <v>0</v>
          </cell>
          <cell r="AT343">
            <v>0</v>
          </cell>
          <cell r="AV343">
            <v>0</v>
          </cell>
          <cell r="AX343">
            <v>0</v>
          </cell>
          <cell r="AZ343">
            <v>0</v>
          </cell>
          <cell r="BB343">
            <v>0</v>
          </cell>
          <cell r="BD343">
            <v>0</v>
          </cell>
          <cell r="BF343">
            <v>0</v>
          </cell>
          <cell r="BH343">
            <v>0</v>
          </cell>
          <cell r="BJ343">
            <v>0</v>
          </cell>
          <cell r="BL343">
            <v>0</v>
          </cell>
          <cell r="BN343">
            <v>0</v>
          </cell>
          <cell r="BP343">
            <v>0</v>
          </cell>
          <cell r="BR343">
            <v>0</v>
          </cell>
          <cell r="BT343">
            <v>0</v>
          </cell>
          <cell r="BV343">
            <v>0</v>
          </cell>
          <cell r="BX343">
            <v>0</v>
          </cell>
          <cell r="BZ343">
            <v>0</v>
          </cell>
          <cell r="CB343">
            <v>0</v>
          </cell>
          <cell r="CD343">
            <v>0</v>
          </cell>
          <cell r="CF343">
            <v>0</v>
          </cell>
          <cell r="CH343">
            <v>0</v>
          </cell>
          <cell r="CJ343">
            <v>0</v>
          </cell>
          <cell r="CL343">
            <v>0</v>
          </cell>
          <cell r="CN343">
            <v>0</v>
          </cell>
          <cell r="CP343">
            <v>0</v>
          </cell>
          <cell r="CR343">
            <v>0</v>
          </cell>
          <cell r="CT343">
            <v>0</v>
          </cell>
          <cell r="CV343">
            <v>0</v>
          </cell>
          <cell r="CX343">
            <v>0</v>
          </cell>
          <cell r="CZ343">
            <v>0</v>
          </cell>
          <cell r="DB343">
            <v>0</v>
          </cell>
          <cell r="DD343">
            <v>0</v>
          </cell>
          <cell r="DF343">
            <v>0</v>
          </cell>
          <cell r="DH343">
            <v>0</v>
          </cell>
          <cell r="DJ343">
            <v>0</v>
          </cell>
          <cell r="DL343">
            <v>0</v>
          </cell>
          <cell r="DN343">
            <v>0</v>
          </cell>
          <cell r="DP343">
            <v>0</v>
          </cell>
          <cell r="DR343">
            <v>0</v>
          </cell>
          <cell r="DT343">
            <v>0</v>
          </cell>
          <cell r="DV343">
            <v>0</v>
          </cell>
          <cell r="DX343">
            <v>0</v>
          </cell>
          <cell r="DZ343">
            <v>0</v>
          </cell>
          <cell r="EB343">
            <v>0</v>
          </cell>
          <cell r="ED343">
            <v>0</v>
          </cell>
          <cell r="EF343">
            <v>0</v>
          </cell>
          <cell r="EH343">
            <v>0</v>
          </cell>
          <cell r="EJ343">
            <v>0</v>
          </cell>
          <cell r="EL343">
            <v>0</v>
          </cell>
          <cell r="EN343">
            <v>0</v>
          </cell>
          <cell r="EP343">
            <v>0</v>
          </cell>
          <cell r="ER343">
            <v>0</v>
          </cell>
          <cell r="ET343">
            <v>0</v>
          </cell>
          <cell r="EV343">
            <v>0</v>
          </cell>
          <cell r="EX343">
            <v>0</v>
          </cell>
          <cell r="EZ343">
            <v>0</v>
          </cell>
          <cell r="FB343">
            <v>0</v>
          </cell>
          <cell r="FD343">
            <v>0</v>
          </cell>
          <cell r="FF343">
            <v>0</v>
          </cell>
          <cell r="FH343">
            <v>0</v>
          </cell>
          <cell r="FJ343">
            <v>0</v>
          </cell>
          <cell r="FL343">
            <v>0</v>
          </cell>
          <cell r="FN343">
            <v>0</v>
          </cell>
          <cell r="FP343">
            <v>0</v>
          </cell>
          <cell r="FR343">
            <v>0</v>
          </cell>
          <cell r="FT343">
            <v>0</v>
          </cell>
          <cell r="FV343">
            <v>0</v>
          </cell>
          <cell r="GD343">
            <v>14</v>
          </cell>
          <cell r="GF343">
            <v>4</v>
          </cell>
          <cell r="GH343">
            <v>1</v>
          </cell>
          <cell r="GJ343">
            <v>7</v>
          </cell>
          <cell r="GM343">
            <v>211.01</v>
          </cell>
          <cell r="GN34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214.檢查勞工個人防護具：█有 □無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W343" t="str">
            <v>（一）施工廠商施工前檢查事項辦理情形：█完成 □未完成 （二）其他工地安全衛生督導事項：</v>
          </cell>
          <cell r="GX343">
            <v>853901</v>
          </cell>
          <cell r="GY343">
            <v>0</v>
          </cell>
        </row>
        <row r="344">
          <cell r="N344">
            <v>1</v>
          </cell>
          <cell r="P344">
            <v>1</v>
          </cell>
          <cell r="R344">
            <v>672</v>
          </cell>
          <cell r="T344">
            <v>108</v>
          </cell>
          <cell r="V344">
            <v>661</v>
          </cell>
          <cell r="X344">
            <v>2</v>
          </cell>
          <cell r="Z344">
            <v>1</v>
          </cell>
          <cell r="AB344">
            <v>661</v>
          </cell>
          <cell r="AD344">
            <v>2</v>
          </cell>
          <cell r="AF344">
            <v>1</v>
          </cell>
          <cell r="AH344">
            <v>1</v>
          </cell>
          <cell r="AJ344">
            <v>1</v>
          </cell>
          <cell r="AL344">
            <v>0</v>
          </cell>
          <cell r="AN344">
            <v>0</v>
          </cell>
          <cell r="AP344">
            <v>0</v>
          </cell>
          <cell r="AR344">
            <v>0</v>
          </cell>
          <cell r="AT344">
            <v>0</v>
          </cell>
          <cell r="AV344">
            <v>0</v>
          </cell>
          <cell r="AX344">
            <v>0</v>
          </cell>
          <cell r="AZ344">
            <v>0</v>
          </cell>
          <cell r="BB344">
            <v>0</v>
          </cell>
          <cell r="BD344">
            <v>0</v>
          </cell>
          <cell r="BF344">
            <v>0</v>
          </cell>
          <cell r="BH344">
            <v>0</v>
          </cell>
          <cell r="BJ344">
            <v>0</v>
          </cell>
          <cell r="BL344">
            <v>0</v>
          </cell>
          <cell r="BN344">
            <v>0</v>
          </cell>
          <cell r="BP344">
            <v>0</v>
          </cell>
          <cell r="BR344">
            <v>0</v>
          </cell>
          <cell r="BT344">
            <v>0</v>
          </cell>
          <cell r="BV344">
            <v>0</v>
          </cell>
          <cell r="BX344">
            <v>0</v>
          </cell>
          <cell r="BZ344">
            <v>0</v>
          </cell>
          <cell r="CB344">
            <v>0</v>
          </cell>
          <cell r="CD344">
            <v>0</v>
          </cell>
          <cell r="CF344">
            <v>0</v>
          </cell>
          <cell r="CH344">
            <v>0</v>
          </cell>
          <cell r="CJ344">
            <v>0</v>
          </cell>
          <cell r="CL344">
            <v>0</v>
          </cell>
          <cell r="CN344">
            <v>0</v>
          </cell>
          <cell r="CP344">
            <v>0</v>
          </cell>
          <cell r="CR344">
            <v>0</v>
          </cell>
          <cell r="CT344">
            <v>0</v>
          </cell>
          <cell r="CV344">
            <v>0</v>
          </cell>
          <cell r="CX344">
            <v>0</v>
          </cell>
          <cell r="CZ344">
            <v>0</v>
          </cell>
          <cell r="DB344">
            <v>0</v>
          </cell>
          <cell r="DD344">
            <v>0</v>
          </cell>
          <cell r="DF344">
            <v>0</v>
          </cell>
          <cell r="DH344">
            <v>0</v>
          </cell>
          <cell r="DJ344">
            <v>0</v>
          </cell>
          <cell r="DL344">
            <v>0</v>
          </cell>
          <cell r="DN344">
            <v>0</v>
          </cell>
          <cell r="DP344">
            <v>0</v>
          </cell>
          <cell r="DR344">
            <v>0</v>
          </cell>
          <cell r="DT344">
            <v>0</v>
          </cell>
          <cell r="DV344">
            <v>0</v>
          </cell>
          <cell r="DX344">
            <v>0</v>
          </cell>
          <cell r="DZ344">
            <v>0</v>
          </cell>
          <cell r="EB344">
            <v>0</v>
          </cell>
          <cell r="ED344">
            <v>0</v>
          </cell>
          <cell r="EF344">
            <v>0</v>
          </cell>
          <cell r="EH344">
            <v>0</v>
          </cell>
          <cell r="EJ344">
            <v>0</v>
          </cell>
          <cell r="EL344">
            <v>0</v>
          </cell>
          <cell r="EN344">
            <v>0</v>
          </cell>
          <cell r="EP344">
            <v>0</v>
          </cell>
          <cell r="ER344">
            <v>0</v>
          </cell>
          <cell r="ET344">
            <v>0</v>
          </cell>
          <cell r="EV344">
            <v>0</v>
          </cell>
          <cell r="EX344">
            <v>0</v>
          </cell>
          <cell r="EZ344">
            <v>0</v>
          </cell>
          <cell r="FB344">
            <v>0</v>
          </cell>
          <cell r="FD344">
            <v>0</v>
          </cell>
          <cell r="FF344">
            <v>0</v>
          </cell>
          <cell r="FH344">
            <v>0</v>
          </cell>
          <cell r="FJ344">
            <v>0</v>
          </cell>
          <cell r="FL344">
            <v>0</v>
          </cell>
          <cell r="FN344">
            <v>0</v>
          </cell>
          <cell r="FP344">
            <v>0</v>
          </cell>
          <cell r="FR344">
            <v>0</v>
          </cell>
          <cell r="FT344">
            <v>0</v>
          </cell>
          <cell r="FV344">
            <v>0</v>
          </cell>
          <cell r="GD344">
            <v>14</v>
          </cell>
          <cell r="GF344">
            <v>4</v>
          </cell>
          <cell r="GH344">
            <v>1</v>
          </cell>
          <cell r="GJ344">
            <v>7</v>
          </cell>
          <cell r="GM344">
            <v>212.01</v>
          </cell>
          <cell r="GN34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215.檢查勞工個人防護具：█有 □無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W344" t="str">
            <v>（一）施工廠商施工前檢查事項辦理情形：█完成 □未完成 （二）其他工地安全衛生督導事項：</v>
          </cell>
          <cell r="GX344">
            <v>853901</v>
          </cell>
          <cell r="GY344">
            <v>0</v>
          </cell>
        </row>
        <row r="345">
          <cell r="N345">
            <v>1</v>
          </cell>
          <cell r="P345">
            <v>1</v>
          </cell>
          <cell r="R345">
            <v>672</v>
          </cell>
          <cell r="T345">
            <v>108</v>
          </cell>
          <cell r="V345">
            <v>661</v>
          </cell>
          <cell r="X345">
            <v>2</v>
          </cell>
          <cell r="Z345">
            <v>1</v>
          </cell>
          <cell r="AB345">
            <v>661</v>
          </cell>
          <cell r="AD345">
            <v>2</v>
          </cell>
          <cell r="AF345">
            <v>1</v>
          </cell>
          <cell r="AH345">
            <v>1</v>
          </cell>
          <cell r="AJ345">
            <v>1</v>
          </cell>
          <cell r="AL345">
            <v>0</v>
          </cell>
          <cell r="AN345">
            <v>0</v>
          </cell>
          <cell r="AP345">
            <v>0</v>
          </cell>
          <cell r="AR345">
            <v>0</v>
          </cell>
          <cell r="AT345">
            <v>0</v>
          </cell>
          <cell r="AV345">
            <v>0</v>
          </cell>
          <cell r="AX345">
            <v>0</v>
          </cell>
          <cell r="AZ345">
            <v>0</v>
          </cell>
          <cell r="BB345">
            <v>0</v>
          </cell>
          <cell r="BD345">
            <v>0</v>
          </cell>
          <cell r="BF345">
            <v>0</v>
          </cell>
          <cell r="BH345">
            <v>0</v>
          </cell>
          <cell r="BJ345">
            <v>0</v>
          </cell>
          <cell r="BL345">
            <v>0</v>
          </cell>
          <cell r="BN345">
            <v>0</v>
          </cell>
          <cell r="BP345">
            <v>0</v>
          </cell>
          <cell r="BR345">
            <v>0</v>
          </cell>
          <cell r="BT345">
            <v>0</v>
          </cell>
          <cell r="BV345">
            <v>0</v>
          </cell>
          <cell r="BX345">
            <v>0</v>
          </cell>
          <cell r="BZ345">
            <v>0</v>
          </cell>
          <cell r="CB345">
            <v>0</v>
          </cell>
          <cell r="CD345">
            <v>0</v>
          </cell>
          <cell r="CF345">
            <v>0</v>
          </cell>
          <cell r="CH345">
            <v>0</v>
          </cell>
          <cell r="CJ345">
            <v>0</v>
          </cell>
          <cell r="CL345">
            <v>0</v>
          </cell>
          <cell r="CN345">
            <v>0</v>
          </cell>
          <cell r="CP345">
            <v>0</v>
          </cell>
          <cell r="CR345">
            <v>0</v>
          </cell>
          <cell r="CT345">
            <v>0</v>
          </cell>
          <cell r="CV345">
            <v>0</v>
          </cell>
          <cell r="CX345">
            <v>0</v>
          </cell>
          <cell r="CZ345">
            <v>0</v>
          </cell>
          <cell r="DB345">
            <v>0</v>
          </cell>
          <cell r="DD345">
            <v>0</v>
          </cell>
          <cell r="DF345">
            <v>0</v>
          </cell>
          <cell r="DH345">
            <v>0</v>
          </cell>
          <cell r="DJ345">
            <v>0</v>
          </cell>
          <cell r="DL345">
            <v>0</v>
          </cell>
          <cell r="DN345">
            <v>0</v>
          </cell>
          <cell r="DP345">
            <v>0</v>
          </cell>
          <cell r="DR345">
            <v>0</v>
          </cell>
          <cell r="DT345">
            <v>0</v>
          </cell>
          <cell r="DV345">
            <v>0</v>
          </cell>
          <cell r="DX345">
            <v>0</v>
          </cell>
          <cell r="DZ345">
            <v>0</v>
          </cell>
          <cell r="EB345">
            <v>0</v>
          </cell>
          <cell r="ED345">
            <v>0</v>
          </cell>
          <cell r="EF345">
            <v>0</v>
          </cell>
          <cell r="EH345">
            <v>0</v>
          </cell>
          <cell r="EJ345">
            <v>0</v>
          </cell>
          <cell r="EL345">
            <v>0</v>
          </cell>
          <cell r="EN345">
            <v>0</v>
          </cell>
          <cell r="EP345">
            <v>0</v>
          </cell>
          <cell r="ER345">
            <v>0</v>
          </cell>
          <cell r="ET345">
            <v>0</v>
          </cell>
          <cell r="EV345">
            <v>0</v>
          </cell>
          <cell r="EX345">
            <v>0</v>
          </cell>
          <cell r="EZ345">
            <v>0</v>
          </cell>
          <cell r="FB345">
            <v>0</v>
          </cell>
          <cell r="FD345">
            <v>0</v>
          </cell>
          <cell r="FF345">
            <v>0</v>
          </cell>
          <cell r="FH345">
            <v>0</v>
          </cell>
          <cell r="FJ345">
            <v>0</v>
          </cell>
          <cell r="FL345">
            <v>0</v>
          </cell>
          <cell r="FN345">
            <v>0</v>
          </cell>
          <cell r="FP345">
            <v>0</v>
          </cell>
          <cell r="FR345">
            <v>0</v>
          </cell>
          <cell r="FT345">
            <v>0</v>
          </cell>
          <cell r="FV345">
            <v>0</v>
          </cell>
          <cell r="GD345">
            <v>14</v>
          </cell>
          <cell r="GF345">
            <v>4</v>
          </cell>
          <cell r="GH345">
            <v>1</v>
          </cell>
          <cell r="GJ345">
            <v>7</v>
          </cell>
          <cell r="GM345">
            <v>213.01</v>
          </cell>
          <cell r="GN34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216.檢查勞工個人防護具：█有 □無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W345" t="str">
            <v>（一）施工廠商施工前檢查事項辦理情形：█完成 □未完成 （二）其他工地安全衛生督導事項：</v>
          </cell>
          <cell r="GX345">
            <v>853901</v>
          </cell>
          <cell r="GY345">
            <v>0</v>
          </cell>
        </row>
        <row r="346">
          <cell r="N346">
            <v>1</v>
          </cell>
          <cell r="P346">
            <v>1</v>
          </cell>
          <cell r="R346">
            <v>672</v>
          </cell>
          <cell r="T346">
            <v>108</v>
          </cell>
          <cell r="V346">
            <v>661</v>
          </cell>
          <cell r="X346">
            <v>2</v>
          </cell>
          <cell r="Z346">
            <v>1</v>
          </cell>
          <cell r="AB346">
            <v>661</v>
          </cell>
          <cell r="AD346">
            <v>2</v>
          </cell>
          <cell r="AF346">
            <v>1</v>
          </cell>
          <cell r="AH346">
            <v>1</v>
          </cell>
          <cell r="AJ346">
            <v>1</v>
          </cell>
          <cell r="AL346">
            <v>0</v>
          </cell>
          <cell r="AN346">
            <v>0</v>
          </cell>
          <cell r="AP346">
            <v>0</v>
          </cell>
          <cell r="AR346">
            <v>0</v>
          </cell>
          <cell r="AT346">
            <v>0</v>
          </cell>
          <cell r="AV346">
            <v>0</v>
          </cell>
          <cell r="AX346">
            <v>0</v>
          </cell>
          <cell r="AZ346">
            <v>0</v>
          </cell>
          <cell r="BB346">
            <v>0</v>
          </cell>
          <cell r="BD346">
            <v>0</v>
          </cell>
          <cell r="BF346">
            <v>0</v>
          </cell>
          <cell r="BH346">
            <v>0</v>
          </cell>
          <cell r="BJ346">
            <v>0</v>
          </cell>
          <cell r="BL346">
            <v>0</v>
          </cell>
          <cell r="BN346">
            <v>0</v>
          </cell>
          <cell r="BP346">
            <v>0</v>
          </cell>
          <cell r="BR346">
            <v>0</v>
          </cell>
          <cell r="BT346">
            <v>0</v>
          </cell>
          <cell r="BV346">
            <v>0</v>
          </cell>
          <cell r="BX346">
            <v>0</v>
          </cell>
          <cell r="BZ346">
            <v>0</v>
          </cell>
          <cell r="CB346">
            <v>0</v>
          </cell>
          <cell r="CD346">
            <v>0</v>
          </cell>
          <cell r="CF346">
            <v>0</v>
          </cell>
          <cell r="CH346">
            <v>0</v>
          </cell>
          <cell r="CJ346">
            <v>0</v>
          </cell>
          <cell r="CL346">
            <v>0</v>
          </cell>
          <cell r="CN346">
            <v>0</v>
          </cell>
          <cell r="CP346">
            <v>0</v>
          </cell>
          <cell r="CR346">
            <v>0</v>
          </cell>
          <cell r="CT346">
            <v>0</v>
          </cell>
          <cell r="CV346">
            <v>0</v>
          </cell>
          <cell r="CX346">
            <v>0</v>
          </cell>
          <cell r="CZ346">
            <v>0</v>
          </cell>
          <cell r="DB346">
            <v>0</v>
          </cell>
          <cell r="DD346">
            <v>0</v>
          </cell>
          <cell r="DF346">
            <v>0</v>
          </cell>
          <cell r="DH346">
            <v>0</v>
          </cell>
          <cell r="DJ346">
            <v>0</v>
          </cell>
          <cell r="DL346">
            <v>0</v>
          </cell>
          <cell r="DN346">
            <v>0</v>
          </cell>
          <cell r="DP346">
            <v>0</v>
          </cell>
          <cell r="DR346">
            <v>0</v>
          </cell>
          <cell r="DT346">
            <v>0</v>
          </cell>
          <cell r="DV346">
            <v>0</v>
          </cell>
          <cell r="DX346">
            <v>0</v>
          </cell>
          <cell r="DZ346">
            <v>0</v>
          </cell>
          <cell r="EB346">
            <v>0</v>
          </cell>
          <cell r="ED346">
            <v>0</v>
          </cell>
          <cell r="EF346">
            <v>0</v>
          </cell>
          <cell r="EH346">
            <v>0</v>
          </cell>
          <cell r="EJ346">
            <v>0</v>
          </cell>
          <cell r="EL346">
            <v>0</v>
          </cell>
          <cell r="EN346">
            <v>0</v>
          </cell>
          <cell r="EP346">
            <v>0</v>
          </cell>
          <cell r="ER346">
            <v>0</v>
          </cell>
          <cell r="ET346">
            <v>0</v>
          </cell>
          <cell r="EV346">
            <v>0</v>
          </cell>
          <cell r="EX346">
            <v>0</v>
          </cell>
          <cell r="EZ346">
            <v>0</v>
          </cell>
          <cell r="FB346">
            <v>0</v>
          </cell>
          <cell r="FD346">
            <v>0</v>
          </cell>
          <cell r="FF346">
            <v>0</v>
          </cell>
          <cell r="FH346">
            <v>0</v>
          </cell>
          <cell r="FJ346">
            <v>0</v>
          </cell>
          <cell r="FL346">
            <v>0</v>
          </cell>
          <cell r="FN346">
            <v>0</v>
          </cell>
          <cell r="FP346">
            <v>0</v>
          </cell>
          <cell r="FR346">
            <v>0</v>
          </cell>
          <cell r="FT346">
            <v>0</v>
          </cell>
          <cell r="FV346">
            <v>0</v>
          </cell>
          <cell r="GD346">
            <v>14</v>
          </cell>
          <cell r="GF346">
            <v>4</v>
          </cell>
          <cell r="GH346">
            <v>1</v>
          </cell>
          <cell r="GJ346">
            <v>7</v>
          </cell>
          <cell r="GM346">
            <v>214.01</v>
          </cell>
          <cell r="GN34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217.檢查勞工個人防護具：█有 □無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W346" t="str">
            <v>（一）施工廠商施工前檢查事項辦理情形：█完成 □未完成 （二）其他工地安全衛生督導事項：</v>
          </cell>
          <cell r="GX346">
            <v>853901</v>
          </cell>
          <cell r="GY346">
            <v>0</v>
          </cell>
        </row>
        <row r="347">
          <cell r="N347">
            <v>1</v>
          </cell>
          <cell r="P347">
            <v>1</v>
          </cell>
          <cell r="R347">
            <v>672</v>
          </cell>
          <cell r="T347">
            <v>108</v>
          </cell>
          <cell r="V347">
            <v>661</v>
          </cell>
          <cell r="X347">
            <v>2</v>
          </cell>
          <cell r="Z347">
            <v>1</v>
          </cell>
          <cell r="AB347">
            <v>661</v>
          </cell>
          <cell r="AD347">
            <v>2</v>
          </cell>
          <cell r="AF347">
            <v>1</v>
          </cell>
          <cell r="AH347">
            <v>1</v>
          </cell>
          <cell r="AJ347">
            <v>1</v>
          </cell>
          <cell r="AL347">
            <v>0</v>
          </cell>
          <cell r="AN347">
            <v>0</v>
          </cell>
          <cell r="AP347">
            <v>0</v>
          </cell>
          <cell r="AR347">
            <v>0</v>
          </cell>
          <cell r="AT347">
            <v>0</v>
          </cell>
          <cell r="AV347">
            <v>0</v>
          </cell>
          <cell r="AX347">
            <v>0</v>
          </cell>
          <cell r="AZ347">
            <v>0</v>
          </cell>
          <cell r="BB347">
            <v>0</v>
          </cell>
          <cell r="BD347">
            <v>0</v>
          </cell>
          <cell r="BF347">
            <v>0</v>
          </cell>
          <cell r="BH347">
            <v>0</v>
          </cell>
          <cell r="BJ347">
            <v>0</v>
          </cell>
          <cell r="BL347">
            <v>0</v>
          </cell>
          <cell r="BN347">
            <v>0</v>
          </cell>
          <cell r="BP347">
            <v>0</v>
          </cell>
          <cell r="BR347">
            <v>0</v>
          </cell>
          <cell r="BT347">
            <v>0</v>
          </cell>
          <cell r="BV347">
            <v>0</v>
          </cell>
          <cell r="BX347">
            <v>0</v>
          </cell>
          <cell r="BZ347">
            <v>0</v>
          </cell>
          <cell r="CB347">
            <v>0</v>
          </cell>
          <cell r="CD347">
            <v>0</v>
          </cell>
          <cell r="CF347">
            <v>0</v>
          </cell>
          <cell r="CH347">
            <v>0</v>
          </cell>
          <cell r="CJ347">
            <v>0</v>
          </cell>
          <cell r="CL347">
            <v>0</v>
          </cell>
          <cell r="CN347">
            <v>0</v>
          </cell>
          <cell r="CP347">
            <v>0</v>
          </cell>
          <cell r="CR347">
            <v>0</v>
          </cell>
          <cell r="CT347">
            <v>0</v>
          </cell>
          <cell r="CV347">
            <v>0</v>
          </cell>
          <cell r="CX347">
            <v>0</v>
          </cell>
          <cell r="CZ347">
            <v>0</v>
          </cell>
          <cell r="DB347">
            <v>0</v>
          </cell>
          <cell r="DD347">
            <v>0</v>
          </cell>
          <cell r="DF347">
            <v>0</v>
          </cell>
          <cell r="DH347">
            <v>0</v>
          </cell>
          <cell r="DJ347">
            <v>0</v>
          </cell>
          <cell r="DL347">
            <v>0</v>
          </cell>
          <cell r="DN347">
            <v>0</v>
          </cell>
          <cell r="DP347">
            <v>0</v>
          </cell>
          <cell r="DR347">
            <v>0</v>
          </cell>
          <cell r="DT347">
            <v>0</v>
          </cell>
          <cell r="DV347">
            <v>0</v>
          </cell>
          <cell r="DX347">
            <v>0</v>
          </cell>
          <cell r="DZ347">
            <v>0</v>
          </cell>
          <cell r="EB347">
            <v>0</v>
          </cell>
          <cell r="ED347">
            <v>0</v>
          </cell>
          <cell r="EF347">
            <v>0</v>
          </cell>
          <cell r="EH347">
            <v>0</v>
          </cell>
          <cell r="EJ347">
            <v>0</v>
          </cell>
          <cell r="EL347">
            <v>0</v>
          </cell>
          <cell r="EN347">
            <v>0</v>
          </cell>
          <cell r="EP347">
            <v>0</v>
          </cell>
          <cell r="ER347">
            <v>0</v>
          </cell>
          <cell r="ET347">
            <v>0</v>
          </cell>
          <cell r="EV347">
            <v>0</v>
          </cell>
          <cell r="EX347">
            <v>0</v>
          </cell>
          <cell r="EZ347">
            <v>0</v>
          </cell>
          <cell r="FB347">
            <v>0</v>
          </cell>
          <cell r="FD347">
            <v>0</v>
          </cell>
          <cell r="FF347">
            <v>0</v>
          </cell>
          <cell r="FH347">
            <v>0</v>
          </cell>
          <cell r="FJ347">
            <v>0</v>
          </cell>
          <cell r="FL347">
            <v>0</v>
          </cell>
          <cell r="FN347">
            <v>0</v>
          </cell>
          <cell r="FP347">
            <v>0</v>
          </cell>
          <cell r="FR347">
            <v>0</v>
          </cell>
          <cell r="FT347">
            <v>0</v>
          </cell>
          <cell r="FV347">
            <v>0</v>
          </cell>
          <cell r="GD347">
            <v>14</v>
          </cell>
          <cell r="GF347">
            <v>4</v>
          </cell>
          <cell r="GH347">
            <v>1</v>
          </cell>
          <cell r="GJ347">
            <v>7</v>
          </cell>
          <cell r="GM347">
            <v>215.01</v>
          </cell>
          <cell r="GN34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218.檢查勞工個人防護具：█有 □無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W347" t="str">
            <v>（一）施工廠商施工前檢查事項辦理情形：█完成 □未完成 （二）其他工地安全衛生督導事項：</v>
          </cell>
          <cell r="GX347">
            <v>853901</v>
          </cell>
          <cell r="GY347">
            <v>0</v>
          </cell>
        </row>
        <row r="348">
          <cell r="N348">
            <v>1</v>
          </cell>
          <cell r="P348">
            <v>1</v>
          </cell>
          <cell r="R348">
            <v>672</v>
          </cell>
          <cell r="T348">
            <v>108</v>
          </cell>
          <cell r="V348">
            <v>661</v>
          </cell>
          <cell r="X348">
            <v>2</v>
          </cell>
          <cell r="Z348">
            <v>1</v>
          </cell>
          <cell r="AB348">
            <v>661</v>
          </cell>
          <cell r="AD348">
            <v>2</v>
          </cell>
          <cell r="AF348">
            <v>1</v>
          </cell>
          <cell r="AH348">
            <v>1</v>
          </cell>
          <cell r="AJ348">
            <v>1</v>
          </cell>
          <cell r="AL348">
            <v>0</v>
          </cell>
          <cell r="AN348">
            <v>0</v>
          </cell>
          <cell r="AP348">
            <v>0</v>
          </cell>
          <cell r="AR348">
            <v>0</v>
          </cell>
          <cell r="AT348">
            <v>0</v>
          </cell>
          <cell r="AV348">
            <v>0</v>
          </cell>
          <cell r="AX348">
            <v>0</v>
          </cell>
          <cell r="AZ348">
            <v>0</v>
          </cell>
          <cell r="BB348">
            <v>0</v>
          </cell>
          <cell r="BD348">
            <v>0</v>
          </cell>
          <cell r="BF348">
            <v>0</v>
          </cell>
          <cell r="BH348">
            <v>0</v>
          </cell>
          <cell r="BJ348">
            <v>0</v>
          </cell>
          <cell r="BL348">
            <v>0</v>
          </cell>
          <cell r="BN348">
            <v>0</v>
          </cell>
          <cell r="BP348">
            <v>0</v>
          </cell>
          <cell r="BR348">
            <v>0</v>
          </cell>
          <cell r="BT348">
            <v>0</v>
          </cell>
          <cell r="BV348">
            <v>0</v>
          </cell>
          <cell r="BX348">
            <v>0</v>
          </cell>
          <cell r="BZ348">
            <v>0</v>
          </cell>
          <cell r="CB348">
            <v>0</v>
          </cell>
          <cell r="CD348">
            <v>0</v>
          </cell>
          <cell r="CF348">
            <v>0</v>
          </cell>
          <cell r="CH348">
            <v>0</v>
          </cell>
          <cell r="CJ348">
            <v>0</v>
          </cell>
          <cell r="CL348">
            <v>0</v>
          </cell>
          <cell r="CN348">
            <v>0</v>
          </cell>
          <cell r="CP348">
            <v>0</v>
          </cell>
          <cell r="CR348">
            <v>0</v>
          </cell>
          <cell r="CT348">
            <v>0</v>
          </cell>
          <cell r="CV348">
            <v>0</v>
          </cell>
          <cell r="CX348">
            <v>0</v>
          </cell>
          <cell r="CZ348">
            <v>0</v>
          </cell>
          <cell r="DB348">
            <v>0</v>
          </cell>
          <cell r="DD348">
            <v>0</v>
          </cell>
          <cell r="DF348">
            <v>0</v>
          </cell>
          <cell r="DH348">
            <v>0</v>
          </cell>
          <cell r="DJ348">
            <v>0</v>
          </cell>
          <cell r="DL348">
            <v>0</v>
          </cell>
          <cell r="DN348">
            <v>0</v>
          </cell>
          <cell r="DP348">
            <v>0</v>
          </cell>
          <cell r="DR348">
            <v>0</v>
          </cell>
          <cell r="DT348">
            <v>0</v>
          </cell>
          <cell r="DV348">
            <v>0</v>
          </cell>
          <cell r="DX348">
            <v>0</v>
          </cell>
          <cell r="DZ348">
            <v>0</v>
          </cell>
          <cell r="EB348">
            <v>0</v>
          </cell>
          <cell r="ED348">
            <v>0</v>
          </cell>
          <cell r="EF348">
            <v>0</v>
          </cell>
          <cell r="EH348">
            <v>0</v>
          </cell>
          <cell r="EJ348">
            <v>0</v>
          </cell>
          <cell r="EL348">
            <v>0</v>
          </cell>
          <cell r="EN348">
            <v>0</v>
          </cell>
          <cell r="EP348">
            <v>0</v>
          </cell>
          <cell r="ER348">
            <v>0</v>
          </cell>
          <cell r="ET348">
            <v>0</v>
          </cell>
          <cell r="EV348">
            <v>0</v>
          </cell>
          <cell r="EX348">
            <v>0</v>
          </cell>
          <cell r="EZ348">
            <v>0</v>
          </cell>
          <cell r="FB348">
            <v>0</v>
          </cell>
          <cell r="FD348">
            <v>0</v>
          </cell>
          <cell r="FF348">
            <v>0</v>
          </cell>
          <cell r="FH348">
            <v>0</v>
          </cell>
          <cell r="FJ348">
            <v>0</v>
          </cell>
          <cell r="FL348">
            <v>0</v>
          </cell>
          <cell r="FN348">
            <v>0</v>
          </cell>
          <cell r="FP348">
            <v>0</v>
          </cell>
          <cell r="FR348">
            <v>0</v>
          </cell>
          <cell r="FT348">
            <v>0</v>
          </cell>
          <cell r="FV348">
            <v>0</v>
          </cell>
          <cell r="GD348">
            <v>14</v>
          </cell>
          <cell r="GF348">
            <v>4</v>
          </cell>
          <cell r="GH348">
            <v>1</v>
          </cell>
          <cell r="GJ348">
            <v>7</v>
          </cell>
          <cell r="GM348">
            <v>216.01</v>
          </cell>
          <cell r="GN34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219.檢查勞工個人防護具：█有 □無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W348" t="str">
            <v>（一）施工廠商施工前檢查事項辦理情形：█完成 □未完成 （二）其他工地安全衛生督導事項：</v>
          </cell>
          <cell r="GX348">
            <v>853901</v>
          </cell>
          <cell r="GY348">
            <v>0</v>
          </cell>
        </row>
        <row r="349">
          <cell r="N349">
            <v>1</v>
          </cell>
          <cell r="P349">
            <v>1</v>
          </cell>
          <cell r="R349">
            <v>672</v>
          </cell>
          <cell r="T349">
            <v>108</v>
          </cell>
          <cell r="V349">
            <v>661</v>
          </cell>
          <cell r="X349">
            <v>2</v>
          </cell>
          <cell r="Z349">
            <v>1</v>
          </cell>
          <cell r="AB349">
            <v>661</v>
          </cell>
          <cell r="AD349">
            <v>2</v>
          </cell>
          <cell r="AF349">
            <v>1</v>
          </cell>
          <cell r="AH349">
            <v>1</v>
          </cell>
          <cell r="AJ349">
            <v>1</v>
          </cell>
          <cell r="AL349">
            <v>0</v>
          </cell>
          <cell r="AN349">
            <v>0</v>
          </cell>
          <cell r="AP349">
            <v>0</v>
          </cell>
          <cell r="AR349">
            <v>0</v>
          </cell>
          <cell r="AT349">
            <v>0</v>
          </cell>
          <cell r="AV349">
            <v>0</v>
          </cell>
          <cell r="AX349">
            <v>0</v>
          </cell>
          <cell r="AZ349">
            <v>0</v>
          </cell>
          <cell r="BB349">
            <v>0</v>
          </cell>
          <cell r="BD349">
            <v>0</v>
          </cell>
          <cell r="BF349">
            <v>0</v>
          </cell>
          <cell r="BH349">
            <v>0</v>
          </cell>
          <cell r="BJ349">
            <v>0</v>
          </cell>
          <cell r="BL349">
            <v>0</v>
          </cell>
          <cell r="BN349">
            <v>0</v>
          </cell>
          <cell r="BP349">
            <v>0</v>
          </cell>
          <cell r="BR349">
            <v>0</v>
          </cell>
          <cell r="BT349">
            <v>0</v>
          </cell>
          <cell r="BV349">
            <v>0</v>
          </cell>
          <cell r="BX349">
            <v>0</v>
          </cell>
          <cell r="BZ349">
            <v>0</v>
          </cell>
          <cell r="CB349">
            <v>0</v>
          </cell>
          <cell r="CD349">
            <v>0</v>
          </cell>
          <cell r="CF349">
            <v>0</v>
          </cell>
          <cell r="CH349">
            <v>0</v>
          </cell>
          <cell r="CJ349">
            <v>0</v>
          </cell>
          <cell r="CL349">
            <v>0</v>
          </cell>
          <cell r="CN349">
            <v>0</v>
          </cell>
          <cell r="CP349">
            <v>0</v>
          </cell>
          <cell r="CR349">
            <v>0</v>
          </cell>
          <cell r="CT349">
            <v>0</v>
          </cell>
          <cell r="CV349">
            <v>0</v>
          </cell>
          <cell r="CX349">
            <v>0</v>
          </cell>
          <cell r="CZ349">
            <v>0</v>
          </cell>
          <cell r="DB349">
            <v>0</v>
          </cell>
          <cell r="DD349">
            <v>0</v>
          </cell>
          <cell r="DF349">
            <v>0</v>
          </cell>
          <cell r="DH349">
            <v>0</v>
          </cell>
          <cell r="DJ349">
            <v>0</v>
          </cell>
          <cell r="DL349">
            <v>0</v>
          </cell>
          <cell r="DN349">
            <v>0</v>
          </cell>
          <cell r="DP349">
            <v>0</v>
          </cell>
          <cell r="DR349">
            <v>0</v>
          </cell>
          <cell r="DT349">
            <v>0</v>
          </cell>
          <cell r="DV349">
            <v>0</v>
          </cell>
          <cell r="DX349">
            <v>0</v>
          </cell>
          <cell r="DZ349">
            <v>0</v>
          </cell>
          <cell r="EB349">
            <v>0</v>
          </cell>
          <cell r="ED349">
            <v>0</v>
          </cell>
          <cell r="EF349">
            <v>0</v>
          </cell>
          <cell r="EH349">
            <v>0</v>
          </cell>
          <cell r="EJ349">
            <v>0</v>
          </cell>
          <cell r="EL349">
            <v>0</v>
          </cell>
          <cell r="EN349">
            <v>0</v>
          </cell>
          <cell r="EP349">
            <v>0</v>
          </cell>
          <cell r="ER349">
            <v>0</v>
          </cell>
          <cell r="ET349">
            <v>0</v>
          </cell>
          <cell r="EV349">
            <v>0</v>
          </cell>
          <cell r="EX349">
            <v>0</v>
          </cell>
          <cell r="EZ349">
            <v>0</v>
          </cell>
          <cell r="FB349">
            <v>0</v>
          </cell>
          <cell r="FD349">
            <v>0</v>
          </cell>
          <cell r="FF349">
            <v>0</v>
          </cell>
          <cell r="FH349">
            <v>0</v>
          </cell>
          <cell r="FJ349">
            <v>0</v>
          </cell>
          <cell r="FL349">
            <v>0</v>
          </cell>
          <cell r="FN349">
            <v>0</v>
          </cell>
          <cell r="FP349">
            <v>0</v>
          </cell>
          <cell r="FR349">
            <v>0</v>
          </cell>
          <cell r="FT349">
            <v>0</v>
          </cell>
          <cell r="FV349">
            <v>0</v>
          </cell>
          <cell r="GD349">
            <v>14</v>
          </cell>
          <cell r="GF349">
            <v>4</v>
          </cell>
          <cell r="GH349">
            <v>1</v>
          </cell>
          <cell r="GJ349">
            <v>7</v>
          </cell>
          <cell r="GM349">
            <v>217.01</v>
          </cell>
          <cell r="GN34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220.檢查勞工個人防護具：█有 □無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W349" t="str">
            <v>（一）施工廠商施工前檢查事項辦理情形：█完成 □未完成 （二）其他工地安全衛生督導事項：</v>
          </cell>
          <cell r="GX349">
            <v>853901</v>
          </cell>
          <cell r="GY349">
            <v>0</v>
          </cell>
        </row>
        <row r="350">
          <cell r="N350">
            <v>1</v>
          </cell>
          <cell r="P350">
            <v>1</v>
          </cell>
          <cell r="R350">
            <v>672</v>
          </cell>
          <cell r="T350">
            <v>108</v>
          </cell>
          <cell r="V350">
            <v>661</v>
          </cell>
          <cell r="X350">
            <v>2</v>
          </cell>
          <cell r="Z350">
            <v>1</v>
          </cell>
          <cell r="AB350">
            <v>661</v>
          </cell>
          <cell r="AD350">
            <v>2</v>
          </cell>
          <cell r="AF350">
            <v>1</v>
          </cell>
          <cell r="AH350">
            <v>1</v>
          </cell>
          <cell r="AJ350">
            <v>1</v>
          </cell>
          <cell r="AL350">
            <v>0</v>
          </cell>
          <cell r="AN350">
            <v>0</v>
          </cell>
          <cell r="AP350">
            <v>0</v>
          </cell>
          <cell r="AR350">
            <v>0</v>
          </cell>
          <cell r="AT350">
            <v>0</v>
          </cell>
          <cell r="AV350">
            <v>0</v>
          </cell>
          <cell r="AX350">
            <v>0</v>
          </cell>
          <cell r="AZ350">
            <v>0</v>
          </cell>
          <cell r="BB350">
            <v>0</v>
          </cell>
          <cell r="BD350">
            <v>0</v>
          </cell>
          <cell r="BF350">
            <v>0</v>
          </cell>
          <cell r="BH350">
            <v>0</v>
          </cell>
          <cell r="BJ350">
            <v>0</v>
          </cell>
          <cell r="BL350">
            <v>0</v>
          </cell>
          <cell r="BN350">
            <v>0</v>
          </cell>
          <cell r="BP350">
            <v>0</v>
          </cell>
          <cell r="BR350">
            <v>0</v>
          </cell>
          <cell r="BT350">
            <v>0</v>
          </cell>
          <cell r="BV350">
            <v>0</v>
          </cell>
          <cell r="BX350">
            <v>0</v>
          </cell>
          <cell r="BZ350">
            <v>0</v>
          </cell>
          <cell r="CB350">
            <v>0</v>
          </cell>
          <cell r="CD350">
            <v>0</v>
          </cell>
          <cell r="CF350">
            <v>0</v>
          </cell>
          <cell r="CH350">
            <v>0</v>
          </cell>
          <cell r="CJ350">
            <v>0</v>
          </cell>
          <cell r="CL350">
            <v>0</v>
          </cell>
          <cell r="CN350">
            <v>0</v>
          </cell>
          <cell r="CP350">
            <v>0</v>
          </cell>
          <cell r="CR350">
            <v>0</v>
          </cell>
          <cell r="CT350">
            <v>0</v>
          </cell>
          <cell r="CV350">
            <v>0</v>
          </cell>
          <cell r="CX350">
            <v>0</v>
          </cell>
          <cell r="CZ350">
            <v>0</v>
          </cell>
          <cell r="DB350">
            <v>0</v>
          </cell>
          <cell r="DD350">
            <v>0</v>
          </cell>
          <cell r="DF350">
            <v>0</v>
          </cell>
          <cell r="DH350">
            <v>0</v>
          </cell>
          <cell r="DJ350">
            <v>0</v>
          </cell>
          <cell r="DL350">
            <v>0</v>
          </cell>
          <cell r="DN350">
            <v>0</v>
          </cell>
          <cell r="DP350">
            <v>0</v>
          </cell>
          <cell r="DR350">
            <v>0</v>
          </cell>
          <cell r="DT350">
            <v>0</v>
          </cell>
          <cell r="DV350">
            <v>0</v>
          </cell>
          <cell r="DX350">
            <v>0</v>
          </cell>
          <cell r="DZ350">
            <v>0</v>
          </cell>
          <cell r="EB350">
            <v>0</v>
          </cell>
          <cell r="ED350">
            <v>0</v>
          </cell>
          <cell r="EF350">
            <v>0</v>
          </cell>
          <cell r="EH350">
            <v>0</v>
          </cell>
          <cell r="EJ350">
            <v>0</v>
          </cell>
          <cell r="EL350">
            <v>0</v>
          </cell>
          <cell r="EN350">
            <v>0</v>
          </cell>
          <cell r="EP350">
            <v>0</v>
          </cell>
          <cell r="ER350">
            <v>0</v>
          </cell>
          <cell r="ET350">
            <v>0</v>
          </cell>
          <cell r="EV350">
            <v>0</v>
          </cell>
          <cell r="EX350">
            <v>0</v>
          </cell>
          <cell r="EZ350">
            <v>0</v>
          </cell>
          <cell r="FB350">
            <v>0</v>
          </cell>
          <cell r="FD350">
            <v>0</v>
          </cell>
          <cell r="FF350">
            <v>0</v>
          </cell>
          <cell r="FH350">
            <v>0</v>
          </cell>
          <cell r="FJ350">
            <v>0</v>
          </cell>
          <cell r="FL350">
            <v>0</v>
          </cell>
          <cell r="FN350">
            <v>0</v>
          </cell>
          <cell r="FP350">
            <v>0</v>
          </cell>
          <cell r="FR350">
            <v>0</v>
          </cell>
          <cell r="FT350">
            <v>0</v>
          </cell>
          <cell r="FV350">
            <v>0</v>
          </cell>
          <cell r="GD350">
            <v>14</v>
          </cell>
          <cell r="GF350">
            <v>4</v>
          </cell>
          <cell r="GH350">
            <v>1</v>
          </cell>
          <cell r="GJ350">
            <v>7</v>
          </cell>
          <cell r="GM350">
            <v>218.01</v>
          </cell>
          <cell r="GN35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221.檢查勞工個人防護具：█有 □無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W350" t="str">
            <v>（一）施工廠商施工前檢查事項辦理情形：█完成 □未完成 （二）其他工地安全衛生督導事項：</v>
          </cell>
          <cell r="GX350">
            <v>853901</v>
          </cell>
          <cell r="GY350">
            <v>0</v>
          </cell>
        </row>
        <row r="351">
          <cell r="N351">
            <v>1</v>
          </cell>
          <cell r="P351">
            <v>1</v>
          </cell>
          <cell r="R351">
            <v>672</v>
          </cell>
          <cell r="T351">
            <v>108</v>
          </cell>
          <cell r="V351">
            <v>661</v>
          </cell>
          <cell r="X351">
            <v>2</v>
          </cell>
          <cell r="Z351">
            <v>1</v>
          </cell>
          <cell r="AB351">
            <v>661</v>
          </cell>
          <cell r="AD351">
            <v>2</v>
          </cell>
          <cell r="AF351">
            <v>1</v>
          </cell>
          <cell r="AH351">
            <v>1</v>
          </cell>
          <cell r="AJ351">
            <v>1</v>
          </cell>
          <cell r="AL351">
            <v>0</v>
          </cell>
          <cell r="AN351">
            <v>0</v>
          </cell>
          <cell r="AP351">
            <v>0</v>
          </cell>
          <cell r="AR351">
            <v>0</v>
          </cell>
          <cell r="AT351">
            <v>0</v>
          </cell>
          <cell r="AV351">
            <v>0</v>
          </cell>
          <cell r="AX351">
            <v>0</v>
          </cell>
          <cell r="AZ351">
            <v>0</v>
          </cell>
          <cell r="BB351">
            <v>0</v>
          </cell>
          <cell r="BD351">
            <v>0</v>
          </cell>
          <cell r="BF351">
            <v>0</v>
          </cell>
          <cell r="BH351">
            <v>0</v>
          </cell>
          <cell r="BJ351">
            <v>0</v>
          </cell>
          <cell r="BL351">
            <v>0</v>
          </cell>
          <cell r="BN351">
            <v>0</v>
          </cell>
          <cell r="BP351">
            <v>0</v>
          </cell>
          <cell r="BR351">
            <v>0</v>
          </cell>
          <cell r="BT351">
            <v>0</v>
          </cell>
          <cell r="BV351">
            <v>0</v>
          </cell>
          <cell r="BX351">
            <v>0</v>
          </cell>
          <cell r="BZ351">
            <v>0</v>
          </cell>
          <cell r="CB351">
            <v>0</v>
          </cell>
          <cell r="CD351">
            <v>0</v>
          </cell>
          <cell r="CF351">
            <v>0</v>
          </cell>
          <cell r="CH351">
            <v>0</v>
          </cell>
          <cell r="CJ351">
            <v>0</v>
          </cell>
          <cell r="CL351">
            <v>0</v>
          </cell>
          <cell r="CN351">
            <v>0</v>
          </cell>
          <cell r="CP351">
            <v>0</v>
          </cell>
          <cell r="CR351">
            <v>0</v>
          </cell>
          <cell r="CT351">
            <v>0</v>
          </cell>
          <cell r="CV351">
            <v>0</v>
          </cell>
          <cell r="CX351">
            <v>0</v>
          </cell>
          <cell r="CZ351">
            <v>0</v>
          </cell>
          <cell r="DB351">
            <v>0</v>
          </cell>
          <cell r="DD351">
            <v>0</v>
          </cell>
          <cell r="DF351">
            <v>0</v>
          </cell>
          <cell r="DH351">
            <v>0</v>
          </cell>
          <cell r="DJ351">
            <v>0</v>
          </cell>
          <cell r="DL351">
            <v>0</v>
          </cell>
          <cell r="DN351">
            <v>0</v>
          </cell>
          <cell r="DP351">
            <v>0</v>
          </cell>
          <cell r="DR351">
            <v>0</v>
          </cell>
          <cell r="DT351">
            <v>0</v>
          </cell>
          <cell r="DV351">
            <v>0</v>
          </cell>
          <cell r="DX351">
            <v>0</v>
          </cell>
          <cell r="DZ351">
            <v>0</v>
          </cell>
          <cell r="EB351">
            <v>0</v>
          </cell>
          <cell r="ED351">
            <v>0</v>
          </cell>
          <cell r="EF351">
            <v>0</v>
          </cell>
          <cell r="EH351">
            <v>0</v>
          </cell>
          <cell r="EJ351">
            <v>0</v>
          </cell>
          <cell r="EL351">
            <v>0</v>
          </cell>
          <cell r="EN351">
            <v>0</v>
          </cell>
          <cell r="EP351">
            <v>0</v>
          </cell>
          <cell r="ER351">
            <v>0</v>
          </cell>
          <cell r="ET351">
            <v>0</v>
          </cell>
          <cell r="EV351">
            <v>0</v>
          </cell>
          <cell r="EX351">
            <v>0</v>
          </cell>
          <cell r="EZ351">
            <v>0</v>
          </cell>
          <cell r="FB351">
            <v>0</v>
          </cell>
          <cell r="FD351">
            <v>0</v>
          </cell>
          <cell r="FF351">
            <v>0</v>
          </cell>
          <cell r="FH351">
            <v>0</v>
          </cell>
          <cell r="FJ351">
            <v>0</v>
          </cell>
          <cell r="FL351">
            <v>0</v>
          </cell>
          <cell r="FN351">
            <v>0</v>
          </cell>
          <cell r="FP351">
            <v>0</v>
          </cell>
          <cell r="FR351">
            <v>0</v>
          </cell>
          <cell r="FT351">
            <v>0</v>
          </cell>
          <cell r="FV351">
            <v>0</v>
          </cell>
          <cell r="GD351">
            <v>14</v>
          </cell>
          <cell r="GF351">
            <v>4</v>
          </cell>
          <cell r="GH351">
            <v>1</v>
          </cell>
          <cell r="GJ351">
            <v>7</v>
          </cell>
          <cell r="GM351">
            <v>219.01</v>
          </cell>
          <cell r="GN35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222.檢查勞工個人防護具：█有 □無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W351" t="str">
            <v>（一）施工廠商施工前檢查事項辦理情形：█完成 □未完成 （二）其他工地安全衛生督導事項：</v>
          </cell>
          <cell r="GX351">
            <v>853901</v>
          </cell>
          <cell r="GY351">
            <v>0</v>
          </cell>
        </row>
        <row r="352">
          <cell r="N352">
            <v>1</v>
          </cell>
          <cell r="P352">
            <v>1</v>
          </cell>
          <cell r="R352">
            <v>672</v>
          </cell>
          <cell r="T352">
            <v>108</v>
          </cell>
          <cell r="V352">
            <v>661</v>
          </cell>
          <cell r="X352">
            <v>2</v>
          </cell>
          <cell r="Z352">
            <v>1</v>
          </cell>
          <cell r="AB352">
            <v>661</v>
          </cell>
          <cell r="AD352">
            <v>2</v>
          </cell>
          <cell r="AF352">
            <v>1</v>
          </cell>
          <cell r="AH352">
            <v>1</v>
          </cell>
          <cell r="AJ352">
            <v>1</v>
          </cell>
          <cell r="AL352">
            <v>0</v>
          </cell>
          <cell r="AN352">
            <v>0</v>
          </cell>
          <cell r="AP352">
            <v>0</v>
          </cell>
          <cell r="AR352">
            <v>0</v>
          </cell>
          <cell r="AT352">
            <v>0</v>
          </cell>
          <cell r="AV352">
            <v>0</v>
          </cell>
          <cell r="AX352">
            <v>0</v>
          </cell>
          <cell r="AZ352">
            <v>0</v>
          </cell>
          <cell r="BB352">
            <v>0</v>
          </cell>
          <cell r="BD352">
            <v>0</v>
          </cell>
          <cell r="BF352">
            <v>0</v>
          </cell>
          <cell r="BH352">
            <v>0</v>
          </cell>
          <cell r="BJ352">
            <v>0</v>
          </cell>
          <cell r="BL352">
            <v>0</v>
          </cell>
          <cell r="BN352">
            <v>0</v>
          </cell>
          <cell r="BP352">
            <v>0</v>
          </cell>
          <cell r="BR352">
            <v>0</v>
          </cell>
          <cell r="BT352">
            <v>0</v>
          </cell>
          <cell r="BV352">
            <v>0</v>
          </cell>
          <cell r="BX352">
            <v>0</v>
          </cell>
          <cell r="BZ352">
            <v>0</v>
          </cell>
          <cell r="CB352">
            <v>0</v>
          </cell>
          <cell r="CD352">
            <v>0</v>
          </cell>
          <cell r="CF352">
            <v>0</v>
          </cell>
          <cell r="CH352">
            <v>0</v>
          </cell>
          <cell r="CJ352">
            <v>0</v>
          </cell>
          <cell r="CL352">
            <v>0</v>
          </cell>
          <cell r="CN352">
            <v>0</v>
          </cell>
          <cell r="CP352">
            <v>0</v>
          </cell>
          <cell r="CR352">
            <v>0</v>
          </cell>
          <cell r="CT352">
            <v>0</v>
          </cell>
          <cell r="CV352">
            <v>0</v>
          </cell>
          <cell r="CX352">
            <v>0</v>
          </cell>
          <cell r="CZ352">
            <v>0</v>
          </cell>
          <cell r="DB352">
            <v>0</v>
          </cell>
          <cell r="DD352">
            <v>0</v>
          </cell>
          <cell r="DF352">
            <v>0</v>
          </cell>
          <cell r="DH352">
            <v>0</v>
          </cell>
          <cell r="DJ352">
            <v>0</v>
          </cell>
          <cell r="DL352">
            <v>0</v>
          </cell>
          <cell r="DN352">
            <v>0</v>
          </cell>
          <cell r="DP352">
            <v>0</v>
          </cell>
          <cell r="DR352">
            <v>0</v>
          </cell>
          <cell r="DT352">
            <v>0</v>
          </cell>
          <cell r="DV352">
            <v>0</v>
          </cell>
          <cell r="DX352">
            <v>0</v>
          </cell>
          <cell r="DZ352">
            <v>0</v>
          </cell>
          <cell r="EB352">
            <v>0</v>
          </cell>
          <cell r="ED352">
            <v>0</v>
          </cell>
          <cell r="EF352">
            <v>0</v>
          </cell>
          <cell r="EH352">
            <v>0</v>
          </cell>
          <cell r="EJ352">
            <v>0</v>
          </cell>
          <cell r="EL352">
            <v>0</v>
          </cell>
          <cell r="EN352">
            <v>0</v>
          </cell>
          <cell r="EP352">
            <v>0</v>
          </cell>
          <cell r="ER352">
            <v>0</v>
          </cell>
          <cell r="ET352">
            <v>0</v>
          </cell>
          <cell r="EV352">
            <v>0</v>
          </cell>
          <cell r="EX352">
            <v>0</v>
          </cell>
          <cell r="EZ352">
            <v>0</v>
          </cell>
          <cell r="FB352">
            <v>0</v>
          </cell>
          <cell r="FD352">
            <v>0</v>
          </cell>
          <cell r="FF352">
            <v>0</v>
          </cell>
          <cell r="FH352">
            <v>0</v>
          </cell>
          <cell r="FJ352">
            <v>0</v>
          </cell>
          <cell r="FL352">
            <v>0</v>
          </cell>
          <cell r="FN352">
            <v>0</v>
          </cell>
          <cell r="FP352">
            <v>0</v>
          </cell>
          <cell r="FR352">
            <v>0</v>
          </cell>
          <cell r="FT352">
            <v>0</v>
          </cell>
          <cell r="FV352">
            <v>0</v>
          </cell>
          <cell r="GD352">
            <v>14</v>
          </cell>
          <cell r="GF352">
            <v>4</v>
          </cell>
          <cell r="GH352">
            <v>1</v>
          </cell>
          <cell r="GJ352">
            <v>7</v>
          </cell>
          <cell r="GM352">
            <v>220.01</v>
          </cell>
          <cell r="GN35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223.檢查勞工個人防護具：█有 □無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W352" t="str">
            <v>（一）施工廠商施工前檢查事項辦理情形：█完成 □未完成 （二）其他工地安全衛生督導事項：</v>
          </cell>
          <cell r="GX352">
            <v>853901</v>
          </cell>
          <cell r="GY352">
            <v>0</v>
          </cell>
        </row>
        <row r="353">
          <cell r="N353">
            <v>1</v>
          </cell>
          <cell r="P353">
            <v>1</v>
          </cell>
          <cell r="R353">
            <v>672</v>
          </cell>
          <cell r="T353">
            <v>108</v>
          </cell>
          <cell r="V353">
            <v>661</v>
          </cell>
          <cell r="X353">
            <v>2</v>
          </cell>
          <cell r="Z353">
            <v>1</v>
          </cell>
          <cell r="AB353">
            <v>661</v>
          </cell>
          <cell r="AD353">
            <v>2</v>
          </cell>
          <cell r="AF353">
            <v>1</v>
          </cell>
          <cell r="AH353">
            <v>1</v>
          </cell>
          <cell r="AJ353">
            <v>1</v>
          </cell>
          <cell r="AL353">
            <v>0</v>
          </cell>
          <cell r="AN353">
            <v>0</v>
          </cell>
          <cell r="AP353">
            <v>0</v>
          </cell>
          <cell r="AR353">
            <v>0</v>
          </cell>
          <cell r="AT353">
            <v>0</v>
          </cell>
          <cell r="AV353">
            <v>0</v>
          </cell>
          <cell r="AX353">
            <v>0</v>
          </cell>
          <cell r="AZ353">
            <v>0</v>
          </cell>
          <cell r="BB353">
            <v>0</v>
          </cell>
          <cell r="BD353">
            <v>0</v>
          </cell>
          <cell r="BF353">
            <v>0</v>
          </cell>
          <cell r="BH353">
            <v>0</v>
          </cell>
          <cell r="BJ353">
            <v>0</v>
          </cell>
          <cell r="BL353">
            <v>0</v>
          </cell>
          <cell r="BN353">
            <v>0</v>
          </cell>
          <cell r="BP353">
            <v>0</v>
          </cell>
          <cell r="BR353">
            <v>0</v>
          </cell>
          <cell r="BT353">
            <v>0</v>
          </cell>
          <cell r="BV353">
            <v>0</v>
          </cell>
          <cell r="BX353">
            <v>0</v>
          </cell>
          <cell r="BZ353">
            <v>0</v>
          </cell>
          <cell r="CB353">
            <v>0</v>
          </cell>
          <cell r="CD353">
            <v>0</v>
          </cell>
          <cell r="CF353">
            <v>0</v>
          </cell>
          <cell r="CH353">
            <v>0</v>
          </cell>
          <cell r="CJ353">
            <v>0</v>
          </cell>
          <cell r="CL353">
            <v>0</v>
          </cell>
          <cell r="CN353">
            <v>0</v>
          </cell>
          <cell r="CP353">
            <v>0</v>
          </cell>
          <cell r="CR353">
            <v>0</v>
          </cell>
          <cell r="CT353">
            <v>0</v>
          </cell>
          <cell r="CV353">
            <v>0</v>
          </cell>
          <cell r="CX353">
            <v>0</v>
          </cell>
          <cell r="CZ353">
            <v>0</v>
          </cell>
          <cell r="DB353">
            <v>0</v>
          </cell>
          <cell r="DD353">
            <v>0</v>
          </cell>
          <cell r="DF353">
            <v>0</v>
          </cell>
          <cell r="DH353">
            <v>0</v>
          </cell>
          <cell r="DJ353">
            <v>0</v>
          </cell>
          <cell r="DL353">
            <v>0</v>
          </cell>
          <cell r="DN353">
            <v>0</v>
          </cell>
          <cell r="DP353">
            <v>0</v>
          </cell>
          <cell r="DR353">
            <v>0</v>
          </cell>
          <cell r="DT353">
            <v>0</v>
          </cell>
          <cell r="DV353">
            <v>0</v>
          </cell>
          <cell r="DX353">
            <v>0</v>
          </cell>
          <cell r="DZ353">
            <v>0</v>
          </cell>
          <cell r="EB353">
            <v>0</v>
          </cell>
          <cell r="ED353">
            <v>0</v>
          </cell>
          <cell r="EF353">
            <v>0</v>
          </cell>
          <cell r="EH353">
            <v>0</v>
          </cell>
          <cell r="EJ353">
            <v>0</v>
          </cell>
          <cell r="EL353">
            <v>0</v>
          </cell>
          <cell r="EN353">
            <v>0</v>
          </cell>
          <cell r="EP353">
            <v>0</v>
          </cell>
          <cell r="ER353">
            <v>0</v>
          </cell>
          <cell r="ET353">
            <v>0</v>
          </cell>
          <cell r="EV353">
            <v>0</v>
          </cell>
          <cell r="EX353">
            <v>0</v>
          </cell>
          <cell r="EZ353">
            <v>0</v>
          </cell>
          <cell r="FB353">
            <v>0</v>
          </cell>
          <cell r="FD353">
            <v>0</v>
          </cell>
          <cell r="FF353">
            <v>0</v>
          </cell>
          <cell r="FH353">
            <v>0</v>
          </cell>
          <cell r="FJ353">
            <v>0</v>
          </cell>
          <cell r="FL353">
            <v>0</v>
          </cell>
          <cell r="FN353">
            <v>0</v>
          </cell>
          <cell r="FP353">
            <v>0</v>
          </cell>
          <cell r="FR353">
            <v>0</v>
          </cell>
          <cell r="FT353">
            <v>0</v>
          </cell>
          <cell r="FV353">
            <v>0</v>
          </cell>
          <cell r="GD353">
            <v>14</v>
          </cell>
          <cell r="GF353">
            <v>4</v>
          </cell>
          <cell r="GH353">
            <v>1</v>
          </cell>
          <cell r="GJ353">
            <v>7</v>
          </cell>
          <cell r="GM353">
            <v>221.01</v>
          </cell>
          <cell r="GN35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224.檢查勞工個人防護具：█有 □無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W353" t="str">
            <v>（一）施工廠商施工前檢查事項辦理情形：█完成 □未完成 （二）其他工地安全衛生督導事項：</v>
          </cell>
          <cell r="GX353">
            <v>853901</v>
          </cell>
          <cell r="GY353">
            <v>0</v>
          </cell>
        </row>
        <row r="354">
          <cell r="N354">
            <v>1</v>
          </cell>
          <cell r="P354">
            <v>1</v>
          </cell>
          <cell r="R354">
            <v>672</v>
          </cell>
          <cell r="T354">
            <v>108</v>
          </cell>
          <cell r="V354">
            <v>661</v>
          </cell>
          <cell r="X354">
            <v>2</v>
          </cell>
          <cell r="Z354">
            <v>1</v>
          </cell>
          <cell r="AB354">
            <v>661</v>
          </cell>
          <cell r="AD354">
            <v>2</v>
          </cell>
          <cell r="AF354">
            <v>1</v>
          </cell>
          <cell r="AH354">
            <v>1</v>
          </cell>
          <cell r="AJ354">
            <v>1</v>
          </cell>
          <cell r="AL354">
            <v>0</v>
          </cell>
          <cell r="AN354">
            <v>0</v>
          </cell>
          <cell r="AP354">
            <v>0</v>
          </cell>
          <cell r="AR354">
            <v>0</v>
          </cell>
          <cell r="AT354">
            <v>0</v>
          </cell>
          <cell r="AV354">
            <v>0</v>
          </cell>
          <cell r="AX354">
            <v>0</v>
          </cell>
          <cell r="AZ354">
            <v>0</v>
          </cell>
          <cell r="BB354">
            <v>0</v>
          </cell>
          <cell r="BD354">
            <v>0</v>
          </cell>
          <cell r="BF354">
            <v>0</v>
          </cell>
          <cell r="BH354">
            <v>0</v>
          </cell>
          <cell r="BJ354">
            <v>0</v>
          </cell>
          <cell r="BL354">
            <v>0</v>
          </cell>
          <cell r="BN354">
            <v>0</v>
          </cell>
          <cell r="BP354">
            <v>0</v>
          </cell>
          <cell r="BR354">
            <v>0</v>
          </cell>
          <cell r="BT354">
            <v>0</v>
          </cell>
          <cell r="BV354">
            <v>0</v>
          </cell>
          <cell r="BX354">
            <v>0</v>
          </cell>
          <cell r="BZ354">
            <v>0</v>
          </cell>
          <cell r="CB354">
            <v>0</v>
          </cell>
          <cell r="CD354">
            <v>0</v>
          </cell>
          <cell r="CF354">
            <v>0</v>
          </cell>
          <cell r="CH354">
            <v>0</v>
          </cell>
          <cell r="CJ354">
            <v>0</v>
          </cell>
          <cell r="CL354">
            <v>0</v>
          </cell>
          <cell r="CN354">
            <v>0</v>
          </cell>
          <cell r="CP354">
            <v>0</v>
          </cell>
          <cell r="CR354">
            <v>0</v>
          </cell>
          <cell r="CT354">
            <v>0</v>
          </cell>
          <cell r="CV354">
            <v>0</v>
          </cell>
          <cell r="CX354">
            <v>0</v>
          </cell>
          <cell r="CZ354">
            <v>0</v>
          </cell>
          <cell r="DB354">
            <v>0</v>
          </cell>
          <cell r="DD354">
            <v>0</v>
          </cell>
          <cell r="DF354">
            <v>0</v>
          </cell>
          <cell r="DH354">
            <v>0</v>
          </cell>
          <cell r="DJ354">
            <v>0</v>
          </cell>
          <cell r="DL354">
            <v>0</v>
          </cell>
          <cell r="DN354">
            <v>0</v>
          </cell>
          <cell r="DP354">
            <v>0</v>
          </cell>
          <cell r="DR354">
            <v>0</v>
          </cell>
          <cell r="DT354">
            <v>0</v>
          </cell>
          <cell r="DV354">
            <v>0</v>
          </cell>
          <cell r="DX354">
            <v>0</v>
          </cell>
          <cell r="DZ354">
            <v>0</v>
          </cell>
          <cell r="EB354">
            <v>0</v>
          </cell>
          <cell r="ED354">
            <v>0</v>
          </cell>
          <cell r="EF354">
            <v>0</v>
          </cell>
          <cell r="EH354">
            <v>0</v>
          </cell>
          <cell r="EJ354">
            <v>0</v>
          </cell>
          <cell r="EL354">
            <v>0</v>
          </cell>
          <cell r="EN354">
            <v>0</v>
          </cell>
          <cell r="EP354">
            <v>0</v>
          </cell>
          <cell r="ER354">
            <v>0</v>
          </cell>
          <cell r="ET354">
            <v>0</v>
          </cell>
          <cell r="EV354">
            <v>0</v>
          </cell>
          <cell r="EX354">
            <v>0</v>
          </cell>
          <cell r="EZ354">
            <v>0</v>
          </cell>
          <cell r="FB354">
            <v>0</v>
          </cell>
          <cell r="FD354">
            <v>0</v>
          </cell>
          <cell r="FF354">
            <v>0</v>
          </cell>
          <cell r="FH354">
            <v>0</v>
          </cell>
          <cell r="FJ354">
            <v>0</v>
          </cell>
          <cell r="FL354">
            <v>0</v>
          </cell>
          <cell r="FN354">
            <v>0</v>
          </cell>
          <cell r="FP354">
            <v>0</v>
          </cell>
          <cell r="FR354">
            <v>0</v>
          </cell>
          <cell r="FT354">
            <v>0</v>
          </cell>
          <cell r="FV354">
            <v>0</v>
          </cell>
          <cell r="GD354">
            <v>14</v>
          </cell>
          <cell r="GF354">
            <v>4</v>
          </cell>
          <cell r="GH354">
            <v>1</v>
          </cell>
          <cell r="GJ354">
            <v>7</v>
          </cell>
          <cell r="GM354">
            <v>222.01</v>
          </cell>
          <cell r="GN35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225.檢查勞工個人防護具：█有 □無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W354" t="str">
            <v>（一）施工廠商施工前檢查事項辦理情形：█完成 □未完成 （二）其他工地安全衛生督導事項：</v>
          </cell>
          <cell r="GX354">
            <v>853901</v>
          </cell>
          <cell r="GY354">
            <v>0</v>
          </cell>
        </row>
        <row r="355">
          <cell r="N355">
            <v>1</v>
          </cell>
          <cell r="P355">
            <v>1</v>
          </cell>
          <cell r="R355">
            <v>672</v>
          </cell>
          <cell r="T355">
            <v>108</v>
          </cell>
          <cell r="V355">
            <v>661</v>
          </cell>
          <cell r="X355">
            <v>2</v>
          </cell>
          <cell r="Z355">
            <v>1</v>
          </cell>
          <cell r="AB355">
            <v>661</v>
          </cell>
          <cell r="AD355">
            <v>2</v>
          </cell>
          <cell r="AF355">
            <v>1</v>
          </cell>
          <cell r="AH355">
            <v>1</v>
          </cell>
          <cell r="AJ355">
            <v>1</v>
          </cell>
          <cell r="AL355">
            <v>0</v>
          </cell>
          <cell r="AN355">
            <v>0</v>
          </cell>
          <cell r="AP355">
            <v>0</v>
          </cell>
          <cell r="AR355">
            <v>0</v>
          </cell>
          <cell r="AT355">
            <v>0</v>
          </cell>
          <cell r="AV355">
            <v>0</v>
          </cell>
          <cell r="AX355">
            <v>0</v>
          </cell>
          <cell r="AZ355">
            <v>0</v>
          </cell>
          <cell r="BB355">
            <v>0</v>
          </cell>
          <cell r="BD355">
            <v>0</v>
          </cell>
          <cell r="BF355">
            <v>0</v>
          </cell>
          <cell r="BH355">
            <v>0</v>
          </cell>
          <cell r="BJ355">
            <v>0</v>
          </cell>
          <cell r="BL355">
            <v>0</v>
          </cell>
          <cell r="BN355">
            <v>0</v>
          </cell>
          <cell r="BP355">
            <v>0</v>
          </cell>
          <cell r="BR355">
            <v>0</v>
          </cell>
          <cell r="BT355">
            <v>0</v>
          </cell>
          <cell r="BV355">
            <v>0</v>
          </cell>
          <cell r="BX355">
            <v>0</v>
          </cell>
          <cell r="BZ355">
            <v>0</v>
          </cell>
          <cell r="CB355">
            <v>0</v>
          </cell>
          <cell r="CD355">
            <v>0</v>
          </cell>
          <cell r="CF355">
            <v>0</v>
          </cell>
          <cell r="CH355">
            <v>0</v>
          </cell>
          <cell r="CJ355">
            <v>0</v>
          </cell>
          <cell r="CL355">
            <v>0</v>
          </cell>
          <cell r="CN355">
            <v>0</v>
          </cell>
          <cell r="CP355">
            <v>0</v>
          </cell>
          <cell r="CR355">
            <v>0</v>
          </cell>
          <cell r="CT355">
            <v>0</v>
          </cell>
          <cell r="CV355">
            <v>0</v>
          </cell>
          <cell r="CX355">
            <v>0</v>
          </cell>
          <cell r="CZ355">
            <v>0</v>
          </cell>
          <cell r="DB355">
            <v>0</v>
          </cell>
          <cell r="DD355">
            <v>0</v>
          </cell>
          <cell r="DF355">
            <v>0</v>
          </cell>
          <cell r="DH355">
            <v>0</v>
          </cell>
          <cell r="DJ355">
            <v>0</v>
          </cell>
          <cell r="DL355">
            <v>0</v>
          </cell>
          <cell r="DN355">
            <v>0</v>
          </cell>
          <cell r="DP355">
            <v>0</v>
          </cell>
          <cell r="DR355">
            <v>0</v>
          </cell>
          <cell r="DT355">
            <v>0</v>
          </cell>
          <cell r="DV355">
            <v>0</v>
          </cell>
          <cell r="DX355">
            <v>0</v>
          </cell>
          <cell r="DZ355">
            <v>0</v>
          </cell>
          <cell r="EB355">
            <v>0</v>
          </cell>
          <cell r="ED355">
            <v>0</v>
          </cell>
          <cell r="EF355">
            <v>0</v>
          </cell>
          <cell r="EH355">
            <v>0</v>
          </cell>
          <cell r="EJ355">
            <v>0</v>
          </cell>
          <cell r="EL355">
            <v>0</v>
          </cell>
          <cell r="EN355">
            <v>0</v>
          </cell>
          <cell r="EP355">
            <v>0</v>
          </cell>
          <cell r="ER355">
            <v>0</v>
          </cell>
          <cell r="ET355">
            <v>0</v>
          </cell>
          <cell r="EV355">
            <v>0</v>
          </cell>
          <cell r="EX355">
            <v>0</v>
          </cell>
          <cell r="EZ355">
            <v>0</v>
          </cell>
          <cell r="FB355">
            <v>0</v>
          </cell>
          <cell r="FD355">
            <v>0</v>
          </cell>
          <cell r="FF355">
            <v>0</v>
          </cell>
          <cell r="FH355">
            <v>0</v>
          </cell>
          <cell r="FJ355">
            <v>0</v>
          </cell>
          <cell r="FL355">
            <v>0</v>
          </cell>
          <cell r="FN355">
            <v>0</v>
          </cell>
          <cell r="FP355">
            <v>0</v>
          </cell>
          <cell r="FR355">
            <v>0</v>
          </cell>
          <cell r="FT355">
            <v>0</v>
          </cell>
          <cell r="FV355">
            <v>0</v>
          </cell>
          <cell r="GD355">
            <v>14</v>
          </cell>
          <cell r="GF355">
            <v>4</v>
          </cell>
          <cell r="GH355">
            <v>1</v>
          </cell>
          <cell r="GJ355">
            <v>7</v>
          </cell>
          <cell r="GM355">
            <v>223.01</v>
          </cell>
          <cell r="GN35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226.檢查勞工個人防護具：█有 □無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W355" t="str">
            <v>（一）施工廠商施工前檢查事項辦理情形：█完成 □未完成 （二）其他工地安全衛生督導事項：</v>
          </cell>
          <cell r="GX355">
            <v>853901</v>
          </cell>
          <cell r="GY355">
            <v>0</v>
          </cell>
        </row>
        <row r="356">
          <cell r="N356">
            <v>1</v>
          </cell>
          <cell r="P356">
            <v>1</v>
          </cell>
          <cell r="R356">
            <v>672</v>
          </cell>
          <cell r="T356">
            <v>108</v>
          </cell>
          <cell r="V356">
            <v>661</v>
          </cell>
          <cell r="X356">
            <v>2</v>
          </cell>
          <cell r="Z356">
            <v>1</v>
          </cell>
          <cell r="AB356">
            <v>661</v>
          </cell>
          <cell r="AD356">
            <v>2</v>
          </cell>
          <cell r="AF356">
            <v>1</v>
          </cell>
          <cell r="AH356">
            <v>1</v>
          </cell>
          <cell r="AJ356">
            <v>1</v>
          </cell>
          <cell r="AL356">
            <v>0</v>
          </cell>
          <cell r="AN356">
            <v>0</v>
          </cell>
          <cell r="AP356">
            <v>0</v>
          </cell>
          <cell r="AR356">
            <v>0</v>
          </cell>
          <cell r="AT356">
            <v>0</v>
          </cell>
          <cell r="AV356">
            <v>0</v>
          </cell>
          <cell r="AX356">
            <v>0</v>
          </cell>
          <cell r="AZ356">
            <v>0</v>
          </cell>
          <cell r="BB356">
            <v>0</v>
          </cell>
          <cell r="BD356">
            <v>0</v>
          </cell>
          <cell r="BF356">
            <v>0</v>
          </cell>
          <cell r="BH356">
            <v>0</v>
          </cell>
          <cell r="BJ356">
            <v>0</v>
          </cell>
          <cell r="BL356">
            <v>0</v>
          </cell>
          <cell r="BN356">
            <v>0</v>
          </cell>
          <cell r="BP356">
            <v>0</v>
          </cell>
          <cell r="BR356">
            <v>0</v>
          </cell>
          <cell r="BT356">
            <v>0</v>
          </cell>
          <cell r="BV356">
            <v>0</v>
          </cell>
          <cell r="BX356">
            <v>0</v>
          </cell>
          <cell r="BZ356">
            <v>0</v>
          </cell>
          <cell r="CB356">
            <v>0</v>
          </cell>
          <cell r="CD356">
            <v>0</v>
          </cell>
          <cell r="CF356">
            <v>0</v>
          </cell>
          <cell r="CH356">
            <v>0</v>
          </cell>
          <cell r="CJ356">
            <v>0</v>
          </cell>
          <cell r="CL356">
            <v>0</v>
          </cell>
          <cell r="CN356">
            <v>0</v>
          </cell>
          <cell r="CP356">
            <v>0</v>
          </cell>
          <cell r="CR356">
            <v>0</v>
          </cell>
          <cell r="CT356">
            <v>0</v>
          </cell>
          <cell r="CV356">
            <v>0</v>
          </cell>
          <cell r="CX356">
            <v>0</v>
          </cell>
          <cell r="CZ356">
            <v>0</v>
          </cell>
          <cell r="DB356">
            <v>0</v>
          </cell>
          <cell r="DD356">
            <v>0</v>
          </cell>
          <cell r="DF356">
            <v>0</v>
          </cell>
          <cell r="DH356">
            <v>0</v>
          </cell>
          <cell r="DJ356">
            <v>0</v>
          </cell>
          <cell r="DL356">
            <v>0</v>
          </cell>
          <cell r="DN356">
            <v>0</v>
          </cell>
          <cell r="DP356">
            <v>0</v>
          </cell>
          <cell r="DR356">
            <v>0</v>
          </cell>
          <cell r="DT356">
            <v>0</v>
          </cell>
          <cell r="DV356">
            <v>0</v>
          </cell>
          <cell r="DX356">
            <v>0</v>
          </cell>
          <cell r="DZ356">
            <v>0</v>
          </cell>
          <cell r="EB356">
            <v>0</v>
          </cell>
          <cell r="ED356">
            <v>0</v>
          </cell>
          <cell r="EF356">
            <v>0</v>
          </cell>
          <cell r="EH356">
            <v>0</v>
          </cell>
          <cell r="EJ356">
            <v>0</v>
          </cell>
          <cell r="EL356">
            <v>0</v>
          </cell>
          <cell r="EN356">
            <v>0</v>
          </cell>
          <cell r="EP356">
            <v>0</v>
          </cell>
          <cell r="ER356">
            <v>0</v>
          </cell>
          <cell r="ET356">
            <v>0</v>
          </cell>
          <cell r="EV356">
            <v>0</v>
          </cell>
          <cell r="EX356">
            <v>0</v>
          </cell>
          <cell r="EZ356">
            <v>0</v>
          </cell>
          <cell r="FB356">
            <v>0</v>
          </cell>
          <cell r="FD356">
            <v>0</v>
          </cell>
          <cell r="FF356">
            <v>0</v>
          </cell>
          <cell r="FH356">
            <v>0</v>
          </cell>
          <cell r="FJ356">
            <v>0</v>
          </cell>
          <cell r="FL356">
            <v>0</v>
          </cell>
          <cell r="FN356">
            <v>0</v>
          </cell>
          <cell r="FP356">
            <v>0</v>
          </cell>
          <cell r="FR356">
            <v>0</v>
          </cell>
          <cell r="FT356">
            <v>0</v>
          </cell>
          <cell r="FV356">
            <v>0</v>
          </cell>
          <cell r="GD356">
            <v>14</v>
          </cell>
          <cell r="GF356">
            <v>4</v>
          </cell>
          <cell r="GH356">
            <v>1</v>
          </cell>
          <cell r="GJ356">
            <v>7</v>
          </cell>
          <cell r="GM356">
            <v>224.01</v>
          </cell>
          <cell r="GN35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227.檢查勞工個人防護具：█有 □無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W356" t="str">
            <v>（一）施工廠商施工前檢查事項辦理情形：█完成 □未完成 （二）其他工地安全衛生督導事項：</v>
          </cell>
          <cell r="GX356">
            <v>853901</v>
          </cell>
          <cell r="GY356">
            <v>0</v>
          </cell>
        </row>
        <row r="357">
          <cell r="N357">
            <v>1</v>
          </cell>
          <cell r="P357">
            <v>1</v>
          </cell>
          <cell r="R357">
            <v>672</v>
          </cell>
          <cell r="T357">
            <v>108</v>
          </cell>
          <cell r="V357">
            <v>661</v>
          </cell>
          <cell r="X357">
            <v>2</v>
          </cell>
          <cell r="Z357">
            <v>1</v>
          </cell>
          <cell r="AB357">
            <v>661</v>
          </cell>
          <cell r="AD357">
            <v>2</v>
          </cell>
          <cell r="AF357">
            <v>1</v>
          </cell>
          <cell r="AH357">
            <v>1</v>
          </cell>
          <cell r="AJ357">
            <v>1</v>
          </cell>
          <cell r="AL357">
            <v>0</v>
          </cell>
          <cell r="AN357">
            <v>0</v>
          </cell>
          <cell r="AP357">
            <v>0</v>
          </cell>
          <cell r="AR357">
            <v>0</v>
          </cell>
          <cell r="AT357">
            <v>0</v>
          </cell>
          <cell r="AV357">
            <v>0</v>
          </cell>
          <cell r="AX357">
            <v>0</v>
          </cell>
          <cell r="AZ357">
            <v>0</v>
          </cell>
          <cell r="BB357">
            <v>0</v>
          </cell>
          <cell r="BD357">
            <v>0</v>
          </cell>
          <cell r="BF357">
            <v>0</v>
          </cell>
          <cell r="BH357">
            <v>0</v>
          </cell>
          <cell r="BJ357">
            <v>0</v>
          </cell>
          <cell r="BL357">
            <v>0</v>
          </cell>
          <cell r="BN357">
            <v>0</v>
          </cell>
          <cell r="BP357">
            <v>0</v>
          </cell>
          <cell r="BR357">
            <v>0</v>
          </cell>
          <cell r="BT357">
            <v>0</v>
          </cell>
          <cell r="BV357">
            <v>0</v>
          </cell>
          <cell r="BX357">
            <v>0</v>
          </cell>
          <cell r="BZ357">
            <v>0</v>
          </cell>
          <cell r="CB357">
            <v>0</v>
          </cell>
          <cell r="CD357">
            <v>0</v>
          </cell>
          <cell r="CF357">
            <v>0</v>
          </cell>
          <cell r="CH357">
            <v>0</v>
          </cell>
          <cell r="CJ357">
            <v>0</v>
          </cell>
          <cell r="CL357">
            <v>0</v>
          </cell>
          <cell r="CN357">
            <v>0</v>
          </cell>
          <cell r="CP357">
            <v>0</v>
          </cell>
          <cell r="CR357">
            <v>0</v>
          </cell>
          <cell r="CT357">
            <v>0</v>
          </cell>
          <cell r="CV357">
            <v>0</v>
          </cell>
          <cell r="CX357">
            <v>0</v>
          </cell>
          <cell r="CZ357">
            <v>0</v>
          </cell>
          <cell r="DB357">
            <v>0</v>
          </cell>
          <cell r="DD357">
            <v>0</v>
          </cell>
          <cell r="DF357">
            <v>0</v>
          </cell>
          <cell r="DH357">
            <v>0</v>
          </cell>
          <cell r="DJ357">
            <v>0</v>
          </cell>
          <cell r="DL357">
            <v>0</v>
          </cell>
          <cell r="DN357">
            <v>0</v>
          </cell>
          <cell r="DP357">
            <v>0</v>
          </cell>
          <cell r="DR357">
            <v>0</v>
          </cell>
          <cell r="DT357">
            <v>0</v>
          </cell>
          <cell r="DV357">
            <v>0</v>
          </cell>
          <cell r="DX357">
            <v>0</v>
          </cell>
          <cell r="DZ357">
            <v>0</v>
          </cell>
          <cell r="EB357">
            <v>0</v>
          </cell>
          <cell r="ED357">
            <v>0</v>
          </cell>
          <cell r="EF357">
            <v>0</v>
          </cell>
          <cell r="EH357">
            <v>0</v>
          </cell>
          <cell r="EJ357">
            <v>0</v>
          </cell>
          <cell r="EL357">
            <v>0</v>
          </cell>
          <cell r="EN357">
            <v>0</v>
          </cell>
          <cell r="EP357">
            <v>0</v>
          </cell>
          <cell r="ER357">
            <v>0</v>
          </cell>
          <cell r="ET357">
            <v>0</v>
          </cell>
          <cell r="EV357">
            <v>0</v>
          </cell>
          <cell r="EX357">
            <v>0</v>
          </cell>
          <cell r="EZ357">
            <v>0</v>
          </cell>
          <cell r="FB357">
            <v>0</v>
          </cell>
          <cell r="FD357">
            <v>0</v>
          </cell>
          <cell r="FF357">
            <v>0</v>
          </cell>
          <cell r="FH357">
            <v>0</v>
          </cell>
          <cell r="FJ357">
            <v>0</v>
          </cell>
          <cell r="FL357">
            <v>0</v>
          </cell>
          <cell r="FN357">
            <v>0</v>
          </cell>
          <cell r="FP357">
            <v>0</v>
          </cell>
          <cell r="FR357">
            <v>0</v>
          </cell>
          <cell r="FT357">
            <v>0</v>
          </cell>
          <cell r="FV357">
            <v>0</v>
          </cell>
          <cell r="GD357">
            <v>14</v>
          </cell>
          <cell r="GF357">
            <v>4</v>
          </cell>
          <cell r="GH357">
            <v>1</v>
          </cell>
          <cell r="GJ357">
            <v>7</v>
          </cell>
          <cell r="GM357">
            <v>225.01</v>
          </cell>
          <cell r="GN35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228.檢查勞工個人防護具：█有 □無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W357" t="str">
            <v>（一）施工廠商施工前檢查事項辦理情形：█完成 □未完成 （二）其他工地安全衛生督導事項：</v>
          </cell>
          <cell r="GX357">
            <v>853901</v>
          </cell>
          <cell r="GY357">
            <v>0</v>
          </cell>
        </row>
        <row r="358">
          <cell r="N358">
            <v>1</v>
          </cell>
          <cell r="P358">
            <v>1</v>
          </cell>
          <cell r="R358">
            <v>672</v>
          </cell>
          <cell r="T358">
            <v>108</v>
          </cell>
          <cell r="V358">
            <v>661</v>
          </cell>
          <cell r="X358">
            <v>2</v>
          </cell>
          <cell r="Z358">
            <v>1</v>
          </cell>
          <cell r="AB358">
            <v>661</v>
          </cell>
          <cell r="AD358">
            <v>2</v>
          </cell>
          <cell r="AF358">
            <v>1</v>
          </cell>
          <cell r="AH358">
            <v>1</v>
          </cell>
          <cell r="AJ358">
            <v>1</v>
          </cell>
          <cell r="AL358">
            <v>0</v>
          </cell>
          <cell r="AN358">
            <v>0</v>
          </cell>
          <cell r="AP358">
            <v>0</v>
          </cell>
          <cell r="AR358">
            <v>0</v>
          </cell>
          <cell r="AT358">
            <v>0</v>
          </cell>
          <cell r="AV358">
            <v>0</v>
          </cell>
          <cell r="AX358">
            <v>0</v>
          </cell>
          <cell r="AZ358">
            <v>0</v>
          </cell>
          <cell r="BB358">
            <v>0</v>
          </cell>
          <cell r="BD358">
            <v>0</v>
          </cell>
          <cell r="BF358">
            <v>0</v>
          </cell>
          <cell r="BH358">
            <v>0</v>
          </cell>
          <cell r="BJ358">
            <v>0</v>
          </cell>
          <cell r="BL358">
            <v>0</v>
          </cell>
          <cell r="BN358">
            <v>0</v>
          </cell>
          <cell r="BP358">
            <v>0</v>
          </cell>
          <cell r="BR358">
            <v>0</v>
          </cell>
          <cell r="BT358">
            <v>0</v>
          </cell>
          <cell r="BV358">
            <v>0</v>
          </cell>
          <cell r="BX358">
            <v>0</v>
          </cell>
          <cell r="BZ358">
            <v>0</v>
          </cell>
          <cell r="CB358">
            <v>0</v>
          </cell>
          <cell r="CD358">
            <v>0</v>
          </cell>
          <cell r="CF358">
            <v>0</v>
          </cell>
          <cell r="CH358">
            <v>0</v>
          </cell>
          <cell r="CJ358">
            <v>0</v>
          </cell>
          <cell r="CL358">
            <v>0</v>
          </cell>
          <cell r="CN358">
            <v>0</v>
          </cell>
          <cell r="CP358">
            <v>0</v>
          </cell>
          <cell r="CR358">
            <v>0</v>
          </cell>
          <cell r="CT358">
            <v>0</v>
          </cell>
          <cell r="CV358">
            <v>0</v>
          </cell>
          <cell r="CX358">
            <v>0</v>
          </cell>
          <cell r="CZ358">
            <v>0</v>
          </cell>
          <cell r="DB358">
            <v>0</v>
          </cell>
          <cell r="DD358">
            <v>0</v>
          </cell>
          <cell r="DF358">
            <v>0</v>
          </cell>
          <cell r="DH358">
            <v>0</v>
          </cell>
          <cell r="DJ358">
            <v>0</v>
          </cell>
          <cell r="DL358">
            <v>0</v>
          </cell>
          <cell r="DN358">
            <v>0</v>
          </cell>
          <cell r="DP358">
            <v>0</v>
          </cell>
          <cell r="DR358">
            <v>0</v>
          </cell>
          <cell r="DT358">
            <v>0</v>
          </cell>
          <cell r="DV358">
            <v>0</v>
          </cell>
          <cell r="DX358">
            <v>0</v>
          </cell>
          <cell r="DZ358">
            <v>0</v>
          </cell>
          <cell r="EB358">
            <v>0</v>
          </cell>
          <cell r="ED358">
            <v>0</v>
          </cell>
          <cell r="EF358">
            <v>0</v>
          </cell>
          <cell r="EH358">
            <v>0</v>
          </cell>
          <cell r="EJ358">
            <v>0</v>
          </cell>
          <cell r="EL358">
            <v>0</v>
          </cell>
          <cell r="EN358">
            <v>0</v>
          </cell>
          <cell r="EP358">
            <v>0</v>
          </cell>
          <cell r="ER358">
            <v>0</v>
          </cell>
          <cell r="ET358">
            <v>0</v>
          </cell>
          <cell r="EV358">
            <v>0</v>
          </cell>
          <cell r="EX358">
            <v>0</v>
          </cell>
          <cell r="EZ358">
            <v>0</v>
          </cell>
          <cell r="FB358">
            <v>0</v>
          </cell>
          <cell r="FD358">
            <v>0</v>
          </cell>
          <cell r="FF358">
            <v>0</v>
          </cell>
          <cell r="FH358">
            <v>0</v>
          </cell>
          <cell r="FJ358">
            <v>0</v>
          </cell>
          <cell r="FL358">
            <v>0</v>
          </cell>
          <cell r="FN358">
            <v>0</v>
          </cell>
          <cell r="FP358">
            <v>0</v>
          </cell>
          <cell r="FR358">
            <v>0</v>
          </cell>
          <cell r="FT358">
            <v>0</v>
          </cell>
          <cell r="FV358">
            <v>0</v>
          </cell>
          <cell r="GD358">
            <v>14</v>
          </cell>
          <cell r="GF358">
            <v>4</v>
          </cell>
          <cell r="GH358">
            <v>1</v>
          </cell>
          <cell r="GJ358">
            <v>7</v>
          </cell>
          <cell r="GM358">
            <v>226.01</v>
          </cell>
          <cell r="GN35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229.檢查勞工個人防護具：█有 □無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W358" t="str">
            <v>（一）施工廠商施工前檢查事項辦理情形：█完成 □未完成 （二）其他工地安全衛生督導事項：</v>
          </cell>
          <cell r="GX358">
            <v>853901</v>
          </cell>
          <cell r="GY358">
            <v>0</v>
          </cell>
        </row>
        <row r="359">
          <cell r="N359">
            <v>1</v>
          </cell>
          <cell r="P359">
            <v>1</v>
          </cell>
          <cell r="R359">
            <v>672</v>
          </cell>
          <cell r="T359">
            <v>108</v>
          </cell>
          <cell r="V359">
            <v>661</v>
          </cell>
          <cell r="X359">
            <v>2</v>
          </cell>
          <cell r="Z359">
            <v>1</v>
          </cell>
          <cell r="AB359">
            <v>661</v>
          </cell>
          <cell r="AD359">
            <v>2</v>
          </cell>
          <cell r="AF359">
            <v>1</v>
          </cell>
          <cell r="AH359">
            <v>1</v>
          </cell>
          <cell r="AJ359">
            <v>1</v>
          </cell>
          <cell r="AL359">
            <v>0</v>
          </cell>
          <cell r="AN359">
            <v>0</v>
          </cell>
          <cell r="AP359">
            <v>0</v>
          </cell>
          <cell r="AR359">
            <v>0</v>
          </cell>
          <cell r="AT359">
            <v>0</v>
          </cell>
          <cell r="AV359">
            <v>0</v>
          </cell>
          <cell r="AX359">
            <v>0</v>
          </cell>
          <cell r="AZ359">
            <v>0</v>
          </cell>
          <cell r="BB359">
            <v>0</v>
          </cell>
          <cell r="BD359">
            <v>0</v>
          </cell>
          <cell r="BF359">
            <v>0</v>
          </cell>
          <cell r="BH359">
            <v>0</v>
          </cell>
          <cell r="BJ359">
            <v>0</v>
          </cell>
          <cell r="BL359">
            <v>0</v>
          </cell>
          <cell r="BN359">
            <v>0</v>
          </cell>
          <cell r="BP359">
            <v>0</v>
          </cell>
          <cell r="BR359">
            <v>0</v>
          </cell>
          <cell r="BT359">
            <v>0</v>
          </cell>
          <cell r="BV359">
            <v>0</v>
          </cell>
          <cell r="BX359">
            <v>0</v>
          </cell>
          <cell r="BZ359">
            <v>0</v>
          </cell>
          <cell r="CB359">
            <v>0</v>
          </cell>
          <cell r="CD359">
            <v>0</v>
          </cell>
          <cell r="CF359">
            <v>0</v>
          </cell>
          <cell r="CH359">
            <v>0</v>
          </cell>
          <cell r="CJ359">
            <v>0</v>
          </cell>
          <cell r="CL359">
            <v>0</v>
          </cell>
          <cell r="CN359">
            <v>0</v>
          </cell>
          <cell r="CP359">
            <v>0</v>
          </cell>
          <cell r="CR359">
            <v>0</v>
          </cell>
          <cell r="CT359">
            <v>0</v>
          </cell>
          <cell r="CV359">
            <v>0</v>
          </cell>
          <cell r="CX359">
            <v>0</v>
          </cell>
          <cell r="CZ359">
            <v>0</v>
          </cell>
          <cell r="DB359">
            <v>0</v>
          </cell>
          <cell r="DD359">
            <v>0</v>
          </cell>
          <cell r="DF359">
            <v>0</v>
          </cell>
          <cell r="DH359">
            <v>0</v>
          </cell>
          <cell r="DJ359">
            <v>0</v>
          </cell>
          <cell r="DL359">
            <v>0</v>
          </cell>
          <cell r="DN359">
            <v>0</v>
          </cell>
          <cell r="DP359">
            <v>0</v>
          </cell>
          <cell r="DR359">
            <v>0</v>
          </cell>
          <cell r="DT359">
            <v>0</v>
          </cell>
          <cell r="DV359">
            <v>0</v>
          </cell>
          <cell r="DX359">
            <v>0</v>
          </cell>
          <cell r="DZ359">
            <v>0</v>
          </cell>
          <cell r="EB359">
            <v>0</v>
          </cell>
          <cell r="ED359">
            <v>0</v>
          </cell>
          <cell r="EF359">
            <v>0</v>
          </cell>
          <cell r="EH359">
            <v>0</v>
          </cell>
          <cell r="EJ359">
            <v>0</v>
          </cell>
          <cell r="EL359">
            <v>0</v>
          </cell>
          <cell r="EN359">
            <v>0</v>
          </cell>
          <cell r="EP359">
            <v>0</v>
          </cell>
          <cell r="ER359">
            <v>0</v>
          </cell>
          <cell r="ET359">
            <v>0</v>
          </cell>
          <cell r="EV359">
            <v>0</v>
          </cell>
          <cell r="EX359">
            <v>0</v>
          </cell>
          <cell r="EZ359">
            <v>0</v>
          </cell>
          <cell r="FB359">
            <v>0</v>
          </cell>
          <cell r="FD359">
            <v>0</v>
          </cell>
          <cell r="FF359">
            <v>0</v>
          </cell>
          <cell r="FH359">
            <v>0</v>
          </cell>
          <cell r="FJ359">
            <v>0</v>
          </cell>
          <cell r="FL359">
            <v>0</v>
          </cell>
          <cell r="FN359">
            <v>0</v>
          </cell>
          <cell r="FP359">
            <v>0</v>
          </cell>
          <cell r="FR359">
            <v>0</v>
          </cell>
          <cell r="FT359">
            <v>0</v>
          </cell>
          <cell r="FV359">
            <v>0</v>
          </cell>
          <cell r="GD359">
            <v>14</v>
          </cell>
          <cell r="GF359">
            <v>4</v>
          </cell>
          <cell r="GH359">
            <v>1</v>
          </cell>
          <cell r="GJ359">
            <v>7</v>
          </cell>
          <cell r="GM359">
            <v>227.01</v>
          </cell>
          <cell r="GN35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230.檢查勞工個人防護具：█有 □無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W359" t="str">
            <v>（一）施工廠商施工前檢查事項辦理情形：█完成 □未完成 （二）其他工地安全衛生督導事項：</v>
          </cell>
          <cell r="GX359">
            <v>853901</v>
          </cell>
          <cell r="GY359">
            <v>0</v>
          </cell>
        </row>
        <row r="360">
          <cell r="N360">
            <v>1</v>
          </cell>
          <cell r="P360">
            <v>1</v>
          </cell>
          <cell r="R360">
            <v>672</v>
          </cell>
          <cell r="T360">
            <v>108</v>
          </cell>
          <cell r="V360">
            <v>661</v>
          </cell>
          <cell r="X360">
            <v>2</v>
          </cell>
          <cell r="Z360">
            <v>1</v>
          </cell>
          <cell r="AB360">
            <v>661</v>
          </cell>
          <cell r="AD360">
            <v>2</v>
          </cell>
          <cell r="AF360">
            <v>1</v>
          </cell>
          <cell r="AH360">
            <v>1</v>
          </cell>
          <cell r="AJ360">
            <v>1</v>
          </cell>
          <cell r="AL360">
            <v>0</v>
          </cell>
          <cell r="AN360">
            <v>0</v>
          </cell>
          <cell r="AP360">
            <v>0</v>
          </cell>
          <cell r="AR360">
            <v>0</v>
          </cell>
          <cell r="AT360">
            <v>0</v>
          </cell>
          <cell r="AV360">
            <v>0</v>
          </cell>
          <cell r="AX360">
            <v>0</v>
          </cell>
          <cell r="AZ360">
            <v>0</v>
          </cell>
          <cell r="BB360">
            <v>0</v>
          </cell>
          <cell r="BD360">
            <v>0</v>
          </cell>
          <cell r="BF360">
            <v>0</v>
          </cell>
          <cell r="BH360">
            <v>0</v>
          </cell>
          <cell r="BJ360">
            <v>0</v>
          </cell>
          <cell r="BL360">
            <v>0</v>
          </cell>
          <cell r="BN360">
            <v>0</v>
          </cell>
          <cell r="BP360">
            <v>0</v>
          </cell>
          <cell r="BR360">
            <v>0</v>
          </cell>
          <cell r="BT360">
            <v>0</v>
          </cell>
          <cell r="BV360">
            <v>0</v>
          </cell>
          <cell r="BX360">
            <v>0</v>
          </cell>
          <cell r="BZ360">
            <v>0</v>
          </cell>
          <cell r="CB360">
            <v>0</v>
          </cell>
          <cell r="CD360">
            <v>0</v>
          </cell>
          <cell r="CF360">
            <v>0</v>
          </cell>
          <cell r="CH360">
            <v>0</v>
          </cell>
          <cell r="CJ360">
            <v>0</v>
          </cell>
          <cell r="CL360">
            <v>0</v>
          </cell>
          <cell r="CN360">
            <v>0</v>
          </cell>
          <cell r="CP360">
            <v>0</v>
          </cell>
          <cell r="CR360">
            <v>0</v>
          </cell>
          <cell r="CT360">
            <v>0</v>
          </cell>
          <cell r="CV360">
            <v>0</v>
          </cell>
          <cell r="CX360">
            <v>0</v>
          </cell>
          <cell r="CZ360">
            <v>0</v>
          </cell>
          <cell r="DB360">
            <v>0</v>
          </cell>
          <cell r="DD360">
            <v>0</v>
          </cell>
          <cell r="DF360">
            <v>0</v>
          </cell>
          <cell r="DH360">
            <v>0</v>
          </cell>
          <cell r="DJ360">
            <v>0</v>
          </cell>
          <cell r="DL360">
            <v>0</v>
          </cell>
          <cell r="DN360">
            <v>0</v>
          </cell>
          <cell r="DP360">
            <v>0</v>
          </cell>
          <cell r="DR360">
            <v>0</v>
          </cell>
          <cell r="DT360">
            <v>0</v>
          </cell>
          <cell r="DV360">
            <v>0</v>
          </cell>
          <cell r="DX360">
            <v>0</v>
          </cell>
          <cell r="DZ360">
            <v>0</v>
          </cell>
          <cell r="EB360">
            <v>0</v>
          </cell>
          <cell r="ED360">
            <v>0</v>
          </cell>
          <cell r="EF360">
            <v>0</v>
          </cell>
          <cell r="EH360">
            <v>0</v>
          </cell>
          <cell r="EJ360">
            <v>0</v>
          </cell>
          <cell r="EL360">
            <v>0</v>
          </cell>
          <cell r="EN360">
            <v>0</v>
          </cell>
          <cell r="EP360">
            <v>0</v>
          </cell>
          <cell r="ER360">
            <v>0</v>
          </cell>
          <cell r="ET360">
            <v>0</v>
          </cell>
          <cell r="EV360">
            <v>0</v>
          </cell>
          <cell r="EX360">
            <v>0</v>
          </cell>
          <cell r="EZ360">
            <v>0</v>
          </cell>
          <cell r="FB360">
            <v>0</v>
          </cell>
          <cell r="FD360">
            <v>0</v>
          </cell>
          <cell r="FF360">
            <v>0</v>
          </cell>
          <cell r="FH360">
            <v>0</v>
          </cell>
          <cell r="FJ360">
            <v>0</v>
          </cell>
          <cell r="FL360">
            <v>0</v>
          </cell>
          <cell r="FN360">
            <v>0</v>
          </cell>
          <cell r="FP360">
            <v>0</v>
          </cell>
          <cell r="FR360">
            <v>0</v>
          </cell>
          <cell r="FT360">
            <v>0</v>
          </cell>
          <cell r="FV360">
            <v>0</v>
          </cell>
          <cell r="GD360">
            <v>14</v>
          </cell>
          <cell r="GF360">
            <v>4</v>
          </cell>
          <cell r="GH360">
            <v>1</v>
          </cell>
          <cell r="GJ360">
            <v>7</v>
          </cell>
          <cell r="GM360">
            <v>228.01</v>
          </cell>
          <cell r="GN36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231.檢查勞工個人防護具：█有 □無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W360" t="str">
            <v>（一）施工廠商施工前檢查事項辦理情形：█完成 □未完成 （二）其他工地安全衛生督導事項：</v>
          </cell>
          <cell r="GX360">
            <v>853901</v>
          </cell>
          <cell r="GY360">
            <v>0</v>
          </cell>
        </row>
        <row r="361">
          <cell r="N361">
            <v>1</v>
          </cell>
          <cell r="P361">
            <v>1</v>
          </cell>
          <cell r="R361">
            <v>672</v>
          </cell>
          <cell r="T361">
            <v>108</v>
          </cell>
          <cell r="V361">
            <v>661</v>
          </cell>
          <cell r="X361">
            <v>2</v>
          </cell>
          <cell r="Z361">
            <v>1</v>
          </cell>
          <cell r="AB361">
            <v>661</v>
          </cell>
          <cell r="AD361">
            <v>2</v>
          </cell>
          <cell r="AF361">
            <v>1</v>
          </cell>
          <cell r="AH361">
            <v>1</v>
          </cell>
          <cell r="AJ361">
            <v>1</v>
          </cell>
          <cell r="AL361">
            <v>0</v>
          </cell>
          <cell r="AN361">
            <v>0</v>
          </cell>
          <cell r="AP361">
            <v>0</v>
          </cell>
          <cell r="AR361">
            <v>0</v>
          </cell>
          <cell r="AT361">
            <v>0</v>
          </cell>
          <cell r="AV361">
            <v>0</v>
          </cell>
          <cell r="AX361">
            <v>0</v>
          </cell>
          <cell r="AZ361">
            <v>0</v>
          </cell>
          <cell r="BB361">
            <v>0</v>
          </cell>
          <cell r="BD361">
            <v>0</v>
          </cell>
          <cell r="BF361">
            <v>0</v>
          </cell>
          <cell r="BH361">
            <v>0</v>
          </cell>
          <cell r="BJ361">
            <v>0</v>
          </cell>
          <cell r="BL361">
            <v>0</v>
          </cell>
          <cell r="BN361">
            <v>0</v>
          </cell>
          <cell r="BP361">
            <v>0</v>
          </cell>
          <cell r="BR361">
            <v>0</v>
          </cell>
          <cell r="BT361">
            <v>0</v>
          </cell>
          <cell r="BV361">
            <v>0</v>
          </cell>
          <cell r="BX361">
            <v>0</v>
          </cell>
          <cell r="BZ361">
            <v>0</v>
          </cell>
          <cell r="CB361">
            <v>0</v>
          </cell>
          <cell r="CD361">
            <v>0</v>
          </cell>
          <cell r="CF361">
            <v>0</v>
          </cell>
          <cell r="CH361">
            <v>0</v>
          </cell>
          <cell r="CJ361">
            <v>0</v>
          </cell>
          <cell r="CL361">
            <v>0</v>
          </cell>
          <cell r="CN361">
            <v>0</v>
          </cell>
          <cell r="CP361">
            <v>0</v>
          </cell>
          <cell r="CR361">
            <v>0</v>
          </cell>
          <cell r="CT361">
            <v>0</v>
          </cell>
          <cell r="CV361">
            <v>0</v>
          </cell>
          <cell r="CX361">
            <v>0</v>
          </cell>
          <cell r="CZ361">
            <v>0</v>
          </cell>
          <cell r="DB361">
            <v>0</v>
          </cell>
          <cell r="DD361">
            <v>0</v>
          </cell>
          <cell r="DF361">
            <v>0</v>
          </cell>
          <cell r="DH361">
            <v>0</v>
          </cell>
          <cell r="DJ361">
            <v>0</v>
          </cell>
          <cell r="DL361">
            <v>0</v>
          </cell>
          <cell r="DN361">
            <v>0</v>
          </cell>
          <cell r="DP361">
            <v>0</v>
          </cell>
          <cell r="DR361">
            <v>0</v>
          </cell>
          <cell r="DT361">
            <v>0</v>
          </cell>
          <cell r="DV361">
            <v>0</v>
          </cell>
          <cell r="DX361">
            <v>0</v>
          </cell>
          <cell r="DZ361">
            <v>0</v>
          </cell>
          <cell r="EB361">
            <v>0</v>
          </cell>
          <cell r="ED361">
            <v>0</v>
          </cell>
          <cell r="EF361">
            <v>0</v>
          </cell>
          <cell r="EH361">
            <v>0</v>
          </cell>
          <cell r="EJ361">
            <v>0</v>
          </cell>
          <cell r="EL361">
            <v>0</v>
          </cell>
          <cell r="EN361">
            <v>0</v>
          </cell>
          <cell r="EP361">
            <v>0</v>
          </cell>
          <cell r="ER361">
            <v>0</v>
          </cell>
          <cell r="ET361">
            <v>0</v>
          </cell>
          <cell r="EV361">
            <v>0</v>
          </cell>
          <cell r="EX361">
            <v>0</v>
          </cell>
          <cell r="EZ361">
            <v>0</v>
          </cell>
          <cell r="FB361">
            <v>0</v>
          </cell>
          <cell r="FD361">
            <v>0</v>
          </cell>
          <cell r="FF361">
            <v>0</v>
          </cell>
          <cell r="FH361">
            <v>0</v>
          </cell>
          <cell r="FJ361">
            <v>0</v>
          </cell>
          <cell r="FL361">
            <v>0</v>
          </cell>
          <cell r="FN361">
            <v>0</v>
          </cell>
          <cell r="FP361">
            <v>0</v>
          </cell>
          <cell r="FR361">
            <v>0</v>
          </cell>
          <cell r="FT361">
            <v>0</v>
          </cell>
          <cell r="FV361">
            <v>0</v>
          </cell>
          <cell r="GD361">
            <v>14</v>
          </cell>
          <cell r="GF361">
            <v>4</v>
          </cell>
          <cell r="GH361">
            <v>1</v>
          </cell>
          <cell r="GJ361">
            <v>7</v>
          </cell>
          <cell r="GM361">
            <v>229.01</v>
          </cell>
          <cell r="GN36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232.檢查勞工個人防護具：█有 □無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W361" t="str">
            <v>（一）施工廠商施工前檢查事項辦理情形：█完成 □未完成 （二）其他工地安全衛生督導事項：</v>
          </cell>
          <cell r="GX361">
            <v>853901</v>
          </cell>
          <cell r="GY361">
            <v>0</v>
          </cell>
        </row>
        <row r="362">
          <cell r="N362">
            <v>1</v>
          </cell>
          <cell r="P362">
            <v>1</v>
          </cell>
          <cell r="R362">
            <v>672</v>
          </cell>
          <cell r="T362">
            <v>108</v>
          </cell>
          <cell r="V362">
            <v>661</v>
          </cell>
          <cell r="X362">
            <v>2</v>
          </cell>
          <cell r="Z362">
            <v>1</v>
          </cell>
          <cell r="AB362">
            <v>661</v>
          </cell>
          <cell r="AD362">
            <v>2</v>
          </cell>
          <cell r="AF362">
            <v>1</v>
          </cell>
          <cell r="AH362">
            <v>1</v>
          </cell>
          <cell r="AJ362">
            <v>1</v>
          </cell>
          <cell r="AL362">
            <v>0</v>
          </cell>
          <cell r="AN362">
            <v>0</v>
          </cell>
          <cell r="AP362">
            <v>0</v>
          </cell>
          <cell r="AR362">
            <v>0</v>
          </cell>
          <cell r="AT362">
            <v>0</v>
          </cell>
          <cell r="AV362">
            <v>0</v>
          </cell>
          <cell r="AX362">
            <v>0</v>
          </cell>
          <cell r="AZ362">
            <v>0</v>
          </cell>
          <cell r="BB362">
            <v>0</v>
          </cell>
          <cell r="BD362">
            <v>0</v>
          </cell>
          <cell r="BF362">
            <v>0</v>
          </cell>
          <cell r="BH362">
            <v>0</v>
          </cell>
          <cell r="BJ362">
            <v>0</v>
          </cell>
          <cell r="BL362">
            <v>0</v>
          </cell>
          <cell r="BN362">
            <v>0</v>
          </cell>
          <cell r="BP362">
            <v>0</v>
          </cell>
          <cell r="BR362">
            <v>0</v>
          </cell>
          <cell r="BT362">
            <v>0</v>
          </cell>
          <cell r="BV362">
            <v>0</v>
          </cell>
          <cell r="BX362">
            <v>0</v>
          </cell>
          <cell r="BZ362">
            <v>0</v>
          </cell>
          <cell r="CB362">
            <v>0</v>
          </cell>
          <cell r="CD362">
            <v>0</v>
          </cell>
          <cell r="CF362">
            <v>0</v>
          </cell>
          <cell r="CH362">
            <v>0</v>
          </cell>
          <cell r="CJ362">
            <v>0</v>
          </cell>
          <cell r="CL362">
            <v>0</v>
          </cell>
          <cell r="CN362">
            <v>0</v>
          </cell>
          <cell r="CP362">
            <v>0</v>
          </cell>
          <cell r="CR362">
            <v>0</v>
          </cell>
          <cell r="CT362">
            <v>0</v>
          </cell>
          <cell r="CV362">
            <v>0</v>
          </cell>
          <cell r="CX362">
            <v>0</v>
          </cell>
          <cell r="CZ362">
            <v>0</v>
          </cell>
          <cell r="DB362">
            <v>0</v>
          </cell>
          <cell r="DD362">
            <v>0</v>
          </cell>
          <cell r="DF362">
            <v>0</v>
          </cell>
          <cell r="DH362">
            <v>0</v>
          </cell>
          <cell r="DJ362">
            <v>0</v>
          </cell>
          <cell r="DL362">
            <v>0</v>
          </cell>
          <cell r="DN362">
            <v>0</v>
          </cell>
          <cell r="DP362">
            <v>0</v>
          </cell>
          <cell r="DR362">
            <v>0</v>
          </cell>
          <cell r="DT362">
            <v>0</v>
          </cell>
          <cell r="DV362">
            <v>0</v>
          </cell>
          <cell r="DX362">
            <v>0</v>
          </cell>
          <cell r="DZ362">
            <v>0</v>
          </cell>
          <cell r="EB362">
            <v>0</v>
          </cell>
          <cell r="ED362">
            <v>0</v>
          </cell>
          <cell r="EF362">
            <v>0</v>
          </cell>
          <cell r="EH362">
            <v>0</v>
          </cell>
          <cell r="EJ362">
            <v>0</v>
          </cell>
          <cell r="EL362">
            <v>0</v>
          </cell>
          <cell r="EN362">
            <v>0</v>
          </cell>
          <cell r="EP362">
            <v>0</v>
          </cell>
          <cell r="ER362">
            <v>0</v>
          </cell>
          <cell r="ET362">
            <v>0</v>
          </cell>
          <cell r="EV362">
            <v>0</v>
          </cell>
          <cell r="EX362">
            <v>0</v>
          </cell>
          <cell r="EZ362">
            <v>0</v>
          </cell>
          <cell r="FB362">
            <v>0</v>
          </cell>
          <cell r="FD362">
            <v>0</v>
          </cell>
          <cell r="FF362">
            <v>0</v>
          </cell>
          <cell r="FH362">
            <v>0</v>
          </cell>
          <cell r="FJ362">
            <v>0</v>
          </cell>
          <cell r="FL362">
            <v>0</v>
          </cell>
          <cell r="FN362">
            <v>0</v>
          </cell>
          <cell r="FP362">
            <v>0</v>
          </cell>
          <cell r="FR362">
            <v>0</v>
          </cell>
          <cell r="FT362">
            <v>0</v>
          </cell>
          <cell r="FV362">
            <v>0</v>
          </cell>
          <cell r="GD362">
            <v>14</v>
          </cell>
          <cell r="GF362">
            <v>4</v>
          </cell>
          <cell r="GH362">
            <v>1</v>
          </cell>
          <cell r="GJ362">
            <v>7</v>
          </cell>
          <cell r="GM362">
            <v>230.01</v>
          </cell>
          <cell r="GN36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233.檢查勞工個人防護具：█有 □無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W362" t="str">
            <v>（一）施工廠商施工前檢查事項辦理情形：█完成 □未完成 （二）其他工地安全衛生督導事項：</v>
          </cell>
          <cell r="GX362">
            <v>853901</v>
          </cell>
          <cell r="GY362">
            <v>0</v>
          </cell>
        </row>
        <row r="363">
          <cell r="N363">
            <v>1</v>
          </cell>
          <cell r="P363">
            <v>1</v>
          </cell>
          <cell r="R363">
            <v>672</v>
          </cell>
          <cell r="T363">
            <v>108</v>
          </cell>
          <cell r="V363">
            <v>661</v>
          </cell>
          <cell r="X363">
            <v>2</v>
          </cell>
          <cell r="Z363">
            <v>1</v>
          </cell>
          <cell r="AB363">
            <v>661</v>
          </cell>
          <cell r="AD363">
            <v>2</v>
          </cell>
          <cell r="AF363">
            <v>1</v>
          </cell>
          <cell r="AH363">
            <v>1</v>
          </cell>
          <cell r="AJ363">
            <v>1</v>
          </cell>
          <cell r="AL363">
            <v>0</v>
          </cell>
          <cell r="AN363">
            <v>0</v>
          </cell>
          <cell r="AP363">
            <v>0</v>
          </cell>
          <cell r="AR363">
            <v>0</v>
          </cell>
          <cell r="AT363">
            <v>0</v>
          </cell>
          <cell r="AV363">
            <v>0</v>
          </cell>
          <cell r="AX363">
            <v>0</v>
          </cell>
          <cell r="AZ363">
            <v>0</v>
          </cell>
          <cell r="BB363">
            <v>0</v>
          </cell>
          <cell r="BD363">
            <v>0</v>
          </cell>
          <cell r="BF363">
            <v>0</v>
          </cell>
          <cell r="BH363">
            <v>0</v>
          </cell>
          <cell r="BJ363">
            <v>0</v>
          </cell>
          <cell r="BL363">
            <v>0</v>
          </cell>
          <cell r="BN363">
            <v>0</v>
          </cell>
          <cell r="BP363">
            <v>0</v>
          </cell>
          <cell r="BR363">
            <v>0</v>
          </cell>
          <cell r="BT363">
            <v>0</v>
          </cell>
          <cell r="BV363">
            <v>0</v>
          </cell>
          <cell r="BX363">
            <v>0</v>
          </cell>
          <cell r="BZ363">
            <v>0</v>
          </cell>
          <cell r="CB363">
            <v>0</v>
          </cell>
          <cell r="CD363">
            <v>0</v>
          </cell>
          <cell r="CF363">
            <v>0</v>
          </cell>
          <cell r="CH363">
            <v>0</v>
          </cell>
          <cell r="CJ363">
            <v>0</v>
          </cell>
          <cell r="CL363">
            <v>0</v>
          </cell>
          <cell r="CN363">
            <v>0</v>
          </cell>
          <cell r="CP363">
            <v>0</v>
          </cell>
          <cell r="CR363">
            <v>0</v>
          </cell>
          <cell r="CT363">
            <v>0</v>
          </cell>
          <cell r="CV363">
            <v>0</v>
          </cell>
          <cell r="CX363">
            <v>0</v>
          </cell>
          <cell r="CZ363">
            <v>0</v>
          </cell>
          <cell r="DB363">
            <v>0</v>
          </cell>
          <cell r="DD363">
            <v>0</v>
          </cell>
          <cell r="DF363">
            <v>0</v>
          </cell>
          <cell r="DH363">
            <v>0</v>
          </cell>
          <cell r="DJ363">
            <v>0</v>
          </cell>
          <cell r="DL363">
            <v>0</v>
          </cell>
          <cell r="DN363">
            <v>0</v>
          </cell>
          <cell r="DP363">
            <v>0</v>
          </cell>
          <cell r="DR363">
            <v>0</v>
          </cell>
          <cell r="DT363">
            <v>0</v>
          </cell>
          <cell r="DV363">
            <v>0</v>
          </cell>
          <cell r="DX363">
            <v>0</v>
          </cell>
          <cell r="DZ363">
            <v>0</v>
          </cell>
          <cell r="EB363">
            <v>0</v>
          </cell>
          <cell r="ED363">
            <v>0</v>
          </cell>
          <cell r="EF363">
            <v>0</v>
          </cell>
          <cell r="EH363">
            <v>0</v>
          </cell>
          <cell r="EJ363">
            <v>0</v>
          </cell>
          <cell r="EL363">
            <v>0</v>
          </cell>
          <cell r="EN363">
            <v>0</v>
          </cell>
          <cell r="EP363">
            <v>0</v>
          </cell>
          <cell r="ER363">
            <v>0</v>
          </cell>
          <cell r="ET363">
            <v>0</v>
          </cell>
          <cell r="EV363">
            <v>0</v>
          </cell>
          <cell r="EX363">
            <v>0</v>
          </cell>
          <cell r="EZ363">
            <v>0</v>
          </cell>
          <cell r="FB363">
            <v>0</v>
          </cell>
          <cell r="FD363">
            <v>0</v>
          </cell>
          <cell r="FF363">
            <v>0</v>
          </cell>
          <cell r="FH363">
            <v>0</v>
          </cell>
          <cell r="FJ363">
            <v>0</v>
          </cell>
          <cell r="FL363">
            <v>0</v>
          </cell>
          <cell r="FN363">
            <v>0</v>
          </cell>
          <cell r="FP363">
            <v>0</v>
          </cell>
          <cell r="FR363">
            <v>0</v>
          </cell>
          <cell r="FT363">
            <v>0</v>
          </cell>
          <cell r="FV363">
            <v>0</v>
          </cell>
          <cell r="GD363">
            <v>14</v>
          </cell>
          <cell r="GF363">
            <v>4</v>
          </cell>
          <cell r="GH363">
            <v>1</v>
          </cell>
          <cell r="GJ363">
            <v>7</v>
          </cell>
          <cell r="GM363">
            <v>231.01</v>
          </cell>
          <cell r="GN36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234.檢查勞工個人防護具：█有 □無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W363" t="str">
            <v>（一）施工廠商施工前檢查事項辦理情形：█完成 □未完成 （二）其他工地安全衛生督導事項：</v>
          </cell>
          <cell r="GX363">
            <v>853901</v>
          </cell>
          <cell r="GY363">
            <v>0</v>
          </cell>
        </row>
        <row r="364">
          <cell r="N364">
            <v>1</v>
          </cell>
          <cell r="P364">
            <v>1</v>
          </cell>
          <cell r="R364">
            <v>672</v>
          </cell>
          <cell r="T364">
            <v>108</v>
          </cell>
          <cell r="V364">
            <v>661</v>
          </cell>
          <cell r="X364">
            <v>2</v>
          </cell>
          <cell r="Z364">
            <v>1</v>
          </cell>
          <cell r="AB364">
            <v>661</v>
          </cell>
          <cell r="AD364">
            <v>2</v>
          </cell>
          <cell r="AF364">
            <v>1</v>
          </cell>
          <cell r="AH364">
            <v>1</v>
          </cell>
          <cell r="AJ364">
            <v>1</v>
          </cell>
          <cell r="AL364">
            <v>0</v>
          </cell>
          <cell r="AN364">
            <v>0</v>
          </cell>
          <cell r="AP364">
            <v>0</v>
          </cell>
          <cell r="AR364">
            <v>0</v>
          </cell>
          <cell r="AT364">
            <v>0</v>
          </cell>
          <cell r="AV364">
            <v>0</v>
          </cell>
          <cell r="AX364">
            <v>0</v>
          </cell>
          <cell r="AZ364">
            <v>0</v>
          </cell>
          <cell r="BB364">
            <v>0</v>
          </cell>
          <cell r="BD364">
            <v>0</v>
          </cell>
          <cell r="BF364">
            <v>0</v>
          </cell>
          <cell r="BH364">
            <v>0</v>
          </cell>
          <cell r="BJ364">
            <v>0</v>
          </cell>
          <cell r="BL364">
            <v>0</v>
          </cell>
          <cell r="BN364">
            <v>0</v>
          </cell>
          <cell r="BP364">
            <v>0</v>
          </cell>
          <cell r="BR364">
            <v>0</v>
          </cell>
          <cell r="BT364">
            <v>0</v>
          </cell>
          <cell r="BV364">
            <v>0</v>
          </cell>
          <cell r="BX364">
            <v>0</v>
          </cell>
          <cell r="BZ364">
            <v>0</v>
          </cell>
          <cell r="CB364">
            <v>0</v>
          </cell>
          <cell r="CD364">
            <v>0</v>
          </cell>
          <cell r="CF364">
            <v>0</v>
          </cell>
          <cell r="CH364">
            <v>0</v>
          </cell>
          <cell r="CJ364">
            <v>0</v>
          </cell>
          <cell r="CL364">
            <v>0</v>
          </cell>
          <cell r="CN364">
            <v>0</v>
          </cell>
          <cell r="CP364">
            <v>0</v>
          </cell>
          <cell r="CR364">
            <v>0</v>
          </cell>
          <cell r="CT364">
            <v>0</v>
          </cell>
          <cell r="CV364">
            <v>0</v>
          </cell>
          <cell r="CX364">
            <v>0</v>
          </cell>
          <cell r="CZ364">
            <v>0</v>
          </cell>
          <cell r="DB364">
            <v>0</v>
          </cell>
          <cell r="DD364">
            <v>0</v>
          </cell>
          <cell r="DF364">
            <v>0</v>
          </cell>
          <cell r="DH364">
            <v>0</v>
          </cell>
          <cell r="DJ364">
            <v>0</v>
          </cell>
          <cell r="DL364">
            <v>0</v>
          </cell>
          <cell r="DN364">
            <v>0</v>
          </cell>
          <cell r="DP364">
            <v>0</v>
          </cell>
          <cell r="DR364">
            <v>0</v>
          </cell>
          <cell r="DT364">
            <v>0</v>
          </cell>
          <cell r="DV364">
            <v>0</v>
          </cell>
          <cell r="DX364">
            <v>0</v>
          </cell>
          <cell r="DZ364">
            <v>0</v>
          </cell>
          <cell r="EB364">
            <v>0</v>
          </cell>
          <cell r="ED364">
            <v>0</v>
          </cell>
          <cell r="EF364">
            <v>0</v>
          </cell>
          <cell r="EH364">
            <v>0</v>
          </cell>
          <cell r="EJ364">
            <v>0</v>
          </cell>
          <cell r="EL364">
            <v>0</v>
          </cell>
          <cell r="EN364">
            <v>0</v>
          </cell>
          <cell r="EP364">
            <v>0</v>
          </cell>
          <cell r="ER364">
            <v>0</v>
          </cell>
          <cell r="ET364">
            <v>0</v>
          </cell>
          <cell r="EV364">
            <v>0</v>
          </cell>
          <cell r="EX364">
            <v>0</v>
          </cell>
          <cell r="EZ364">
            <v>0</v>
          </cell>
          <cell r="FB364">
            <v>0</v>
          </cell>
          <cell r="FD364">
            <v>0</v>
          </cell>
          <cell r="FF364">
            <v>0</v>
          </cell>
          <cell r="FH364">
            <v>0</v>
          </cell>
          <cell r="FJ364">
            <v>0</v>
          </cell>
          <cell r="FL364">
            <v>0</v>
          </cell>
          <cell r="FN364">
            <v>0</v>
          </cell>
          <cell r="FP364">
            <v>0</v>
          </cell>
          <cell r="FR364">
            <v>0</v>
          </cell>
          <cell r="FT364">
            <v>0</v>
          </cell>
          <cell r="FV364">
            <v>0</v>
          </cell>
          <cell r="GD364">
            <v>14</v>
          </cell>
          <cell r="GF364">
            <v>4</v>
          </cell>
          <cell r="GH364">
            <v>1</v>
          </cell>
          <cell r="GJ364">
            <v>7</v>
          </cell>
          <cell r="GM364">
            <v>232.01</v>
          </cell>
          <cell r="GN36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235.檢查勞工個人防護具：█有 □無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W364" t="str">
            <v>（一）施工廠商施工前檢查事項辦理情形：█完成 □未完成 （二）其他工地安全衛生督導事項：</v>
          </cell>
          <cell r="GX364">
            <v>853901</v>
          </cell>
          <cell r="GY364">
            <v>0</v>
          </cell>
        </row>
        <row r="365">
          <cell r="N365">
            <v>1</v>
          </cell>
          <cell r="P365">
            <v>1</v>
          </cell>
          <cell r="R365">
            <v>672</v>
          </cell>
          <cell r="T365">
            <v>108</v>
          </cell>
          <cell r="V365">
            <v>661</v>
          </cell>
          <cell r="X365">
            <v>2</v>
          </cell>
          <cell r="Z365">
            <v>1</v>
          </cell>
          <cell r="AB365">
            <v>661</v>
          </cell>
          <cell r="AD365">
            <v>2</v>
          </cell>
          <cell r="AF365">
            <v>1</v>
          </cell>
          <cell r="AH365">
            <v>1</v>
          </cell>
          <cell r="AJ365">
            <v>1</v>
          </cell>
          <cell r="AL365">
            <v>0</v>
          </cell>
          <cell r="AN365">
            <v>0</v>
          </cell>
          <cell r="AP365">
            <v>0</v>
          </cell>
          <cell r="AR365">
            <v>0</v>
          </cell>
          <cell r="AT365">
            <v>0</v>
          </cell>
          <cell r="AV365">
            <v>0</v>
          </cell>
          <cell r="AX365">
            <v>0</v>
          </cell>
          <cell r="AZ365">
            <v>0</v>
          </cell>
          <cell r="BB365">
            <v>0</v>
          </cell>
          <cell r="BD365">
            <v>0</v>
          </cell>
          <cell r="BF365">
            <v>0</v>
          </cell>
          <cell r="BH365">
            <v>0</v>
          </cell>
          <cell r="BJ365">
            <v>0</v>
          </cell>
          <cell r="BL365">
            <v>0</v>
          </cell>
          <cell r="BN365">
            <v>0</v>
          </cell>
          <cell r="BP365">
            <v>0</v>
          </cell>
          <cell r="BR365">
            <v>0</v>
          </cell>
          <cell r="BT365">
            <v>0</v>
          </cell>
          <cell r="BV365">
            <v>0</v>
          </cell>
          <cell r="BX365">
            <v>0</v>
          </cell>
          <cell r="BZ365">
            <v>0</v>
          </cell>
          <cell r="CB365">
            <v>0</v>
          </cell>
          <cell r="CD365">
            <v>0</v>
          </cell>
          <cell r="CF365">
            <v>0</v>
          </cell>
          <cell r="CH365">
            <v>0</v>
          </cell>
          <cell r="CJ365">
            <v>0</v>
          </cell>
          <cell r="CL365">
            <v>0</v>
          </cell>
          <cell r="CN365">
            <v>0</v>
          </cell>
          <cell r="CP365">
            <v>0</v>
          </cell>
          <cell r="CR365">
            <v>0</v>
          </cell>
          <cell r="CT365">
            <v>0</v>
          </cell>
          <cell r="CV365">
            <v>0</v>
          </cell>
          <cell r="CX365">
            <v>0</v>
          </cell>
          <cell r="CZ365">
            <v>0</v>
          </cell>
          <cell r="DB365">
            <v>0</v>
          </cell>
          <cell r="DD365">
            <v>0</v>
          </cell>
          <cell r="DF365">
            <v>0</v>
          </cell>
          <cell r="DH365">
            <v>0</v>
          </cell>
          <cell r="DJ365">
            <v>0</v>
          </cell>
          <cell r="DL365">
            <v>0</v>
          </cell>
          <cell r="DN365">
            <v>0</v>
          </cell>
          <cell r="DP365">
            <v>0</v>
          </cell>
          <cell r="DR365">
            <v>0</v>
          </cell>
          <cell r="DT365">
            <v>0</v>
          </cell>
          <cell r="DV365">
            <v>0</v>
          </cell>
          <cell r="DX365">
            <v>0</v>
          </cell>
          <cell r="DZ365">
            <v>0</v>
          </cell>
          <cell r="EB365">
            <v>0</v>
          </cell>
          <cell r="ED365">
            <v>0</v>
          </cell>
          <cell r="EF365">
            <v>0</v>
          </cell>
          <cell r="EH365">
            <v>0</v>
          </cell>
          <cell r="EJ365">
            <v>0</v>
          </cell>
          <cell r="EL365">
            <v>0</v>
          </cell>
          <cell r="EN365">
            <v>0</v>
          </cell>
          <cell r="EP365">
            <v>0</v>
          </cell>
          <cell r="ER365">
            <v>0</v>
          </cell>
          <cell r="ET365">
            <v>0</v>
          </cell>
          <cell r="EV365">
            <v>0</v>
          </cell>
          <cell r="EX365">
            <v>0</v>
          </cell>
          <cell r="EZ365">
            <v>0</v>
          </cell>
          <cell r="FB365">
            <v>0</v>
          </cell>
          <cell r="FD365">
            <v>0</v>
          </cell>
          <cell r="FF365">
            <v>0</v>
          </cell>
          <cell r="FH365">
            <v>0</v>
          </cell>
          <cell r="FJ365">
            <v>0</v>
          </cell>
          <cell r="FL365">
            <v>0</v>
          </cell>
          <cell r="FN365">
            <v>0</v>
          </cell>
          <cell r="FP365">
            <v>0</v>
          </cell>
          <cell r="FR365">
            <v>0</v>
          </cell>
          <cell r="FT365">
            <v>0</v>
          </cell>
          <cell r="FV365">
            <v>0</v>
          </cell>
          <cell r="GD365">
            <v>14</v>
          </cell>
          <cell r="GF365">
            <v>4</v>
          </cell>
          <cell r="GH365">
            <v>1</v>
          </cell>
          <cell r="GJ365">
            <v>7</v>
          </cell>
          <cell r="GM365">
            <v>233.01</v>
          </cell>
          <cell r="GN36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236.檢查勞工個人防護具：█有 □無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W365" t="str">
            <v>（一）施工廠商施工前檢查事項辦理情形：█完成 □未完成 （二）其他工地安全衛生督導事項：</v>
          </cell>
          <cell r="GX365">
            <v>853901</v>
          </cell>
          <cell r="GY365">
            <v>0</v>
          </cell>
        </row>
        <row r="366">
          <cell r="N366">
            <v>1</v>
          </cell>
          <cell r="P366">
            <v>1</v>
          </cell>
          <cell r="R366">
            <v>672</v>
          </cell>
          <cell r="T366">
            <v>108</v>
          </cell>
          <cell r="V366">
            <v>661</v>
          </cell>
          <cell r="X366">
            <v>2</v>
          </cell>
          <cell r="Z366">
            <v>1</v>
          </cell>
          <cell r="AB366">
            <v>661</v>
          </cell>
          <cell r="AD366">
            <v>2</v>
          </cell>
          <cell r="AF366">
            <v>1</v>
          </cell>
          <cell r="AH366">
            <v>1</v>
          </cell>
          <cell r="AJ366">
            <v>1</v>
          </cell>
          <cell r="AL366">
            <v>0</v>
          </cell>
          <cell r="AN366">
            <v>0</v>
          </cell>
          <cell r="AP366">
            <v>0</v>
          </cell>
          <cell r="AR366">
            <v>0</v>
          </cell>
          <cell r="AT366">
            <v>0</v>
          </cell>
          <cell r="AV366">
            <v>0</v>
          </cell>
          <cell r="AX366">
            <v>0</v>
          </cell>
          <cell r="AZ366">
            <v>0</v>
          </cell>
          <cell r="BB366">
            <v>0</v>
          </cell>
          <cell r="BD366">
            <v>0</v>
          </cell>
          <cell r="BF366">
            <v>0</v>
          </cell>
          <cell r="BH366">
            <v>0</v>
          </cell>
          <cell r="BJ366">
            <v>0</v>
          </cell>
          <cell r="BL366">
            <v>0</v>
          </cell>
          <cell r="BN366">
            <v>0</v>
          </cell>
          <cell r="BP366">
            <v>0</v>
          </cell>
          <cell r="BR366">
            <v>0</v>
          </cell>
          <cell r="BT366">
            <v>0</v>
          </cell>
          <cell r="BV366">
            <v>0</v>
          </cell>
          <cell r="BX366">
            <v>0</v>
          </cell>
          <cell r="BZ366">
            <v>0</v>
          </cell>
          <cell r="CB366">
            <v>0</v>
          </cell>
          <cell r="CD366">
            <v>0</v>
          </cell>
          <cell r="CF366">
            <v>0</v>
          </cell>
          <cell r="CH366">
            <v>0</v>
          </cell>
          <cell r="CJ366">
            <v>0</v>
          </cell>
          <cell r="CL366">
            <v>0</v>
          </cell>
          <cell r="CN366">
            <v>0</v>
          </cell>
          <cell r="CP366">
            <v>0</v>
          </cell>
          <cell r="CR366">
            <v>0</v>
          </cell>
          <cell r="CT366">
            <v>0</v>
          </cell>
          <cell r="CV366">
            <v>0</v>
          </cell>
          <cell r="CX366">
            <v>0</v>
          </cell>
          <cell r="CZ366">
            <v>0</v>
          </cell>
          <cell r="DB366">
            <v>0</v>
          </cell>
          <cell r="DD366">
            <v>0</v>
          </cell>
          <cell r="DF366">
            <v>0</v>
          </cell>
          <cell r="DH366">
            <v>0</v>
          </cell>
          <cell r="DJ366">
            <v>0</v>
          </cell>
          <cell r="DL366">
            <v>0</v>
          </cell>
          <cell r="DN366">
            <v>0</v>
          </cell>
          <cell r="DP366">
            <v>0</v>
          </cell>
          <cell r="DR366">
            <v>0</v>
          </cell>
          <cell r="DT366">
            <v>0</v>
          </cell>
          <cell r="DV366">
            <v>0</v>
          </cell>
          <cell r="DX366">
            <v>0</v>
          </cell>
          <cell r="DZ366">
            <v>0</v>
          </cell>
          <cell r="EB366">
            <v>0</v>
          </cell>
          <cell r="ED366">
            <v>0</v>
          </cell>
          <cell r="EF366">
            <v>0</v>
          </cell>
          <cell r="EH366">
            <v>0</v>
          </cell>
          <cell r="EJ366">
            <v>0</v>
          </cell>
          <cell r="EL366">
            <v>0</v>
          </cell>
          <cell r="EN366">
            <v>0</v>
          </cell>
          <cell r="EP366">
            <v>0</v>
          </cell>
          <cell r="ER366">
            <v>0</v>
          </cell>
          <cell r="ET366">
            <v>0</v>
          </cell>
          <cell r="EV366">
            <v>0</v>
          </cell>
          <cell r="EX366">
            <v>0</v>
          </cell>
          <cell r="EZ366">
            <v>0</v>
          </cell>
          <cell r="FB366">
            <v>0</v>
          </cell>
          <cell r="FD366">
            <v>0</v>
          </cell>
          <cell r="FF366">
            <v>0</v>
          </cell>
          <cell r="FH366">
            <v>0</v>
          </cell>
          <cell r="FJ366">
            <v>0</v>
          </cell>
          <cell r="FL366">
            <v>0</v>
          </cell>
          <cell r="FN366">
            <v>0</v>
          </cell>
          <cell r="FP366">
            <v>0</v>
          </cell>
          <cell r="FR366">
            <v>0</v>
          </cell>
          <cell r="FT366">
            <v>0</v>
          </cell>
          <cell r="FV366">
            <v>0</v>
          </cell>
          <cell r="GD366">
            <v>14</v>
          </cell>
          <cell r="GF366">
            <v>4</v>
          </cell>
          <cell r="GH366">
            <v>1</v>
          </cell>
          <cell r="GJ366">
            <v>7</v>
          </cell>
          <cell r="GM366">
            <v>234.01</v>
          </cell>
          <cell r="GN36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237.檢查勞工個人防護具：█有 □無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W366" t="str">
            <v>（一）施工廠商施工前檢查事項辦理情形：█完成 □未完成 （二）其他工地安全衛生督導事項：</v>
          </cell>
          <cell r="GX366">
            <v>853901</v>
          </cell>
          <cell r="GY366">
            <v>0</v>
          </cell>
        </row>
        <row r="367">
          <cell r="N367">
            <v>1</v>
          </cell>
          <cell r="P367">
            <v>1</v>
          </cell>
          <cell r="R367">
            <v>672</v>
          </cell>
          <cell r="T367">
            <v>108</v>
          </cell>
          <cell r="V367">
            <v>661</v>
          </cell>
          <cell r="X367">
            <v>2</v>
          </cell>
          <cell r="Z367">
            <v>1</v>
          </cell>
          <cell r="AB367">
            <v>661</v>
          </cell>
          <cell r="AD367">
            <v>2</v>
          </cell>
          <cell r="AF367">
            <v>1</v>
          </cell>
          <cell r="AH367">
            <v>1</v>
          </cell>
          <cell r="AJ367">
            <v>1</v>
          </cell>
          <cell r="AL367">
            <v>0</v>
          </cell>
          <cell r="AN367">
            <v>0</v>
          </cell>
          <cell r="AP367">
            <v>0</v>
          </cell>
          <cell r="AR367">
            <v>0</v>
          </cell>
          <cell r="AT367">
            <v>0</v>
          </cell>
          <cell r="AV367">
            <v>0</v>
          </cell>
          <cell r="AX367">
            <v>0</v>
          </cell>
          <cell r="AZ367">
            <v>0</v>
          </cell>
          <cell r="BB367">
            <v>0</v>
          </cell>
          <cell r="BD367">
            <v>0</v>
          </cell>
          <cell r="BF367">
            <v>0</v>
          </cell>
          <cell r="BH367">
            <v>0</v>
          </cell>
          <cell r="BJ367">
            <v>0</v>
          </cell>
          <cell r="BL367">
            <v>0</v>
          </cell>
          <cell r="BN367">
            <v>0</v>
          </cell>
          <cell r="BP367">
            <v>0</v>
          </cell>
          <cell r="BR367">
            <v>0</v>
          </cell>
          <cell r="BT367">
            <v>0</v>
          </cell>
          <cell r="BV367">
            <v>0</v>
          </cell>
          <cell r="BX367">
            <v>0</v>
          </cell>
          <cell r="BZ367">
            <v>0</v>
          </cell>
          <cell r="CB367">
            <v>0</v>
          </cell>
          <cell r="CD367">
            <v>0</v>
          </cell>
          <cell r="CF367">
            <v>0</v>
          </cell>
          <cell r="CH367">
            <v>0</v>
          </cell>
          <cell r="CJ367">
            <v>0</v>
          </cell>
          <cell r="CL367">
            <v>0</v>
          </cell>
          <cell r="CN367">
            <v>0</v>
          </cell>
          <cell r="CP367">
            <v>0</v>
          </cell>
          <cell r="CR367">
            <v>0</v>
          </cell>
          <cell r="CT367">
            <v>0</v>
          </cell>
          <cell r="CV367">
            <v>0</v>
          </cell>
          <cell r="CX367">
            <v>0</v>
          </cell>
          <cell r="CZ367">
            <v>0</v>
          </cell>
          <cell r="DB367">
            <v>0</v>
          </cell>
          <cell r="DD367">
            <v>0</v>
          </cell>
          <cell r="DF367">
            <v>0</v>
          </cell>
          <cell r="DH367">
            <v>0</v>
          </cell>
          <cell r="DJ367">
            <v>0</v>
          </cell>
          <cell r="DL367">
            <v>0</v>
          </cell>
          <cell r="DN367">
            <v>0</v>
          </cell>
          <cell r="DP367">
            <v>0</v>
          </cell>
          <cell r="DR367">
            <v>0</v>
          </cell>
          <cell r="DT367">
            <v>0</v>
          </cell>
          <cell r="DV367">
            <v>0</v>
          </cell>
          <cell r="DX367">
            <v>0</v>
          </cell>
          <cell r="DZ367">
            <v>0</v>
          </cell>
          <cell r="EB367">
            <v>0</v>
          </cell>
          <cell r="ED367">
            <v>0</v>
          </cell>
          <cell r="EF367">
            <v>0</v>
          </cell>
          <cell r="EH367">
            <v>0</v>
          </cell>
          <cell r="EJ367">
            <v>0</v>
          </cell>
          <cell r="EL367">
            <v>0</v>
          </cell>
          <cell r="EN367">
            <v>0</v>
          </cell>
          <cell r="EP367">
            <v>0</v>
          </cell>
          <cell r="ER367">
            <v>0</v>
          </cell>
          <cell r="ET367">
            <v>0</v>
          </cell>
          <cell r="EV367">
            <v>0</v>
          </cell>
          <cell r="EX367">
            <v>0</v>
          </cell>
          <cell r="EZ367">
            <v>0</v>
          </cell>
          <cell r="FB367">
            <v>0</v>
          </cell>
          <cell r="FD367">
            <v>0</v>
          </cell>
          <cell r="FF367">
            <v>0</v>
          </cell>
          <cell r="FH367">
            <v>0</v>
          </cell>
          <cell r="FJ367">
            <v>0</v>
          </cell>
          <cell r="FL367">
            <v>0</v>
          </cell>
          <cell r="FN367">
            <v>0</v>
          </cell>
          <cell r="FP367">
            <v>0</v>
          </cell>
          <cell r="FR367">
            <v>0</v>
          </cell>
          <cell r="FT367">
            <v>0</v>
          </cell>
          <cell r="FV367">
            <v>0</v>
          </cell>
          <cell r="GD367">
            <v>14</v>
          </cell>
          <cell r="GF367">
            <v>4</v>
          </cell>
          <cell r="GH367">
            <v>1</v>
          </cell>
          <cell r="GJ367">
            <v>7</v>
          </cell>
          <cell r="GM367">
            <v>235.01</v>
          </cell>
          <cell r="GN36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238.檢查勞工個人防護具：█有 □無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W367" t="str">
            <v>（一）施工廠商施工前檢查事項辦理情形：█完成 □未完成 （二）其他工地安全衛生督導事項：</v>
          </cell>
          <cell r="GX367">
            <v>853901</v>
          </cell>
          <cell r="GY367">
            <v>0</v>
          </cell>
        </row>
        <row r="368">
          <cell r="N368">
            <v>1</v>
          </cell>
          <cell r="P368">
            <v>1</v>
          </cell>
          <cell r="R368">
            <v>672</v>
          </cell>
          <cell r="T368">
            <v>108</v>
          </cell>
          <cell r="V368">
            <v>661</v>
          </cell>
          <cell r="X368">
            <v>2</v>
          </cell>
          <cell r="Z368">
            <v>1</v>
          </cell>
          <cell r="AB368">
            <v>661</v>
          </cell>
          <cell r="AD368">
            <v>2</v>
          </cell>
          <cell r="AF368">
            <v>1</v>
          </cell>
          <cell r="AH368">
            <v>1</v>
          </cell>
          <cell r="AJ368">
            <v>1</v>
          </cell>
          <cell r="AL368">
            <v>0</v>
          </cell>
          <cell r="AN368">
            <v>0</v>
          </cell>
          <cell r="AP368">
            <v>0</v>
          </cell>
          <cell r="AR368">
            <v>0</v>
          </cell>
          <cell r="AT368">
            <v>0</v>
          </cell>
          <cell r="AV368">
            <v>0</v>
          </cell>
          <cell r="AX368">
            <v>0</v>
          </cell>
          <cell r="AZ368">
            <v>0</v>
          </cell>
          <cell r="BB368">
            <v>0</v>
          </cell>
          <cell r="BD368">
            <v>0</v>
          </cell>
          <cell r="BF368">
            <v>0</v>
          </cell>
          <cell r="BH368">
            <v>0</v>
          </cell>
          <cell r="BJ368">
            <v>0</v>
          </cell>
          <cell r="BL368">
            <v>0</v>
          </cell>
          <cell r="BN368">
            <v>0</v>
          </cell>
          <cell r="BP368">
            <v>0</v>
          </cell>
          <cell r="BR368">
            <v>0</v>
          </cell>
          <cell r="BT368">
            <v>0</v>
          </cell>
          <cell r="BV368">
            <v>0</v>
          </cell>
          <cell r="BX368">
            <v>0</v>
          </cell>
          <cell r="BZ368">
            <v>0</v>
          </cell>
          <cell r="CB368">
            <v>0</v>
          </cell>
          <cell r="CD368">
            <v>0</v>
          </cell>
          <cell r="CF368">
            <v>0</v>
          </cell>
          <cell r="CH368">
            <v>0</v>
          </cell>
          <cell r="CJ368">
            <v>0</v>
          </cell>
          <cell r="CL368">
            <v>0</v>
          </cell>
          <cell r="CN368">
            <v>0</v>
          </cell>
          <cell r="CP368">
            <v>0</v>
          </cell>
          <cell r="CR368">
            <v>0</v>
          </cell>
          <cell r="CT368">
            <v>0</v>
          </cell>
          <cell r="CV368">
            <v>0</v>
          </cell>
          <cell r="CX368">
            <v>0</v>
          </cell>
          <cell r="CZ368">
            <v>0</v>
          </cell>
          <cell r="DB368">
            <v>0</v>
          </cell>
          <cell r="DD368">
            <v>0</v>
          </cell>
          <cell r="DF368">
            <v>0</v>
          </cell>
          <cell r="DH368">
            <v>0</v>
          </cell>
          <cell r="DJ368">
            <v>0</v>
          </cell>
          <cell r="DL368">
            <v>0</v>
          </cell>
          <cell r="DN368">
            <v>0</v>
          </cell>
          <cell r="DP368">
            <v>0</v>
          </cell>
          <cell r="DR368">
            <v>0</v>
          </cell>
          <cell r="DT368">
            <v>0</v>
          </cell>
          <cell r="DV368">
            <v>0</v>
          </cell>
          <cell r="DX368">
            <v>0</v>
          </cell>
          <cell r="DZ368">
            <v>0</v>
          </cell>
          <cell r="EB368">
            <v>0</v>
          </cell>
          <cell r="ED368">
            <v>0</v>
          </cell>
          <cell r="EF368">
            <v>0</v>
          </cell>
          <cell r="EH368">
            <v>0</v>
          </cell>
          <cell r="EJ368">
            <v>0</v>
          </cell>
          <cell r="EL368">
            <v>0</v>
          </cell>
          <cell r="EN368">
            <v>0</v>
          </cell>
          <cell r="EP368">
            <v>0</v>
          </cell>
          <cell r="ER368">
            <v>0</v>
          </cell>
          <cell r="ET368">
            <v>0</v>
          </cell>
          <cell r="EV368">
            <v>0</v>
          </cell>
          <cell r="EX368">
            <v>0</v>
          </cell>
          <cell r="EZ368">
            <v>0</v>
          </cell>
          <cell r="FB368">
            <v>0</v>
          </cell>
          <cell r="FD368">
            <v>0</v>
          </cell>
          <cell r="FF368">
            <v>0</v>
          </cell>
          <cell r="FH368">
            <v>0</v>
          </cell>
          <cell r="FJ368">
            <v>0</v>
          </cell>
          <cell r="FL368">
            <v>0</v>
          </cell>
          <cell r="FN368">
            <v>0</v>
          </cell>
          <cell r="FP368">
            <v>0</v>
          </cell>
          <cell r="FR368">
            <v>0</v>
          </cell>
          <cell r="FT368">
            <v>0</v>
          </cell>
          <cell r="FV368">
            <v>0</v>
          </cell>
          <cell r="GD368">
            <v>14</v>
          </cell>
          <cell r="GF368">
            <v>4</v>
          </cell>
          <cell r="GH368">
            <v>1</v>
          </cell>
          <cell r="GJ368">
            <v>7</v>
          </cell>
          <cell r="GM368">
            <v>236.01</v>
          </cell>
          <cell r="GN36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239.檢查勞工個人防護具：█有 □無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W368" t="str">
            <v>（一）施工廠商施工前檢查事項辦理情形：█完成 □未完成 （二）其他工地安全衛生督導事項：</v>
          </cell>
          <cell r="GX368">
            <v>853901</v>
          </cell>
          <cell r="GY368">
            <v>0</v>
          </cell>
        </row>
        <row r="369">
          <cell r="N369">
            <v>1</v>
          </cell>
          <cell r="P369">
            <v>1</v>
          </cell>
          <cell r="R369">
            <v>672</v>
          </cell>
          <cell r="T369">
            <v>108</v>
          </cell>
          <cell r="V369">
            <v>661</v>
          </cell>
          <cell r="X369">
            <v>2</v>
          </cell>
          <cell r="Z369">
            <v>1</v>
          </cell>
          <cell r="AB369">
            <v>661</v>
          </cell>
          <cell r="AD369">
            <v>2</v>
          </cell>
          <cell r="AF369">
            <v>1</v>
          </cell>
          <cell r="AH369">
            <v>1</v>
          </cell>
          <cell r="AJ369">
            <v>1</v>
          </cell>
          <cell r="AL369">
            <v>0</v>
          </cell>
          <cell r="AN369">
            <v>0</v>
          </cell>
          <cell r="AP369">
            <v>0</v>
          </cell>
          <cell r="AR369">
            <v>0</v>
          </cell>
          <cell r="AT369">
            <v>0</v>
          </cell>
          <cell r="AV369">
            <v>0</v>
          </cell>
          <cell r="AX369">
            <v>0</v>
          </cell>
          <cell r="AZ369">
            <v>0</v>
          </cell>
          <cell r="BB369">
            <v>0</v>
          </cell>
          <cell r="BD369">
            <v>0</v>
          </cell>
          <cell r="BF369">
            <v>0</v>
          </cell>
          <cell r="BH369">
            <v>0</v>
          </cell>
          <cell r="BJ369">
            <v>0</v>
          </cell>
          <cell r="BL369">
            <v>0</v>
          </cell>
          <cell r="BN369">
            <v>0</v>
          </cell>
          <cell r="BP369">
            <v>0</v>
          </cell>
          <cell r="BR369">
            <v>0</v>
          </cell>
          <cell r="BT369">
            <v>0</v>
          </cell>
          <cell r="BV369">
            <v>0</v>
          </cell>
          <cell r="BX369">
            <v>0</v>
          </cell>
          <cell r="BZ369">
            <v>0</v>
          </cell>
          <cell r="CB369">
            <v>0</v>
          </cell>
          <cell r="CD369">
            <v>0</v>
          </cell>
          <cell r="CF369">
            <v>0</v>
          </cell>
          <cell r="CH369">
            <v>0</v>
          </cell>
          <cell r="CJ369">
            <v>0</v>
          </cell>
          <cell r="CL369">
            <v>0</v>
          </cell>
          <cell r="CN369">
            <v>0</v>
          </cell>
          <cell r="CP369">
            <v>0</v>
          </cell>
          <cell r="CR369">
            <v>0</v>
          </cell>
          <cell r="CT369">
            <v>0</v>
          </cell>
          <cell r="CV369">
            <v>0</v>
          </cell>
          <cell r="CX369">
            <v>0</v>
          </cell>
          <cell r="CZ369">
            <v>0</v>
          </cell>
          <cell r="DB369">
            <v>0</v>
          </cell>
          <cell r="DD369">
            <v>0</v>
          </cell>
          <cell r="DF369">
            <v>0</v>
          </cell>
          <cell r="DH369">
            <v>0</v>
          </cell>
          <cell r="DJ369">
            <v>0</v>
          </cell>
          <cell r="DL369">
            <v>0</v>
          </cell>
          <cell r="DN369">
            <v>0</v>
          </cell>
          <cell r="DP369">
            <v>0</v>
          </cell>
          <cell r="DR369">
            <v>0</v>
          </cell>
          <cell r="DT369">
            <v>0</v>
          </cell>
          <cell r="DV369">
            <v>0</v>
          </cell>
          <cell r="DX369">
            <v>0</v>
          </cell>
          <cell r="DZ369">
            <v>0</v>
          </cell>
          <cell r="EB369">
            <v>0</v>
          </cell>
          <cell r="ED369">
            <v>0</v>
          </cell>
          <cell r="EF369">
            <v>0</v>
          </cell>
          <cell r="EH369">
            <v>0</v>
          </cell>
          <cell r="EJ369">
            <v>0</v>
          </cell>
          <cell r="EL369">
            <v>0</v>
          </cell>
          <cell r="EN369">
            <v>0</v>
          </cell>
          <cell r="EP369">
            <v>0</v>
          </cell>
          <cell r="ER369">
            <v>0</v>
          </cell>
          <cell r="ET369">
            <v>0</v>
          </cell>
          <cell r="EV369">
            <v>0</v>
          </cell>
          <cell r="EX369">
            <v>0</v>
          </cell>
          <cell r="EZ369">
            <v>0</v>
          </cell>
          <cell r="FB369">
            <v>0</v>
          </cell>
          <cell r="FD369">
            <v>0</v>
          </cell>
          <cell r="FF369">
            <v>0</v>
          </cell>
          <cell r="FH369">
            <v>0</v>
          </cell>
          <cell r="FJ369">
            <v>0</v>
          </cell>
          <cell r="FL369">
            <v>0</v>
          </cell>
          <cell r="FN369">
            <v>0</v>
          </cell>
          <cell r="FP369">
            <v>0</v>
          </cell>
          <cell r="FR369">
            <v>0</v>
          </cell>
          <cell r="FT369">
            <v>0</v>
          </cell>
          <cell r="FV369">
            <v>0</v>
          </cell>
          <cell r="GD369">
            <v>14</v>
          </cell>
          <cell r="GF369">
            <v>4</v>
          </cell>
          <cell r="GH369">
            <v>1</v>
          </cell>
          <cell r="GJ369">
            <v>7</v>
          </cell>
          <cell r="GM369">
            <v>237.01</v>
          </cell>
          <cell r="GN36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240.檢查勞工個人防護具：█有 □無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W369" t="str">
            <v>（一）施工廠商施工前檢查事項辦理情形：█完成 □未完成 （二）其他工地安全衛生督導事項：</v>
          </cell>
          <cell r="GX369">
            <v>853901</v>
          </cell>
          <cell r="GY369">
            <v>0</v>
          </cell>
        </row>
        <row r="370">
          <cell r="N370">
            <v>1</v>
          </cell>
          <cell r="P370">
            <v>1</v>
          </cell>
          <cell r="R370">
            <v>672</v>
          </cell>
          <cell r="T370">
            <v>108</v>
          </cell>
          <cell r="V370">
            <v>661</v>
          </cell>
          <cell r="X370">
            <v>2</v>
          </cell>
          <cell r="Z370">
            <v>1</v>
          </cell>
          <cell r="AB370">
            <v>661</v>
          </cell>
          <cell r="AD370">
            <v>2</v>
          </cell>
          <cell r="AF370">
            <v>1</v>
          </cell>
          <cell r="AH370">
            <v>1</v>
          </cell>
          <cell r="AJ370">
            <v>1</v>
          </cell>
          <cell r="AL370">
            <v>0</v>
          </cell>
          <cell r="AN370">
            <v>0</v>
          </cell>
          <cell r="AP370">
            <v>0</v>
          </cell>
          <cell r="AR370">
            <v>0</v>
          </cell>
          <cell r="AT370">
            <v>0</v>
          </cell>
          <cell r="AV370">
            <v>0</v>
          </cell>
          <cell r="AX370">
            <v>0</v>
          </cell>
          <cell r="AZ370">
            <v>0</v>
          </cell>
          <cell r="BB370">
            <v>0</v>
          </cell>
          <cell r="BD370">
            <v>0</v>
          </cell>
          <cell r="BF370">
            <v>0</v>
          </cell>
          <cell r="BH370">
            <v>0</v>
          </cell>
          <cell r="BJ370">
            <v>0</v>
          </cell>
          <cell r="BL370">
            <v>0</v>
          </cell>
          <cell r="BN370">
            <v>0</v>
          </cell>
          <cell r="BP370">
            <v>0</v>
          </cell>
          <cell r="BR370">
            <v>0</v>
          </cell>
          <cell r="BT370">
            <v>0</v>
          </cell>
          <cell r="BV370">
            <v>0</v>
          </cell>
          <cell r="BX370">
            <v>0</v>
          </cell>
          <cell r="BZ370">
            <v>0</v>
          </cell>
          <cell r="CB370">
            <v>0</v>
          </cell>
          <cell r="CD370">
            <v>0</v>
          </cell>
          <cell r="CF370">
            <v>0</v>
          </cell>
          <cell r="CH370">
            <v>0</v>
          </cell>
          <cell r="CJ370">
            <v>0</v>
          </cell>
          <cell r="CL370">
            <v>0</v>
          </cell>
          <cell r="CN370">
            <v>0</v>
          </cell>
          <cell r="CP370">
            <v>0</v>
          </cell>
          <cell r="CR370">
            <v>0</v>
          </cell>
          <cell r="CT370">
            <v>0</v>
          </cell>
          <cell r="CV370">
            <v>0</v>
          </cell>
          <cell r="CX370">
            <v>0</v>
          </cell>
          <cell r="CZ370">
            <v>0</v>
          </cell>
          <cell r="DB370">
            <v>0</v>
          </cell>
          <cell r="DD370">
            <v>0</v>
          </cell>
          <cell r="DF370">
            <v>0</v>
          </cell>
          <cell r="DH370">
            <v>0</v>
          </cell>
          <cell r="DJ370">
            <v>0</v>
          </cell>
          <cell r="DL370">
            <v>0</v>
          </cell>
          <cell r="DN370">
            <v>0</v>
          </cell>
          <cell r="DP370">
            <v>0</v>
          </cell>
          <cell r="DR370">
            <v>0</v>
          </cell>
          <cell r="DT370">
            <v>0</v>
          </cell>
          <cell r="DV370">
            <v>0</v>
          </cell>
          <cell r="DX370">
            <v>0</v>
          </cell>
          <cell r="DZ370">
            <v>0</v>
          </cell>
          <cell r="EB370">
            <v>0</v>
          </cell>
          <cell r="ED370">
            <v>0</v>
          </cell>
          <cell r="EF370">
            <v>0</v>
          </cell>
          <cell r="EH370">
            <v>0</v>
          </cell>
          <cell r="EJ370">
            <v>0</v>
          </cell>
          <cell r="EL370">
            <v>0</v>
          </cell>
          <cell r="EN370">
            <v>0</v>
          </cell>
          <cell r="EP370">
            <v>0</v>
          </cell>
          <cell r="ER370">
            <v>0</v>
          </cell>
          <cell r="ET370">
            <v>0</v>
          </cell>
          <cell r="EV370">
            <v>0</v>
          </cell>
          <cell r="EX370">
            <v>0</v>
          </cell>
          <cell r="EZ370">
            <v>0</v>
          </cell>
          <cell r="FB370">
            <v>0</v>
          </cell>
          <cell r="FD370">
            <v>0</v>
          </cell>
          <cell r="FF370">
            <v>0</v>
          </cell>
          <cell r="FH370">
            <v>0</v>
          </cell>
          <cell r="FJ370">
            <v>0</v>
          </cell>
          <cell r="FL370">
            <v>0</v>
          </cell>
          <cell r="FN370">
            <v>0</v>
          </cell>
          <cell r="FP370">
            <v>0</v>
          </cell>
          <cell r="FR370">
            <v>0</v>
          </cell>
          <cell r="FT370">
            <v>0</v>
          </cell>
          <cell r="FV370">
            <v>0</v>
          </cell>
          <cell r="GD370">
            <v>14</v>
          </cell>
          <cell r="GF370">
            <v>4</v>
          </cell>
          <cell r="GH370">
            <v>1</v>
          </cell>
          <cell r="GJ370">
            <v>7</v>
          </cell>
          <cell r="GM370">
            <v>238.01</v>
          </cell>
          <cell r="GN37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241.檢查勞工個人防護具：█有 □無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W370" t="str">
            <v>（一）施工廠商施工前檢查事項辦理情形：█完成 □未完成 （二）其他工地安全衛生督導事項：</v>
          </cell>
          <cell r="GX370">
            <v>853901</v>
          </cell>
          <cell r="GY370">
            <v>0</v>
          </cell>
        </row>
        <row r="371">
          <cell r="N371">
            <v>1</v>
          </cell>
          <cell r="P371">
            <v>1</v>
          </cell>
          <cell r="R371">
            <v>672</v>
          </cell>
          <cell r="T371">
            <v>108</v>
          </cell>
          <cell r="V371">
            <v>661</v>
          </cell>
          <cell r="X371">
            <v>2</v>
          </cell>
          <cell r="Z371">
            <v>1</v>
          </cell>
          <cell r="AB371">
            <v>661</v>
          </cell>
          <cell r="AD371">
            <v>2</v>
          </cell>
          <cell r="AF371">
            <v>1</v>
          </cell>
          <cell r="AH371">
            <v>1</v>
          </cell>
          <cell r="AJ371">
            <v>1</v>
          </cell>
          <cell r="AL371">
            <v>0</v>
          </cell>
          <cell r="AN371">
            <v>0</v>
          </cell>
          <cell r="AP371">
            <v>0</v>
          </cell>
          <cell r="AR371">
            <v>0</v>
          </cell>
          <cell r="AT371">
            <v>0</v>
          </cell>
          <cell r="AV371">
            <v>0</v>
          </cell>
          <cell r="AX371">
            <v>0</v>
          </cell>
          <cell r="AZ371">
            <v>0</v>
          </cell>
          <cell r="BB371">
            <v>0</v>
          </cell>
          <cell r="BD371">
            <v>0</v>
          </cell>
          <cell r="BF371">
            <v>0</v>
          </cell>
          <cell r="BH371">
            <v>0</v>
          </cell>
          <cell r="BJ371">
            <v>0</v>
          </cell>
          <cell r="BL371">
            <v>0</v>
          </cell>
          <cell r="BN371">
            <v>0</v>
          </cell>
          <cell r="BP371">
            <v>0</v>
          </cell>
          <cell r="BR371">
            <v>0</v>
          </cell>
          <cell r="BT371">
            <v>0</v>
          </cell>
          <cell r="BV371">
            <v>0</v>
          </cell>
          <cell r="BX371">
            <v>0</v>
          </cell>
          <cell r="BZ371">
            <v>0</v>
          </cell>
          <cell r="CB371">
            <v>0</v>
          </cell>
          <cell r="CD371">
            <v>0</v>
          </cell>
          <cell r="CF371">
            <v>0</v>
          </cell>
          <cell r="CH371">
            <v>0</v>
          </cell>
          <cell r="CJ371">
            <v>0</v>
          </cell>
          <cell r="CL371">
            <v>0</v>
          </cell>
          <cell r="CN371">
            <v>0</v>
          </cell>
          <cell r="CP371">
            <v>0</v>
          </cell>
          <cell r="CR371">
            <v>0</v>
          </cell>
          <cell r="CT371">
            <v>0</v>
          </cell>
          <cell r="CV371">
            <v>0</v>
          </cell>
          <cell r="CX371">
            <v>0</v>
          </cell>
          <cell r="CZ371">
            <v>0</v>
          </cell>
          <cell r="DB371">
            <v>0</v>
          </cell>
          <cell r="DD371">
            <v>0</v>
          </cell>
          <cell r="DF371">
            <v>0</v>
          </cell>
          <cell r="DH371">
            <v>0</v>
          </cell>
          <cell r="DJ371">
            <v>0</v>
          </cell>
          <cell r="DL371">
            <v>0</v>
          </cell>
          <cell r="DN371">
            <v>0</v>
          </cell>
          <cell r="DP371">
            <v>0</v>
          </cell>
          <cell r="DR371">
            <v>0</v>
          </cell>
          <cell r="DT371">
            <v>0</v>
          </cell>
          <cell r="DV371">
            <v>0</v>
          </cell>
          <cell r="DX371">
            <v>0</v>
          </cell>
          <cell r="DZ371">
            <v>0</v>
          </cell>
          <cell r="EB371">
            <v>0</v>
          </cell>
          <cell r="ED371">
            <v>0</v>
          </cell>
          <cell r="EF371">
            <v>0</v>
          </cell>
          <cell r="EH371">
            <v>0</v>
          </cell>
          <cell r="EJ371">
            <v>0</v>
          </cell>
          <cell r="EL371">
            <v>0</v>
          </cell>
          <cell r="EN371">
            <v>0</v>
          </cell>
          <cell r="EP371">
            <v>0</v>
          </cell>
          <cell r="ER371">
            <v>0</v>
          </cell>
          <cell r="ET371">
            <v>0</v>
          </cell>
          <cell r="EV371">
            <v>0</v>
          </cell>
          <cell r="EX371">
            <v>0</v>
          </cell>
          <cell r="EZ371">
            <v>0</v>
          </cell>
          <cell r="FB371">
            <v>0</v>
          </cell>
          <cell r="FD371">
            <v>0</v>
          </cell>
          <cell r="FF371">
            <v>0</v>
          </cell>
          <cell r="FH371">
            <v>0</v>
          </cell>
          <cell r="FJ371">
            <v>0</v>
          </cell>
          <cell r="FL371">
            <v>0</v>
          </cell>
          <cell r="FN371">
            <v>0</v>
          </cell>
          <cell r="FP371">
            <v>0</v>
          </cell>
          <cell r="FR371">
            <v>0</v>
          </cell>
          <cell r="FT371">
            <v>0</v>
          </cell>
          <cell r="FV371">
            <v>0</v>
          </cell>
          <cell r="GD371">
            <v>14</v>
          </cell>
          <cell r="GF371">
            <v>4</v>
          </cell>
          <cell r="GH371">
            <v>1</v>
          </cell>
          <cell r="GJ371">
            <v>7</v>
          </cell>
          <cell r="GM371">
            <v>239.01</v>
          </cell>
          <cell r="GN37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242.檢查勞工個人防護具：█有 □無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W371" t="str">
            <v>（一）施工廠商施工前檢查事項辦理情形：█完成 □未完成 （二）其他工地安全衛生督導事項：</v>
          </cell>
          <cell r="GX371">
            <v>853901</v>
          </cell>
          <cell r="GY371">
            <v>0</v>
          </cell>
        </row>
        <row r="372">
          <cell r="N372">
            <v>1</v>
          </cell>
          <cell r="P372">
            <v>1</v>
          </cell>
          <cell r="R372">
            <v>672</v>
          </cell>
          <cell r="T372">
            <v>108</v>
          </cell>
          <cell r="V372">
            <v>661</v>
          </cell>
          <cell r="X372">
            <v>2</v>
          </cell>
          <cell r="Z372">
            <v>1</v>
          </cell>
          <cell r="AB372">
            <v>661</v>
          </cell>
          <cell r="AD372">
            <v>2</v>
          </cell>
          <cell r="AF372">
            <v>1</v>
          </cell>
          <cell r="AH372">
            <v>1</v>
          </cell>
          <cell r="AJ372">
            <v>1</v>
          </cell>
          <cell r="AL372">
            <v>0</v>
          </cell>
          <cell r="AN372">
            <v>0</v>
          </cell>
          <cell r="AP372">
            <v>0</v>
          </cell>
          <cell r="AR372">
            <v>0</v>
          </cell>
          <cell r="AT372">
            <v>0</v>
          </cell>
          <cell r="AV372">
            <v>0</v>
          </cell>
          <cell r="AX372">
            <v>0</v>
          </cell>
          <cell r="AZ372">
            <v>0</v>
          </cell>
          <cell r="BB372">
            <v>0</v>
          </cell>
          <cell r="BD372">
            <v>0</v>
          </cell>
          <cell r="BF372">
            <v>0</v>
          </cell>
          <cell r="BH372">
            <v>0</v>
          </cell>
          <cell r="BJ372">
            <v>0</v>
          </cell>
          <cell r="BL372">
            <v>0</v>
          </cell>
          <cell r="BN372">
            <v>0</v>
          </cell>
          <cell r="BP372">
            <v>0</v>
          </cell>
          <cell r="BR372">
            <v>0</v>
          </cell>
          <cell r="BT372">
            <v>0</v>
          </cell>
          <cell r="BV372">
            <v>0</v>
          </cell>
          <cell r="BX372">
            <v>0</v>
          </cell>
          <cell r="BZ372">
            <v>0</v>
          </cell>
          <cell r="CB372">
            <v>0</v>
          </cell>
          <cell r="CD372">
            <v>0</v>
          </cell>
          <cell r="CF372">
            <v>0</v>
          </cell>
          <cell r="CH372">
            <v>0</v>
          </cell>
          <cell r="CJ372">
            <v>0</v>
          </cell>
          <cell r="CL372">
            <v>0</v>
          </cell>
          <cell r="CN372">
            <v>0</v>
          </cell>
          <cell r="CP372">
            <v>0</v>
          </cell>
          <cell r="CR372">
            <v>0</v>
          </cell>
          <cell r="CT372">
            <v>0</v>
          </cell>
          <cell r="CV372">
            <v>0</v>
          </cell>
          <cell r="CX372">
            <v>0</v>
          </cell>
          <cell r="CZ372">
            <v>0</v>
          </cell>
          <cell r="DB372">
            <v>0</v>
          </cell>
          <cell r="DD372">
            <v>0</v>
          </cell>
          <cell r="DF372">
            <v>0</v>
          </cell>
          <cell r="DH372">
            <v>0</v>
          </cell>
          <cell r="DJ372">
            <v>0</v>
          </cell>
          <cell r="DL372">
            <v>0</v>
          </cell>
          <cell r="DN372">
            <v>0</v>
          </cell>
          <cell r="DP372">
            <v>0</v>
          </cell>
          <cell r="DR372">
            <v>0</v>
          </cell>
          <cell r="DT372">
            <v>0</v>
          </cell>
          <cell r="DV372">
            <v>0</v>
          </cell>
          <cell r="DX372">
            <v>0</v>
          </cell>
          <cell r="DZ372">
            <v>0</v>
          </cell>
          <cell r="EB372">
            <v>0</v>
          </cell>
          <cell r="ED372">
            <v>0</v>
          </cell>
          <cell r="EF372">
            <v>0</v>
          </cell>
          <cell r="EH372">
            <v>0</v>
          </cell>
          <cell r="EJ372">
            <v>0</v>
          </cell>
          <cell r="EL372">
            <v>0</v>
          </cell>
          <cell r="EN372">
            <v>0</v>
          </cell>
          <cell r="EP372">
            <v>0</v>
          </cell>
          <cell r="ER372">
            <v>0</v>
          </cell>
          <cell r="ET372">
            <v>0</v>
          </cell>
          <cell r="EV372">
            <v>0</v>
          </cell>
          <cell r="EX372">
            <v>0</v>
          </cell>
          <cell r="EZ372">
            <v>0</v>
          </cell>
          <cell r="FB372">
            <v>0</v>
          </cell>
          <cell r="FD372">
            <v>0</v>
          </cell>
          <cell r="FF372">
            <v>0</v>
          </cell>
          <cell r="FH372">
            <v>0</v>
          </cell>
          <cell r="FJ372">
            <v>0</v>
          </cell>
          <cell r="FL372">
            <v>0</v>
          </cell>
          <cell r="FN372">
            <v>0</v>
          </cell>
          <cell r="FP372">
            <v>0</v>
          </cell>
          <cell r="FR372">
            <v>0</v>
          </cell>
          <cell r="FT372">
            <v>0</v>
          </cell>
          <cell r="FV372">
            <v>0</v>
          </cell>
          <cell r="GD372">
            <v>14</v>
          </cell>
          <cell r="GF372">
            <v>4</v>
          </cell>
          <cell r="GH372">
            <v>1</v>
          </cell>
          <cell r="GJ372">
            <v>7</v>
          </cell>
          <cell r="GM372">
            <v>240.01</v>
          </cell>
          <cell r="GN37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243.檢查勞工個人防護具：█有 □無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W372" t="str">
            <v>（一）施工廠商施工前檢查事項辦理情形：█完成 □未完成 （二）其他工地安全衛生督導事項：</v>
          </cell>
          <cell r="GX372">
            <v>853901</v>
          </cell>
          <cell r="GY372">
            <v>0</v>
          </cell>
        </row>
        <row r="373">
          <cell r="N373">
            <v>1</v>
          </cell>
          <cell r="P373">
            <v>1</v>
          </cell>
          <cell r="R373">
            <v>672</v>
          </cell>
          <cell r="T373">
            <v>108</v>
          </cell>
          <cell r="V373">
            <v>661</v>
          </cell>
          <cell r="X373">
            <v>2</v>
          </cell>
          <cell r="Z373">
            <v>1</v>
          </cell>
          <cell r="AB373">
            <v>661</v>
          </cell>
          <cell r="AD373">
            <v>2</v>
          </cell>
          <cell r="AF373">
            <v>1</v>
          </cell>
          <cell r="AH373">
            <v>1</v>
          </cell>
          <cell r="AJ373">
            <v>1</v>
          </cell>
          <cell r="AL373">
            <v>0</v>
          </cell>
          <cell r="AN373">
            <v>0</v>
          </cell>
          <cell r="AP373">
            <v>0</v>
          </cell>
          <cell r="AR373">
            <v>0</v>
          </cell>
          <cell r="AT373">
            <v>0</v>
          </cell>
          <cell r="AV373">
            <v>0</v>
          </cell>
          <cell r="AX373">
            <v>0</v>
          </cell>
          <cell r="AZ373">
            <v>0</v>
          </cell>
          <cell r="BB373">
            <v>0</v>
          </cell>
          <cell r="BD373">
            <v>0</v>
          </cell>
          <cell r="BF373">
            <v>0</v>
          </cell>
          <cell r="BH373">
            <v>0</v>
          </cell>
          <cell r="BJ373">
            <v>0</v>
          </cell>
          <cell r="BL373">
            <v>0</v>
          </cell>
          <cell r="BN373">
            <v>0</v>
          </cell>
          <cell r="BP373">
            <v>0</v>
          </cell>
          <cell r="BR373">
            <v>0</v>
          </cell>
          <cell r="BT373">
            <v>0</v>
          </cell>
          <cell r="BV373">
            <v>0</v>
          </cell>
          <cell r="BX373">
            <v>0</v>
          </cell>
          <cell r="BZ373">
            <v>0</v>
          </cell>
          <cell r="CB373">
            <v>0</v>
          </cell>
          <cell r="CD373">
            <v>0</v>
          </cell>
          <cell r="CF373">
            <v>0</v>
          </cell>
          <cell r="CH373">
            <v>0</v>
          </cell>
          <cell r="CJ373">
            <v>0</v>
          </cell>
          <cell r="CL373">
            <v>0</v>
          </cell>
          <cell r="CN373">
            <v>0</v>
          </cell>
          <cell r="CP373">
            <v>0</v>
          </cell>
          <cell r="CR373">
            <v>0</v>
          </cell>
          <cell r="CT373">
            <v>0</v>
          </cell>
          <cell r="CV373">
            <v>0</v>
          </cell>
          <cell r="CX373">
            <v>0</v>
          </cell>
          <cell r="CZ373">
            <v>0</v>
          </cell>
          <cell r="DB373">
            <v>0</v>
          </cell>
          <cell r="DD373">
            <v>0</v>
          </cell>
          <cell r="DF373">
            <v>0</v>
          </cell>
          <cell r="DH373">
            <v>0</v>
          </cell>
          <cell r="DJ373">
            <v>0</v>
          </cell>
          <cell r="DL373">
            <v>0</v>
          </cell>
          <cell r="DN373">
            <v>0</v>
          </cell>
          <cell r="DP373">
            <v>0</v>
          </cell>
          <cell r="DR373">
            <v>0</v>
          </cell>
          <cell r="DT373">
            <v>0</v>
          </cell>
          <cell r="DV373">
            <v>0</v>
          </cell>
          <cell r="DX373">
            <v>0</v>
          </cell>
          <cell r="DZ373">
            <v>0</v>
          </cell>
          <cell r="EB373">
            <v>0</v>
          </cell>
          <cell r="ED373">
            <v>0</v>
          </cell>
          <cell r="EF373">
            <v>0</v>
          </cell>
          <cell r="EH373">
            <v>0</v>
          </cell>
          <cell r="EJ373">
            <v>0</v>
          </cell>
          <cell r="EL373">
            <v>0</v>
          </cell>
          <cell r="EN373">
            <v>0</v>
          </cell>
          <cell r="EP373">
            <v>0</v>
          </cell>
          <cell r="ER373">
            <v>0</v>
          </cell>
          <cell r="ET373">
            <v>0</v>
          </cell>
          <cell r="EV373">
            <v>0</v>
          </cell>
          <cell r="EX373">
            <v>0</v>
          </cell>
          <cell r="EZ373">
            <v>0</v>
          </cell>
          <cell r="FB373">
            <v>0</v>
          </cell>
          <cell r="FD373">
            <v>0</v>
          </cell>
          <cell r="FF373">
            <v>0</v>
          </cell>
          <cell r="FH373">
            <v>0</v>
          </cell>
          <cell r="FJ373">
            <v>0</v>
          </cell>
          <cell r="FL373">
            <v>0</v>
          </cell>
          <cell r="FN373">
            <v>0</v>
          </cell>
          <cell r="FP373">
            <v>0</v>
          </cell>
          <cell r="FR373">
            <v>0</v>
          </cell>
          <cell r="FT373">
            <v>0</v>
          </cell>
          <cell r="FV373">
            <v>0</v>
          </cell>
          <cell r="GD373">
            <v>14</v>
          </cell>
          <cell r="GF373">
            <v>4</v>
          </cell>
          <cell r="GH373">
            <v>1</v>
          </cell>
          <cell r="GJ373">
            <v>7</v>
          </cell>
          <cell r="GM373">
            <v>241.01</v>
          </cell>
          <cell r="GN37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244.檢查勞工個人防護具：█有 □無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W373" t="str">
            <v>（一）施工廠商施工前檢查事項辦理情形：█完成 □未完成 （二）其他工地安全衛生督導事項：</v>
          </cell>
          <cell r="GX373">
            <v>853901</v>
          </cell>
          <cell r="GY373">
            <v>0</v>
          </cell>
        </row>
        <row r="374">
          <cell r="N374">
            <v>1</v>
          </cell>
          <cell r="P374">
            <v>1</v>
          </cell>
          <cell r="R374">
            <v>672</v>
          </cell>
          <cell r="T374">
            <v>108</v>
          </cell>
          <cell r="V374">
            <v>661</v>
          </cell>
          <cell r="X374">
            <v>2</v>
          </cell>
          <cell r="Z374">
            <v>1</v>
          </cell>
          <cell r="AB374">
            <v>661</v>
          </cell>
          <cell r="AD374">
            <v>2</v>
          </cell>
          <cell r="AF374">
            <v>1</v>
          </cell>
          <cell r="AH374">
            <v>1</v>
          </cell>
          <cell r="AJ374">
            <v>1</v>
          </cell>
          <cell r="AL374">
            <v>0</v>
          </cell>
          <cell r="AN374">
            <v>0</v>
          </cell>
          <cell r="AP374">
            <v>0</v>
          </cell>
          <cell r="AR374">
            <v>0</v>
          </cell>
          <cell r="AT374">
            <v>0</v>
          </cell>
          <cell r="AV374">
            <v>0</v>
          </cell>
          <cell r="AX374">
            <v>0</v>
          </cell>
          <cell r="AZ374">
            <v>0</v>
          </cell>
          <cell r="BB374">
            <v>0</v>
          </cell>
          <cell r="BD374">
            <v>0</v>
          </cell>
          <cell r="BF374">
            <v>0</v>
          </cell>
          <cell r="BH374">
            <v>0</v>
          </cell>
          <cell r="BJ374">
            <v>0</v>
          </cell>
          <cell r="BL374">
            <v>0</v>
          </cell>
          <cell r="BN374">
            <v>0</v>
          </cell>
          <cell r="BP374">
            <v>0</v>
          </cell>
          <cell r="BR374">
            <v>0</v>
          </cell>
          <cell r="BT374">
            <v>0</v>
          </cell>
          <cell r="BV374">
            <v>0</v>
          </cell>
          <cell r="BX374">
            <v>0</v>
          </cell>
          <cell r="BZ374">
            <v>0</v>
          </cell>
          <cell r="CB374">
            <v>0</v>
          </cell>
          <cell r="CD374">
            <v>0</v>
          </cell>
          <cell r="CF374">
            <v>0</v>
          </cell>
          <cell r="CH374">
            <v>0</v>
          </cell>
          <cell r="CJ374">
            <v>0</v>
          </cell>
          <cell r="CL374">
            <v>0</v>
          </cell>
          <cell r="CN374">
            <v>0</v>
          </cell>
          <cell r="CP374">
            <v>0</v>
          </cell>
          <cell r="CR374">
            <v>0</v>
          </cell>
          <cell r="CT374">
            <v>0</v>
          </cell>
          <cell r="CV374">
            <v>0</v>
          </cell>
          <cell r="CX374">
            <v>0</v>
          </cell>
          <cell r="CZ374">
            <v>0</v>
          </cell>
          <cell r="DB374">
            <v>0</v>
          </cell>
          <cell r="DD374">
            <v>0</v>
          </cell>
          <cell r="DF374">
            <v>0</v>
          </cell>
          <cell r="DH374">
            <v>0</v>
          </cell>
          <cell r="DJ374">
            <v>0</v>
          </cell>
          <cell r="DL374">
            <v>0</v>
          </cell>
          <cell r="DN374">
            <v>0</v>
          </cell>
          <cell r="DP374">
            <v>0</v>
          </cell>
          <cell r="DR374">
            <v>0</v>
          </cell>
          <cell r="DT374">
            <v>0</v>
          </cell>
          <cell r="DV374">
            <v>0</v>
          </cell>
          <cell r="DX374">
            <v>0</v>
          </cell>
          <cell r="DZ374">
            <v>0</v>
          </cell>
          <cell r="EB374">
            <v>0</v>
          </cell>
          <cell r="ED374">
            <v>0</v>
          </cell>
          <cell r="EF374">
            <v>0</v>
          </cell>
          <cell r="EH374">
            <v>0</v>
          </cell>
          <cell r="EJ374">
            <v>0</v>
          </cell>
          <cell r="EL374">
            <v>0</v>
          </cell>
          <cell r="EN374">
            <v>0</v>
          </cell>
          <cell r="EP374">
            <v>0</v>
          </cell>
          <cell r="ER374">
            <v>0</v>
          </cell>
          <cell r="ET374">
            <v>0</v>
          </cell>
          <cell r="EV374">
            <v>0</v>
          </cell>
          <cell r="EX374">
            <v>0</v>
          </cell>
          <cell r="EZ374">
            <v>0</v>
          </cell>
          <cell r="FB374">
            <v>0</v>
          </cell>
          <cell r="FD374">
            <v>0</v>
          </cell>
          <cell r="FF374">
            <v>0</v>
          </cell>
          <cell r="FH374">
            <v>0</v>
          </cell>
          <cell r="FJ374">
            <v>0</v>
          </cell>
          <cell r="FL374">
            <v>0</v>
          </cell>
          <cell r="FN374">
            <v>0</v>
          </cell>
          <cell r="FP374">
            <v>0</v>
          </cell>
          <cell r="FR374">
            <v>0</v>
          </cell>
          <cell r="FT374">
            <v>0</v>
          </cell>
          <cell r="FV374">
            <v>0</v>
          </cell>
          <cell r="GD374">
            <v>14</v>
          </cell>
          <cell r="GF374">
            <v>4</v>
          </cell>
          <cell r="GH374">
            <v>1</v>
          </cell>
          <cell r="GJ374">
            <v>7</v>
          </cell>
          <cell r="GM374">
            <v>242.01</v>
          </cell>
          <cell r="GN37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245.檢查勞工個人防護具：█有 □無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W374" t="str">
            <v>（一）施工廠商施工前檢查事項辦理情形：█完成 □未完成 （二）其他工地安全衛生督導事項：</v>
          </cell>
          <cell r="GX374">
            <v>853901</v>
          </cell>
          <cell r="GY374">
            <v>0</v>
          </cell>
        </row>
        <row r="375">
          <cell r="N375">
            <v>1</v>
          </cell>
          <cell r="P375">
            <v>1</v>
          </cell>
          <cell r="R375">
            <v>672</v>
          </cell>
          <cell r="T375">
            <v>108</v>
          </cell>
          <cell r="V375">
            <v>661</v>
          </cell>
          <cell r="X375">
            <v>2</v>
          </cell>
          <cell r="Z375">
            <v>1</v>
          </cell>
          <cell r="AB375">
            <v>661</v>
          </cell>
          <cell r="AD375">
            <v>2</v>
          </cell>
          <cell r="AF375">
            <v>1</v>
          </cell>
          <cell r="AH375">
            <v>1</v>
          </cell>
          <cell r="AJ375">
            <v>1</v>
          </cell>
          <cell r="AL375">
            <v>0</v>
          </cell>
          <cell r="AN375">
            <v>0</v>
          </cell>
          <cell r="AP375">
            <v>0</v>
          </cell>
          <cell r="AR375">
            <v>0</v>
          </cell>
          <cell r="AT375">
            <v>0</v>
          </cell>
          <cell r="AV375">
            <v>0</v>
          </cell>
          <cell r="AX375">
            <v>0</v>
          </cell>
          <cell r="AZ375">
            <v>0</v>
          </cell>
          <cell r="BB375">
            <v>0</v>
          </cell>
          <cell r="BD375">
            <v>0</v>
          </cell>
          <cell r="BF375">
            <v>0</v>
          </cell>
          <cell r="BH375">
            <v>0</v>
          </cell>
          <cell r="BJ375">
            <v>0</v>
          </cell>
          <cell r="BL375">
            <v>0</v>
          </cell>
          <cell r="BN375">
            <v>0</v>
          </cell>
          <cell r="BP375">
            <v>0</v>
          </cell>
          <cell r="BR375">
            <v>0</v>
          </cell>
          <cell r="BT375">
            <v>0</v>
          </cell>
          <cell r="BV375">
            <v>0</v>
          </cell>
          <cell r="BX375">
            <v>0</v>
          </cell>
          <cell r="BZ375">
            <v>0</v>
          </cell>
          <cell r="CB375">
            <v>0</v>
          </cell>
          <cell r="CD375">
            <v>0</v>
          </cell>
          <cell r="CF375">
            <v>0</v>
          </cell>
          <cell r="CH375">
            <v>0</v>
          </cell>
          <cell r="CJ375">
            <v>0</v>
          </cell>
          <cell r="CL375">
            <v>0</v>
          </cell>
          <cell r="CN375">
            <v>0</v>
          </cell>
          <cell r="CP375">
            <v>0</v>
          </cell>
          <cell r="CR375">
            <v>0</v>
          </cell>
          <cell r="CT375">
            <v>0</v>
          </cell>
          <cell r="CV375">
            <v>0</v>
          </cell>
          <cell r="CX375">
            <v>0</v>
          </cell>
          <cell r="CZ375">
            <v>0</v>
          </cell>
          <cell r="DB375">
            <v>0</v>
          </cell>
          <cell r="DD375">
            <v>0</v>
          </cell>
          <cell r="DF375">
            <v>0</v>
          </cell>
          <cell r="DH375">
            <v>0</v>
          </cell>
          <cell r="DJ375">
            <v>0</v>
          </cell>
          <cell r="DL375">
            <v>0</v>
          </cell>
          <cell r="DN375">
            <v>0</v>
          </cell>
          <cell r="DP375">
            <v>0</v>
          </cell>
          <cell r="DR375">
            <v>0</v>
          </cell>
          <cell r="DT375">
            <v>0</v>
          </cell>
          <cell r="DV375">
            <v>0</v>
          </cell>
          <cell r="DX375">
            <v>0</v>
          </cell>
          <cell r="DZ375">
            <v>0</v>
          </cell>
          <cell r="EB375">
            <v>0</v>
          </cell>
          <cell r="ED375">
            <v>0</v>
          </cell>
          <cell r="EF375">
            <v>0</v>
          </cell>
          <cell r="EH375">
            <v>0</v>
          </cell>
          <cell r="EJ375">
            <v>0</v>
          </cell>
          <cell r="EL375">
            <v>0</v>
          </cell>
          <cell r="EN375">
            <v>0</v>
          </cell>
          <cell r="EP375">
            <v>0</v>
          </cell>
          <cell r="ER375">
            <v>0</v>
          </cell>
          <cell r="ET375">
            <v>0</v>
          </cell>
          <cell r="EV375">
            <v>0</v>
          </cell>
          <cell r="EX375">
            <v>0</v>
          </cell>
          <cell r="EZ375">
            <v>0</v>
          </cell>
          <cell r="FB375">
            <v>0</v>
          </cell>
          <cell r="FD375">
            <v>0</v>
          </cell>
          <cell r="FF375">
            <v>0</v>
          </cell>
          <cell r="FH375">
            <v>0</v>
          </cell>
          <cell r="FJ375">
            <v>0</v>
          </cell>
          <cell r="FL375">
            <v>0</v>
          </cell>
          <cell r="FN375">
            <v>0</v>
          </cell>
          <cell r="FP375">
            <v>0</v>
          </cell>
          <cell r="FR375">
            <v>0</v>
          </cell>
          <cell r="FT375">
            <v>0</v>
          </cell>
          <cell r="FV375">
            <v>0</v>
          </cell>
          <cell r="GD375">
            <v>14</v>
          </cell>
          <cell r="GF375">
            <v>4</v>
          </cell>
          <cell r="GH375">
            <v>1</v>
          </cell>
          <cell r="GJ375">
            <v>7</v>
          </cell>
          <cell r="GM375">
            <v>243.01</v>
          </cell>
          <cell r="GN37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246.檢查勞工個人防護具：█有 □無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W375" t="str">
            <v>（一）施工廠商施工前檢查事項辦理情形：█完成 □未完成 （二）其他工地安全衛生督導事項：</v>
          </cell>
          <cell r="GX375">
            <v>853901</v>
          </cell>
          <cell r="GY375">
            <v>0</v>
          </cell>
        </row>
        <row r="376">
          <cell r="N376">
            <v>1</v>
          </cell>
          <cell r="P376">
            <v>1</v>
          </cell>
          <cell r="R376">
            <v>672</v>
          </cell>
          <cell r="T376">
            <v>108</v>
          </cell>
          <cell r="V376">
            <v>661</v>
          </cell>
          <cell r="X376">
            <v>2</v>
          </cell>
          <cell r="Z376">
            <v>1</v>
          </cell>
          <cell r="AB376">
            <v>661</v>
          </cell>
          <cell r="AD376">
            <v>2</v>
          </cell>
          <cell r="AF376">
            <v>1</v>
          </cell>
          <cell r="AH376">
            <v>1</v>
          </cell>
          <cell r="AJ376">
            <v>1</v>
          </cell>
          <cell r="AL376">
            <v>0</v>
          </cell>
          <cell r="AN376">
            <v>0</v>
          </cell>
          <cell r="AP376">
            <v>0</v>
          </cell>
          <cell r="AR376">
            <v>0</v>
          </cell>
          <cell r="AT376">
            <v>0</v>
          </cell>
          <cell r="AV376">
            <v>0</v>
          </cell>
          <cell r="AX376">
            <v>0</v>
          </cell>
          <cell r="AZ376">
            <v>0</v>
          </cell>
          <cell r="BB376">
            <v>0</v>
          </cell>
          <cell r="BD376">
            <v>0</v>
          </cell>
          <cell r="BF376">
            <v>0</v>
          </cell>
          <cell r="BH376">
            <v>0</v>
          </cell>
          <cell r="BJ376">
            <v>0</v>
          </cell>
          <cell r="BL376">
            <v>0</v>
          </cell>
          <cell r="BN376">
            <v>0</v>
          </cell>
          <cell r="BP376">
            <v>0</v>
          </cell>
          <cell r="BR376">
            <v>0</v>
          </cell>
          <cell r="BT376">
            <v>0</v>
          </cell>
          <cell r="BV376">
            <v>0</v>
          </cell>
          <cell r="BX376">
            <v>0</v>
          </cell>
          <cell r="BZ376">
            <v>0</v>
          </cell>
          <cell r="CB376">
            <v>0</v>
          </cell>
          <cell r="CD376">
            <v>0</v>
          </cell>
          <cell r="CF376">
            <v>0</v>
          </cell>
          <cell r="CH376">
            <v>0</v>
          </cell>
          <cell r="CJ376">
            <v>0</v>
          </cell>
          <cell r="CL376">
            <v>0</v>
          </cell>
          <cell r="CN376">
            <v>0</v>
          </cell>
          <cell r="CP376">
            <v>0</v>
          </cell>
          <cell r="CR376">
            <v>0</v>
          </cell>
          <cell r="CT376">
            <v>0</v>
          </cell>
          <cell r="CV376">
            <v>0</v>
          </cell>
          <cell r="CX376">
            <v>0</v>
          </cell>
          <cell r="CZ376">
            <v>0</v>
          </cell>
          <cell r="DB376">
            <v>0</v>
          </cell>
          <cell r="DD376">
            <v>0</v>
          </cell>
          <cell r="DF376">
            <v>0</v>
          </cell>
          <cell r="DH376">
            <v>0</v>
          </cell>
          <cell r="DJ376">
            <v>0</v>
          </cell>
          <cell r="DL376">
            <v>0</v>
          </cell>
          <cell r="DN376">
            <v>0</v>
          </cell>
          <cell r="DP376">
            <v>0</v>
          </cell>
          <cell r="DR376">
            <v>0</v>
          </cell>
          <cell r="DT376">
            <v>0</v>
          </cell>
          <cell r="DV376">
            <v>0</v>
          </cell>
          <cell r="DX376">
            <v>0</v>
          </cell>
          <cell r="DZ376">
            <v>0</v>
          </cell>
          <cell r="EB376">
            <v>0</v>
          </cell>
          <cell r="ED376">
            <v>0</v>
          </cell>
          <cell r="EF376">
            <v>0</v>
          </cell>
          <cell r="EH376">
            <v>0</v>
          </cell>
          <cell r="EJ376">
            <v>0</v>
          </cell>
          <cell r="EL376">
            <v>0</v>
          </cell>
          <cell r="EN376">
            <v>0</v>
          </cell>
          <cell r="EP376">
            <v>0</v>
          </cell>
          <cell r="ER376">
            <v>0</v>
          </cell>
          <cell r="ET376">
            <v>0</v>
          </cell>
          <cell r="EV376">
            <v>0</v>
          </cell>
          <cell r="EX376">
            <v>0</v>
          </cell>
          <cell r="EZ376">
            <v>0</v>
          </cell>
          <cell r="FB376">
            <v>0</v>
          </cell>
          <cell r="FD376">
            <v>0</v>
          </cell>
          <cell r="FF376">
            <v>0</v>
          </cell>
          <cell r="FH376">
            <v>0</v>
          </cell>
          <cell r="FJ376">
            <v>0</v>
          </cell>
          <cell r="FL376">
            <v>0</v>
          </cell>
          <cell r="FN376">
            <v>0</v>
          </cell>
          <cell r="FP376">
            <v>0</v>
          </cell>
          <cell r="FR376">
            <v>0</v>
          </cell>
          <cell r="FT376">
            <v>0</v>
          </cell>
          <cell r="FV376">
            <v>0</v>
          </cell>
          <cell r="GD376">
            <v>14</v>
          </cell>
          <cell r="GF376">
            <v>4</v>
          </cell>
          <cell r="GH376">
            <v>1</v>
          </cell>
          <cell r="GJ376">
            <v>7</v>
          </cell>
          <cell r="GM376">
            <v>244.01</v>
          </cell>
          <cell r="GN37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247.檢查勞工個人防護具：█有 □無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W376" t="str">
            <v>（一）施工廠商施工前檢查事項辦理情形：█完成 □未完成 （二）其他工地安全衛生督導事項：</v>
          </cell>
          <cell r="GX376">
            <v>853901</v>
          </cell>
          <cell r="GY376">
            <v>0</v>
          </cell>
        </row>
        <row r="377">
          <cell r="N377">
            <v>1</v>
          </cell>
          <cell r="P377">
            <v>1</v>
          </cell>
          <cell r="R377">
            <v>672</v>
          </cell>
          <cell r="T377">
            <v>108</v>
          </cell>
          <cell r="V377">
            <v>661</v>
          </cell>
          <cell r="X377">
            <v>2</v>
          </cell>
          <cell r="Z377">
            <v>1</v>
          </cell>
          <cell r="AB377">
            <v>661</v>
          </cell>
          <cell r="AD377">
            <v>2</v>
          </cell>
          <cell r="AF377">
            <v>1</v>
          </cell>
          <cell r="AH377">
            <v>1</v>
          </cell>
          <cell r="AJ377">
            <v>1</v>
          </cell>
          <cell r="AL377">
            <v>0</v>
          </cell>
          <cell r="AN377">
            <v>0</v>
          </cell>
          <cell r="AP377">
            <v>0</v>
          </cell>
          <cell r="AR377">
            <v>0</v>
          </cell>
          <cell r="AT377">
            <v>0</v>
          </cell>
          <cell r="AV377">
            <v>0</v>
          </cell>
          <cell r="AX377">
            <v>0</v>
          </cell>
          <cell r="AZ377">
            <v>0</v>
          </cell>
          <cell r="BB377">
            <v>0</v>
          </cell>
          <cell r="BD377">
            <v>0</v>
          </cell>
          <cell r="BF377">
            <v>0</v>
          </cell>
          <cell r="BH377">
            <v>0</v>
          </cell>
          <cell r="BJ377">
            <v>0</v>
          </cell>
          <cell r="BL377">
            <v>0</v>
          </cell>
          <cell r="BN377">
            <v>0</v>
          </cell>
          <cell r="BP377">
            <v>0</v>
          </cell>
          <cell r="BR377">
            <v>0</v>
          </cell>
          <cell r="BT377">
            <v>0</v>
          </cell>
          <cell r="BV377">
            <v>0</v>
          </cell>
          <cell r="BX377">
            <v>0</v>
          </cell>
          <cell r="BZ377">
            <v>0</v>
          </cell>
          <cell r="CB377">
            <v>0</v>
          </cell>
          <cell r="CD377">
            <v>0</v>
          </cell>
          <cell r="CF377">
            <v>0</v>
          </cell>
          <cell r="CH377">
            <v>0</v>
          </cell>
          <cell r="CJ377">
            <v>0</v>
          </cell>
          <cell r="CL377">
            <v>0</v>
          </cell>
          <cell r="CN377">
            <v>0</v>
          </cell>
          <cell r="CP377">
            <v>0</v>
          </cell>
          <cell r="CR377">
            <v>0</v>
          </cell>
          <cell r="CT377">
            <v>0</v>
          </cell>
          <cell r="CV377">
            <v>0</v>
          </cell>
          <cell r="CX377">
            <v>0</v>
          </cell>
          <cell r="CZ377">
            <v>0</v>
          </cell>
          <cell r="DB377">
            <v>0</v>
          </cell>
          <cell r="DD377">
            <v>0</v>
          </cell>
          <cell r="DF377">
            <v>0</v>
          </cell>
          <cell r="DH377">
            <v>0</v>
          </cell>
          <cell r="DJ377">
            <v>0</v>
          </cell>
          <cell r="DL377">
            <v>0</v>
          </cell>
          <cell r="DN377">
            <v>0</v>
          </cell>
          <cell r="DP377">
            <v>0</v>
          </cell>
          <cell r="DR377">
            <v>0</v>
          </cell>
          <cell r="DT377">
            <v>0</v>
          </cell>
          <cell r="DV377">
            <v>0</v>
          </cell>
          <cell r="DX377">
            <v>0</v>
          </cell>
          <cell r="DZ377">
            <v>0</v>
          </cell>
          <cell r="EB377">
            <v>0</v>
          </cell>
          <cell r="ED377">
            <v>0</v>
          </cell>
          <cell r="EF377">
            <v>0</v>
          </cell>
          <cell r="EH377">
            <v>0</v>
          </cell>
          <cell r="EJ377">
            <v>0</v>
          </cell>
          <cell r="EL377">
            <v>0</v>
          </cell>
          <cell r="EN377">
            <v>0</v>
          </cell>
          <cell r="EP377">
            <v>0</v>
          </cell>
          <cell r="ER377">
            <v>0</v>
          </cell>
          <cell r="ET377">
            <v>0</v>
          </cell>
          <cell r="EV377">
            <v>0</v>
          </cell>
          <cell r="EX377">
            <v>0</v>
          </cell>
          <cell r="EZ377">
            <v>0</v>
          </cell>
          <cell r="FB377">
            <v>0</v>
          </cell>
          <cell r="FD377">
            <v>0</v>
          </cell>
          <cell r="FF377">
            <v>0</v>
          </cell>
          <cell r="FH377">
            <v>0</v>
          </cell>
          <cell r="FJ377">
            <v>0</v>
          </cell>
          <cell r="FL377">
            <v>0</v>
          </cell>
          <cell r="FN377">
            <v>0</v>
          </cell>
          <cell r="FP377">
            <v>0</v>
          </cell>
          <cell r="FR377">
            <v>0</v>
          </cell>
          <cell r="FT377">
            <v>0</v>
          </cell>
          <cell r="FV377">
            <v>0</v>
          </cell>
          <cell r="GD377">
            <v>14</v>
          </cell>
          <cell r="GF377">
            <v>4</v>
          </cell>
          <cell r="GH377">
            <v>1</v>
          </cell>
          <cell r="GJ377">
            <v>7</v>
          </cell>
          <cell r="GM377">
            <v>245.01</v>
          </cell>
          <cell r="GN37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248.檢查勞工個人防護具：█有 □無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W377" t="str">
            <v>（一）施工廠商施工前檢查事項辦理情形：█完成 □未完成 （二）其他工地安全衛生督導事項：</v>
          </cell>
          <cell r="GX377">
            <v>853901</v>
          </cell>
          <cell r="GY377">
            <v>0</v>
          </cell>
        </row>
        <row r="378">
          <cell r="N378">
            <v>1</v>
          </cell>
          <cell r="P378">
            <v>1</v>
          </cell>
          <cell r="R378">
            <v>672</v>
          </cell>
          <cell r="T378">
            <v>108</v>
          </cell>
          <cell r="V378">
            <v>661</v>
          </cell>
          <cell r="X378">
            <v>2</v>
          </cell>
          <cell r="Z378">
            <v>1</v>
          </cell>
          <cell r="AB378">
            <v>661</v>
          </cell>
          <cell r="AD378">
            <v>2</v>
          </cell>
          <cell r="AF378">
            <v>1</v>
          </cell>
          <cell r="AH378">
            <v>1</v>
          </cell>
          <cell r="AJ378">
            <v>1</v>
          </cell>
          <cell r="AL378">
            <v>0</v>
          </cell>
          <cell r="AN378">
            <v>0</v>
          </cell>
          <cell r="AP378">
            <v>0</v>
          </cell>
          <cell r="AR378">
            <v>0</v>
          </cell>
          <cell r="AT378">
            <v>0</v>
          </cell>
          <cell r="AV378">
            <v>0</v>
          </cell>
          <cell r="AX378">
            <v>0</v>
          </cell>
          <cell r="AZ378">
            <v>0</v>
          </cell>
          <cell r="BB378">
            <v>0</v>
          </cell>
          <cell r="BD378">
            <v>0</v>
          </cell>
          <cell r="BF378">
            <v>0</v>
          </cell>
          <cell r="BH378">
            <v>0</v>
          </cell>
          <cell r="BJ378">
            <v>0</v>
          </cell>
          <cell r="BL378">
            <v>0</v>
          </cell>
          <cell r="BN378">
            <v>0</v>
          </cell>
          <cell r="BP378">
            <v>0</v>
          </cell>
          <cell r="BR378">
            <v>0</v>
          </cell>
          <cell r="BT378">
            <v>0</v>
          </cell>
          <cell r="BV378">
            <v>0</v>
          </cell>
          <cell r="BX378">
            <v>0</v>
          </cell>
          <cell r="BZ378">
            <v>0</v>
          </cell>
          <cell r="CB378">
            <v>0</v>
          </cell>
          <cell r="CD378">
            <v>0</v>
          </cell>
          <cell r="CF378">
            <v>0</v>
          </cell>
          <cell r="CH378">
            <v>0</v>
          </cell>
          <cell r="CJ378">
            <v>0</v>
          </cell>
          <cell r="CL378">
            <v>0</v>
          </cell>
          <cell r="CN378">
            <v>0</v>
          </cell>
          <cell r="CP378">
            <v>0</v>
          </cell>
          <cell r="CR378">
            <v>0</v>
          </cell>
          <cell r="CT378">
            <v>0</v>
          </cell>
          <cell r="CV378">
            <v>0</v>
          </cell>
          <cell r="CX378">
            <v>0</v>
          </cell>
          <cell r="CZ378">
            <v>0</v>
          </cell>
          <cell r="DB378">
            <v>0</v>
          </cell>
          <cell r="DD378">
            <v>0</v>
          </cell>
          <cell r="DF378">
            <v>0</v>
          </cell>
          <cell r="DH378">
            <v>0</v>
          </cell>
          <cell r="DJ378">
            <v>0</v>
          </cell>
          <cell r="DL378">
            <v>0</v>
          </cell>
          <cell r="DN378">
            <v>0</v>
          </cell>
          <cell r="DP378">
            <v>0</v>
          </cell>
          <cell r="DR378">
            <v>0</v>
          </cell>
          <cell r="DT378">
            <v>0</v>
          </cell>
          <cell r="DV378">
            <v>0</v>
          </cell>
          <cell r="DX378">
            <v>0</v>
          </cell>
          <cell r="DZ378">
            <v>0</v>
          </cell>
          <cell r="EB378">
            <v>0</v>
          </cell>
          <cell r="ED378">
            <v>0</v>
          </cell>
          <cell r="EF378">
            <v>0</v>
          </cell>
          <cell r="EH378">
            <v>0</v>
          </cell>
          <cell r="EJ378">
            <v>0</v>
          </cell>
          <cell r="EL378">
            <v>0</v>
          </cell>
          <cell r="EN378">
            <v>0</v>
          </cell>
          <cell r="EP378">
            <v>0</v>
          </cell>
          <cell r="ER378">
            <v>0</v>
          </cell>
          <cell r="ET378">
            <v>0</v>
          </cell>
          <cell r="EV378">
            <v>0</v>
          </cell>
          <cell r="EX378">
            <v>0</v>
          </cell>
          <cell r="EZ378">
            <v>0</v>
          </cell>
          <cell r="FB378">
            <v>0</v>
          </cell>
          <cell r="FD378">
            <v>0</v>
          </cell>
          <cell r="FF378">
            <v>0</v>
          </cell>
          <cell r="FH378">
            <v>0</v>
          </cell>
          <cell r="FJ378">
            <v>0</v>
          </cell>
          <cell r="FL378">
            <v>0</v>
          </cell>
          <cell r="FN378">
            <v>0</v>
          </cell>
          <cell r="FP378">
            <v>0</v>
          </cell>
          <cell r="FR378">
            <v>0</v>
          </cell>
          <cell r="FT378">
            <v>0</v>
          </cell>
          <cell r="FV378">
            <v>0</v>
          </cell>
          <cell r="GD378">
            <v>14</v>
          </cell>
          <cell r="GF378">
            <v>4</v>
          </cell>
          <cell r="GH378">
            <v>1</v>
          </cell>
          <cell r="GJ378">
            <v>7</v>
          </cell>
          <cell r="GM378">
            <v>246.01</v>
          </cell>
          <cell r="GN37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249.檢查勞工個人防護具：█有 □無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W378" t="str">
            <v>（一）施工廠商施工前檢查事項辦理情形：█完成 □未完成 （二）其他工地安全衛生督導事項：</v>
          </cell>
          <cell r="GX378">
            <v>853901</v>
          </cell>
          <cell r="GY378">
            <v>0</v>
          </cell>
        </row>
        <row r="379">
          <cell r="N379">
            <v>1</v>
          </cell>
          <cell r="P379">
            <v>1</v>
          </cell>
          <cell r="R379">
            <v>672</v>
          </cell>
          <cell r="T379">
            <v>108</v>
          </cell>
          <cell r="V379">
            <v>661</v>
          </cell>
          <cell r="X379">
            <v>2</v>
          </cell>
          <cell r="Z379">
            <v>1</v>
          </cell>
          <cell r="AB379">
            <v>661</v>
          </cell>
          <cell r="AD379">
            <v>2</v>
          </cell>
          <cell r="AF379">
            <v>1</v>
          </cell>
          <cell r="AH379">
            <v>1</v>
          </cell>
          <cell r="AJ379">
            <v>1</v>
          </cell>
          <cell r="AL379">
            <v>0</v>
          </cell>
          <cell r="AN379">
            <v>0</v>
          </cell>
          <cell r="AP379">
            <v>0</v>
          </cell>
          <cell r="AR379">
            <v>0</v>
          </cell>
          <cell r="AT379">
            <v>0</v>
          </cell>
          <cell r="AV379">
            <v>0</v>
          </cell>
          <cell r="AX379">
            <v>0</v>
          </cell>
          <cell r="AZ379">
            <v>0</v>
          </cell>
          <cell r="BB379">
            <v>0</v>
          </cell>
          <cell r="BD379">
            <v>0</v>
          </cell>
          <cell r="BF379">
            <v>0</v>
          </cell>
          <cell r="BH379">
            <v>0</v>
          </cell>
          <cell r="BJ379">
            <v>0</v>
          </cell>
          <cell r="BL379">
            <v>0</v>
          </cell>
          <cell r="BN379">
            <v>0</v>
          </cell>
          <cell r="BP379">
            <v>0</v>
          </cell>
          <cell r="BR379">
            <v>0</v>
          </cell>
          <cell r="BT379">
            <v>0</v>
          </cell>
          <cell r="BV379">
            <v>0</v>
          </cell>
          <cell r="BX379">
            <v>0</v>
          </cell>
          <cell r="BZ379">
            <v>0</v>
          </cell>
          <cell r="CB379">
            <v>0</v>
          </cell>
          <cell r="CD379">
            <v>0</v>
          </cell>
          <cell r="CF379">
            <v>0</v>
          </cell>
          <cell r="CH379">
            <v>0</v>
          </cell>
          <cell r="CJ379">
            <v>0</v>
          </cell>
          <cell r="CL379">
            <v>0</v>
          </cell>
          <cell r="CN379">
            <v>0</v>
          </cell>
          <cell r="CP379">
            <v>0</v>
          </cell>
          <cell r="CR379">
            <v>0</v>
          </cell>
          <cell r="CT379">
            <v>0</v>
          </cell>
          <cell r="CV379">
            <v>0</v>
          </cell>
          <cell r="CX379">
            <v>0</v>
          </cell>
          <cell r="CZ379">
            <v>0</v>
          </cell>
          <cell r="DB379">
            <v>0</v>
          </cell>
          <cell r="DD379">
            <v>0</v>
          </cell>
          <cell r="DF379">
            <v>0</v>
          </cell>
          <cell r="DH379">
            <v>0</v>
          </cell>
          <cell r="DJ379">
            <v>0</v>
          </cell>
          <cell r="DL379">
            <v>0</v>
          </cell>
          <cell r="DN379">
            <v>0</v>
          </cell>
          <cell r="DP379">
            <v>0</v>
          </cell>
          <cell r="DR379">
            <v>0</v>
          </cell>
          <cell r="DT379">
            <v>0</v>
          </cell>
          <cell r="DV379">
            <v>0</v>
          </cell>
          <cell r="DX379">
            <v>0</v>
          </cell>
          <cell r="DZ379">
            <v>0</v>
          </cell>
          <cell r="EB379">
            <v>0</v>
          </cell>
          <cell r="ED379">
            <v>0</v>
          </cell>
          <cell r="EF379">
            <v>0</v>
          </cell>
          <cell r="EH379">
            <v>0</v>
          </cell>
          <cell r="EJ379">
            <v>0</v>
          </cell>
          <cell r="EL379">
            <v>0</v>
          </cell>
          <cell r="EN379">
            <v>0</v>
          </cell>
          <cell r="EP379">
            <v>0</v>
          </cell>
          <cell r="ER379">
            <v>0</v>
          </cell>
          <cell r="ET379">
            <v>0</v>
          </cell>
          <cell r="EV379">
            <v>0</v>
          </cell>
          <cell r="EX379">
            <v>0</v>
          </cell>
          <cell r="EZ379">
            <v>0</v>
          </cell>
          <cell r="FB379">
            <v>0</v>
          </cell>
          <cell r="FD379">
            <v>0</v>
          </cell>
          <cell r="FF379">
            <v>0</v>
          </cell>
          <cell r="FH379">
            <v>0</v>
          </cell>
          <cell r="FJ379">
            <v>0</v>
          </cell>
          <cell r="FL379">
            <v>0</v>
          </cell>
          <cell r="FN379">
            <v>0</v>
          </cell>
          <cell r="FP379">
            <v>0</v>
          </cell>
          <cell r="FR379">
            <v>0</v>
          </cell>
          <cell r="FT379">
            <v>0</v>
          </cell>
          <cell r="FV379">
            <v>0</v>
          </cell>
          <cell r="GD379">
            <v>14</v>
          </cell>
          <cell r="GF379">
            <v>4</v>
          </cell>
          <cell r="GH379">
            <v>1</v>
          </cell>
          <cell r="GJ379">
            <v>7</v>
          </cell>
          <cell r="GM379">
            <v>247.01</v>
          </cell>
          <cell r="GN37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250.檢查勞工個人防護具：█有 □無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W379" t="str">
            <v>（一）施工廠商施工前檢查事項辦理情形：█完成 □未完成 （二）其他工地安全衛生督導事項：</v>
          </cell>
          <cell r="GX379">
            <v>853901</v>
          </cell>
          <cell r="GY379">
            <v>0</v>
          </cell>
        </row>
        <row r="380">
          <cell r="N380">
            <v>1</v>
          </cell>
          <cell r="P380">
            <v>1</v>
          </cell>
          <cell r="R380">
            <v>672</v>
          </cell>
          <cell r="T380">
            <v>108</v>
          </cell>
          <cell r="V380">
            <v>661</v>
          </cell>
          <cell r="X380">
            <v>2</v>
          </cell>
          <cell r="Z380">
            <v>1</v>
          </cell>
          <cell r="AB380">
            <v>661</v>
          </cell>
          <cell r="AD380">
            <v>2</v>
          </cell>
          <cell r="AF380">
            <v>1</v>
          </cell>
          <cell r="AH380">
            <v>1</v>
          </cell>
          <cell r="AJ380">
            <v>1</v>
          </cell>
          <cell r="AL380">
            <v>0</v>
          </cell>
          <cell r="AN380">
            <v>0</v>
          </cell>
          <cell r="AP380">
            <v>0</v>
          </cell>
          <cell r="AR380">
            <v>0</v>
          </cell>
          <cell r="AT380">
            <v>0</v>
          </cell>
          <cell r="AV380">
            <v>0</v>
          </cell>
          <cell r="AX380">
            <v>0</v>
          </cell>
          <cell r="AZ380">
            <v>0</v>
          </cell>
          <cell r="BB380">
            <v>0</v>
          </cell>
          <cell r="BD380">
            <v>0</v>
          </cell>
          <cell r="BF380">
            <v>0</v>
          </cell>
          <cell r="BH380">
            <v>0</v>
          </cell>
          <cell r="BJ380">
            <v>0</v>
          </cell>
          <cell r="BL380">
            <v>0</v>
          </cell>
          <cell r="BN380">
            <v>0</v>
          </cell>
          <cell r="BP380">
            <v>0</v>
          </cell>
          <cell r="BR380">
            <v>0</v>
          </cell>
          <cell r="BT380">
            <v>0</v>
          </cell>
          <cell r="BV380">
            <v>0</v>
          </cell>
          <cell r="BX380">
            <v>0</v>
          </cell>
          <cell r="BZ380">
            <v>0</v>
          </cell>
          <cell r="CB380">
            <v>0</v>
          </cell>
          <cell r="CD380">
            <v>0</v>
          </cell>
          <cell r="CF380">
            <v>0</v>
          </cell>
          <cell r="CH380">
            <v>0</v>
          </cell>
          <cell r="CJ380">
            <v>0</v>
          </cell>
          <cell r="CL380">
            <v>0</v>
          </cell>
          <cell r="CN380">
            <v>0</v>
          </cell>
          <cell r="CP380">
            <v>0</v>
          </cell>
          <cell r="CR380">
            <v>0</v>
          </cell>
          <cell r="CT380">
            <v>0</v>
          </cell>
          <cell r="CV380">
            <v>0</v>
          </cell>
          <cell r="CX380">
            <v>0</v>
          </cell>
          <cell r="CZ380">
            <v>0</v>
          </cell>
          <cell r="DB380">
            <v>0</v>
          </cell>
          <cell r="DD380">
            <v>0</v>
          </cell>
          <cell r="DF380">
            <v>0</v>
          </cell>
          <cell r="DH380">
            <v>0</v>
          </cell>
          <cell r="DJ380">
            <v>0</v>
          </cell>
          <cell r="DL380">
            <v>0</v>
          </cell>
          <cell r="DN380">
            <v>0</v>
          </cell>
          <cell r="DP380">
            <v>0</v>
          </cell>
          <cell r="DR380">
            <v>0</v>
          </cell>
          <cell r="DT380">
            <v>0</v>
          </cell>
          <cell r="DV380">
            <v>0</v>
          </cell>
          <cell r="DX380">
            <v>0</v>
          </cell>
          <cell r="DZ380">
            <v>0</v>
          </cell>
          <cell r="EB380">
            <v>0</v>
          </cell>
          <cell r="ED380">
            <v>0</v>
          </cell>
          <cell r="EF380">
            <v>0</v>
          </cell>
          <cell r="EH380">
            <v>0</v>
          </cell>
          <cell r="EJ380">
            <v>0</v>
          </cell>
          <cell r="EL380">
            <v>0</v>
          </cell>
          <cell r="EN380">
            <v>0</v>
          </cell>
          <cell r="EP380">
            <v>0</v>
          </cell>
          <cell r="ER380">
            <v>0</v>
          </cell>
          <cell r="ET380">
            <v>0</v>
          </cell>
          <cell r="EV380">
            <v>0</v>
          </cell>
          <cell r="EX380">
            <v>0</v>
          </cell>
          <cell r="EZ380">
            <v>0</v>
          </cell>
          <cell r="FB380">
            <v>0</v>
          </cell>
          <cell r="FD380">
            <v>0</v>
          </cell>
          <cell r="FF380">
            <v>0</v>
          </cell>
          <cell r="FH380">
            <v>0</v>
          </cell>
          <cell r="FJ380">
            <v>0</v>
          </cell>
          <cell r="FL380">
            <v>0</v>
          </cell>
          <cell r="FN380">
            <v>0</v>
          </cell>
          <cell r="FP380">
            <v>0</v>
          </cell>
          <cell r="FR380">
            <v>0</v>
          </cell>
          <cell r="FT380">
            <v>0</v>
          </cell>
          <cell r="FV380">
            <v>0</v>
          </cell>
          <cell r="GD380">
            <v>14</v>
          </cell>
          <cell r="GF380">
            <v>4</v>
          </cell>
          <cell r="GH380">
            <v>1</v>
          </cell>
          <cell r="GJ380">
            <v>7</v>
          </cell>
          <cell r="GM380">
            <v>248.01</v>
          </cell>
          <cell r="GN38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251.檢查勞工個人防護具：█有 □無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W380" t="str">
            <v>（一）施工廠商施工前檢查事項辦理情形：█完成 □未完成 （二）其他工地安全衛生督導事項：</v>
          </cell>
          <cell r="GX380">
            <v>853901</v>
          </cell>
          <cell r="GY380">
            <v>0</v>
          </cell>
        </row>
        <row r="381">
          <cell r="N381">
            <v>1</v>
          </cell>
          <cell r="P381">
            <v>1</v>
          </cell>
          <cell r="R381">
            <v>672</v>
          </cell>
          <cell r="T381">
            <v>108</v>
          </cell>
          <cell r="V381">
            <v>661</v>
          </cell>
          <cell r="X381">
            <v>2</v>
          </cell>
          <cell r="Z381">
            <v>1</v>
          </cell>
          <cell r="AB381">
            <v>661</v>
          </cell>
          <cell r="AD381">
            <v>2</v>
          </cell>
          <cell r="AF381">
            <v>1</v>
          </cell>
          <cell r="AH381">
            <v>1</v>
          </cell>
          <cell r="AJ381">
            <v>1</v>
          </cell>
          <cell r="AL381">
            <v>0</v>
          </cell>
          <cell r="AN381">
            <v>0</v>
          </cell>
          <cell r="AP381">
            <v>0</v>
          </cell>
          <cell r="AR381">
            <v>0</v>
          </cell>
          <cell r="AT381">
            <v>0</v>
          </cell>
          <cell r="AV381">
            <v>0</v>
          </cell>
          <cell r="AX381">
            <v>0</v>
          </cell>
          <cell r="AZ381">
            <v>0</v>
          </cell>
          <cell r="BB381">
            <v>0</v>
          </cell>
          <cell r="BD381">
            <v>0</v>
          </cell>
          <cell r="BF381">
            <v>0</v>
          </cell>
          <cell r="BH381">
            <v>0</v>
          </cell>
          <cell r="BJ381">
            <v>0</v>
          </cell>
          <cell r="BL381">
            <v>0</v>
          </cell>
          <cell r="BN381">
            <v>0</v>
          </cell>
          <cell r="BP381">
            <v>0</v>
          </cell>
          <cell r="BR381">
            <v>0</v>
          </cell>
          <cell r="BT381">
            <v>0</v>
          </cell>
          <cell r="BV381">
            <v>0</v>
          </cell>
          <cell r="BX381">
            <v>0</v>
          </cell>
          <cell r="BZ381">
            <v>0</v>
          </cell>
          <cell r="CB381">
            <v>0</v>
          </cell>
          <cell r="CD381">
            <v>0</v>
          </cell>
          <cell r="CF381">
            <v>0</v>
          </cell>
          <cell r="CH381">
            <v>0</v>
          </cell>
          <cell r="CJ381">
            <v>0</v>
          </cell>
          <cell r="CL381">
            <v>0</v>
          </cell>
          <cell r="CN381">
            <v>0</v>
          </cell>
          <cell r="CP381">
            <v>0</v>
          </cell>
          <cell r="CR381">
            <v>0</v>
          </cell>
          <cell r="CT381">
            <v>0</v>
          </cell>
          <cell r="CV381">
            <v>0</v>
          </cell>
          <cell r="CX381">
            <v>0</v>
          </cell>
          <cell r="CZ381">
            <v>0</v>
          </cell>
          <cell r="DB381">
            <v>0</v>
          </cell>
          <cell r="DD381">
            <v>0</v>
          </cell>
          <cell r="DF381">
            <v>0</v>
          </cell>
          <cell r="DH381">
            <v>0</v>
          </cell>
          <cell r="DJ381">
            <v>0</v>
          </cell>
          <cell r="DL381">
            <v>0</v>
          </cell>
          <cell r="DN381">
            <v>0</v>
          </cell>
          <cell r="DP381">
            <v>0</v>
          </cell>
          <cell r="DR381">
            <v>0</v>
          </cell>
          <cell r="DT381">
            <v>0</v>
          </cell>
          <cell r="DV381">
            <v>0</v>
          </cell>
          <cell r="DX381">
            <v>0</v>
          </cell>
          <cell r="DZ381">
            <v>0</v>
          </cell>
          <cell r="EB381">
            <v>0</v>
          </cell>
          <cell r="ED381">
            <v>0</v>
          </cell>
          <cell r="EF381">
            <v>0</v>
          </cell>
          <cell r="EH381">
            <v>0</v>
          </cell>
          <cell r="EJ381">
            <v>0</v>
          </cell>
          <cell r="EL381">
            <v>0</v>
          </cell>
          <cell r="EN381">
            <v>0</v>
          </cell>
          <cell r="EP381">
            <v>0</v>
          </cell>
          <cell r="ER381">
            <v>0</v>
          </cell>
          <cell r="ET381">
            <v>0</v>
          </cell>
          <cell r="EV381">
            <v>0</v>
          </cell>
          <cell r="EX381">
            <v>0</v>
          </cell>
          <cell r="EZ381">
            <v>0</v>
          </cell>
          <cell r="FB381">
            <v>0</v>
          </cell>
          <cell r="FD381">
            <v>0</v>
          </cell>
          <cell r="FF381">
            <v>0</v>
          </cell>
          <cell r="FH381">
            <v>0</v>
          </cell>
          <cell r="FJ381">
            <v>0</v>
          </cell>
          <cell r="FL381">
            <v>0</v>
          </cell>
          <cell r="FN381">
            <v>0</v>
          </cell>
          <cell r="FP381">
            <v>0</v>
          </cell>
          <cell r="FR381">
            <v>0</v>
          </cell>
          <cell r="FT381">
            <v>0</v>
          </cell>
          <cell r="FV381">
            <v>0</v>
          </cell>
          <cell r="GD381">
            <v>14</v>
          </cell>
          <cell r="GF381">
            <v>4</v>
          </cell>
          <cell r="GH381">
            <v>1</v>
          </cell>
          <cell r="GJ381">
            <v>7</v>
          </cell>
          <cell r="GM381">
            <v>249.01</v>
          </cell>
          <cell r="GN38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252.檢查勞工個人防護具：█有 □無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W381" t="str">
            <v>（一）施工廠商施工前檢查事項辦理情形：█完成 □未完成 （二）其他工地安全衛生督導事項：</v>
          </cell>
          <cell r="GX381">
            <v>853901</v>
          </cell>
          <cell r="GY381">
            <v>0</v>
          </cell>
        </row>
        <row r="382">
          <cell r="N382">
            <v>1</v>
          </cell>
          <cell r="P382">
            <v>1</v>
          </cell>
          <cell r="R382">
            <v>672</v>
          </cell>
          <cell r="T382">
            <v>108</v>
          </cell>
          <cell r="V382">
            <v>661</v>
          </cell>
          <cell r="X382">
            <v>2</v>
          </cell>
          <cell r="Z382">
            <v>1</v>
          </cell>
          <cell r="AB382">
            <v>661</v>
          </cell>
          <cell r="AD382">
            <v>2</v>
          </cell>
          <cell r="AF382">
            <v>1</v>
          </cell>
          <cell r="AH382">
            <v>1</v>
          </cell>
          <cell r="AJ382">
            <v>1</v>
          </cell>
          <cell r="AL382">
            <v>0</v>
          </cell>
          <cell r="AN382">
            <v>0</v>
          </cell>
          <cell r="AP382">
            <v>0</v>
          </cell>
          <cell r="AR382">
            <v>0</v>
          </cell>
          <cell r="AT382">
            <v>0</v>
          </cell>
          <cell r="AV382">
            <v>0</v>
          </cell>
          <cell r="AX382">
            <v>0</v>
          </cell>
          <cell r="AZ382">
            <v>0</v>
          </cell>
          <cell r="BB382">
            <v>0</v>
          </cell>
          <cell r="BD382">
            <v>0</v>
          </cell>
          <cell r="BF382">
            <v>0</v>
          </cell>
          <cell r="BH382">
            <v>0</v>
          </cell>
          <cell r="BJ382">
            <v>0</v>
          </cell>
          <cell r="BL382">
            <v>0</v>
          </cell>
          <cell r="BN382">
            <v>0</v>
          </cell>
          <cell r="BP382">
            <v>0</v>
          </cell>
          <cell r="BR382">
            <v>0</v>
          </cell>
          <cell r="BT382">
            <v>0</v>
          </cell>
          <cell r="BV382">
            <v>0</v>
          </cell>
          <cell r="BX382">
            <v>0</v>
          </cell>
          <cell r="BZ382">
            <v>0</v>
          </cell>
          <cell r="CB382">
            <v>0</v>
          </cell>
          <cell r="CD382">
            <v>0</v>
          </cell>
          <cell r="CF382">
            <v>0</v>
          </cell>
          <cell r="CH382">
            <v>0</v>
          </cell>
          <cell r="CJ382">
            <v>0</v>
          </cell>
          <cell r="CL382">
            <v>0</v>
          </cell>
          <cell r="CN382">
            <v>0</v>
          </cell>
          <cell r="CP382">
            <v>0</v>
          </cell>
          <cell r="CR382">
            <v>0</v>
          </cell>
          <cell r="CT382">
            <v>0</v>
          </cell>
          <cell r="CV382">
            <v>0</v>
          </cell>
          <cell r="CX382">
            <v>0</v>
          </cell>
          <cell r="CZ382">
            <v>0</v>
          </cell>
          <cell r="DB382">
            <v>0</v>
          </cell>
          <cell r="DD382">
            <v>0</v>
          </cell>
          <cell r="DF382">
            <v>0</v>
          </cell>
          <cell r="DH382">
            <v>0</v>
          </cell>
          <cell r="DJ382">
            <v>0</v>
          </cell>
          <cell r="DL382">
            <v>0</v>
          </cell>
          <cell r="DN382">
            <v>0</v>
          </cell>
          <cell r="DP382">
            <v>0</v>
          </cell>
          <cell r="DR382">
            <v>0</v>
          </cell>
          <cell r="DT382">
            <v>0</v>
          </cell>
          <cell r="DV382">
            <v>0</v>
          </cell>
          <cell r="DX382">
            <v>0</v>
          </cell>
          <cell r="DZ382">
            <v>0</v>
          </cell>
          <cell r="EB382">
            <v>0</v>
          </cell>
          <cell r="ED382">
            <v>0</v>
          </cell>
          <cell r="EF382">
            <v>0</v>
          </cell>
          <cell r="EH382">
            <v>0</v>
          </cell>
          <cell r="EJ382">
            <v>0</v>
          </cell>
          <cell r="EL382">
            <v>0</v>
          </cell>
          <cell r="EN382">
            <v>0</v>
          </cell>
          <cell r="EP382">
            <v>0</v>
          </cell>
          <cell r="ER382">
            <v>0</v>
          </cell>
          <cell r="ET382">
            <v>0</v>
          </cell>
          <cell r="EV382">
            <v>0</v>
          </cell>
          <cell r="EX382">
            <v>0</v>
          </cell>
          <cell r="EZ382">
            <v>0</v>
          </cell>
          <cell r="FB382">
            <v>0</v>
          </cell>
          <cell r="FD382">
            <v>0</v>
          </cell>
          <cell r="FF382">
            <v>0</v>
          </cell>
          <cell r="FH382">
            <v>0</v>
          </cell>
          <cell r="FJ382">
            <v>0</v>
          </cell>
          <cell r="FL382">
            <v>0</v>
          </cell>
          <cell r="FN382">
            <v>0</v>
          </cell>
          <cell r="FP382">
            <v>0</v>
          </cell>
          <cell r="FR382">
            <v>0</v>
          </cell>
          <cell r="FT382">
            <v>0</v>
          </cell>
          <cell r="FV382">
            <v>0</v>
          </cell>
          <cell r="GD382">
            <v>14</v>
          </cell>
          <cell r="GF382">
            <v>4</v>
          </cell>
          <cell r="GH382">
            <v>1</v>
          </cell>
          <cell r="GJ382">
            <v>7</v>
          </cell>
          <cell r="GM382">
            <v>250.01</v>
          </cell>
          <cell r="GN38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253.檢查勞工個人防護具：█有 □無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W382" t="str">
            <v>（一）施工廠商施工前檢查事項辦理情形：█完成 □未完成 （二）其他工地安全衛生督導事項：</v>
          </cell>
          <cell r="GX382">
            <v>853901</v>
          </cell>
          <cell r="GY382">
            <v>0</v>
          </cell>
        </row>
        <row r="383">
          <cell r="N383">
            <v>1</v>
          </cell>
          <cell r="P383">
            <v>1</v>
          </cell>
          <cell r="R383">
            <v>672</v>
          </cell>
          <cell r="T383">
            <v>108</v>
          </cell>
          <cell r="V383">
            <v>661</v>
          </cell>
          <cell r="X383">
            <v>2</v>
          </cell>
          <cell r="Z383">
            <v>1</v>
          </cell>
          <cell r="AB383">
            <v>661</v>
          </cell>
          <cell r="AD383">
            <v>2</v>
          </cell>
          <cell r="AF383">
            <v>1</v>
          </cell>
          <cell r="AH383">
            <v>1</v>
          </cell>
          <cell r="AJ383">
            <v>1</v>
          </cell>
          <cell r="AL383">
            <v>0</v>
          </cell>
          <cell r="AN383">
            <v>0</v>
          </cell>
          <cell r="AP383">
            <v>0</v>
          </cell>
          <cell r="AR383">
            <v>0</v>
          </cell>
          <cell r="AT383">
            <v>0</v>
          </cell>
          <cell r="AV383">
            <v>0</v>
          </cell>
          <cell r="AX383">
            <v>0</v>
          </cell>
          <cell r="AZ383">
            <v>0</v>
          </cell>
          <cell r="BB383">
            <v>0</v>
          </cell>
          <cell r="BD383">
            <v>0</v>
          </cell>
          <cell r="BF383">
            <v>0</v>
          </cell>
          <cell r="BH383">
            <v>0</v>
          </cell>
          <cell r="BJ383">
            <v>0</v>
          </cell>
          <cell r="BL383">
            <v>0</v>
          </cell>
          <cell r="BN383">
            <v>0</v>
          </cell>
          <cell r="BP383">
            <v>0</v>
          </cell>
          <cell r="BR383">
            <v>0</v>
          </cell>
          <cell r="BT383">
            <v>0</v>
          </cell>
          <cell r="BV383">
            <v>0</v>
          </cell>
          <cell r="BX383">
            <v>0</v>
          </cell>
          <cell r="BZ383">
            <v>0</v>
          </cell>
          <cell r="CB383">
            <v>0</v>
          </cell>
          <cell r="CD383">
            <v>0</v>
          </cell>
          <cell r="CF383">
            <v>0</v>
          </cell>
          <cell r="CH383">
            <v>0</v>
          </cell>
          <cell r="CJ383">
            <v>0</v>
          </cell>
          <cell r="CL383">
            <v>0</v>
          </cell>
          <cell r="CN383">
            <v>0</v>
          </cell>
          <cell r="CP383">
            <v>0</v>
          </cell>
          <cell r="CR383">
            <v>0</v>
          </cell>
          <cell r="CT383">
            <v>0</v>
          </cell>
          <cell r="CV383">
            <v>0</v>
          </cell>
          <cell r="CX383">
            <v>0</v>
          </cell>
          <cell r="CZ383">
            <v>0</v>
          </cell>
          <cell r="DB383">
            <v>0</v>
          </cell>
          <cell r="DD383">
            <v>0</v>
          </cell>
          <cell r="DF383">
            <v>0</v>
          </cell>
          <cell r="DH383">
            <v>0</v>
          </cell>
          <cell r="DJ383">
            <v>0</v>
          </cell>
          <cell r="DL383">
            <v>0</v>
          </cell>
          <cell r="DN383">
            <v>0</v>
          </cell>
          <cell r="DP383">
            <v>0</v>
          </cell>
          <cell r="DR383">
            <v>0</v>
          </cell>
          <cell r="DT383">
            <v>0</v>
          </cell>
          <cell r="DV383">
            <v>0</v>
          </cell>
          <cell r="DX383">
            <v>0</v>
          </cell>
          <cell r="DZ383">
            <v>0</v>
          </cell>
          <cell r="EB383">
            <v>0</v>
          </cell>
          <cell r="ED383">
            <v>0</v>
          </cell>
          <cell r="EF383">
            <v>0</v>
          </cell>
          <cell r="EH383">
            <v>0</v>
          </cell>
          <cell r="EJ383">
            <v>0</v>
          </cell>
          <cell r="EL383">
            <v>0</v>
          </cell>
          <cell r="EN383">
            <v>0</v>
          </cell>
          <cell r="EP383">
            <v>0</v>
          </cell>
          <cell r="ER383">
            <v>0</v>
          </cell>
          <cell r="ET383">
            <v>0</v>
          </cell>
          <cell r="EV383">
            <v>0</v>
          </cell>
          <cell r="EX383">
            <v>0</v>
          </cell>
          <cell r="EZ383">
            <v>0</v>
          </cell>
          <cell r="FB383">
            <v>0</v>
          </cell>
          <cell r="FD383">
            <v>0</v>
          </cell>
          <cell r="FF383">
            <v>0</v>
          </cell>
          <cell r="FH383">
            <v>0</v>
          </cell>
          <cell r="FJ383">
            <v>0</v>
          </cell>
          <cell r="FL383">
            <v>0</v>
          </cell>
          <cell r="FN383">
            <v>0</v>
          </cell>
          <cell r="FP383">
            <v>0</v>
          </cell>
          <cell r="FR383">
            <v>0</v>
          </cell>
          <cell r="FT383">
            <v>0</v>
          </cell>
          <cell r="FV383">
            <v>0</v>
          </cell>
          <cell r="GD383">
            <v>14</v>
          </cell>
          <cell r="GF383">
            <v>4</v>
          </cell>
          <cell r="GH383">
            <v>1</v>
          </cell>
          <cell r="GJ383">
            <v>7</v>
          </cell>
          <cell r="GM383">
            <v>251.01</v>
          </cell>
          <cell r="GN38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254.檢查勞工個人防護具：█有 □無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W383" t="str">
            <v>（一）施工廠商施工前檢查事項辦理情形：█完成 □未完成 （二）其他工地安全衛生督導事項：</v>
          </cell>
          <cell r="GX383">
            <v>853901</v>
          </cell>
          <cell r="GY383">
            <v>0</v>
          </cell>
        </row>
        <row r="384">
          <cell r="N384">
            <v>1</v>
          </cell>
          <cell r="P384">
            <v>1</v>
          </cell>
          <cell r="R384">
            <v>672</v>
          </cell>
          <cell r="T384">
            <v>108</v>
          </cell>
          <cell r="V384">
            <v>661</v>
          </cell>
          <cell r="X384">
            <v>2</v>
          </cell>
          <cell r="Z384">
            <v>1</v>
          </cell>
          <cell r="AB384">
            <v>661</v>
          </cell>
          <cell r="AD384">
            <v>2</v>
          </cell>
          <cell r="AF384">
            <v>1</v>
          </cell>
          <cell r="AH384">
            <v>1</v>
          </cell>
          <cell r="AJ384">
            <v>1</v>
          </cell>
          <cell r="AL384">
            <v>0</v>
          </cell>
          <cell r="AN384">
            <v>0</v>
          </cell>
          <cell r="AP384">
            <v>0</v>
          </cell>
          <cell r="AR384">
            <v>0</v>
          </cell>
          <cell r="AT384">
            <v>0</v>
          </cell>
          <cell r="AV384">
            <v>0</v>
          </cell>
          <cell r="AX384">
            <v>0</v>
          </cell>
          <cell r="AZ384">
            <v>0</v>
          </cell>
          <cell r="BB384">
            <v>0</v>
          </cell>
          <cell r="BD384">
            <v>0</v>
          </cell>
          <cell r="BF384">
            <v>0</v>
          </cell>
          <cell r="BH384">
            <v>0</v>
          </cell>
          <cell r="BJ384">
            <v>0</v>
          </cell>
          <cell r="BL384">
            <v>0</v>
          </cell>
          <cell r="BN384">
            <v>0</v>
          </cell>
          <cell r="BP384">
            <v>0</v>
          </cell>
          <cell r="BR384">
            <v>0</v>
          </cell>
          <cell r="BT384">
            <v>0</v>
          </cell>
          <cell r="BV384">
            <v>0</v>
          </cell>
          <cell r="BX384">
            <v>0</v>
          </cell>
          <cell r="BZ384">
            <v>0</v>
          </cell>
          <cell r="CB384">
            <v>0</v>
          </cell>
          <cell r="CD384">
            <v>0</v>
          </cell>
          <cell r="CF384">
            <v>0</v>
          </cell>
          <cell r="CH384">
            <v>0</v>
          </cell>
          <cell r="CJ384">
            <v>0</v>
          </cell>
          <cell r="CL384">
            <v>0</v>
          </cell>
          <cell r="CN384">
            <v>0</v>
          </cell>
          <cell r="CP384">
            <v>0</v>
          </cell>
          <cell r="CR384">
            <v>0</v>
          </cell>
          <cell r="CT384">
            <v>0</v>
          </cell>
          <cell r="CV384">
            <v>0</v>
          </cell>
          <cell r="CX384">
            <v>0</v>
          </cell>
          <cell r="CZ384">
            <v>0</v>
          </cell>
          <cell r="DB384">
            <v>0</v>
          </cell>
          <cell r="DD384">
            <v>0</v>
          </cell>
          <cell r="DF384">
            <v>0</v>
          </cell>
          <cell r="DH384">
            <v>0</v>
          </cell>
          <cell r="DJ384">
            <v>0</v>
          </cell>
          <cell r="DL384">
            <v>0</v>
          </cell>
          <cell r="DN384">
            <v>0</v>
          </cell>
          <cell r="DP384">
            <v>0</v>
          </cell>
          <cell r="DR384">
            <v>0</v>
          </cell>
          <cell r="DT384">
            <v>0</v>
          </cell>
          <cell r="DV384">
            <v>0</v>
          </cell>
          <cell r="DX384">
            <v>0</v>
          </cell>
          <cell r="DZ384">
            <v>0</v>
          </cell>
          <cell r="EB384">
            <v>0</v>
          </cell>
          <cell r="ED384">
            <v>0</v>
          </cell>
          <cell r="EF384">
            <v>0</v>
          </cell>
          <cell r="EH384">
            <v>0</v>
          </cell>
          <cell r="EJ384">
            <v>0</v>
          </cell>
          <cell r="EL384">
            <v>0</v>
          </cell>
          <cell r="EN384">
            <v>0</v>
          </cell>
          <cell r="EP384">
            <v>0</v>
          </cell>
          <cell r="ER384">
            <v>0</v>
          </cell>
          <cell r="ET384">
            <v>0</v>
          </cell>
          <cell r="EV384">
            <v>0</v>
          </cell>
          <cell r="EX384">
            <v>0</v>
          </cell>
          <cell r="EZ384">
            <v>0</v>
          </cell>
          <cell r="FB384">
            <v>0</v>
          </cell>
          <cell r="FD384">
            <v>0</v>
          </cell>
          <cell r="FF384">
            <v>0</v>
          </cell>
          <cell r="FH384">
            <v>0</v>
          </cell>
          <cell r="FJ384">
            <v>0</v>
          </cell>
          <cell r="FL384">
            <v>0</v>
          </cell>
          <cell r="FN384">
            <v>0</v>
          </cell>
          <cell r="FP384">
            <v>0</v>
          </cell>
          <cell r="FR384">
            <v>0</v>
          </cell>
          <cell r="FT384">
            <v>0</v>
          </cell>
          <cell r="FV384">
            <v>0</v>
          </cell>
          <cell r="GD384">
            <v>14</v>
          </cell>
          <cell r="GF384">
            <v>4</v>
          </cell>
          <cell r="GH384">
            <v>1</v>
          </cell>
          <cell r="GJ384">
            <v>7</v>
          </cell>
          <cell r="GM384">
            <v>252.01</v>
          </cell>
          <cell r="GN38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255.檢查勞工個人防護具：█有 □無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W384" t="str">
            <v>（一）施工廠商施工前檢查事項辦理情形：█完成 □未完成 （二）其他工地安全衛生督導事項：</v>
          </cell>
          <cell r="GX384">
            <v>853901</v>
          </cell>
          <cell r="GY384">
            <v>0</v>
          </cell>
        </row>
        <row r="385">
          <cell r="N385">
            <v>1</v>
          </cell>
          <cell r="P385">
            <v>1</v>
          </cell>
          <cell r="R385">
            <v>672</v>
          </cell>
          <cell r="T385">
            <v>108</v>
          </cell>
          <cell r="V385">
            <v>661</v>
          </cell>
          <cell r="X385">
            <v>2</v>
          </cell>
          <cell r="Z385">
            <v>1</v>
          </cell>
          <cell r="AB385">
            <v>661</v>
          </cell>
          <cell r="AD385">
            <v>2</v>
          </cell>
          <cell r="AF385">
            <v>1</v>
          </cell>
          <cell r="AH385">
            <v>1</v>
          </cell>
          <cell r="AJ385">
            <v>1</v>
          </cell>
          <cell r="AL385">
            <v>0</v>
          </cell>
          <cell r="AN385">
            <v>0</v>
          </cell>
          <cell r="AP385">
            <v>0</v>
          </cell>
          <cell r="AR385">
            <v>0</v>
          </cell>
          <cell r="AT385">
            <v>0</v>
          </cell>
          <cell r="AV385">
            <v>0</v>
          </cell>
          <cell r="AX385">
            <v>0</v>
          </cell>
          <cell r="AZ385">
            <v>0</v>
          </cell>
          <cell r="BB385">
            <v>0</v>
          </cell>
          <cell r="BD385">
            <v>0</v>
          </cell>
          <cell r="BF385">
            <v>0</v>
          </cell>
          <cell r="BH385">
            <v>0</v>
          </cell>
          <cell r="BJ385">
            <v>0</v>
          </cell>
          <cell r="BL385">
            <v>0</v>
          </cell>
          <cell r="BN385">
            <v>0</v>
          </cell>
          <cell r="BP385">
            <v>0</v>
          </cell>
          <cell r="BR385">
            <v>0</v>
          </cell>
          <cell r="BT385">
            <v>0</v>
          </cell>
          <cell r="BV385">
            <v>0</v>
          </cell>
          <cell r="BX385">
            <v>0</v>
          </cell>
          <cell r="BZ385">
            <v>0</v>
          </cell>
          <cell r="CB385">
            <v>0</v>
          </cell>
          <cell r="CD385">
            <v>0</v>
          </cell>
          <cell r="CF385">
            <v>0</v>
          </cell>
          <cell r="CH385">
            <v>0</v>
          </cell>
          <cell r="CJ385">
            <v>0</v>
          </cell>
          <cell r="CL385">
            <v>0</v>
          </cell>
          <cell r="CN385">
            <v>0</v>
          </cell>
          <cell r="CP385">
            <v>0</v>
          </cell>
          <cell r="CR385">
            <v>0</v>
          </cell>
          <cell r="CT385">
            <v>0</v>
          </cell>
          <cell r="CV385">
            <v>0</v>
          </cell>
          <cell r="CX385">
            <v>0</v>
          </cell>
          <cell r="CZ385">
            <v>0</v>
          </cell>
          <cell r="DB385">
            <v>0</v>
          </cell>
          <cell r="DD385">
            <v>0</v>
          </cell>
          <cell r="DF385">
            <v>0</v>
          </cell>
          <cell r="DH385">
            <v>0</v>
          </cell>
          <cell r="DJ385">
            <v>0</v>
          </cell>
          <cell r="DL385">
            <v>0</v>
          </cell>
          <cell r="DN385">
            <v>0</v>
          </cell>
          <cell r="DP385">
            <v>0</v>
          </cell>
          <cell r="DR385">
            <v>0</v>
          </cell>
          <cell r="DT385">
            <v>0</v>
          </cell>
          <cell r="DV385">
            <v>0</v>
          </cell>
          <cell r="DX385">
            <v>0</v>
          </cell>
          <cell r="DZ385">
            <v>0</v>
          </cell>
          <cell r="EB385">
            <v>0</v>
          </cell>
          <cell r="ED385">
            <v>0</v>
          </cell>
          <cell r="EF385">
            <v>0</v>
          </cell>
          <cell r="EH385">
            <v>0</v>
          </cell>
          <cell r="EJ385">
            <v>0</v>
          </cell>
          <cell r="EL385">
            <v>0</v>
          </cell>
          <cell r="EN385">
            <v>0</v>
          </cell>
          <cell r="EP385">
            <v>0</v>
          </cell>
          <cell r="ER385">
            <v>0</v>
          </cell>
          <cell r="ET385">
            <v>0</v>
          </cell>
          <cell r="EV385">
            <v>0</v>
          </cell>
          <cell r="EX385">
            <v>0</v>
          </cell>
          <cell r="EZ385">
            <v>0</v>
          </cell>
          <cell r="FB385">
            <v>0</v>
          </cell>
          <cell r="FD385">
            <v>0</v>
          </cell>
          <cell r="FF385">
            <v>0</v>
          </cell>
          <cell r="FH385">
            <v>0</v>
          </cell>
          <cell r="FJ385">
            <v>0</v>
          </cell>
          <cell r="FL385">
            <v>0</v>
          </cell>
          <cell r="FN385">
            <v>0</v>
          </cell>
          <cell r="FP385">
            <v>0</v>
          </cell>
          <cell r="FR385">
            <v>0</v>
          </cell>
          <cell r="FT385">
            <v>0</v>
          </cell>
          <cell r="FV385">
            <v>0</v>
          </cell>
          <cell r="GD385">
            <v>14</v>
          </cell>
          <cell r="GF385">
            <v>4</v>
          </cell>
          <cell r="GH385">
            <v>1</v>
          </cell>
          <cell r="GJ385">
            <v>7</v>
          </cell>
          <cell r="GM385">
            <v>253.01</v>
          </cell>
          <cell r="GN38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256.檢查勞工個人防護具：█有 □無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W385" t="str">
            <v>（一）施工廠商施工前檢查事項辦理情形：█完成 □未完成 （二）其他工地安全衛生督導事項：</v>
          </cell>
          <cell r="GX385">
            <v>853901</v>
          </cell>
          <cell r="GY385">
            <v>0</v>
          </cell>
        </row>
        <row r="386">
          <cell r="N386">
            <v>1</v>
          </cell>
          <cell r="P386">
            <v>1</v>
          </cell>
          <cell r="R386">
            <v>672</v>
          </cell>
          <cell r="T386">
            <v>108</v>
          </cell>
          <cell r="V386">
            <v>661</v>
          </cell>
          <cell r="X386">
            <v>2</v>
          </cell>
          <cell r="Z386">
            <v>1</v>
          </cell>
          <cell r="AB386">
            <v>661</v>
          </cell>
          <cell r="AD386">
            <v>2</v>
          </cell>
          <cell r="AF386">
            <v>1</v>
          </cell>
          <cell r="AH386">
            <v>1</v>
          </cell>
          <cell r="AJ386">
            <v>1</v>
          </cell>
          <cell r="AL386">
            <v>0</v>
          </cell>
          <cell r="AN386">
            <v>0</v>
          </cell>
          <cell r="AP386">
            <v>0</v>
          </cell>
          <cell r="AR386">
            <v>0</v>
          </cell>
          <cell r="AT386">
            <v>0</v>
          </cell>
          <cell r="AV386">
            <v>0</v>
          </cell>
          <cell r="AX386">
            <v>0</v>
          </cell>
          <cell r="AZ386">
            <v>0</v>
          </cell>
          <cell r="BB386">
            <v>0</v>
          </cell>
          <cell r="BD386">
            <v>0</v>
          </cell>
          <cell r="BF386">
            <v>0</v>
          </cell>
          <cell r="BH386">
            <v>0</v>
          </cell>
          <cell r="BJ386">
            <v>0</v>
          </cell>
          <cell r="BL386">
            <v>0</v>
          </cell>
          <cell r="BN386">
            <v>0</v>
          </cell>
          <cell r="BP386">
            <v>0</v>
          </cell>
          <cell r="BR386">
            <v>0</v>
          </cell>
          <cell r="BT386">
            <v>0</v>
          </cell>
          <cell r="BV386">
            <v>0</v>
          </cell>
          <cell r="BX386">
            <v>0</v>
          </cell>
          <cell r="BZ386">
            <v>0</v>
          </cell>
          <cell r="CB386">
            <v>0</v>
          </cell>
          <cell r="CD386">
            <v>0</v>
          </cell>
          <cell r="CF386">
            <v>0</v>
          </cell>
          <cell r="CH386">
            <v>0</v>
          </cell>
          <cell r="CJ386">
            <v>0</v>
          </cell>
          <cell r="CL386">
            <v>0</v>
          </cell>
          <cell r="CN386">
            <v>0</v>
          </cell>
          <cell r="CP386">
            <v>0</v>
          </cell>
          <cell r="CR386">
            <v>0</v>
          </cell>
          <cell r="CT386">
            <v>0</v>
          </cell>
          <cell r="CV386">
            <v>0</v>
          </cell>
          <cell r="CX386">
            <v>0</v>
          </cell>
          <cell r="CZ386">
            <v>0</v>
          </cell>
          <cell r="DB386">
            <v>0</v>
          </cell>
          <cell r="DD386">
            <v>0</v>
          </cell>
          <cell r="DF386">
            <v>0</v>
          </cell>
          <cell r="DH386">
            <v>0</v>
          </cell>
          <cell r="DJ386">
            <v>0</v>
          </cell>
          <cell r="DL386">
            <v>0</v>
          </cell>
          <cell r="DN386">
            <v>0</v>
          </cell>
          <cell r="DP386">
            <v>0</v>
          </cell>
          <cell r="DR386">
            <v>0</v>
          </cell>
          <cell r="DT386">
            <v>0</v>
          </cell>
          <cell r="DV386">
            <v>0</v>
          </cell>
          <cell r="DX386">
            <v>0</v>
          </cell>
          <cell r="DZ386">
            <v>0</v>
          </cell>
          <cell r="EB386">
            <v>0</v>
          </cell>
          <cell r="ED386">
            <v>0</v>
          </cell>
          <cell r="EF386">
            <v>0</v>
          </cell>
          <cell r="EH386">
            <v>0</v>
          </cell>
          <cell r="EJ386">
            <v>0</v>
          </cell>
          <cell r="EL386">
            <v>0</v>
          </cell>
          <cell r="EN386">
            <v>0</v>
          </cell>
          <cell r="EP386">
            <v>0</v>
          </cell>
          <cell r="ER386">
            <v>0</v>
          </cell>
          <cell r="ET386">
            <v>0</v>
          </cell>
          <cell r="EV386">
            <v>0</v>
          </cell>
          <cell r="EX386">
            <v>0</v>
          </cell>
          <cell r="EZ386">
            <v>0</v>
          </cell>
          <cell r="FB386">
            <v>0</v>
          </cell>
          <cell r="FD386">
            <v>0</v>
          </cell>
          <cell r="FF386">
            <v>0</v>
          </cell>
          <cell r="FH386">
            <v>0</v>
          </cell>
          <cell r="FJ386">
            <v>0</v>
          </cell>
          <cell r="FL386">
            <v>0</v>
          </cell>
          <cell r="FN386">
            <v>0</v>
          </cell>
          <cell r="FP386">
            <v>0</v>
          </cell>
          <cell r="FR386">
            <v>0</v>
          </cell>
          <cell r="FT386">
            <v>0</v>
          </cell>
          <cell r="FV386">
            <v>0</v>
          </cell>
          <cell r="GD386">
            <v>14</v>
          </cell>
          <cell r="GF386">
            <v>4</v>
          </cell>
          <cell r="GH386">
            <v>1</v>
          </cell>
          <cell r="GJ386">
            <v>7</v>
          </cell>
          <cell r="GM386">
            <v>254.01</v>
          </cell>
          <cell r="GN38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257.檢查勞工個人防護具：█有 □無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W386" t="str">
            <v>（一）施工廠商施工前檢查事項辦理情形：█完成 □未完成 （二）其他工地安全衛生督導事項：</v>
          </cell>
          <cell r="GX386">
            <v>853901</v>
          </cell>
          <cell r="GY386">
            <v>0</v>
          </cell>
        </row>
        <row r="387">
          <cell r="N387">
            <v>1</v>
          </cell>
          <cell r="P387">
            <v>1</v>
          </cell>
          <cell r="R387">
            <v>672</v>
          </cell>
          <cell r="T387">
            <v>108</v>
          </cell>
          <cell r="V387">
            <v>661</v>
          </cell>
          <cell r="X387">
            <v>2</v>
          </cell>
          <cell r="Z387">
            <v>1</v>
          </cell>
          <cell r="AB387">
            <v>661</v>
          </cell>
          <cell r="AD387">
            <v>2</v>
          </cell>
          <cell r="AF387">
            <v>1</v>
          </cell>
          <cell r="AH387">
            <v>1</v>
          </cell>
          <cell r="AJ387">
            <v>1</v>
          </cell>
          <cell r="AL387">
            <v>0</v>
          </cell>
          <cell r="AN387">
            <v>0</v>
          </cell>
          <cell r="AP387">
            <v>0</v>
          </cell>
          <cell r="AR387">
            <v>0</v>
          </cell>
          <cell r="AT387">
            <v>0</v>
          </cell>
          <cell r="AV387">
            <v>0</v>
          </cell>
          <cell r="AX387">
            <v>0</v>
          </cell>
          <cell r="AZ387">
            <v>0</v>
          </cell>
          <cell r="BB387">
            <v>0</v>
          </cell>
          <cell r="BD387">
            <v>0</v>
          </cell>
          <cell r="BF387">
            <v>0</v>
          </cell>
          <cell r="BH387">
            <v>0</v>
          </cell>
          <cell r="BJ387">
            <v>0</v>
          </cell>
          <cell r="BL387">
            <v>0</v>
          </cell>
          <cell r="BN387">
            <v>0</v>
          </cell>
          <cell r="BP387">
            <v>0</v>
          </cell>
          <cell r="BR387">
            <v>0</v>
          </cell>
          <cell r="BT387">
            <v>0</v>
          </cell>
          <cell r="BV387">
            <v>0</v>
          </cell>
          <cell r="BX387">
            <v>0</v>
          </cell>
          <cell r="BZ387">
            <v>0</v>
          </cell>
          <cell r="CB387">
            <v>0</v>
          </cell>
          <cell r="CD387">
            <v>0</v>
          </cell>
          <cell r="CF387">
            <v>0</v>
          </cell>
          <cell r="CH387">
            <v>0</v>
          </cell>
          <cell r="CJ387">
            <v>0</v>
          </cell>
          <cell r="CL387">
            <v>0</v>
          </cell>
          <cell r="CN387">
            <v>0</v>
          </cell>
          <cell r="CP387">
            <v>0</v>
          </cell>
          <cell r="CR387">
            <v>0</v>
          </cell>
          <cell r="CT387">
            <v>0</v>
          </cell>
          <cell r="CV387">
            <v>0</v>
          </cell>
          <cell r="CX387">
            <v>0</v>
          </cell>
          <cell r="CZ387">
            <v>0</v>
          </cell>
          <cell r="DB387">
            <v>0</v>
          </cell>
          <cell r="DD387">
            <v>0</v>
          </cell>
          <cell r="DF387">
            <v>0</v>
          </cell>
          <cell r="DH387">
            <v>0</v>
          </cell>
          <cell r="DJ387">
            <v>0</v>
          </cell>
          <cell r="DL387">
            <v>0</v>
          </cell>
          <cell r="DN387">
            <v>0</v>
          </cell>
          <cell r="DP387">
            <v>0</v>
          </cell>
          <cell r="DR387">
            <v>0</v>
          </cell>
          <cell r="DT387">
            <v>0</v>
          </cell>
          <cell r="DV387">
            <v>0</v>
          </cell>
          <cell r="DX387">
            <v>0</v>
          </cell>
          <cell r="DZ387">
            <v>0</v>
          </cell>
          <cell r="EB387">
            <v>0</v>
          </cell>
          <cell r="ED387">
            <v>0</v>
          </cell>
          <cell r="EF387">
            <v>0</v>
          </cell>
          <cell r="EH387">
            <v>0</v>
          </cell>
          <cell r="EJ387">
            <v>0</v>
          </cell>
          <cell r="EL387">
            <v>0</v>
          </cell>
          <cell r="EN387">
            <v>0</v>
          </cell>
          <cell r="EP387">
            <v>0</v>
          </cell>
          <cell r="ER387">
            <v>0</v>
          </cell>
          <cell r="ET387">
            <v>0</v>
          </cell>
          <cell r="EV387">
            <v>0</v>
          </cell>
          <cell r="EX387">
            <v>0</v>
          </cell>
          <cell r="EZ387">
            <v>0</v>
          </cell>
          <cell r="FB387">
            <v>0</v>
          </cell>
          <cell r="FD387">
            <v>0</v>
          </cell>
          <cell r="FF387">
            <v>0</v>
          </cell>
          <cell r="FH387">
            <v>0</v>
          </cell>
          <cell r="FJ387">
            <v>0</v>
          </cell>
          <cell r="FL387">
            <v>0</v>
          </cell>
          <cell r="FN387">
            <v>0</v>
          </cell>
          <cell r="FP387">
            <v>0</v>
          </cell>
          <cell r="FR387">
            <v>0</v>
          </cell>
          <cell r="FT387">
            <v>0</v>
          </cell>
          <cell r="FV387">
            <v>0</v>
          </cell>
          <cell r="GD387">
            <v>14</v>
          </cell>
          <cell r="GF387">
            <v>4</v>
          </cell>
          <cell r="GH387">
            <v>1</v>
          </cell>
          <cell r="GJ387">
            <v>7</v>
          </cell>
          <cell r="GM387">
            <v>255.01</v>
          </cell>
          <cell r="GN38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258.檢查勞工個人防護具：█有 □無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W387" t="str">
            <v>（一）施工廠商施工前檢查事項辦理情形：█完成 □未完成 （二）其他工地安全衛生督導事項：</v>
          </cell>
          <cell r="GX387">
            <v>853901</v>
          </cell>
          <cell r="GY387">
            <v>0</v>
          </cell>
        </row>
        <row r="388">
          <cell r="N388">
            <v>1</v>
          </cell>
          <cell r="P388">
            <v>1</v>
          </cell>
          <cell r="R388">
            <v>672</v>
          </cell>
          <cell r="T388">
            <v>108</v>
          </cell>
          <cell r="V388">
            <v>661</v>
          </cell>
          <cell r="X388">
            <v>2</v>
          </cell>
          <cell r="Z388">
            <v>1</v>
          </cell>
          <cell r="AB388">
            <v>661</v>
          </cell>
          <cell r="AD388">
            <v>2</v>
          </cell>
          <cell r="AF388">
            <v>1</v>
          </cell>
          <cell r="AH388">
            <v>1</v>
          </cell>
          <cell r="AJ388">
            <v>1</v>
          </cell>
          <cell r="AL388">
            <v>0</v>
          </cell>
          <cell r="AN388">
            <v>0</v>
          </cell>
          <cell r="AP388">
            <v>0</v>
          </cell>
          <cell r="AR388">
            <v>0</v>
          </cell>
          <cell r="AT388">
            <v>0</v>
          </cell>
          <cell r="AV388">
            <v>0</v>
          </cell>
          <cell r="AX388">
            <v>0</v>
          </cell>
          <cell r="AZ388">
            <v>0</v>
          </cell>
          <cell r="BB388">
            <v>0</v>
          </cell>
          <cell r="BD388">
            <v>0</v>
          </cell>
          <cell r="BF388">
            <v>0</v>
          </cell>
          <cell r="BH388">
            <v>0</v>
          </cell>
          <cell r="BJ388">
            <v>0</v>
          </cell>
          <cell r="BL388">
            <v>0</v>
          </cell>
          <cell r="BN388">
            <v>0</v>
          </cell>
          <cell r="BP388">
            <v>0</v>
          </cell>
          <cell r="BR388">
            <v>0</v>
          </cell>
          <cell r="BT388">
            <v>0</v>
          </cell>
          <cell r="BV388">
            <v>0</v>
          </cell>
          <cell r="BX388">
            <v>0</v>
          </cell>
          <cell r="BZ388">
            <v>0</v>
          </cell>
          <cell r="CB388">
            <v>0</v>
          </cell>
          <cell r="CD388">
            <v>0</v>
          </cell>
          <cell r="CF388">
            <v>0</v>
          </cell>
          <cell r="CH388">
            <v>0</v>
          </cell>
          <cell r="CJ388">
            <v>0</v>
          </cell>
          <cell r="CL388">
            <v>0</v>
          </cell>
          <cell r="CN388">
            <v>0</v>
          </cell>
          <cell r="CP388">
            <v>0</v>
          </cell>
          <cell r="CR388">
            <v>0</v>
          </cell>
          <cell r="CT388">
            <v>0</v>
          </cell>
          <cell r="CV388">
            <v>0</v>
          </cell>
          <cell r="CX388">
            <v>0</v>
          </cell>
          <cell r="CZ388">
            <v>0</v>
          </cell>
          <cell r="DB388">
            <v>0</v>
          </cell>
          <cell r="DD388">
            <v>0</v>
          </cell>
          <cell r="DF388">
            <v>0</v>
          </cell>
          <cell r="DH388">
            <v>0</v>
          </cell>
          <cell r="DJ388">
            <v>0</v>
          </cell>
          <cell r="DL388">
            <v>0</v>
          </cell>
          <cell r="DN388">
            <v>0</v>
          </cell>
          <cell r="DP388">
            <v>0</v>
          </cell>
          <cell r="DR388">
            <v>0</v>
          </cell>
          <cell r="DT388">
            <v>0</v>
          </cell>
          <cell r="DV388">
            <v>0</v>
          </cell>
          <cell r="DX388">
            <v>0</v>
          </cell>
          <cell r="DZ388">
            <v>0</v>
          </cell>
          <cell r="EB388">
            <v>0</v>
          </cell>
          <cell r="ED388">
            <v>0</v>
          </cell>
          <cell r="EF388">
            <v>0</v>
          </cell>
          <cell r="EH388">
            <v>0</v>
          </cell>
          <cell r="EJ388">
            <v>0</v>
          </cell>
          <cell r="EL388">
            <v>0</v>
          </cell>
          <cell r="EN388">
            <v>0</v>
          </cell>
          <cell r="EP388">
            <v>0</v>
          </cell>
          <cell r="ER388">
            <v>0</v>
          </cell>
          <cell r="ET388">
            <v>0</v>
          </cell>
          <cell r="EV388">
            <v>0</v>
          </cell>
          <cell r="EX388">
            <v>0</v>
          </cell>
          <cell r="EZ388">
            <v>0</v>
          </cell>
          <cell r="FB388">
            <v>0</v>
          </cell>
          <cell r="FD388">
            <v>0</v>
          </cell>
          <cell r="FF388">
            <v>0</v>
          </cell>
          <cell r="FH388">
            <v>0</v>
          </cell>
          <cell r="FJ388">
            <v>0</v>
          </cell>
          <cell r="FL388">
            <v>0</v>
          </cell>
          <cell r="FN388">
            <v>0</v>
          </cell>
          <cell r="FP388">
            <v>0</v>
          </cell>
          <cell r="FR388">
            <v>0</v>
          </cell>
          <cell r="FT388">
            <v>0</v>
          </cell>
          <cell r="FV388">
            <v>0</v>
          </cell>
          <cell r="GD388">
            <v>14</v>
          </cell>
          <cell r="GF388">
            <v>4</v>
          </cell>
          <cell r="GH388">
            <v>1</v>
          </cell>
          <cell r="GJ388">
            <v>7</v>
          </cell>
          <cell r="GM388">
            <v>256.01</v>
          </cell>
          <cell r="GN38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259.檢查勞工個人防護具：█有 □無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W388" t="str">
            <v>（一）施工廠商施工前檢查事項辦理情形：█完成 □未完成 （二）其他工地安全衛生督導事項：</v>
          </cell>
          <cell r="GX388">
            <v>853901</v>
          </cell>
          <cell r="GY388">
            <v>0</v>
          </cell>
        </row>
        <row r="389">
          <cell r="N389">
            <v>1</v>
          </cell>
          <cell r="P389">
            <v>1</v>
          </cell>
          <cell r="R389">
            <v>672</v>
          </cell>
          <cell r="T389">
            <v>108</v>
          </cell>
          <cell r="V389">
            <v>661</v>
          </cell>
          <cell r="X389">
            <v>2</v>
          </cell>
          <cell r="Z389">
            <v>1</v>
          </cell>
          <cell r="AB389">
            <v>661</v>
          </cell>
          <cell r="AD389">
            <v>2</v>
          </cell>
          <cell r="AF389">
            <v>1</v>
          </cell>
          <cell r="AH389">
            <v>1</v>
          </cell>
          <cell r="AJ389">
            <v>1</v>
          </cell>
          <cell r="AL389">
            <v>0</v>
          </cell>
          <cell r="AN389">
            <v>0</v>
          </cell>
          <cell r="AP389">
            <v>0</v>
          </cell>
          <cell r="AR389">
            <v>0</v>
          </cell>
          <cell r="AT389">
            <v>0</v>
          </cell>
          <cell r="AV389">
            <v>0</v>
          </cell>
          <cell r="AX389">
            <v>0</v>
          </cell>
          <cell r="AZ389">
            <v>0</v>
          </cell>
          <cell r="BB389">
            <v>0</v>
          </cell>
          <cell r="BD389">
            <v>0</v>
          </cell>
          <cell r="BF389">
            <v>0</v>
          </cell>
          <cell r="BH389">
            <v>0</v>
          </cell>
          <cell r="BJ389">
            <v>0</v>
          </cell>
          <cell r="BL389">
            <v>0</v>
          </cell>
          <cell r="BN389">
            <v>0</v>
          </cell>
          <cell r="BP389">
            <v>0</v>
          </cell>
          <cell r="BR389">
            <v>0</v>
          </cell>
          <cell r="BT389">
            <v>0</v>
          </cell>
          <cell r="BV389">
            <v>0</v>
          </cell>
          <cell r="BX389">
            <v>0</v>
          </cell>
          <cell r="BZ389">
            <v>0</v>
          </cell>
          <cell r="CB389">
            <v>0</v>
          </cell>
          <cell r="CD389">
            <v>0</v>
          </cell>
          <cell r="CF389">
            <v>0</v>
          </cell>
          <cell r="CH389">
            <v>0</v>
          </cell>
          <cell r="CJ389">
            <v>0</v>
          </cell>
          <cell r="CL389">
            <v>0</v>
          </cell>
          <cell r="CN389">
            <v>0</v>
          </cell>
          <cell r="CP389">
            <v>0</v>
          </cell>
          <cell r="CR389">
            <v>0</v>
          </cell>
          <cell r="CT389">
            <v>0</v>
          </cell>
          <cell r="CV389">
            <v>0</v>
          </cell>
          <cell r="CX389">
            <v>0</v>
          </cell>
          <cell r="CZ389">
            <v>0</v>
          </cell>
          <cell r="DB389">
            <v>0</v>
          </cell>
          <cell r="DD389">
            <v>0</v>
          </cell>
          <cell r="DF389">
            <v>0</v>
          </cell>
          <cell r="DH389">
            <v>0</v>
          </cell>
          <cell r="DJ389">
            <v>0</v>
          </cell>
          <cell r="DL389">
            <v>0</v>
          </cell>
          <cell r="DN389">
            <v>0</v>
          </cell>
          <cell r="DP389">
            <v>0</v>
          </cell>
          <cell r="DR389">
            <v>0</v>
          </cell>
          <cell r="DT389">
            <v>0</v>
          </cell>
          <cell r="DV389">
            <v>0</v>
          </cell>
          <cell r="DX389">
            <v>0</v>
          </cell>
          <cell r="DZ389">
            <v>0</v>
          </cell>
          <cell r="EB389">
            <v>0</v>
          </cell>
          <cell r="ED389">
            <v>0</v>
          </cell>
          <cell r="EF389">
            <v>0</v>
          </cell>
          <cell r="EH389">
            <v>0</v>
          </cell>
          <cell r="EJ389">
            <v>0</v>
          </cell>
          <cell r="EL389">
            <v>0</v>
          </cell>
          <cell r="EN389">
            <v>0</v>
          </cell>
          <cell r="EP389">
            <v>0</v>
          </cell>
          <cell r="ER389">
            <v>0</v>
          </cell>
          <cell r="ET389">
            <v>0</v>
          </cell>
          <cell r="EV389">
            <v>0</v>
          </cell>
          <cell r="EX389">
            <v>0</v>
          </cell>
          <cell r="EZ389">
            <v>0</v>
          </cell>
          <cell r="FB389">
            <v>0</v>
          </cell>
          <cell r="FD389">
            <v>0</v>
          </cell>
          <cell r="FF389">
            <v>0</v>
          </cell>
          <cell r="FH389">
            <v>0</v>
          </cell>
          <cell r="FJ389">
            <v>0</v>
          </cell>
          <cell r="FL389">
            <v>0</v>
          </cell>
          <cell r="FN389">
            <v>0</v>
          </cell>
          <cell r="FP389">
            <v>0</v>
          </cell>
          <cell r="FR389">
            <v>0</v>
          </cell>
          <cell r="FT389">
            <v>0</v>
          </cell>
          <cell r="FV389">
            <v>0</v>
          </cell>
          <cell r="GD389">
            <v>14</v>
          </cell>
          <cell r="GF389">
            <v>4</v>
          </cell>
          <cell r="GH389">
            <v>1</v>
          </cell>
          <cell r="GJ389">
            <v>7</v>
          </cell>
          <cell r="GM389">
            <v>257.01</v>
          </cell>
          <cell r="GN38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260.檢查勞工個人防護具：█有 □無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W389" t="str">
            <v>（一）施工廠商施工前檢查事項辦理情形：█完成 □未完成 （二）其他工地安全衛生督導事項：</v>
          </cell>
          <cell r="GX389">
            <v>853901</v>
          </cell>
          <cell r="GY389">
            <v>0</v>
          </cell>
        </row>
        <row r="390">
          <cell r="N390">
            <v>1</v>
          </cell>
          <cell r="P390">
            <v>1</v>
          </cell>
          <cell r="R390">
            <v>672</v>
          </cell>
          <cell r="T390">
            <v>108</v>
          </cell>
          <cell r="V390">
            <v>661</v>
          </cell>
          <cell r="X390">
            <v>2</v>
          </cell>
          <cell r="Z390">
            <v>1</v>
          </cell>
          <cell r="AB390">
            <v>661</v>
          </cell>
          <cell r="AD390">
            <v>2</v>
          </cell>
          <cell r="AF390">
            <v>1</v>
          </cell>
          <cell r="AH390">
            <v>1</v>
          </cell>
          <cell r="AJ390">
            <v>1</v>
          </cell>
          <cell r="AL390">
            <v>0</v>
          </cell>
          <cell r="AN390">
            <v>0</v>
          </cell>
          <cell r="AP390">
            <v>0</v>
          </cell>
          <cell r="AR390">
            <v>0</v>
          </cell>
          <cell r="AT390">
            <v>0</v>
          </cell>
          <cell r="AV390">
            <v>0</v>
          </cell>
          <cell r="AX390">
            <v>0</v>
          </cell>
          <cell r="AZ390">
            <v>0</v>
          </cell>
          <cell r="BB390">
            <v>0</v>
          </cell>
          <cell r="BD390">
            <v>0</v>
          </cell>
          <cell r="BF390">
            <v>0</v>
          </cell>
          <cell r="BH390">
            <v>0</v>
          </cell>
          <cell r="BJ390">
            <v>0</v>
          </cell>
          <cell r="BL390">
            <v>0</v>
          </cell>
          <cell r="BN390">
            <v>0</v>
          </cell>
          <cell r="BP390">
            <v>0</v>
          </cell>
          <cell r="BR390">
            <v>0</v>
          </cell>
          <cell r="BT390">
            <v>0</v>
          </cell>
          <cell r="BV390">
            <v>0</v>
          </cell>
          <cell r="BX390">
            <v>0</v>
          </cell>
          <cell r="BZ390">
            <v>0</v>
          </cell>
          <cell r="CB390">
            <v>0</v>
          </cell>
          <cell r="CD390">
            <v>0</v>
          </cell>
          <cell r="CF390">
            <v>0</v>
          </cell>
          <cell r="CH390">
            <v>0</v>
          </cell>
          <cell r="CJ390">
            <v>0</v>
          </cell>
          <cell r="CL390">
            <v>0</v>
          </cell>
          <cell r="CN390">
            <v>0</v>
          </cell>
          <cell r="CP390">
            <v>0</v>
          </cell>
          <cell r="CR390">
            <v>0</v>
          </cell>
          <cell r="CT390">
            <v>0</v>
          </cell>
          <cell r="CV390">
            <v>0</v>
          </cell>
          <cell r="CX390">
            <v>0</v>
          </cell>
          <cell r="CZ390">
            <v>0</v>
          </cell>
          <cell r="DB390">
            <v>0</v>
          </cell>
          <cell r="DD390">
            <v>0</v>
          </cell>
          <cell r="DF390">
            <v>0</v>
          </cell>
          <cell r="DH390">
            <v>0</v>
          </cell>
          <cell r="DJ390">
            <v>0</v>
          </cell>
          <cell r="DL390">
            <v>0</v>
          </cell>
          <cell r="DN390">
            <v>0</v>
          </cell>
          <cell r="DP390">
            <v>0</v>
          </cell>
          <cell r="DR390">
            <v>0</v>
          </cell>
          <cell r="DT390">
            <v>0</v>
          </cell>
          <cell r="DV390">
            <v>0</v>
          </cell>
          <cell r="DX390">
            <v>0</v>
          </cell>
          <cell r="DZ390">
            <v>0</v>
          </cell>
          <cell r="EB390">
            <v>0</v>
          </cell>
          <cell r="ED390">
            <v>0</v>
          </cell>
          <cell r="EF390">
            <v>0</v>
          </cell>
          <cell r="EH390">
            <v>0</v>
          </cell>
          <cell r="EJ390">
            <v>0</v>
          </cell>
          <cell r="EL390">
            <v>0</v>
          </cell>
          <cell r="EN390">
            <v>0</v>
          </cell>
          <cell r="EP390">
            <v>0</v>
          </cell>
          <cell r="ER390">
            <v>0</v>
          </cell>
          <cell r="ET390">
            <v>0</v>
          </cell>
          <cell r="EV390">
            <v>0</v>
          </cell>
          <cell r="EX390">
            <v>0</v>
          </cell>
          <cell r="EZ390">
            <v>0</v>
          </cell>
          <cell r="FB390">
            <v>0</v>
          </cell>
          <cell r="FD390">
            <v>0</v>
          </cell>
          <cell r="FF390">
            <v>0</v>
          </cell>
          <cell r="FH390">
            <v>0</v>
          </cell>
          <cell r="FJ390">
            <v>0</v>
          </cell>
          <cell r="FL390">
            <v>0</v>
          </cell>
          <cell r="FN390">
            <v>0</v>
          </cell>
          <cell r="FP390">
            <v>0</v>
          </cell>
          <cell r="FR390">
            <v>0</v>
          </cell>
          <cell r="FT390">
            <v>0</v>
          </cell>
          <cell r="FV390">
            <v>0</v>
          </cell>
          <cell r="GD390">
            <v>14</v>
          </cell>
          <cell r="GF390">
            <v>4</v>
          </cell>
          <cell r="GH390">
            <v>1</v>
          </cell>
          <cell r="GJ390">
            <v>7</v>
          </cell>
          <cell r="GM390">
            <v>258.01</v>
          </cell>
          <cell r="GN39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261.檢查勞工個人防護具：█有 □無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W390" t="str">
            <v>（一）施工廠商施工前檢查事項辦理情形：█完成 □未完成 （二）其他工地安全衛生督導事項：</v>
          </cell>
          <cell r="GX390">
            <v>853901</v>
          </cell>
          <cell r="GY390">
            <v>0</v>
          </cell>
        </row>
        <row r="391">
          <cell r="N391">
            <v>1</v>
          </cell>
          <cell r="P391">
            <v>1</v>
          </cell>
          <cell r="R391">
            <v>672</v>
          </cell>
          <cell r="T391">
            <v>108</v>
          </cell>
          <cell r="V391">
            <v>661</v>
          </cell>
          <cell r="X391">
            <v>2</v>
          </cell>
          <cell r="Z391">
            <v>1</v>
          </cell>
          <cell r="AB391">
            <v>661</v>
          </cell>
          <cell r="AD391">
            <v>2</v>
          </cell>
          <cell r="AF391">
            <v>1</v>
          </cell>
          <cell r="AH391">
            <v>1</v>
          </cell>
          <cell r="AJ391">
            <v>1</v>
          </cell>
          <cell r="AL391">
            <v>0</v>
          </cell>
          <cell r="AN391">
            <v>0</v>
          </cell>
          <cell r="AP391">
            <v>0</v>
          </cell>
          <cell r="AR391">
            <v>0</v>
          </cell>
          <cell r="AT391">
            <v>0</v>
          </cell>
          <cell r="AV391">
            <v>0</v>
          </cell>
          <cell r="AX391">
            <v>0</v>
          </cell>
          <cell r="AZ391">
            <v>0</v>
          </cell>
          <cell r="BB391">
            <v>0</v>
          </cell>
          <cell r="BD391">
            <v>0</v>
          </cell>
          <cell r="BF391">
            <v>0</v>
          </cell>
          <cell r="BH391">
            <v>0</v>
          </cell>
          <cell r="BJ391">
            <v>0</v>
          </cell>
          <cell r="BL391">
            <v>0</v>
          </cell>
          <cell r="BN391">
            <v>0</v>
          </cell>
          <cell r="BP391">
            <v>0</v>
          </cell>
          <cell r="BR391">
            <v>0</v>
          </cell>
          <cell r="BT391">
            <v>0</v>
          </cell>
          <cell r="BV391">
            <v>0</v>
          </cell>
          <cell r="BX391">
            <v>0</v>
          </cell>
          <cell r="BZ391">
            <v>0</v>
          </cell>
          <cell r="CB391">
            <v>0</v>
          </cell>
          <cell r="CD391">
            <v>0</v>
          </cell>
          <cell r="CF391">
            <v>0</v>
          </cell>
          <cell r="CH391">
            <v>0</v>
          </cell>
          <cell r="CJ391">
            <v>0</v>
          </cell>
          <cell r="CL391">
            <v>0</v>
          </cell>
          <cell r="CN391">
            <v>0</v>
          </cell>
          <cell r="CP391">
            <v>0</v>
          </cell>
          <cell r="CR391">
            <v>0</v>
          </cell>
          <cell r="CT391">
            <v>0</v>
          </cell>
          <cell r="CV391">
            <v>0</v>
          </cell>
          <cell r="CX391">
            <v>0</v>
          </cell>
          <cell r="CZ391">
            <v>0</v>
          </cell>
          <cell r="DB391">
            <v>0</v>
          </cell>
          <cell r="DD391">
            <v>0</v>
          </cell>
          <cell r="DF391">
            <v>0</v>
          </cell>
          <cell r="DH391">
            <v>0</v>
          </cell>
          <cell r="DJ391">
            <v>0</v>
          </cell>
          <cell r="DL391">
            <v>0</v>
          </cell>
          <cell r="DN391">
            <v>0</v>
          </cell>
          <cell r="DP391">
            <v>0</v>
          </cell>
          <cell r="DR391">
            <v>0</v>
          </cell>
          <cell r="DT391">
            <v>0</v>
          </cell>
          <cell r="DV391">
            <v>0</v>
          </cell>
          <cell r="DX391">
            <v>0</v>
          </cell>
          <cell r="DZ391">
            <v>0</v>
          </cell>
          <cell r="EB391">
            <v>0</v>
          </cell>
          <cell r="ED391">
            <v>0</v>
          </cell>
          <cell r="EF391">
            <v>0</v>
          </cell>
          <cell r="EH391">
            <v>0</v>
          </cell>
          <cell r="EJ391">
            <v>0</v>
          </cell>
          <cell r="EL391">
            <v>0</v>
          </cell>
          <cell r="EN391">
            <v>0</v>
          </cell>
          <cell r="EP391">
            <v>0</v>
          </cell>
          <cell r="ER391">
            <v>0</v>
          </cell>
          <cell r="ET391">
            <v>0</v>
          </cell>
          <cell r="EV391">
            <v>0</v>
          </cell>
          <cell r="EX391">
            <v>0</v>
          </cell>
          <cell r="EZ391">
            <v>0</v>
          </cell>
          <cell r="FB391">
            <v>0</v>
          </cell>
          <cell r="FD391">
            <v>0</v>
          </cell>
          <cell r="FF391">
            <v>0</v>
          </cell>
          <cell r="FH391">
            <v>0</v>
          </cell>
          <cell r="FJ391">
            <v>0</v>
          </cell>
          <cell r="FL391">
            <v>0</v>
          </cell>
          <cell r="FN391">
            <v>0</v>
          </cell>
          <cell r="FP391">
            <v>0</v>
          </cell>
          <cell r="FR391">
            <v>0</v>
          </cell>
          <cell r="FT391">
            <v>0</v>
          </cell>
          <cell r="FV391">
            <v>0</v>
          </cell>
          <cell r="GD391">
            <v>14</v>
          </cell>
          <cell r="GF391">
            <v>4</v>
          </cell>
          <cell r="GH391">
            <v>1</v>
          </cell>
          <cell r="GJ391">
            <v>7</v>
          </cell>
          <cell r="GM391">
            <v>259.01</v>
          </cell>
          <cell r="GN39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262.檢查勞工個人防護具：█有 □無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W391" t="str">
            <v>（一）施工廠商施工前檢查事項辦理情形：█完成 □未完成 （二）其他工地安全衛生督導事項：</v>
          </cell>
          <cell r="GX391">
            <v>853901</v>
          </cell>
          <cell r="GY391">
            <v>0</v>
          </cell>
        </row>
        <row r="392">
          <cell r="N392">
            <v>1</v>
          </cell>
          <cell r="P392">
            <v>1</v>
          </cell>
          <cell r="R392">
            <v>672</v>
          </cell>
          <cell r="T392">
            <v>108</v>
          </cell>
          <cell r="V392">
            <v>661</v>
          </cell>
          <cell r="X392">
            <v>2</v>
          </cell>
          <cell r="Z392">
            <v>1</v>
          </cell>
          <cell r="AB392">
            <v>661</v>
          </cell>
          <cell r="AD392">
            <v>2</v>
          </cell>
          <cell r="AF392">
            <v>1</v>
          </cell>
          <cell r="AH392">
            <v>1</v>
          </cell>
          <cell r="AJ392">
            <v>1</v>
          </cell>
          <cell r="AL392">
            <v>0</v>
          </cell>
          <cell r="AN392">
            <v>0</v>
          </cell>
          <cell r="AP392">
            <v>0</v>
          </cell>
          <cell r="AR392">
            <v>0</v>
          </cell>
          <cell r="AT392">
            <v>0</v>
          </cell>
          <cell r="AV392">
            <v>0</v>
          </cell>
          <cell r="AX392">
            <v>0</v>
          </cell>
          <cell r="AZ392">
            <v>0</v>
          </cell>
          <cell r="BB392">
            <v>0</v>
          </cell>
          <cell r="BD392">
            <v>0</v>
          </cell>
          <cell r="BF392">
            <v>0</v>
          </cell>
          <cell r="BH392">
            <v>0</v>
          </cell>
          <cell r="BJ392">
            <v>0</v>
          </cell>
          <cell r="BL392">
            <v>0</v>
          </cell>
          <cell r="BN392">
            <v>0</v>
          </cell>
          <cell r="BP392">
            <v>0</v>
          </cell>
          <cell r="BR392">
            <v>0</v>
          </cell>
          <cell r="BT392">
            <v>0</v>
          </cell>
          <cell r="BV392">
            <v>0</v>
          </cell>
          <cell r="BX392">
            <v>0</v>
          </cell>
          <cell r="BZ392">
            <v>0</v>
          </cell>
          <cell r="CB392">
            <v>0</v>
          </cell>
          <cell r="CD392">
            <v>0</v>
          </cell>
          <cell r="CF392">
            <v>0</v>
          </cell>
          <cell r="CH392">
            <v>0</v>
          </cell>
          <cell r="CJ392">
            <v>0</v>
          </cell>
          <cell r="CL392">
            <v>0</v>
          </cell>
          <cell r="CN392">
            <v>0</v>
          </cell>
          <cell r="CP392">
            <v>0</v>
          </cell>
          <cell r="CR392">
            <v>0</v>
          </cell>
          <cell r="CT392">
            <v>0</v>
          </cell>
          <cell r="CV392">
            <v>0</v>
          </cell>
          <cell r="CX392">
            <v>0</v>
          </cell>
          <cell r="CZ392">
            <v>0</v>
          </cell>
          <cell r="DB392">
            <v>0</v>
          </cell>
          <cell r="DD392">
            <v>0</v>
          </cell>
          <cell r="DF392">
            <v>0</v>
          </cell>
          <cell r="DH392">
            <v>0</v>
          </cell>
          <cell r="DJ392">
            <v>0</v>
          </cell>
          <cell r="DL392">
            <v>0</v>
          </cell>
          <cell r="DN392">
            <v>0</v>
          </cell>
          <cell r="DP392">
            <v>0</v>
          </cell>
          <cell r="DR392">
            <v>0</v>
          </cell>
          <cell r="DT392">
            <v>0</v>
          </cell>
          <cell r="DV392">
            <v>0</v>
          </cell>
          <cell r="DX392">
            <v>0</v>
          </cell>
          <cell r="DZ392">
            <v>0</v>
          </cell>
          <cell r="EB392">
            <v>0</v>
          </cell>
          <cell r="ED392">
            <v>0</v>
          </cell>
          <cell r="EF392">
            <v>0</v>
          </cell>
          <cell r="EH392">
            <v>0</v>
          </cell>
          <cell r="EJ392">
            <v>0</v>
          </cell>
          <cell r="EL392">
            <v>0</v>
          </cell>
          <cell r="EN392">
            <v>0</v>
          </cell>
          <cell r="EP392">
            <v>0</v>
          </cell>
          <cell r="ER392">
            <v>0</v>
          </cell>
          <cell r="ET392">
            <v>0</v>
          </cell>
          <cell r="EV392">
            <v>0</v>
          </cell>
          <cell r="EX392">
            <v>0</v>
          </cell>
          <cell r="EZ392">
            <v>0</v>
          </cell>
          <cell r="FB392">
            <v>0</v>
          </cell>
          <cell r="FD392">
            <v>0</v>
          </cell>
          <cell r="FF392">
            <v>0</v>
          </cell>
          <cell r="FH392">
            <v>0</v>
          </cell>
          <cell r="FJ392">
            <v>0</v>
          </cell>
          <cell r="FL392">
            <v>0</v>
          </cell>
          <cell r="FN392">
            <v>0</v>
          </cell>
          <cell r="FP392">
            <v>0</v>
          </cell>
          <cell r="FR392">
            <v>0</v>
          </cell>
          <cell r="FT392">
            <v>0</v>
          </cell>
          <cell r="FV392">
            <v>0</v>
          </cell>
          <cell r="GD392">
            <v>14</v>
          </cell>
          <cell r="GF392">
            <v>4</v>
          </cell>
          <cell r="GH392">
            <v>1</v>
          </cell>
          <cell r="GJ392">
            <v>7</v>
          </cell>
          <cell r="GM392">
            <v>260.01</v>
          </cell>
          <cell r="GN39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263.檢查勞工個人防護具：█有 □無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W392" t="str">
            <v>（一）施工廠商施工前檢查事項辦理情形：█完成 □未完成 （二）其他工地安全衛生督導事項：</v>
          </cell>
          <cell r="GX392">
            <v>853901</v>
          </cell>
          <cell r="GY392">
            <v>0</v>
          </cell>
        </row>
        <row r="393">
          <cell r="N393">
            <v>1</v>
          </cell>
          <cell r="P393">
            <v>1</v>
          </cell>
          <cell r="R393">
            <v>672</v>
          </cell>
          <cell r="T393">
            <v>108</v>
          </cell>
          <cell r="V393">
            <v>661</v>
          </cell>
          <cell r="X393">
            <v>2</v>
          </cell>
          <cell r="Z393">
            <v>1</v>
          </cell>
          <cell r="AB393">
            <v>661</v>
          </cell>
          <cell r="AD393">
            <v>2</v>
          </cell>
          <cell r="AF393">
            <v>1</v>
          </cell>
          <cell r="AH393">
            <v>1</v>
          </cell>
          <cell r="AJ393">
            <v>1</v>
          </cell>
          <cell r="AL393">
            <v>0</v>
          </cell>
          <cell r="AN393">
            <v>0</v>
          </cell>
          <cell r="AP393">
            <v>0</v>
          </cell>
          <cell r="AR393">
            <v>0</v>
          </cell>
          <cell r="AT393">
            <v>0</v>
          </cell>
          <cell r="AV393">
            <v>0</v>
          </cell>
          <cell r="AX393">
            <v>0</v>
          </cell>
          <cell r="AZ393">
            <v>0</v>
          </cell>
          <cell r="BB393">
            <v>0</v>
          </cell>
          <cell r="BD393">
            <v>0</v>
          </cell>
          <cell r="BF393">
            <v>0</v>
          </cell>
          <cell r="BH393">
            <v>0</v>
          </cell>
          <cell r="BJ393">
            <v>0</v>
          </cell>
          <cell r="BL393">
            <v>0</v>
          </cell>
          <cell r="BN393">
            <v>0</v>
          </cell>
          <cell r="BP393">
            <v>0</v>
          </cell>
          <cell r="BR393">
            <v>0</v>
          </cell>
          <cell r="BT393">
            <v>0</v>
          </cell>
          <cell r="BV393">
            <v>0</v>
          </cell>
          <cell r="BX393">
            <v>0</v>
          </cell>
          <cell r="BZ393">
            <v>0</v>
          </cell>
          <cell r="CB393">
            <v>0</v>
          </cell>
          <cell r="CD393">
            <v>0</v>
          </cell>
          <cell r="CF393">
            <v>0</v>
          </cell>
          <cell r="CH393">
            <v>0</v>
          </cell>
          <cell r="CJ393">
            <v>0</v>
          </cell>
          <cell r="CL393">
            <v>0</v>
          </cell>
          <cell r="CN393">
            <v>0</v>
          </cell>
          <cell r="CP393">
            <v>0</v>
          </cell>
          <cell r="CR393">
            <v>0</v>
          </cell>
          <cell r="CT393">
            <v>0</v>
          </cell>
          <cell r="CV393">
            <v>0</v>
          </cell>
          <cell r="CX393">
            <v>0</v>
          </cell>
          <cell r="CZ393">
            <v>0</v>
          </cell>
          <cell r="DB393">
            <v>0</v>
          </cell>
          <cell r="DD393">
            <v>0</v>
          </cell>
          <cell r="DF393">
            <v>0</v>
          </cell>
          <cell r="DH393">
            <v>0</v>
          </cell>
          <cell r="DJ393">
            <v>0</v>
          </cell>
          <cell r="DL393">
            <v>0</v>
          </cell>
          <cell r="DN393">
            <v>0</v>
          </cell>
          <cell r="DP393">
            <v>0</v>
          </cell>
          <cell r="DR393">
            <v>0</v>
          </cell>
          <cell r="DT393">
            <v>0</v>
          </cell>
          <cell r="DV393">
            <v>0</v>
          </cell>
          <cell r="DX393">
            <v>0</v>
          </cell>
          <cell r="DZ393">
            <v>0</v>
          </cell>
          <cell r="EB393">
            <v>0</v>
          </cell>
          <cell r="ED393">
            <v>0</v>
          </cell>
          <cell r="EF393">
            <v>0</v>
          </cell>
          <cell r="EH393">
            <v>0</v>
          </cell>
          <cell r="EJ393">
            <v>0</v>
          </cell>
          <cell r="EL393">
            <v>0</v>
          </cell>
          <cell r="EN393">
            <v>0</v>
          </cell>
          <cell r="EP393">
            <v>0</v>
          </cell>
          <cell r="ER393">
            <v>0</v>
          </cell>
          <cell r="ET393">
            <v>0</v>
          </cell>
          <cell r="EV393">
            <v>0</v>
          </cell>
          <cell r="EX393">
            <v>0</v>
          </cell>
          <cell r="EZ393">
            <v>0</v>
          </cell>
          <cell r="FB393">
            <v>0</v>
          </cell>
          <cell r="FD393">
            <v>0</v>
          </cell>
          <cell r="FF393">
            <v>0</v>
          </cell>
          <cell r="FH393">
            <v>0</v>
          </cell>
          <cell r="FJ393">
            <v>0</v>
          </cell>
          <cell r="FL393">
            <v>0</v>
          </cell>
          <cell r="FN393">
            <v>0</v>
          </cell>
          <cell r="FP393">
            <v>0</v>
          </cell>
          <cell r="FR393">
            <v>0</v>
          </cell>
          <cell r="FT393">
            <v>0</v>
          </cell>
          <cell r="FV393">
            <v>0</v>
          </cell>
          <cell r="GD393">
            <v>14</v>
          </cell>
          <cell r="GF393">
            <v>4</v>
          </cell>
          <cell r="GH393">
            <v>1</v>
          </cell>
          <cell r="GJ393">
            <v>7</v>
          </cell>
          <cell r="GM393">
            <v>261.01</v>
          </cell>
          <cell r="GN39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264.檢查勞工個人防護具：█有 □無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W393" t="str">
            <v>（一）施工廠商施工前檢查事項辦理情形：█完成 □未完成 （二）其他工地安全衛生督導事項：</v>
          </cell>
          <cell r="GX393">
            <v>853901</v>
          </cell>
          <cell r="GY393">
            <v>0</v>
          </cell>
        </row>
        <row r="394">
          <cell r="N394">
            <v>1</v>
          </cell>
          <cell r="P394">
            <v>1</v>
          </cell>
          <cell r="R394">
            <v>672</v>
          </cell>
          <cell r="T394">
            <v>108</v>
          </cell>
          <cell r="V394">
            <v>661</v>
          </cell>
          <cell r="X394">
            <v>2</v>
          </cell>
          <cell r="Z394">
            <v>1</v>
          </cell>
          <cell r="AB394">
            <v>661</v>
          </cell>
          <cell r="AD394">
            <v>2</v>
          </cell>
          <cell r="AF394">
            <v>1</v>
          </cell>
          <cell r="AH394">
            <v>1</v>
          </cell>
          <cell r="AJ394">
            <v>1</v>
          </cell>
          <cell r="AL394">
            <v>0</v>
          </cell>
          <cell r="AN394">
            <v>0</v>
          </cell>
          <cell r="AP394">
            <v>0</v>
          </cell>
          <cell r="AR394">
            <v>0</v>
          </cell>
          <cell r="AT394">
            <v>0</v>
          </cell>
          <cell r="AV394">
            <v>0</v>
          </cell>
          <cell r="AX394">
            <v>0</v>
          </cell>
          <cell r="AZ394">
            <v>0</v>
          </cell>
          <cell r="BB394">
            <v>0</v>
          </cell>
          <cell r="BD394">
            <v>0</v>
          </cell>
          <cell r="BF394">
            <v>0</v>
          </cell>
          <cell r="BH394">
            <v>0</v>
          </cell>
          <cell r="BJ394">
            <v>0</v>
          </cell>
          <cell r="BL394">
            <v>0</v>
          </cell>
          <cell r="BN394">
            <v>0</v>
          </cell>
          <cell r="BP394">
            <v>0</v>
          </cell>
          <cell r="BR394">
            <v>0</v>
          </cell>
          <cell r="BT394">
            <v>0</v>
          </cell>
          <cell r="BV394">
            <v>0</v>
          </cell>
          <cell r="BX394">
            <v>0</v>
          </cell>
          <cell r="BZ394">
            <v>0</v>
          </cell>
          <cell r="CB394">
            <v>0</v>
          </cell>
          <cell r="CD394">
            <v>0</v>
          </cell>
          <cell r="CF394">
            <v>0</v>
          </cell>
          <cell r="CH394">
            <v>0</v>
          </cell>
          <cell r="CJ394">
            <v>0</v>
          </cell>
          <cell r="CL394">
            <v>0</v>
          </cell>
          <cell r="CN394">
            <v>0</v>
          </cell>
          <cell r="CP394">
            <v>0</v>
          </cell>
          <cell r="CR394">
            <v>0</v>
          </cell>
          <cell r="CT394">
            <v>0</v>
          </cell>
          <cell r="CV394">
            <v>0</v>
          </cell>
          <cell r="CX394">
            <v>0</v>
          </cell>
          <cell r="CZ394">
            <v>0</v>
          </cell>
          <cell r="DB394">
            <v>0</v>
          </cell>
          <cell r="DD394">
            <v>0</v>
          </cell>
          <cell r="DF394">
            <v>0</v>
          </cell>
          <cell r="DH394">
            <v>0</v>
          </cell>
          <cell r="DJ394">
            <v>0</v>
          </cell>
          <cell r="DL394">
            <v>0</v>
          </cell>
          <cell r="DN394">
            <v>0</v>
          </cell>
          <cell r="DP394">
            <v>0</v>
          </cell>
          <cell r="DR394">
            <v>0</v>
          </cell>
          <cell r="DT394">
            <v>0</v>
          </cell>
          <cell r="DV394">
            <v>0</v>
          </cell>
          <cell r="DX394">
            <v>0</v>
          </cell>
          <cell r="DZ394">
            <v>0</v>
          </cell>
          <cell r="EB394">
            <v>0</v>
          </cell>
          <cell r="ED394">
            <v>0</v>
          </cell>
          <cell r="EF394">
            <v>0</v>
          </cell>
          <cell r="EH394">
            <v>0</v>
          </cell>
          <cell r="EJ394">
            <v>0</v>
          </cell>
          <cell r="EL394">
            <v>0</v>
          </cell>
          <cell r="EN394">
            <v>0</v>
          </cell>
          <cell r="EP394">
            <v>0</v>
          </cell>
          <cell r="ER394">
            <v>0</v>
          </cell>
          <cell r="ET394">
            <v>0</v>
          </cell>
          <cell r="EV394">
            <v>0</v>
          </cell>
          <cell r="EX394">
            <v>0</v>
          </cell>
          <cell r="EZ394">
            <v>0</v>
          </cell>
          <cell r="FB394">
            <v>0</v>
          </cell>
          <cell r="FD394">
            <v>0</v>
          </cell>
          <cell r="FF394">
            <v>0</v>
          </cell>
          <cell r="FH394">
            <v>0</v>
          </cell>
          <cell r="FJ394">
            <v>0</v>
          </cell>
          <cell r="FL394">
            <v>0</v>
          </cell>
          <cell r="FN394">
            <v>0</v>
          </cell>
          <cell r="FP394">
            <v>0</v>
          </cell>
          <cell r="FR394">
            <v>0</v>
          </cell>
          <cell r="FT394">
            <v>0</v>
          </cell>
          <cell r="FV394">
            <v>0</v>
          </cell>
          <cell r="GD394">
            <v>14</v>
          </cell>
          <cell r="GF394">
            <v>4</v>
          </cell>
          <cell r="GH394">
            <v>1</v>
          </cell>
          <cell r="GJ394">
            <v>7</v>
          </cell>
          <cell r="GM394">
            <v>262.01</v>
          </cell>
          <cell r="GN39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265.檢查勞工個人防護具：█有 □無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W394" t="str">
            <v>（一）施工廠商施工前檢查事項辦理情形：█完成 □未完成 （二）其他工地安全衛生督導事項：</v>
          </cell>
          <cell r="GX394">
            <v>853901</v>
          </cell>
          <cell r="GY394">
            <v>0</v>
          </cell>
        </row>
        <row r="395">
          <cell r="N395">
            <v>1</v>
          </cell>
          <cell r="P395">
            <v>1</v>
          </cell>
          <cell r="R395">
            <v>672</v>
          </cell>
          <cell r="T395">
            <v>108</v>
          </cell>
          <cell r="V395">
            <v>661</v>
          </cell>
          <cell r="X395">
            <v>2</v>
          </cell>
          <cell r="Z395">
            <v>1</v>
          </cell>
          <cell r="AB395">
            <v>661</v>
          </cell>
          <cell r="AD395">
            <v>2</v>
          </cell>
          <cell r="AF395">
            <v>1</v>
          </cell>
          <cell r="AH395">
            <v>1</v>
          </cell>
          <cell r="AJ395">
            <v>1</v>
          </cell>
          <cell r="AL395">
            <v>0</v>
          </cell>
          <cell r="AN395">
            <v>0</v>
          </cell>
          <cell r="AP395">
            <v>0</v>
          </cell>
          <cell r="AR395">
            <v>0</v>
          </cell>
          <cell r="AT395">
            <v>0</v>
          </cell>
          <cell r="AV395">
            <v>0</v>
          </cell>
          <cell r="AX395">
            <v>0</v>
          </cell>
          <cell r="AZ395">
            <v>0</v>
          </cell>
          <cell r="BB395">
            <v>0</v>
          </cell>
          <cell r="BD395">
            <v>0</v>
          </cell>
          <cell r="BF395">
            <v>0</v>
          </cell>
          <cell r="BH395">
            <v>0</v>
          </cell>
          <cell r="BJ395">
            <v>0</v>
          </cell>
          <cell r="BL395">
            <v>0</v>
          </cell>
          <cell r="BN395">
            <v>0</v>
          </cell>
          <cell r="BP395">
            <v>0</v>
          </cell>
          <cell r="BR395">
            <v>0</v>
          </cell>
          <cell r="BT395">
            <v>0</v>
          </cell>
          <cell r="BV395">
            <v>0</v>
          </cell>
          <cell r="BX395">
            <v>0</v>
          </cell>
          <cell r="BZ395">
            <v>0</v>
          </cell>
          <cell r="CB395">
            <v>0</v>
          </cell>
          <cell r="CD395">
            <v>0</v>
          </cell>
          <cell r="CF395">
            <v>0</v>
          </cell>
          <cell r="CH395">
            <v>0</v>
          </cell>
          <cell r="CJ395">
            <v>0</v>
          </cell>
          <cell r="CL395">
            <v>0</v>
          </cell>
          <cell r="CN395">
            <v>0</v>
          </cell>
          <cell r="CP395">
            <v>0</v>
          </cell>
          <cell r="CR395">
            <v>0</v>
          </cell>
          <cell r="CT395">
            <v>0</v>
          </cell>
          <cell r="CV395">
            <v>0</v>
          </cell>
          <cell r="CX395">
            <v>0</v>
          </cell>
          <cell r="CZ395">
            <v>0</v>
          </cell>
          <cell r="DB395">
            <v>0</v>
          </cell>
          <cell r="DD395">
            <v>0</v>
          </cell>
          <cell r="DF395">
            <v>0</v>
          </cell>
          <cell r="DH395">
            <v>0</v>
          </cell>
          <cell r="DJ395">
            <v>0</v>
          </cell>
          <cell r="DL395">
            <v>0</v>
          </cell>
          <cell r="DN395">
            <v>0</v>
          </cell>
          <cell r="DP395">
            <v>0</v>
          </cell>
          <cell r="DR395">
            <v>0</v>
          </cell>
          <cell r="DT395">
            <v>0</v>
          </cell>
          <cell r="DV395">
            <v>0</v>
          </cell>
          <cell r="DX395">
            <v>0</v>
          </cell>
          <cell r="DZ395">
            <v>0</v>
          </cell>
          <cell r="EB395">
            <v>0</v>
          </cell>
          <cell r="ED395">
            <v>0</v>
          </cell>
          <cell r="EF395">
            <v>0</v>
          </cell>
          <cell r="EH395">
            <v>0</v>
          </cell>
          <cell r="EJ395">
            <v>0</v>
          </cell>
          <cell r="EL395">
            <v>0</v>
          </cell>
          <cell r="EN395">
            <v>0</v>
          </cell>
          <cell r="EP395">
            <v>0</v>
          </cell>
          <cell r="ER395">
            <v>0</v>
          </cell>
          <cell r="ET395">
            <v>0</v>
          </cell>
          <cell r="EV395">
            <v>0</v>
          </cell>
          <cell r="EX395">
            <v>0</v>
          </cell>
          <cell r="EZ395">
            <v>0</v>
          </cell>
          <cell r="FB395">
            <v>0</v>
          </cell>
          <cell r="FD395">
            <v>0</v>
          </cell>
          <cell r="FF395">
            <v>0</v>
          </cell>
          <cell r="FH395">
            <v>0</v>
          </cell>
          <cell r="FJ395">
            <v>0</v>
          </cell>
          <cell r="FL395">
            <v>0</v>
          </cell>
          <cell r="FN395">
            <v>0</v>
          </cell>
          <cell r="FP395">
            <v>0</v>
          </cell>
          <cell r="FR395">
            <v>0</v>
          </cell>
          <cell r="FT395">
            <v>0</v>
          </cell>
          <cell r="FV395">
            <v>0</v>
          </cell>
          <cell r="GD395">
            <v>14</v>
          </cell>
          <cell r="GF395">
            <v>4</v>
          </cell>
          <cell r="GH395">
            <v>1</v>
          </cell>
          <cell r="GJ395">
            <v>7</v>
          </cell>
          <cell r="GM395">
            <v>263.01</v>
          </cell>
          <cell r="GN39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266.檢查勞工個人防護具：█有 □無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W395" t="str">
            <v>（一）施工廠商施工前檢查事項辦理情形：█完成 □未完成 （二）其他工地安全衛生督導事項：</v>
          </cell>
          <cell r="GX395">
            <v>853901</v>
          </cell>
          <cell r="GY395">
            <v>0</v>
          </cell>
        </row>
        <row r="396">
          <cell r="N396">
            <v>1</v>
          </cell>
          <cell r="P396">
            <v>1</v>
          </cell>
          <cell r="R396">
            <v>672</v>
          </cell>
          <cell r="T396">
            <v>108</v>
          </cell>
          <cell r="V396">
            <v>661</v>
          </cell>
          <cell r="X396">
            <v>2</v>
          </cell>
          <cell r="Z396">
            <v>1</v>
          </cell>
          <cell r="AB396">
            <v>661</v>
          </cell>
          <cell r="AD396">
            <v>2</v>
          </cell>
          <cell r="AF396">
            <v>1</v>
          </cell>
          <cell r="AH396">
            <v>1</v>
          </cell>
          <cell r="AJ396">
            <v>1</v>
          </cell>
          <cell r="AL396">
            <v>0</v>
          </cell>
          <cell r="AN396">
            <v>0</v>
          </cell>
          <cell r="AP396">
            <v>0</v>
          </cell>
          <cell r="AR396">
            <v>0</v>
          </cell>
          <cell r="AT396">
            <v>0</v>
          </cell>
          <cell r="AV396">
            <v>0</v>
          </cell>
          <cell r="AX396">
            <v>0</v>
          </cell>
          <cell r="AZ396">
            <v>0</v>
          </cell>
          <cell r="BB396">
            <v>0</v>
          </cell>
          <cell r="BD396">
            <v>0</v>
          </cell>
          <cell r="BF396">
            <v>0</v>
          </cell>
          <cell r="BH396">
            <v>0</v>
          </cell>
          <cell r="BJ396">
            <v>0</v>
          </cell>
          <cell r="BL396">
            <v>0</v>
          </cell>
          <cell r="BN396">
            <v>0</v>
          </cell>
          <cell r="BP396">
            <v>0</v>
          </cell>
          <cell r="BR396">
            <v>0</v>
          </cell>
          <cell r="BT396">
            <v>0</v>
          </cell>
          <cell r="BV396">
            <v>0</v>
          </cell>
          <cell r="BX396">
            <v>0</v>
          </cell>
          <cell r="BZ396">
            <v>0</v>
          </cell>
          <cell r="CB396">
            <v>0</v>
          </cell>
          <cell r="CD396">
            <v>0</v>
          </cell>
          <cell r="CF396">
            <v>0</v>
          </cell>
          <cell r="CH396">
            <v>0</v>
          </cell>
          <cell r="CJ396">
            <v>0</v>
          </cell>
          <cell r="CL396">
            <v>0</v>
          </cell>
          <cell r="CN396">
            <v>0</v>
          </cell>
          <cell r="CP396">
            <v>0</v>
          </cell>
          <cell r="CR396">
            <v>0</v>
          </cell>
          <cell r="CT396">
            <v>0</v>
          </cell>
          <cell r="CV396">
            <v>0</v>
          </cell>
          <cell r="CX396">
            <v>0</v>
          </cell>
          <cell r="CZ396">
            <v>0</v>
          </cell>
          <cell r="DB396">
            <v>0</v>
          </cell>
          <cell r="DD396">
            <v>0</v>
          </cell>
          <cell r="DF396">
            <v>0</v>
          </cell>
          <cell r="DH396">
            <v>0</v>
          </cell>
          <cell r="DJ396">
            <v>0</v>
          </cell>
          <cell r="DL396">
            <v>0</v>
          </cell>
          <cell r="DN396">
            <v>0</v>
          </cell>
          <cell r="DP396">
            <v>0</v>
          </cell>
          <cell r="DR396">
            <v>0</v>
          </cell>
          <cell r="DT396">
            <v>0</v>
          </cell>
          <cell r="DV396">
            <v>0</v>
          </cell>
          <cell r="DX396">
            <v>0</v>
          </cell>
          <cell r="DZ396">
            <v>0</v>
          </cell>
          <cell r="EB396">
            <v>0</v>
          </cell>
          <cell r="ED396">
            <v>0</v>
          </cell>
          <cell r="EF396">
            <v>0</v>
          </cell>
          <cell r="EH396">
            <v>0</v>
          </cell>
          <cell r="EJ396">
            <v>0</v>
          </cell>
          <cell r="EL396">
            <v>0</v>
          </cell>
          <cell r="EN396">
            <v>0</v>
          </cell>
          <cell r="EP396">
            <v>0</v>
          </cell>
          <cell r="ER396">
            <v>0</v>
          </cell>
          <cell r="ET396">
            <v>0</v>
          </cell>
          <cell r="EV396">
            <v>0</v>
          </cell>
          <cell r="EX396">
            <v>0</v>
          </cell>
          <cell r="EZ396">
            <v>0</v>
          </cell>
          <cell r="FB396">
            <v>0</v>
          </cell>
          <cell r="FD396">
            <v>0</v>
          </cell>
          <cell r="FF396">
            <v>0</v>
          </cell>
          <cell r="FH396">
            <v>0</v>
          </cell>
          <cell r="FJ396">
            <v>0</v>
          </cell>
          <cell r="FL396">
            <v>0</v>
          </cell>
          <cell r="FN396">
            <v>0</v>
          </cell>
          <cell r="FP396">
            <v>0</v>
          </cell>
          <cell r="FR396">
            <v>0</v>
          </cell>
          <cell r="FT396">
            <v>0</v>
          </cell>
          <cell r="FV396">
            <v>0</v>
          </cell>
          <cell r="GD396">
            <v>14</v>
          </cell>
          <cell r="GF396">
            <v>4</v>
          </cell>
          <cell r="GH396">
            <v>1</v>
          </cell>
          <cell r="GJ396">
            <v>7</v>
          </cell>
          <cell r="GM396">
            <v>264.01</v>
          </cell>
          <cell r="GN39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267.檢查勞工個人防護具：█有 □無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W396" t="str">
            <v>（一）施工廠商施工前檢查事項辦理情形：█完成 □未完成 （二）其他工地安全衛生督導事項：</v>
          </cell>
          <cell r="GX396">
            <v>853901</v>
          </cell>
          <cell r="GY396">
            <v>0</v>
          </cell>
        </row>
        <row r="397">
          <cell r="N397">
            <v>1</v>
          </cell>
          <cell r="P397">
            <v>1</v>
          </cell>
          <cell r="R397">
            <v>672</v>
          </cell>
          <cell r="T397">
            <v>108</v>
          </cell>
          <cell r="V397">
            <v>661</v>
          </cell>
          <cell r="X397">
            <v>2</v>
          </cell>
          <cell r="Z397">
            <v>1</v>
          </cell>
          <cell r="AB397">
            <v>661</v>
          </cell>
          <cell r="AD397">
            <v>2</v>
          </cell>
          <cell r="AF397">
            <v>1</v>
          </cell>
          <cell r="AH397">
            <v>1</v>
          </cell>
          <cell r="AJ397">
            <v>1</v>
          </cell>
          <cell r="AL397">
            <v>0</v>
          </cell>
          <cell r="AN397">
            <v>0</v>
          </cell>
          <cell r="AP397">
            <v>0</v>
          </cell>
          <cell r="AR397">
            <v>0</v>
          </cell>
          <cell r="AT397">
            <v>0</v>
          </cell>
          <cell r="AV397">
            <v>0</v>
          </cell>
          <cell r="AX397">
            <v>0</v>
          </cell>
          <cell r="AZ397">
            <v>0</v>
          </cell>
          <cell r="BB397">
            <v>0</v>
          </cell>
          <cell r="BD397">
            <v>0</v>
          </cell>
          <cell r="BF397">
            <v>0</v>
          </cell>
          <cell r="BH397">
            <v>0</v>
          </cell>
          <cell r="BJ397">
            <v>0</v>
          </cell>
          <cell r="BL397">
            <v>0</v>
          </cell>
          <cell r="BN397">
            <v>0</v>
          </cell>
          <cell r="BP397">
            <v>0</v>
          </cell>
          <cell r="BR397">
            <v>0</v>
          </cell>
          <cell r="BT397">
            <v>0</v>
          </cell>
          <cell r="BV397">
            <v>0</v>
          </cell>
          <cell r="BX397">
            <v>0</v>
          </cell>
          <cell r="BZ397">
            <v>0</v>
          </cell>
          <cell r="CB397">
            <v>0</v>
          </cell>
          <cell r="CD397">
            <v>0</v>
          </cell>
          <cell r="CF397">
            <v>0</v>
          </cell>
          <cell r="CH397">
            <v>0</v>
          </cell>
          <cell r="CJ397">
            <v>0</v>
          </cell>
          <cell r="CL397">
            <v>0</v>
          </cell>
          <cell r="CN397">
            <v>0</v>
          </cell>
          <cell r="CP397">
            <v>0</v>
          </cell>
          <cell r="CR397">
            <v>0</v>
          </cell>
          <cell r="CT397">
            <v>0</v>
          </cell>
          <cell r="CV397">
            <v>0</v>
          </cell>
          <cell r="CX397">
            <v>0</v>
          </cell>
          <cell r="CZ397">
            <v>0</v>
          </cell>
          <cell r="DB397">
            <v>0</v>
          </cell>
          <cell r="DD397">
            <v>0</v>
          </cell>
          <cell r="DF397">
            <v>0</v>
          </cell>
          <cell r="DH397">
            <v>0</v>
          </cell>
          <cell r="DJ397">
            <v>0</v>
          </cell>
          <cell r="DL397">
            <v>0</v>
          </cell>
          <cell r="DN397">
            <v>0</v>
          </cell>
          <cell r="DP397">
            <v>0</v>
          </cell>
          <cell r="DR397">
            <v>0</v>
          </cell>
          <cell r="DT397">
            <v>0</v>
          </cell>
          <cell r="DV397">
            <v>0</v>
          </cell>
          <cell r="DX397">
            <v>0</v>
          </cell>
          <cell r="DZ397">
            <v>0</v>
          </cell>
          <cell r="EB397">
            <v>0</v>
          </cell>
          <cell r="ED397">
            <v>0</v>
          </cell>
          <cell r="EF397">
            <v>0</v>
          </cell>
          <cell r="EH397">
            <v>0</v>
          </cell>
          <cell r="EJ397">
            <v>0</v>
          </cell>
          <cell r="EL397">
            <v>0</v>
          </cell>
          <cell r="EN397">
            <v>0</v>
          </cell>
          <cell r="EP397">
            <v>0</v>
          </cell>
          <cell r="ER397">
            <v>0</v>
          </cell>
          <cell r="ET397">
            <v>0</v>
          </cell>
          <cell r="EV397">
            <v>0</v>
          </cell>
          <cell r="EX397">
            <v>0</v>
          </cell>
          <cell r="EZ397">
            <v>0</v>
          </cell>
          <cell r="FB397">
            <v>0</v>
          </cell>
          <cell r="FD397">
            <v>0</v>
          </cell>
          <cell r="FF397">
            <v>0</v>
          </cell>
          <cell r="FH397">
            <v>0</v>
          </cell>
          <cell r="FJ397">
            <v>0</v>
          </cell>
          <cell r="FL397">
            <v>0</v>
          </cell>
          <cell r="FN397">
            <v>0</v>
          </cell>
          <cell r="FP397">
            <v>0</v>
          </cell>
          <cell r="FR397">
            <v>0</v>
          </cell>
          <cell r="FT397">
            <v>0</v>
          </cell>
          <cell r="FV397">
            <v>0</v>
          </cell>
          <cell r="GD397">
            <v>14</v>
          </cell>
          <cell r="GF397">
            <v>4</v>
          </cell>
          <cell r="GH397">
            <v>1</v>
          </cell>
          <cell r="GJ397">
            <v>7</v>
          </cell>
          <cell r="GM397">
            <v>265.01</v>
          </cell>
          <cell r="GN39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268.檢查勞工個人防護具：█有 □無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W397" t="str">
            <v>（一）施工廠商施工前檢查事項辦理情形：█完成 □未完成 （二）其他工地安全衛生督導事項：</v>
          </cell>
          <cell r="GX397">
            <v>853901</v>
          </cell>
          <cell r="GY397">
            <v>0</v>
          </cell>
        </row>
        <row r="398">
          <cell r="N398">
            <v>1</v>
          </cell>
          <cell r="P398">
            <v>1</v>
          </cell>
          <cell r="R398">
            <v>672</v>
          </cell>
          <cell r="T398">
            <v>108</v>
          </cell>
          <cell r="V398">
            <v>661</v>
          </cell>
          <cell r="X398">
            <v>2</v>
          </cell>
          <cell r="Z398">
            <v>1</v>
          </cell>
          <cell r="AB398">
            <v>661</v>
          </cell>
          <cell r="AD398">
            <v>2</v>
          </cell>
          <cell r="AF398">
            <v>1</v>
          </cell>
          <cell r="AH398">
            <v>1</v>
          </cell>
          <cell r="AJ398">
            <v>1</v>
          </cell>
          <cell r="AL398">
            <v>0</v>
          </cell>
          <cell r="AN398">
            <v>0</v>
          </cell>
          <cell r="AP398">
            <v>0</v>
          </cell>
          <cell r="AR398">
            <v>0</v>
          </cell>
          <cell r="AT398">
            <v>0</v>
          </cell>
          <cell r="AV398">
            <v>0</v>
          </cell>
          <cell r="AX398">
            <v>0</v>
          </cell>
          <cell r="AZ398">
            <v>0</v>
          </cell>
          <cell r="BB398">
            <v>0</v>
          </cell>
          <cell r="BD398">
            <v>0</v>
          </cell>
          <cell r="BF398">
            <v>0</v>
          </cell>
          <cell r="BH398">
            <v>0</v>
          </cell>
          <cell r="BJ398">
            <v>0</v>
          </cell>
          <cell r="BL398">
            <v>0</v>
          </cell>
          <cell r="BN398">
            <v>0</v>
          </cell>
          <cell r="BP398">
            <v>0</v>
          </cell>
          <cell r="BR398">
            <v>0</v>
          </cell>
          <cell r="BT398">
            <v>0</v>
          </cell>
          <cell r="BV398">
            <v>0</v>
          </cell>
          <cell r="BX398">
            <v>0</v>
          </cell>
          <cell r="BZ398">
            <v>0</v>
          </cell>
          <cell r="CB398">
            <v>0</v>
          </cell>
          <cell r="CD398">
            <v>0</v>
          </cell>
          <cell r="CF398">
            <v>0</v>
          </cell>
          <cell r="CH398">
            <v>0</v>
          </cell>
          <cell r="CJ398">
            <v>0</v>
          </cell>
          <cell r="CL398">
            <v>0</v>
          </cell>
          <cell r="CN398">
            <v>0</v>
          </cell>
          <cell r="CP398">
            <v>0</v>
          </cell>
          <cell r="CR398">
            <v>0</v>
          </cell>
          <cell r="CT398">
            <v>0</v>
          </cell>
          <cell r="CV398">
            <v>0</v>
          </cell>
          <cell r="CX398">
            <v>0</v>
          </cell>
          <cell r="CZ398">
            <v>0</v>
          </cell>
          <cell r="DB398">
            <v>0</v>
          </cell>
          <cell r="DD398">
            <v>0</v>
          </cell>
          <cell r="DF398">
            <v>0</v>
          </cell>
          <cell r="DH398">
            <v>0</v>
          </cell>
          <cell r="DJ398">
            <v>0</v>
          </cell>
          <cell r="DL398">
            <v>0</v>
          </cell>
          <cell r="DN398">
            <v>0</v>
          </cell>
          <cell r="DP398">
            <v>0</v>
          </cell>
          <cell r="DR398">
            <v>0</v>
          </cell>
          <cell r="DT398">
            <v>0</v>
          </cell>
          <cell r="DV398">
            <v>0</v>
          </cell>
          <cell r="DX398">
            <v>0</v>
          </cell>
          <cell r="DZ398">
            <v>0</v>
          </cell>
          <cell r="EB398">
            <v>0</v>
          </cell>
          <cell r="ED398">
            <v>0</v>
          </cell>
          <cell r="EF398">
            <v>0</v>
          </cell>
          <cell r="EH398">
            <v>0</v>
          </cell>
          <cell r="EJ398">
            <v>0</v>
          </cell>
          <cell r="EL398">
            <v>0</v>
          </cell>
          <cell r="EN398">
            <v>0</v>
          </cell>
          <cell r="EP398">
            <v>0</v>
          </cell>
          <cell r="ER398">
            <v>0</v>
          </cell>
          <cell r="ET398">
            <v>0</v>
          </cell>
          <cell r="EV398">
            <v>0</v>
          </cell>
          <cell r="EX398">
            <v>0</v>
          </cell>
          <cell r="EZ398">
            <v>0</v>
          </cell>
          <cell r="FB398">
            <v>0</v>
          </cell>
          <cell r="FD398">
            <v>0</v>
          </cell>
          <cell r="FF398">
            <v>0</v>
          </cell>
          <cell r="FH398">
            <v>0</v>
          </cell>
          <cell r="FJ398">
            <v>0</v>
          </cell>
          <cell r="FL398">
            <v>0</v>
          </cell>
          <cell r="FN398">
            <v>0</v>
          </cell>
          <cell r="FP398">
            <v>0</v>
          </cell>
          <cell r="FR398">
            <v>0</v>
          </cell>
          <cell r="FT398">
            <v>0</v>
          </cell>
          <cell r="FV398">
            <v>0</v>
          </cell>
          <cell r="GD398">
            <v>14</v>
          </cell>
          <cell r="GF398">
            <v>4</v>
          </cell>
          <cell r="GH398">
            <v>1</v>
          </cell>
          <cell r="GJ398">
            <v>7</v>
          </cell>
          <cell r="GM398">
            <v>266.01</v>
          </cell>
          <cell r="GN39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269.檢查勞工個人防護具：█有 □無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W398" t="str">
            <v>（一）施工廠商施工前檢查事項辦理情形：█完成 □未完成 （二）其他工地安全衛生督導事項：</v>
          </cell>
          <cell r="GX398">
            <v>853901</v>
          </cell>
          <cell r="GY398">
            <v>0</v>
          </cell>
        </row>
        <row r="399">
          <cell r="N399">
            <v>1</v>
          </cell>
          <cell r="P399">
            <v>1</v>
          </cell>
          <cell r="R399">
            <v>672</v>
          </cell>
          <cell r="T399">
            <v>108</v>
          </cell>
          <cell r="V399">
            <v>661</v>
          </cell>
          <cell r="X399">
            <v>2</v>
          </cell>
          <cell r="Z399">
            <v>1</v>
          </cell>
          <cell r="AB399">
            <v>661</v>
          </cell>
          <cell r="AD399">
            <v>2</v>
          </cell>
          <cell r="AF399">
            <v>1</v>
          </cell>
          <cell r="AH399">
            <v>1</v>
          </cell>
          <cell r="AJ399">
            <v>1</v>
          </cell>
          <cell r="AL399">
            <v>0</v>
          </cell>
          <cell r="AN399">
            <v>0</v>
          </cell>
          <cell r="AP399">
            <v>0</v>
          </cell>
          <cell r="AR399">
            <v>0</v>
          </cell>
          <cell r="AT399">
            <v>0</v>
          </cell>
          <cell r="AV399">
            <v>0</v>
          </cell>
          <cell r="AX399">
            <v>0</v>
          </cell>
          <cell r="AZ399">
            <v>0</v>
          </cell>
          <cell r="BB399">
            <v>0</v>
          </cell>
          <cell r="BD399">
            <v>0</v>
          </cell>
          <cell r="BF399">
            <v>0</v>
          </cell>
          <cell r="BH399">
            <v>0</v>
          </cell>
          <cell r="BJ399">
            <v>0</v>
          </cell>
          <cell r="BL399">
            <v>0</v>
          </cell>
          <cell r="BN399">
            <v>0</v>
          </cell>
          <cell r="BP399">
            <v>0</v>
          </cell>
          <cell r="BR399">
            <v>0</v>
          </cell>
          <cell r="BT399">
            <v>0</v>
          </cell>
          <cell r="BV399">
            <v>0</v>
          </cell>
          <cell r="BX399">
            <v>0</v>
          </cell>
          <cell r="BZ399">
            <v>0</v>
          </cell>
          <cell r="CB399">
            <v>0</v>
          </cell>
          <cell r="CD399">
            <v>0</v>
          </cell>
          <cell r="CF399">
            <v>0</v>
          </cell>
          <cell r="CH399">
            <v>0</v>
          </cell>
          <cell r="CJ399">
            <v>0</v>
          </cell>
          <cell r="CL399">
            <v>0</v>
          </cell>
          <cell r="CN399">
            <v>0</v>
          </cell>
          <cell r="CP399">
            <v>0</v>
          </cell>
          <cell r="CR399">
            <v>0</v>
          </cell>
          <cell r="CT399">
            <v>0</v>
          </cell>
          <cell r="CV399">
            <v>0</v>
          </cell>
          <cell r="CX399">
            <v>0</v>
          </cell>
          <cell r="CZ399">
            <v>0</v>
          </cell>
          <cell r="DB399">
            <v>0</v>
          </cell>
          <cell r="DD399">
            <v>0</v>
          </cell>
          <cell r="DF399">
            <v>0</v>
          </cell>
          <cell r="DH399">
            <v>0</v>
          </cell>
          <cell r="DJ399">
            <v>0</v>
          </cell>
          <cell r="DL399">
            <v>0</v>
          </cell>
          <cell r="DN399">
            <v>0</v>
          </cell>
          <cell r="DP399">
            <v>0</v>
          </cell>
          <cell r="DR399">
            <v>0</v>
          </cell>
          <cell r="DT399">
            <v>0</v>
          </cell>
          <cell r="DV399">
            <v>0</v>
          </cell>
          <cell r="DX399">
            <v>0</v>
          </cell>
          <cell r="DZ399">
            <v>0</v>
          </cell>
          <cell r="EB399">
            <v>0</v>
          </cell>
          <cell r="ED399">
            <v>0</v>
          </cell>
          <cell r="EF399">
            <v>0</v>
          </cell>
          <cell r="EH399">
            <v>0</v>
          </cell>
          <cell r="EJ399">
            <v>0</v>
          </cell>
          <cell r="EL399">
            <v>0</v>
          </cell>
          <cell r="EN399">
            <v>0</v>
          </cell>
          <cell r="EP399">
            <v>0</v>
          </cell>
          <cell r="ER399">
            <v>0</v>
          </cell>
          <cell r="ET399">
            <v>0</v>
          </cell>
          <cell r="EV399">
            <v>0</v>
          </cell>
          <cell r="EX399">
            <v>0</v>
          </cell>
          <cell r="EZ399">
            <v>0</v>
          </cell>
          <cell r="FB399">
            <v>0</v>
          </cell>
          <cell r="FD399">
            <v>0</v>
          </cell>
          <cell r="FF399">
            <v>0</v>
          </cell>
          <cell r="FH399">
            <v>0</v>
          </cell>
          <cell r="FJ399">
            <v>0</v>
          </cell>
          <cell r="FL399">
            <v>0</v>
          </cell>
          <cell r="FN399">
            <v>0</v>
          </cell>
          <cell r="FP399">
            <v>0</v>
          </cell>
          <cell r="FR399">
            <v>0</v>
          </cell>
          <cell r="FT399">
            <v>0</v>
          </cell>
          <cell r="FV399">
            <v>0</v>
          </cell>
          <cell r="GD399">
            <v>14</v>
          </cell>
          <cell r="GF399">
            <v>4</v>
          </cell>
          <cell r="GH399">
            <v>1</v>
          </cell>
          <cell r="GJ399">
            <v>7</v>
          </cell>
          <cell r="GM399">
            <v>267.01</v>
          </cell>
          <cell r="GN39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270.檢查勞工個人防護具：█有 □無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W399" t="str">
            <v>（一）施工廠商施工前檢查事項辦理情形：█完成 □未完成 （二）其他工地安全衛生督導事項：</v>
          </cell>
          <cell r="GX399">
            <v>853901</v>
          </cell>
          <cell r="GY399">
            <v>0</v>
          </cell>
        </row>
        <row r="400">
          <cell r="N400">
            <v>1</v>
          </cell>
          <cell r="P400">
            <v>1</v>
          </cell>
          <cell r="R400">
            <v>672</v>
          </cell>
          <cell r="T400">
            <v>108</v>
          </cell>
          <cell r="V400">
            <v>661</v>
          </cell>
          <cell r="X400">
            <v>2</v>
          </cell>
          <cell r="Z400">
            <v>1</v>
          </cell>
          <cell r="AB400">
            <v>661</v>
          </cell>
          <cell r="AD400">
            <v>2</v>
          </cell>
          <cell r="AF400">
            <v>1</v>
          </cell>
          <cell r="AH400">
            <v>1</v>
          </cell>
          <cell r="AJ400">
            <v>1</v>
          </cell>
          <cell r="AL400">
            <v>0</v>
          </cell>
          <cell r="AN400">
            <v>0</v>
          </cell>
          <cell r="AP400">
            <v>0</v>
          </cell>
          <cell r="AR400">
            <v>0</v>
          </cell>
          <cell r="AT400">
            <v>0</v>
          </cell>
          <cell r="AV400">
            <v>0</v>
          </cell>
          <cell r="AX400">
            <v>0</v>
          </cell>
          <cell r="AZ400">
            <v>0</v>
          </cell>
          <cell r="BB400">
            <v>0</v>
          </cell>
          <cell r="BD400">
            <v>0</v>
          </cell>
          <cell r="BF400">
            <v>0</v>
          </cell>
          <cell r="BH400">
            <v>0</v>
          </cell>
          <cell r="BJ400">
            <v>0</v>
          </cell>
          <cell r="BL400">
            <v>0</v>
          </cell>
          <cell r="BN400">
            <v>0</v>
          </cell>
          <cell r="BP400">
            <v>0</v>
          </cell>
          <cell r="BR400">
            <v>0</v>
          </cell>
          <cell r="BT400">
            <v>0</v>
          </cell>
          <cell r="BV400">
            <v>0</v>
          </cell>
          <cell r="BX400">
            <v>0</v>
          </cell>
          <cell r="BZ400">
            <v>0</v>
          </cell>
          <cell r="CB400">
            <v>0</v>
          </cell>
          <cell r="CD400">
            <v>0</v>
          </cell>
          <cell r="CF400">
            <v>0</v>
          </cell>
          <cell r="CH400">
            <v>0</v>
          </cell>
          <cell r="CJ400">
            <v>0</v>
          </cell>
          <cell r="CL400">
            <v>0</v>
          </cell>
          <cell r="CN400">
            <v>0</v>
          </cell>
          <cell r="CP400">
            <v>0</v>
          </cell>
          <cell r="CR400">
            <v>0</v>
          </cell>
          <cell r="CT400">
            <v>0</v>
          </cell>
          <cell r="CV400">
            <v>0</v>
          </cell>
          <cell r="CX400">
            <v>0</v>
          </cell>
          <cell r="CZ400">
            <v>0</v>
          </cell>
          <cell r="DB400">
            <v>0</v>
          </cell>
          <cell r="DD400">
            <v>0</v>
          </cell>
          <cell r="DF400">
            <v>0</v>
          </cell>
          <cell r="DH400">
            <v>0</v>
          </cell>
          <cell r="DJ400">
            <v>0</v>
          </cell>
          <cell r="DL400">
            <v>0</v>
          </cell>
          <cell r="DN400">
            <v>0</v>
          </cell>
          <cell r="DP400">
            <v>0</v>
          </cell>
          <cell r="DR400">
            <v>0</v>
          </cell>
          <cell r="DT400">
            <v>0</v>
          </cell>
          <cell r="DV400">
            <v>0</v>
          </cell>
          <cell r="DX400">
            <v>0</v>
          </cell>
          <cell r="DZ400">
            <v>0</v>
          </cell>
          <cell r="EB400">
            <v>0</v>
          </cell>
          <cell r="ED400">
            <v>0</v>
          </cell>
          <cell r="EF400">
            <v>0</v>
          </cell>
          <cell r="EH400">
            <v>0</v>
          </cell>
          <cell r="EJ400">
            <v>0</v>
          </cell>
          <cell r="EL400">
            <v>0</v>
          </cell>
          <cell r="EN400">
            <v>0</v>
          </cell>
          <cell r="EP400">
            <v>0</v>
          </cell>
          <cell r="ER400">
            <v>0</v>
          </cell>
          <cell r="ET400">
            <v>0</v>
          </cell>
          <cell r="EV400">
            <v>0</v>
          </cell>
          <cell r="EX400">
            <v>0</v>
          </cell>
          <cell r="EZ400">
            <v>0</v>
          </cell>
          <cell r="FB400">
            <v>0</v>
          </cell>
          <cell r="FD400">
            <v>0</v>
          </cell>
          <cell r="FF400">
            <v>0</v>
          </cell>
          <cell r="FH400">
            <v>0</v>
          </cell>
          <cell r="FJ400">
            <v>0</v>
          </cell>
          <cell r="FL400">
            <v>0</v>
          </cell>
          <cell r="FN400">
            <v>0</v>
          </cell>
          <cell r="FP400">
            <v>0</v>
          </cell>
          <cell r="FR400">
            <v>0</v>
          </cell>
          <cell r="FT400">
            <v>0</v>
          </cell>
          <cell r="FV400">
            <v>0</v>
          </cell>
          <cell r="GD400">
            <v>14</v>
          </cell>
          <cell r="GF400">
            <v>4</v>
          </cell>
          <cell r="GH400">
            <v>1</v>
          </cell>
          <cell r="GJ400">
            <v>7</v>
          </cell>
          <cell r="GM400">
            <v>268.01</v>
          </cell>
          <cell r="GN40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271.檢查勞工個人防護具：█有 □無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W400" t="str">
            <v>（一）施工廠商施工前檢查事項辦理情形：█完成 □未完成 （二）其他工地安全衛生督導事項：</v>
          </cell>
          <cell r="GX400">
            <v>853901</v>
          </cell>
          <cell r="GY400">
            <v>0</v>
          </cell>
        </row>
        <row r="401">
          <cell r="N401">
            <v>1</v>
          </cell>
          <cell r="P401">
            <v>1</v>
          </cell>
          <cell r="R401">
            <v>672</v>
          </cell>
          <cell r="T401">
            <v>108</v>
          </cell>
          <cell r="V401">
            <v>661</v>
          </cell>
          <cell r="X401">
            <v>2</v>
          </cell>
          <cell r="Z401">
            <v>1</v>
          </cell>
          <cell r="AB401">
            <v>661</v>
          </cell>
          <cell r="AD401">
            <v>2</v>
          </cell>
          <cell r="AF401">
            <v>1</v>
          </cell>
          <cell r="AH401">
            <v>1</v>
          </cell>
          <cell r="AJ401">
            <v>1</v>
          </cell>
          <cell r="AL401">
            <v>0</v>
          </cell>
          <cell r="AN401">
            <v>0</v>
          </cell>
          <cell r="AP401">
            <v>0</v>
          </cell>
          <cell r="AR401">
            <v>0</v>
          </cell>
          <cell r="AT401">
            <v>0</v>
          </cell>
          <cell r="AV401">
            <v>0</v>
          </cell>
          <cell r="AX401">
            <v>0</v>
          </cell>
          <cell r="AZ401">
            <v>0</v>
          </cell>
          <cell r="BB401">
            <v>0</v>
          </cell>
          <cell r="BD401">
            <v>0</v>
          </cell>
          <cell r="BF401">
            <v>0</v>
          </cell>
          <cell r="BH401">
            <v>0</v>
          </cell>
          <cell r="BJ401">
            <v>0</v>
          </cell>
          <cell r="BL401">
            <v>0</v>
          </cell>
          <cell r="BN401">
            <v>0</v>
          </cell>
          <cell r="BP401">
            <v>0</v>
          </cell>
          <cell r="BR401">
            <v>0</v>
          </cell>
          <cell r="BT401">
            <v>0</v>
          </cell>
          <cell r="BV401">
            <v>0</v>
          </cell>
          <cell r="BX401">
            <v>0</v>
          </cell>
          <cell r="BZ401">
            <v>0</v>
          </cell>
          <cell r="CB401">
            <v>0</v>
          </cell>
          <cell r="CD401">
            <v>0</v>
          </cell>
          <cell r="CF401">
            <v>0</v>
          </cell>
          <cell r="CH401">
            <v>0</v>
          </cell>
          <cell r="CJ401">
            <v>0</v>
          </cell>
          <cell r="CL401">
            <v>0</v>
          </cell>
          <cell r="CN401">
            <v>0</v>
          </cell>
          <cell r="CP401">
            <v>0</v>
          </cell>
          <cell r="CR401">
            <v>0</v>
          </cell>
          <cell r="CT401">
            <v>0</v>
          </cell>
          <cell r="CV401">
            <v>0</v>
          </cell>
          <cell r="CX401">
            <v>0</v>
          </cell>
          <cell r="CZ401">
            <v>0</v>
          </cell>
          <cell r="DB401">
            <v>0</v>
          </cell>
          <cell r="DD401">
            <v>0</v>
          </cell>
          <cell r="DF401">
            <v>0</v>
          </cell>
          <cell r="DH401">
            <v>0</v>
          </cell>
          <cell r="DJ401">
            <v>0</v>
          </cell>
          <cell r="DL401">
            <v>0</v>
          </cell>
          <cell r="DN401">
            <v>0</v>
          </cell>
          <cell r="DP401">
            <v>0</v>
          </cell>
          <cell r="DR401">
            <v>0</v>
          </cell>
          <cell r="DT401">
            <v>0</v>
          </cell>
          <cell r="DV401">
            <v>0</v>
          </cell>
          <cell r="DX401">
            <v>0</v>
          </cell>
          <cell r="DZ401">
            <v>0</v>
          </cell>
          <cell r="EB401">
            <v>0</v>
          </cell>
          <cell r="ED401">
            <v>0</v>
          </cell>
          <cell r="EF401">
            <v>0</v>
          </cell>
          <cell r="EH401">
            <v>0</v>
          </cell>
          <cell r="EJ401">
            <v>0</v>
          </cell>
          <cell r="EL401">
            <v>0</v>
          </cell>
          <cell r="EN401">
            <v>0</v>
          </cell>
          <cell r="EP401">
            <v>0</v>
          </cell>
          <cell r="ER401">
            <v>0</v>
          </cell>
          <cell r="ET401">
            <v>0</v>
          </cell>
          <cell r="EV401">
            <v>0</v>
          </cell>
          <cell r="EX401">
            <v>0</v>
          </cell>
          <cell r="EZ401">
            <v>0</v>
          </cell>
          <cell r="FB401">
            <v>0</v>
          </cell>
          <cell r="FD401">
            <v>0</v>
          </cell>
          <cell r="FF401">
            <v>0</v>
          </cell>
          <cell r="FH401">
            <v>0</v>
          </cell>
          <cell r="FJ401">
            <v>0</v>
          </cell>
          <cell r="FL401">
            <v>0</v>
          </cell>
          <cell r="FN401">
            <v>0</v>
          </cell>
          <cell r="FP401">
            <v>0</v>
          </cell>
          <cell r="FR401">
            <v>0</v>
          </cell>
          <cell r="FT401">
            <v>0</v>
          </cell>
          <cell r="FV401">
            <v>0</v>
          </cell>
          <cell r="GD401">
            <v>14</v>
          </cell>
          <cell r="GF401">
            <v>4</v>
          </cell>
          <cell r="GH401">
            <v>1</v>
          </cell>
          <cell r="GJ401">
            <v>7</v>
          </cell>
          <cell r="GM401">
            <v>269.01</v>
          </cell>
          <cell r="GN40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272.檢查勞工個人防護具：█有 □無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W401" t="str">
            <v>（一）施工廠商施工前檢查事項辦理情形：█完成 □未完成 （二）其他工地安全衛生督導事項：</v>
          </cell>
          <cell r="GX401">
            <v>853901</v>
          </cell>
          <cell r="GY401">
            <v>0</v>
          </cell>
        </row>
        <row r="402">
          <cell r="N402">
            <v>1</v>
          </cell>
          <cell r="P402">
            <v>1</v>
          </cell>
          <cell r="R402">
            <v>672</v>
          </cell>
          <cell r="T402">
            <v>108</v>
          </cell>
          <cell r="V402">
            <v>661</v>
          </cell>
          <cell r="X402">
            <v>2</v>
          </cell>
          <cell r="Z402">
            <v>1</v>
          </cell>
          <cell r="AB402">
            <v>661</v>
          </cell>
          <cell r="AD402">
            <v>2</v>
          </cell>
          <cell r="AF402">
            <v>1</v>
          </cell>
          <cell r="AH402">
            <v>1</v>
          </cell>
          <cell r="AJ402">
            <v>1</v>
          </cell>
          <cell r="AL402">
            <v>0</v>
          </cell>
          <cell r="AN402">
            <v>0</v>
          </cell>
          <cell r="AP402">
            <v>0</v>
          </cell>
          <cell r="AR402">
            <v>0</v>
          </cell>
          <cell r="AT402">
            <v>0</v>
          </cell>
          <cell r="AV402">
            <v>0</v>
          </cell>
          <cell r="AX402">
            <v>0</v>
          </cell>
          <cell r="AZ402">
            <v>0</v>
          </cell>
          <cell r="BB402">
            <v>0</v>
          </cell>
          <cell r="BD402">
            <v>0</v>
          </cell>
          <cell r="BF402">
            <v>0</v>
          </cell>
          <cell r="BH402">
            <v>0</v>
          </cell>
          <cell r="BJ402">
            <v>0</v>
          </cell>
          <cell r="BL402">
            <v>0</v>
          </cell>
          <cell r="BN402">
            <v>0</v>
          </cell>
          <cell r="BP402">
            <v>0</v>
          </cell>
          <cell r="BR402">
            <v>0</v>
          </cell>
          <cell r="BT402">
            <v>0</v>
          </cell>
          <cell r="BV402">
            <v>0</v>
          </cell>
          <cell r="BX402">
            <v>0</v>
          </cell>
          <cell r="BZ402">
            <v>0</v>
          </cell>
          <cell r="CB402">
            <v>0</v>
          </cell>
          <cell r="CD402">
            <v>0</v>
          </cell>
          <cell r="CF402">
            <v>0</v>
          </cell>
          <cell r="CH402">
            <v>0</v>
          </cell>
          <cell r="CJ402">
            <v>0</v>
          </cell>
          <cell r="CL402">
            <v>0</v>
          </cell>
          <cell r="CN402">
            <v>0</v>
          </cell>
          <cell r="CP402">
            <v>0</v>
          </cell>
          <cell r="CR402">
            <v>0</v>
          </cell>
          <cell r="CT402">
            <v>0</v>
          </cell>
          <cell r="CV402">
            <v>0</v>
          </cell>
          <cell r="CX402">
            <v>0</v>
          </cell>
          <cell r="CZ402">
            <v>0</v>
          </cell>
          <cell r="DB402">
            <v>0</v>
          </cell>
          <cell r="DD402">
            <v>0</v>
          </cell>
          <cell r="DF402">
            <v>0</v>
          </cell>
          <cell r="DH402">
            <v>0</v>
          </cell>
          <cell r="DJ402">
            <v>0</v>
          </cell>
          <cell r="DL402">
            <v>0</v>
          </cell>
          <cell r="DN402">
            <v>0</v>
          </cell>
          <cell r="DP402">
            <v>0</v>
          </cell>
          <cell r="DR402">
            <v>0</v>
          </cell>
          <cell r="DT402">
            <v>0</v>
          </cell>
          <cell r="DV402">
            <v>0</v>
          </cell>
          <cell r="DX402">
            <v>0</v>
          </cell>
          <cell r="DZ402">
            <v>0</v>
          </cell>
          <cell r="EB402">
            <v>0</v>
          </cell>
          <cell r="ED402">
            <v>0</v>
          </cell>
          <cell r="EF402">
            <v>0</v>
          </cell>
          <cell r="EH402">
            <v>0</v>
          </cell>
          <cell r="EJ402">
            <v>0</v>
          </cell>
          <cell r="EL402">
            <v>0</v>
          </cell>
          <cell r="EN402">
            <v>0</v>
          </cell>
          <cell r="EP402">
            <v>0</v>
          </cell>
          <cell r="ER402">
            <v>0</v>
          </cell>
          <cell r="ET402">
            <v>0</v>
          </cell>
          <cell r="EV402">
            <v>0</v>
          </cell>
          <cell r="EX402">
            <v>0</v>
          </cell>
          <cell r="EZ402">
            <v>0</v>
          </cell>
          <cell r="FB402">
            <v>0</v>
          </cell>
          <cell r="FD402">
            <v>0</v>
          </cell>
          <cell r="FF402">
            <v>0</v>
          </cell>
          <cell r="FH402">
            <v>0</v>
          </cell>
          <cell r="FJ402">
            <v>0</v>
          </cell>
          <cell r="FL402">
            <v>0</v>
          </cell>
          <cell r="FN402">
            <v>0</v>
          </cell>
          <cell r="FP402">
            <v>0</v>
          </cell>
          <cell r="FR402">
            <v>0</v>
          </cell>
          <cell r="FT402">
            <v>0</v>
          </cell>
          <cell r="FV402">
            <v>0</v>
          </cell>
          <cell r="GD402">
            <v>14</v>
          </cell>
          <cell r="GF402">
            <v>4</v>
          </cell>
          <cell r="GH402">
            <v>1</v>
          </cell>
          <cell r="GJ402">
            <v>7</v>
          </cell>
          <cell r="GM402">
            <v>270.01</v>
          </cell>
          <cell r="GN40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273.檢查勞工個人防護具：█有 □無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W402" t="str">
            <v>（一）施工廠商施工前檢查事項辦理情形：█完成 □未完成 （二）其他工地安全衛生督導事項：</v>
          </cell>
          <cell r="GX402">
            <v>853901</v>
          </cell>
          <cell r="GY402">
            <v>0</v>
          </cell>
        </row>
        <row r="403">
          <cell r="N403">
            <v>1</v>
          </cell>
          <cell r="P403">
            <v>1</v>
          </cell>
          <cell r="R403">
            <v>672</v>
          </cell>
          <cell r="T403">
            <v>108</v>
          </cell>
          <cell r="V403">
            <v>661</v>
          </cell>
          <cell r="X403">
            <v>2</v>
          </cell>
          <cell r="Z403">
            <v>1</v>
          </cell>
          <cell r="AB403">
            <v>661</v>
          </cell>
          <cell r="AD403">
            <v>2</v>
          </cell>
          <cell r="AF403">
            <v>1</v>
          </cell>
          <cell r="AH403">
            <v>1</v>
          </cell>
          <cell r="AJ403">
            <v>1</v>
          </cell>
          <cell r="AL403">
            <v>0</v>
          </cell>
          <cell r="AN403">
            <v>0</v>
          </cell>
          <cell r="AP403">
            <v>0</v>
          </cell>
          <cell r="AR403">
            <v>0</v>
          </cell>
          <cell r="AT403">
            <v>0</v>
          </cell>
          <cell r="AV403">
            <v>0</v>
          </cell>
          <cell r="AX403">
            <v>0</v>
          </cell>
          <cell r="AZ403">
            <v>0</v>
          </cell>
          <cell r="BB403">
            <v>0</v>
          </cell>
          <cell r="BD403">
            <v>0</v>
          </cell>
          <cell r="BF403">
            <v>0</v>
          </cell>
          <cell r="BH403">
            <v>0</v>
          </cell>
          <cell r="BJ403">
            <v>0</v>
          </cell>
          <cell r="BL403">
            <v>0</v>
          </cell>
          <cell r="BN403">
            <v>0</v>
          </cell>
          <cell r="BP403">
            <v>0</v>
          </cell>
          <cell r="BR403">
            <v>0</v>
          </cell>
          <cell r="BT403">
            <v>0</v>
          </cell>
          <cell r="BV403">
            <v>0</v>
          </cell>
          <cell r="BX403">
            <v>0</v>
          </cell>
          <cell r="BZ403">
            <v>0</v>
          </cell>
          <cell r="CB403">
            <v>0</v>
          </cell>
          <cell r="CD403">
            <v>0</v>
          </cell>
          <cell r="CF403">
            <v>0</v>
          </cell>
          <cell r="CH403">
            <v>0</v>
          </cell>
          <cell r="CJ403">
            <v>0</v>
          </cell>
          <cell r="CL403">
            <v>0</v>
          </cell>
          <cell r="CN403">
            <v>0</v>
          </cell>
          <cell r="CP403">
            <v>0</v>
          </cell>
          <cell r="CR403">
            <v>0</v>
          </cell>
          <cell r="CT403">
            <v>0</v>
          </cell>
          <cell r="CV403">
            <v>0</v>
          </cell>
          <cell r="CX403">
            <v>0</v>
          </cell>
          <cell r="CZ403">
            <v>0</v>
          </cell>
          <cell r="DB403">
            <v>0</v>
          </cell>
          <cell r="DD403">
            <v>0</v>
          </cell>
          <cell r="DF403">
            <v>0</v>
          </cell>
          <cell r="DH403">
            <v>0</v>
          </cell>
          <cell r="DJ403">
            <v>0</v>
          </cell>
          <cell r="DL403">
            <v>0</v>
          </cell>
          <cell r="DN403">
            <v>0</v>
          </cell>
          <cell r="DP403">
            <v>0</v>
          </cell>
          <cell r="DR403">
            <v>0</v>
          </cell>
          <cell r="DT403">
            <v>0</v>
          </cell>
          <cell r="DV403">
            <v>0</v>
          </cell>
          <cell r="DX403">
            <v>0</v>
          </cell>
          <cell r="DZ403">
            <v>0</v>
          </cell>
          <cell r="EB403">
            <v>0</v>
          </cell>
          <cell r="ED403">
            <v>0</v>
          </cell>
          <cell r="EF403">
            <v>0</v>
          </cell>
          <cell r="EH403">
            <v>0</v>
          </cell>
          <cell r="EJ403">
            <v>0</v>
          </cell>
          <cell r="EL403">
            <v>0</v>
          </cell>
          <cell r="EN403">
            <v>0</v>
          </cell>
          <cell r="EP403">
            <v>0</v>
          </cell>
          <cell r="ER403">
            <v>0</v>
          </cell>
          <cell r="ET403">
            <v>0</v>
          </cell>
          <cell r="EV403">
            <v>0</v>
          </cell>
          <cell r="EX403">
            <v>0</v>
          </cell>
          <cell r="EZ403">
            <v>0</v>
          </cell>
          <cell r="FB403">
            <v>0</v>
          </cell>
          <cell r="FD403">
            <v>0</v>
          </cell>
          <cell r="FF403">
            <v>0</v>
          </cell>
          <cell r="FH403">
            <v>0</v>
          </cell>
          <cell r="FJ403">
            <v>0</v>
          </cell>
          <cell r="FL403">
            <v>0</v>
          </cell>
          <cell r="FN403">
            <v>0</v>
          </cell>
          <cell r="FP403">
            <v>0</v>
          </cell>
          <cell r="FR403">
            <v>0</v>
          </cell>
          <cell r="FT403">
            <v>0</v>
          </cell>
          <cell r="FV403">
            <v>0</v>
          </cell>
          <cell r="GD403">
            <v>14</v>
          </cell>
          <cell r="GF403">
            <v>4</v>
          </cell>
          <cell r="GH403">
            <v>1</v>
          </cell>
          <cell r="GJ403">
            <v>7</v>
          </cell>
          <cell r="GM403">
            <v>271.01</v>
          </cell>
          <cell r="GN40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274.檢查勞工個人防護具：█有 □無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W403" t="str">
            <v>（一）施工廠商施工前檢查事項辦理情形：█完成 □未完成 （二）其他工地安全衛生督導事項：</v>
          </cell>
          <cell r="GX403">
            <v>853901</v>
          </cell>
          <cell r="GY403">
            <v>0</v>
          </cell>
        </row>
        <row r="404">
          <cell r="N404">
            <v>1</v>
          </cell>
          <cell r="P404">
            <v>1</v>
          </cell>
          <cell r="R404">
            <v>672</v>
          </cell>
          <cell r="T404">
            <v>108</v>
          </cell>
          <cell r="V404">
            <v>661</v>
          </cell>
          <cell r="X404">
            <v>2</v>
          </cell>
          <cell r="Z404">
            <v>1</v>
          </cell>
          <cell r="AB404">
            <v>661</v>
          </cell>
          <cell r="AD404">
            <v>2</v>
          </cell>
          <cell r="AF404">
            <v>1</v>
          </cell>
          <cell r="AH404">
            <v>1</v>
          </cell>
          <cell r="AJ404">
            <v>1</v>
          </cell>
          <cell r="AL404">
            <v>0</v>
          </cell>
          <cell r="AN404">
            <v>0</v>
          </cell>
          <cell r="AP404">
            <v>0</v>
          </cell>
          <cell r="AR404">
            <v>0</v>
          </cell>
          <cell r="AT404">
            <v>0</v>
          </cell>
          <cell r="AV404">
            <v>0</v>
          </cell>
          <cell r="AX404">
            <v>0</v>
          </cell>
          <cell r="AZ404">
            <v>0</v>
          </cell>
          <cell r="BB404">
            <v>0</v>
          </cell>
          <cell r="BD404">
            <v>0</v>
          </cell>
          <cell r="BF404">
            <v>0</v>
          </cell>
          <cell r="BH404">
            <v>0</v>
          </cell>
          <cell r="BJ404">
            <v>0</v>
          </cell>
          <cell r="BL404">
            <v>0</v>
          </cell>
          <cell r="BN404">
            <v>0</v>
          </cell>
          <cell r="BP404">
            <v>0</v>
          </cell>
          <cell r="BR404">
            <v>0</v>
          </cell>
          <cell r="BT404">
            <v>0</v>
          </cell>
          <cell r="BV404">
            <v>0</v>
          </cell>
          <cell r="BX404">
            <v>0</v>
          </cell>
          <cell r="BZ404">
            <v>0</v>
          </cell>
          <cell r="CB404">
            <v>0</v>
          </cell>
          <cell r="CD404">
            <v>0</v>
          </cell>
          <cell r="CF404">
            <v>0</v>
          </cell>
          <cell r="CH404">
            <v>0</v>
          </cell>
          <cell r="CJ404">
            <v>0</v>
          </cell>
          <cell r="CL404">
            <v>0</v>
          </cell>
          <cell r="CN404">
            <v>0</v>
          </cell>
          <cell r="CP404">
            <v>0</v>
          </cell>
          <cell r="CR404">
            <v>0</v>
          </cell>
          <cell r="CT404">
            <v>0</v>
          </cell>
          <cell r="CV404">
            <v>0</v>
          </cell>
          <cell r="CX404">
            <v>0</v>
          </cell>
          <cell r="CZ404">
            <v>0</v>
          </cell>
          <cell r="DB404">
            <v>0</v>
          </cell>
          <cell r="DD404">
            <v>0</v>
          </cell>
          <cell r="DF404">
            <v>0</v>
          </cell>
          <cell r="DH404">
            <v>0</v>
          </cell>
          <cell r="DJ404">
            <v>0</v>
          </cell>
          <cell r="DL404">
            <v>0</v>
          </cell>
          <cell r="DN404">
            <v>0</v>
          </cell>
          <cell r="DP404">
            <v>0</v>
          </cell>
          <cell r="DR404">
            <v>0</v>
          </cell>
          <cell r="DT404">
            <v>0</v>
          </cell>
          <cell r="DV404">
            <v>0</v>
          </cell>
          <cell r="DX404">
            <v>0</v>
          </cell>
          <cell r="DZ404">
            <v>0</v>
          </cell>
          <cell r="EB404">
            <v>0</v>
          </cell>
          <cell r="ED404">
            <v>0</v>
          </cell>
          <cell r="EF404">
            <v>0</v>
          </cell>
          <cell r="EH404">
            <v>0</v>
          </cell>
          <cell r="EJ404">
            <v>0</v>
          </cell>
          <cell r="EL404">
            <v>0</v>
          </cell>
          <cell r="EN404">
            <v>0</v>
          </cell>
          <cell r="EP404">
            <v>0</v>
          </cell>
          <cell r="ER404">
            <v>0</v>
          </cell>
          <cell r="ET404">
            <v>0</v>
          </cell>
          <cell r="EV404">
            <v>0</v>
          </cell>
          <cell r="EX404">
            <v>0</v>
          </cell>
          <cell r="EZ404">
            <v>0</v>
          </cell>
          <cell r="FB404">
            <v>0</v>
          </cell>
          <cell r="FD404">
            <v>0</v>
          </cell>
          <cell r="FF404">
            <v>0</v>
          </cell>
          <cell r="FH404">
            <v>0</v>
          </cell>
          <cell r="FJ404">
            <v>0</v>
          </cell>
          <cell r="FL404">
            <v>0</v>
          </cell>
          <cell r="FN404">
            <v>0</v>
          </cell>
          <cell r="FP404">
            <v>0</v>
          </cell>
          <cell r="FR404">
            <v>0</v>
          </cell>
          <cell r="FT404">
            <v>0</v>
          </cell>
          <cell r="FV404">
            <v>0</v>
          </cell>
          <cell r="GD404">
            <v>14</v>
          </cell>
          <cell r="GF404">
            <v>4</v>
          </cell>
          <cell r="GH404">
            <v>1</v>
          </cell>
          <cell r="GJ404">
            <v>7</v>
          </cell>
          <cell r="GM404">
            <v>272.01</v>
          </cell>
          <cell r="GN40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275.檢查勞工個人防護具：█有 □無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W404" t="str">
            <v>（一）施工廠商施工前檢查事項辦理情形：█完成 □未完成 （二）其他工地安全衛生督導事項：</v>
          </cell>
          <cell r="GX404">
            <v>853901</v>
          </cell>
          <cell r="GY404">
            <v>0</v>
          </cell>
        </row>
        <row r="405">
          <cell r="N405">
            <v>1</v>
          </cell>
          <cell r="P405">
            <v>1</v>
          </cell>
          <cell r="R405">
            <v>672</v>
          </cell>
          <cell r="T405">
            <v>108</v>
          </cell>
          <cell r="V405">
            <v>661</v>
          </cell>
          <cell r="X405">
            <v>2</v>
          </cell>
          <cell r="Z405">
            <v>1</v>
          </cell>
          <cell r="AB405">
            <v>661</v>
          </cell>
          <cell r="AD405">
            <v>2</v>
          </cell>
          <cell r="AF405">
            <v>1</v>
          </cell>
          <cell r="AH405">
            <v>1</v>
          </cell>
          <cell r="AJ405">
            <v>1</v>
          </cell>
          <cell r="AL405">
            <v>0</v>
          </cell>
          <cell r="AN405">
            <v>0</v>
          </cell>
          <cell r="AP405">
            <v>0</v>
          </cell>
          <cell r="AR405">
            <v>0</v>
          </cell>
          <cell r="AT405">
            <v>0</v>
          </cell>
          <cell r="AV405">
            <v>0</v>
          </cell>
          <cell r="AX405">
            <v>0</v>
          </cell>
          <cell r="AZ405">
            <v>0</v>
          </cell>
          <cell r="BB405">
            <v>0</v>
          </cell>
          <cell r="BD405">
            <v>0</v>
          </cell>
          <cell r="BF405">
            <v>0</v>
          </cell>
          <cell r="BH405">
            <v>0</v>
          </cell>
          <cell r="BJ405">
            <v>0</v>
          </cell>
          <cell r="BL405">
            <v>0</v>
          </cell>
          <cell r="BN405">
            <v>0</v>
          </cell>
          <cell r="BP405">
            <v>0</v>
          </cell>
          <cell r="BR405">
            <v>0</v>
          </cell>
          <cell r="BT405">
            <v>0</v>
          </cell>
          <cell r="BV405">
            <v>0</v>
          </cell>
          <cell r="BX405">
            <v>0</v>
          </cell>
          <cell r="BZ405">
            <v>0</v>
          </cell>
          <cell r="CB405">
            <v>0</v>
          </cell>
          <cell r="CD405">
            <v>0</v>
          </cell>
          <cell r="CF405">
            <v>0</v>
          </cell>
          <cell r="CH405">
            <v>0</v>
          </cell>
          <cell r="CJ405">
            <v>0</v>
          </cell>
          <cell r="CL405">
            <v>0</v>
          </cell>
          <cell r="CN405">
            <v>0</v>
          </cell>
          <cell r="CP405">
            <v>0</v>
          </cell>
          <cell r="CR405">
            <v>0</v>
          </cell>
          <cell r="CT405">
            <v>0</v>
          </cell>
          <cell r="CV405">
            <v>0</v>
          </cell>
          <cell r="CX405">
            <v>0</v>
          </cell>
          <cell r="CZ405">
            <v>0</v>
          </cell>
          <cell r="DB405">
            <v>0</v>
          </cell>
          <cell r="DD405">
            <v>0</v>
          </cell>
          <cell r="DF405">
            <v>0</v>
          </cell>
          <cell r="DH405">
            <v>0</v>
          </cell>
          <cell r="DJ405">
            <v>0</v>
          </cell>
          <cell r="DL405">
            <v>0</v>
          </cell>
          <cell r="DN405">
            <v>0</v>
          </cell>
          <cell r="DP405">
            <v>0</v>
          </cell>
          <cell r="DR405">
            <v>0</v>
          </cell>
          <cell r="DT405">
            <v>0</v>
          </cell>
          <cell r="DV405">
            <v>0</v>
          </cell>
          <cell r="DX405">
            <v>0</v>
          </cell>
          <cell r="DZ405">
            <v>0</v>
          </cell>
          <cell r="EB405">
            <v>0</v>
          </cell>
          <cell r="ED405">
            <v>0</v>
          </cell>
          <cell r="EF405">
            <v>0</v>
          </cell>
          <cell r="EH405">
            <v>0</v>
          </cell>
          <cell r="EJ405">
            <v>0</v>
          </cell>
          <cell r="EL405">
            <v>0</v>
          </cell>
          <cell r="EN405">
            <v>0</v>
          </cell>
          <cell r="EP405">
            <v>0</v>
          </cell>
          <cell r="ER405">
            <v>0</v>
          </cell>
          <cell r="ET405">
            <v>0</v>
          </cell>
          <cell r="EV405">
            <v>0</v>
          </cell>
          <cell r="EX405">
            <v>0</v>
          </cell>
          <cell r="EZ405">
            <v>0</v>
          </cell>
          <cell r="FB405">
            <v>0</v>
          </cell>
          <cell r="FD405">
            <v>0</v>
          </cell>
          <cell r="FF405">
            <v>0</v>
          </cell>
          <cell r="FH405">
            <v>0</v>
          </cell>
          <cell r="FJ405">
            <v>0</v>
          </cell>
          <cell r="FL405">
            <v>0</v>
          </cell>
          <cell r="FN405">
            <v>0</v>
          </cell>
          <cell r="FP405">
            <v>0</v>
          </cell>
          <cell r="FR405">
            <v>0</v>
          </cell>
          <cell r="FT405">
            <v>0</v>
          </cell>
          <cell r="FV405">
            <v>0</v>
          </cell>
          <cell r="GD405">
            <v>14</v>
          </cell>
          <cell r="GF405">
            <v>4</v>
          </cell>
          <cell r="GH405">
            <v>1</v>
          </cell>
          <cell r="GJ405">
            <v>7</v>
          </cell>
          <cell r="GM405">
            <v>273.01</v>
          </cell>
          <cell r="GN40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276.檢查勞工個人防護具：█有 □無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W405" t="str">
            <v>（一）施工廠商施工前檢查事項辦理情形：█完成 □未完成 （二）其他工地安全衛生督導事項：</v>
          </cell>
          <cell r="GX405">
            <v>853901</v>
          </cell>
          <cell r="GY405">
            <v>0</v>
          </cell>
        </row>
        <row r="406">
          <cell r="N406">
            <v>1</v>
          </cell>
          <cell r="P406">
            <v>1</v>
          </cell>
          <cell r="R406">
            <v>672</v>
          </cell>
          <cell r="T406">
            <v>108</v>
          </cell>
          <cell r="V406">
            <v>661</v>
          </cell>
          <cell r="X406">
            <v>2</v>
          </cell>
          <cell r="Z406">
            <v>1</v>
          </cell>
          <cell r="AB406">
            <v>661</v>
          </cell>
          <cell r="AD406">
            <v>2</v>
          </cell>
          <cell r="AF406">
            <v>1</v>
          </cell>
          <cell r="AH406">
            <v>1</v>
          </cell>
          <cell r="AJ406">
            <v>1</v>
          </cell>
          <cell r="AL406">
            <v>0</v>
          </cell>
          <cell r="AN406">
            <v>0</v>
          </cell>
          <cell r="AP406">
            <v>0</v>
          </cell>
          <cell r="AR406">
            <v>0</v>
          </cell>
          <cell r="AT406">
            <v>0</v>
          </cell>
          <cell r="AV406">
            <v>0</v>
          </cell>
          <cell r="AX406">
            <v>0</v>
          </cell>
          <cell r="AZ406">
            <v>0</v>
          </cell>
          <cell r="BB406">
            <v>0</v>
          </cell>
          <cell r="BD406">
            <v>0</v>
          </cell>
          <cell r="BF406">
            <v>0</v>
          </cell>
          <cell r="BH406">
            <v>0</v>
          </cell>
          <cell r="BJ406">
            <v>0</v>
          </cell>
          <cell r="BL406">
            <v>0</v>
          </cell>
          <cell r="BN406">
            <v>0</v>
          </cell>
          <cell r="BP406">
            <v>0</v>
          </cell>
          <cell r="BR406">
            <v>0</v>
          </cell>
          <cell r="BT406">
            <v>0</v>
          </cell>
          <cell r="BV406">
            <v>0</v>
          </cell>
          <cell r="BX406">
            <v>0</v>
          </cell>
          <cell r="BZ406">
            <v>0</v>
          </cell>
          <cell r="CB406">
            <v>0</v>
          </cell>
          <cell r="CD406">
            <v>0</v>
          </cell>
          <cell r="CF406">
            <v>0</v>
          </cell>
          <cell r="CH406">
            <v>0</v>
          </cell>
          <cell r="CJ406">
            <v>0</v>
          </cell>
          <cell r="CL406">
            <v>0</v>
          </cell>
          <cell r="CN406">
            <v>0</v>
          </cell>
          <cell r="CP406">
            <v>0</v>
          </cell>
          <cell r="CR406">
            <v>0</v>
          </cell>
          <cell r="CT406">
            <v>0</v>
          </cell>
          <cell r="CV406">
            <v>0</v>
          </cell>
          <cell r="CX406">
            <v>0</v>
          </cell>
          <cell r="CZ406">
            <v>0</v>
          </cell>
          <cell r="DB406">
            <v>0</v>
          </cell>
          <cell r="DD406">
            <v>0</v>
          </cell>
          <cell r="DF406">
            <v>0</v>
          </cell>
          <cell r="DH406">
            <v>0</v>
          </cell>
          <cell r="DJ406">
            <v>0</v>
          </cell>
          <cell r="DL406">
            <v>0</v>
          </cell>
          <cell r="DN406">
            <v>0</v>
          </cell>
          <cell r="DP406">
            <v>0</v>
          </cell>
          <cell r="DR406">
            <v>0</v>
          </cell>
          <cell r="DT406">
            <v>0</v>
          </cell>
          <cell r="DV406">
            <v>0</v>
          </cell>
          <cell r="DX406">
            <v>0</v>
          </cell>
          <cell r="DZ406">
            <v>0</v>
          </cell>
          <cell r="EB406">
            <v>0</v>
          </cell>
          <cell r="ED406">
            <v>0</v>
          </cell>
          <cell r="EF406">
            <v>0</v>
          </cell>
          <cell r="EH406">
            <v>0</v>
          </cell>
          <cell r="EJ406">
            <v>0</v>
          </cell>
          <cell r="EL406">
            <v>0</v>
          </cell>
          <cell r="EN406">
            <v>0</v>
          </cell>
          <cell r="EP406">
            <v>0</v>
          </cell>
          <cell r="ER406">
            <v>0</v>
          </cell>
          <cell r="ET406">
            <v>0</v>
          </cell>
          <cell r="EV406">
            <v>0</v>
          </cell>
          <cell r="EX406">
            <v>0</v>
          </cell>
          <cell r="EZ406">
            <v>0</v>
          </cell>
          <cell r="FB406">
            <v>0</v>
          </cell>
          <cell r="FD406">
            <v>0</v>
          </cell>
          <cell r="FF406">
            <v>0</v>
          </cell>
          <cell r="FH406">
            <v>0</v>
          </cell>
          <cell r="FJ406">
            <v>0</v>
          </cell>
          <cell r="FL406">
            <v>0</v>
          </cell>
          <cell r="FN406">
            <v>0</v>
          </cell>
          <cell r="FP406">
            <v>0</v>
          </cell>
          <cell r="FR406">
            <v>0</v>
          </cell>
          <cell r="FT406">
            <v>0</v>
          </cell>
          <cell r="FV406">
            <v>0</v>
          </cell>
          <cell r="GD406">
            <v>14</v>
          </cell>
          <cell r="GF406">
            <v>4</v>
          </cell>
          <cell r="GH406">
            <v>1</v>
          </cell>
          <cell r="GJ406">
            <v>7</v>
          </cell>
          <cell r="GM406">
            <v>274.01</v>
          </cell>
          <cell r="GN40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277.檢查勞工個人防護具：█有 □無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W406" t="str">
            <v>（一）施工廠商施工前檢查事項辦理情形：█完成 □未完成 （二）其他工地安全衛生督導事項：</v>
          </cell>
          <cell r="GX406">
            <v>853901</v>
          </cell>
          <cell r="GY406">
            <v>0</v>
          </cell>
        </row>
        <row r="407">
          <cell r="N407">
            <v>1</v>
          </cell>
          <cell r="P407">
            <v>1</v>
          </cell>
          <cell r="R407">
            <v>672</v>
          </cell>
          <cell r="T407">
            <v>108</v>
          </cell>
          <cell r="V407">
            <v>661</v>
          </cell>
          <cell r="X407">
            <v>2</v>
          </cell>
          <cell r="Z407">
            <v>1</v>
          </cell>
          <cell r="AB407">
            <v>661</v>
          </cell>
          <cell r="AD407">
            <v>2</v>
          </cell>
          <cell r="AF407">
            <v>1</v>
          </cell>
          <cell r="AH407">
            <v>1</v>
          </cell>
          <cell r="AJ407">
            <v>1</v>
          </cell>
          <cell r="AL407">
            <v>0</v>
          </cell>
          <cell r="AN407">
            <v>0</v>
          </cell>
          <cell r="AP407">
            <v>0</v>
          </cell>
          <cell r="AR407">
            <v>0</v>
          </cell>
          <cell r="AT407">
            <v>0</v>
          </cell>
          <cell r="AV407">
            <v>0</v>
          </cell>
          <cell r="AX407">
            <v>0</v>
          </cell>
          <cell r="AZ407">
            <v>0</v>
          </cell>
          <cell r="BB407">
            <v>0</v>
          </cell>
          <cell r="BD407">
            <v>0</v>
          </cell>
          <cell r="BF407">
            <v>0</v>
          </cell>
          <cell r="BH407">
            <v>0</v>
          </cell>
          <cell r="BJ407">
            <v>0</v>
          </cell>
          <cell r="BL407">
            <v>0</v>
          </cell>
          <cell r="BN407">
            <v>0</v>
          </cell>
          <cell r="BP407">
            <v>0</v>
          </cell>
          <cell r="BR407">
            <v>0</v>
          </cell>
          <cell r="BT407">
            <v>0</v>
          </cell>
          <cell r="BV407">
            <v>0</v>
          </cell>
          <cell r="BX407">
            <v>0</v>
          </cell>
          <cell r="BZ407">
            <v>0</v>
          </cell>
          <cell r="CB407">
            <v>0</v>
          </cell>
          <cell r="CD407">
            <v>0</v>
          </cell>
          <cell r="CF407">
            <v>0</v>
          </cell>
          <cell r="CH407">
            <v>0</v>
          </cell>
          <cell r="CJ407">
            <v>0</v>
          </cell>
          <cell r="CL407">
            <v>0</v>
          </cell>
          <cell r="CN407">
            <v>0</v>
          </cell>
          <cell r="CP407">
            <v>0</v>
          </cell>
          <cell r="CR407">
            <v>0</v>
          </cell>
          <cell r="CT407">
            <v>0</v>
          </cell>
          <cell r="CV407">
            <v>0</v>
          </cell>
          <cell r="CX407">
            <v>0</v>
          </cell>
          <cell r="CZ407">
            <v>0</v>
          </cell>
          <cell r="DB407">
            <v>0</v>
          </cell>
          <cell r="DD407">
            <v>0</v>
          </cell>
          <cell r="DF407">
            <v>0</v>
          </cell>
          <cell r="DH407">
            <v>0</v>
          </cell>
          <cell r="DJ407">
            <v>0</v>
          </cell>
          <cell r="DL407">
            <v>0</v>
          </cell>
          <cell r="DN407">
            <v>0</v>
          </cell>
          <cell r="DP407">
            <v>0</v>
          </cell>
          <cell r="DR407">
            <v>0</v>
          </cell>
          <cell r="DT407">
            <v>0</v>
          </cell>
          <cell r="DV407">
            <v>0</v>
          </cell>
          <cell r="DX407">
            <v>0</v>
          </cell>
          <cell r="DZ407">
            <v>0</v>
          </cell>
          <cell r="EB407">
            <v>0</v>
          </cell>
          <cell r="ED407">
            <v>0</v>
          </cell>
          <cell r="EF407">
            <v>0</v>
          </cell>
          <cell r="EH407">
            <v>0</v>
          </cell>
          <cell r="EJ407">
            <v>0</v>
          </cell>
          <cell r="EL407">
            <v>0</v>
          </cell>
          <cell r="EN407">
            <v>0</v>
          </cell>
          <cell r="EP407">
            <v>0</v>
          </cell>
          <cell r="ER407">
            <v>0</v>
          </cell>
          <cell r="ET407">
            <v>0</v>
          </cell>
          <cell r="EV407">
            <v>0</v>
          </cell>
          <cell r="EX407">
            <v>0</v>
          </cell>
          <cell r="EZ407">
            <v>0</v>
          </cell>
          <cell r="FB407">
            <v>0</v>
          </cell>
          <cell r="FD407">
            <v>0</v>
          </cell>
          <cell r="FF407">
            <v>0</v>
          </cell>
          <cell r="FH407">
            <v>0</v>
          </cell>
          <cell r="FJ407">
            <v>0</v>
          </cell>
          <cell r="FL407">
            <v>0</v>
          </cell>
          <cell r="FN407">
            <v>0</v>
          </cell>
          <cell r="FP407">
            <v>0</v>
          </cell>
          <cell r="FR407">
            <v>0</v>
          </cell>
          <cell r="FT407">
            <v>0</v>
          </cell>
          <cell r="FV407">
            <v>0</v>
          </cell>
          <cell r="GD407">
            <v>14</v>
          </cell>
          <cell r="GF407">
            <v>4</v>
          </cell>
          <cell r="GH407">
            <v>1</v>
          </cell>
          <cell r="GJ407">
            <v>7</v>
          </cell>
          <cell r="GM407">
            <v>275.01</v>
          </cell>
          <cell r="GN40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278.檢查勞工個人防護具：█有 □無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W407" t="str">
            <v>（一）施工廠商施工前檢查事項辦理情形：█完成 □未完成 （二）其他工地安全衛生督導事項：</v>
          </cell>
          <cell r="GX407">
            <v>853901</v>
          </cell>
          <cell r="GY407">
            <v>0</v>
          </cell>
        </row>
        <row r="408">
          <cell r="N408">
            <v>1</v>
          </cell>
          <cell r="P408">
            <v>1</v>
          </cell>
          <cell r="R408">
            <v>672</v>
          </cell>
          <cell r="T408">
            <v>108</v>
          </cell>
          <cell r="V408">
            <v>661</v>
          </cell>
          <cell r="X408">
            <v>2</v>
          </cell>
          <cell r="Z408">
            <v>1</v>
          </cell>
          <cell r="AB408">
            <v>661</v>
          </cell>
          <cell r="AD408">
            <v>2</v>
          </cell>
          <cell r="AF408">
            <v>1</v>
          </cell>
          <cell r="AH408">
            <v>1</v>
          </cell>
          <cell r="AJ408">
            <v>1</v>
          </cell>
          <cell r="AL408">
            <v>0</v>
          </cell>
          <cell r="AN408">
            <v>0</v>
          </cell>
          <cell r="AP408">
            <v>0</v>
          </cell>
          <cell r="AR408">
            <v>0</v>
          </cell>
          <cell r="AT408">
            <v>0</v>
          </cell>
          <cell r="AV408">
            <v>0</v>
          </cell>
          <cell r="AX408">
            <v>0</v>
          </cell>
          <cell r="AZ408">
            <v>0</v>
          </cell>
          <cell r="BB408">
            <v>0</v>
          </cell>
          <cell r="BD408">
            <v>0</v>
          </cell>
          <cell r="BF408">
            <v>0</v>
          </cell>
          <cell r="BH408">
            <v>0</v>
          </cell>
          <cell r="BJ408">
            <v>0</v>
          </cell>
          <cell r="BL408">
            <v>0</v>
          </cell>
          <cell r="BN408">
            <v>0</v>
          </cell>
          <cell r="BP408">
            <v>0</v>
          </cell>
          <cell r="BR408">
            <v>0</v>
          </cell>
          <cell r="BT408">
            <v>0</v>
          </cell>
          <cell r="BV408">
            <v>0</v>
          </cell>
          <cell r="BX408">
            <v>0</v>
          </cell>
          <cell r="BZ408">
            <v>0</v>
          </cell>
          <cell r="CB408">
            <v>0</v>
          </cell>
          <cell r="CD408">
            <v>0</v>
          </cell>
          <cell r="CF408">
            <v>0</v>
          </cell>
          <cell r="CH408">
            <v>0</v>
          </cell>
          <cell r="CJ408">
            <v>0</v>
          </cell>
          <cell r="CL408">
            <v>0</v>
          </cell>
          <cell r="CN408">
            <v>0</v>
          </cell>
          <cell r="CP408">
            <v>0</v>
          </cell>
          <cell r="CR408">
            <v>0</v>
          </cell>
          <cell r="CT408">
            <v>0</v>
          </cell>
          <cell r="CV408">
            <v>0</v>
          </cell>
          <cell r="CX408">
            <v>0</v>
          </cell>
          <cell r="CZ408">
            <v>0</v>
          </cell>
          <cell r="DB408">
            <v>0</v>
          </cell>
          <cell r="DD408">
            <v>0</v>
          </cell>
          <cell r="DF408">
            <v>0</v>
          </cell>
          <cell r="DH408">
            <v>0</v>
          </cell>
          <cell r="DJ408">
            <v>0</v>
          </cell>
          <cell r="DL408">
            <v>0</v>
          </cell>
          <cell r="DN408">
            <v>0</v>
          </cell>
          <cell r="DP408">
            <v>0</v>
          </cell>
          <cell r="DR408">
            <v>0</v>
          </cell>
          <cell r="DT408">
            <v>0</v>
          </cell>
          <cell r="DV408">
            <v>0</v>
          </cell>
          <cell r="DX408">
            <v>0</v>
          </cell>
          <cell r="DZ408">
            <v>0</v>
          </cell>
          <cell r="EB408">
            <v>0</v>
          </cell>
          <cell r="ED408">
            <v>0</v>
          </cell>
          <cell r="EF408">
            <v>0</v>
          </cell>
          <cell r="EH408">
            <v>0</v>
          </cell>
          <cell r="EJ408">
            <v>0</v>
          </cell>
          <cell r="EL408">
            <v>0</v>
          </cell>
          <cell r="EN408">
            <v>0</v>
          </cell>
          <cell r="EP408">
            <v>0</v>
          </cell>
          <cell r="ER408">
            <v>0</v>
          </cell>
          <cell r="ET408">
            <v>0</v>
          </cell>
          <cell r="EV408">
            <v>0</v>
          </cell>
          <cell r="EX408">
            <v>0</v>
          </cell>
          <cell r="EZ408">
            <v>0</v>
          </cell>
          <cell r="FB408">
            <v>0</v>
          </cell>
          <cell r="FD408">
            <v>0</v>
          </cell>
          <cell r="FF408">
            <v>0</v>
          </cell>
          <cell r="FH408">
            <v>0</v>
          </cell>
          <cell r="FJ408">
            <v>0</v>
          </cell>
          <cell r="FL408">
            <v>0</v>
          </cell>
          <cell r="FN408">
            <v>0</v>
          </cell>
          <cell r="FP408">
            <v>0</v>
          </cell>
          <cell r="FR408">
            <v>0</v>
          </cell>
          <cell r="FT408">
            <v>0</v>
          </cell>
          <cell r="FV408">
            <v>0</v>
          </cell>
          <cell r="GD408">
            <v>14</v>
          </cell>
          <cell r="GF408">
            <v>4</v>
          </cell>
          <cell r="GH408">
            <v>1</v>
          </cell>
          <cell r="GJ408">
            <v>7</v>
          </cell>
          <cell r="GM408">
            <v>276.01</v>
          </cell>
          <cell r="GN40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279.檢查勞工個人防護具：█有 □無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W408" t="str">
            <v>（一）施工廠商施工前檢查事項辦理情形：█完成 □未完成 （二）其他工地安全衛生督導事項：</v>
          </cell>
          <cell r="GX408">
            <v>853901</v>
          </cell>
          <cell r="GY408">
            <v>0</v>
          </cell>
        </row>
        <row r="409">
          <cell r="N409">
            <v>1</v>
          </cell>
          <cell r="P409">
            <v>1</v>
          </cell>
          <cell r="R409">
            <v>672</v>
          </cell>
          <cell r="T409">
            <v>108</v>
          </cell>
          <cell r="V409">
            <v>661</v>
          </cell>
          <cell r="X409">
            <v>2</v>
          </cell>
          <cell r="Z409">
            <v>1</v>
          </cell>
          <cell r="AB409">
            <v>661</v>
          </cell>
          <cell r="AD409">
            <v>2</v>
          </cell>
          <cell r="AF409">
            <v>1</v>
          </cell>
          <cell r="AH409">
            <v>1</v>
          </cell>
          <cell r="AJ409">
            <v>1</v>
          </cell>
          <cell r="AL409">
            <v>0</v>
          </cell>
          <cell r="AN409">
            <v>0</v>
          </cell>
          <cell r="AP409">
            <v>0</v>
          </cell>
          <cell r="AR409">
            <v>0</v>
          </cell>
          <cell r="AT409">
            <v>0</v>
          </cell>
          <cell r="AV409">
            <v>0</v>
          </cell>
          <cell r="AX409">
            <v>0</v>
          </cell>
          <cell r="AZ409">
            <v>0</v>
          </cell>
          <cell r="BB409">
            <v>0</v>
          </cell>
          <cell r="BD409">
            <v>0</v>
          </cell>
          <cell r="BF409">
            <v>0</v>
          </cell>
          <cell r="BH409">
            <v>0</v>
          </cell>
          <cell r="BJ409">
            <v>0</v>
          </cell>
          <cell r="BL409">
            <v>0</v>
          </cell>
          <cell r="BN409">
            <v>0</v>
          </cell>
          <cell r="BP409">
            <v>0</v>
          </cell>
          <cell r="BR409">
            <v>0</v>
          </cell>
          <cell r="BT409">
            <v>0</v>
          </cell>
          <cell r="BV409">
            <v>0</v>
          </cell>
          <cell r="BX409">
            <v>0</v>
          </cell>
          <cell r="BZ409">
            <v>0</v>
          </cell>
          <cell r="CB409">
            <v>0</v>
          </cell>
          <cell r="CD409">
            <v>0</v>
          </cell>
          <cell r="CF409">
            <v>0</v>
          </cell>
          <cell r="CH409">
            <v>0</v>
          </cell>
          <cell r="CJ409">
            <v>0</v>
          </cell>
          <cell r="CL409">
            <v>0</v>
          </cell>
          <cell r="CN409">
            <v>0</v>
          </cell>
          <cell r="CP409">
            <v>0</v>
          </cell>
          <cell r="CR409">
            <v>0</v>
          </cell>
          <cell r="CT409">
            <v>0</v>
          </cell>
          <cell r="CV409">
            <v>0</v>
          </cell>
          <cell r="CX409">
            <v>0</v>
          </cell>
          <cell r="CZ409">
            <v>0</v>
          </cell>
          <cell r="DB409">
            <v>0</v>
          </cell>
          <cell r="DD409">
            <v>0</v>
          </cell>
          <cell r="DF409">
            <v>0</v>
          </cell>
          <cell r="DH409">
            <v>0</v>
          </cell>
          <cell r="DJ409">
            <v>0</v>
          </cell>
          <cell r="DL409">
            <v>0</v>
          </cell>
          <cell r="DN409">
            <v>0</v>
          </cell>
          <cell r="DP409">
            <v>0</v>
          </cell>
          <cell r="DR409">
            <v>0</v>
          </cell>
          <cell r="DT409">
            <v>0</v>
          </cell>
          <cell r="DV409">
            <v>0</v>
          </cell>
          <cell r="DX409">
            <v>0</v>
          </cell>
          <cell r="DZ409">
            <v>0</v>
          </cell>
          <cell r="EB409">
            <v>0</v>
          </cell>
          <cell r="ED409">
            <v>0</v>
          </cell>
          <cell r="EF409">
            <v>0</v>
          </cell>
          <cell r="EH409">
            <v>0</v>
          </cell>
          <cell r="EJ409">
            <v>0</v>
          </cell>
          <cell r="EL409">
            <v>0</v>
          </cell>
          <cell r="EN409">
            <v>0</v>
          </cell>
          <cell r="EP409">
            <v>0</v>
          </cell>
          <cell r="ER409">
            <v>0</v>
          </cell>
          <cell r="ET409">
            <v>0</v>
          </cell>
          <cell r="EV409">
            <v>0</v>
          </cell>
          <cell r="EX409">
            <v>0</v>
          </cell>
          <cell r="EZ409">
            <v>0</v>
          </cell>
          <cell r="FB409">
            <v>0</v>
          </cell>
          <cell r="FD409">
            <v>0</v>
          </cell>
          <cell r="FF409">
            <v>0</v>
          </cell>
          <cell r="FH409">
            <v>0</v>
          </cell>
          <cell r="FJ409">
            <v>0</v>
          </cell>
          <cell r="FL409">
            <v>0</v>
          </cell>
          <cell r="FN409">
            <v>0</v>
          </cell>
          <cell r="FP409">
            <v>0</v>
          </cell>
          <cell r="FR409">
            <v>0</v>
          </cell>
          <cell r="FT409">
            <v>0</v>
          </cell>
          <cell r="FV409">
            <v>0</v>
          </cell>
          <cell r="GD409">
            <v>14</v>
          </cell>
          <cell r="GF409">
            <v>4</v>
          </cell>
          <cell r="GH409">
            <v>1</v>
          </cell>
          <cell r="GJ409">
            <v>7</v>
          </cell>
          <cell r="GM409">
            <v>277.01</v>
          </cell>
          <cell r="GN40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280.檢查勞工個人防護具：█有 □無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W409" t="str">
            <v>（一）施工廠商施工前檢查事項辦理情形：█完成 □未完成 （二）其他工地安全衛生督導事項：</v>
          </cell>
          <cell r="GX409">
            <v>853901</v>
          </cell>
          <cell r="GY409">
            <v>0</v>
          </cell>
        </row>
        <row r="410">
          <cell r="N410">
            <v>1</v>
          </cell>
          <cell r="P410">
            <v>1</v>
          </cell>
          <cell r="R410">
            <v>672</v>
          </cell>
          <cell r="T410">
            <v>108</v>
          </cell>
          <cell r="V410">
            <v>661</v>
          </cell>
          <cell r="X410">
            <v>2</v>
          </cell>
          <cell r="Z410">
            <v>1</v>
          </cell>
          <cell r="AB410">
            <v>661</v>
          </cell>
          <cell r="AD410">
            <v>2</v>
          </cell>
          <cell r="AF410">
            <v>1</v>
          </cell>
          <cell r="AH410">
            <v>1</v>
          </cell>
          <cell r="AJ410">
            <v>1</v>
          </cell>
          <cell r="AL410">
            <v>0</v>
          </cell>
          <cell r="AN410">
            <v>0</v>
          </cell>
          <cell r="AP410">
            <v>0</v>
          </cell>
          <cell r="AR410">
            <v>0</v>
          </cell>
          <cell r="AT410">
            <v>0</v>
          </cell>
          <cell r="AV410">
            <v>0</v>
          </cell>
          <cell r="AX410">
            <v>0</v>
          </cell>
          <cell r="AZ410">
            <v>0</v>
          </cell>
          <cell r="BB410">
            <v>0</v>
          </cell>
          <cell r="BD410">
            <v>0</v>
          </cell>
          <cell r="BF410">
            <v>0</v>
          </cell>
          <cell r="BH410">
            <v>0</v>
          </cell>
          <cell r="BJ410">
            <v>0</v>
          </cell>
          <cell r="BL410">
            <v>0</v>
          </cell>
          <cell r="BN410">
            <v>0</v>
          </cell>
          <cell r="BP410">
            <v>0</v>
          </cell>
          <cell r="BR410">
            <v>0</v>
          </cell>
          <cell r="BT410">
            <v>0</v>
          </cell>
          <cell r="BV410">
            <v>0</v>
          </cell>
          <cell r="BX410">
            <v>0</v>
          </cell>
          <cell r="BZ410">
            <v>0</v>
          </cell>
          <cell r="CB410">
            <v>0</v>
          </cell>
          <cell r="CD410">
            <v>0</v>
          </cell>
          <cell r="CF410">
            <v>0</v>
          </cell>
          <cell r="CH410">
            <v>0</v>
          </cell>
          <cell r="CJ410">
            <v>0</v>
          </cell>
          <cell r="CL410">
            <v>0</v>
          </cell>
          <cell r="CN410">
            <v>0</v>
          </cell>
          <cell r="CP410">
            <v>0</v>
          </cell>
          <cell r="CR410">
            <v>0</v>
          </cell>
          <cell r="CT410">
            <v>0</v>
          </cell>
          <cell r="CV410">
            <v>0</v>
          </cell>
          <cell r="CX410">
            <v>0</v>
          </cell>
          <cell r="CZ410">
            <v>0</v>
          </cell>
          <cell r="DB410">
            <v>0</v>
          </cell>
          <cell r="DD410">
            <v>0</v>
          </cell>
          <cell r="DF410">
            <v>0</v>
          </cell>
          <cell r="DH410">
            <v>0</v>
          </cell>
          <cell r="DJ410">
            <v>0</v>
          </cell>
          <cell r="DL410">
            <v>0</v>
          </cell>
          <cell r="DN410">
            <v>0</v>
          </cell>
          <cell r="DP410">
            <v>0</v>
          </cell>
          <cell r="DR410">
            <v>0</v>
          </cell>
          <cell r="DT410">
            <v>0</v>
          </cell>
          <cell r="DV410">
            <v>0</v>
          </cell>
          <cell r="DX410">
            <v>0</v>
          </cell>
          <cell r="DZ410">
            <v>0</v>
          </cell>
          <cell r="EB410">
            <v>0</v>
          </cell>
          <cell r="ED410">
            <v>0</v>
          </cell>
          <cell r="EF410">
            <v>0</v>
          </cell>
          <cell r="EH410">
            <v>0</v>
          </cell>
          <cell r="EJ410">
            <v>0</v>
          </cell>
          <cell r="EL410">
            <v>0</v>
          </cell>
          <cell r="EN410">
            <v>0</v>
          </cell>
          <cell r="EP410">
            <v>0</v>
          </cell>
          <cell r="ER410">
            <v>0</v>
          </cell>
          <cell r="ET410">
            <v>0</v>
          </cell>
          <cell r="EV410">
            <v>0</v>
          </cell>
          <cell r="EX410">
            <v>0</v>
          </cell>
          <cell r="EZ410">
            <v>0</v>
          </cell>
          <cell r="FB410">
            <v>0</v>
          </cell>
          <cell r="FD410">
            <v>0</v>
          </cell>
          <cell r="FF410">
            <v>0</v>
          </cell>
          <cell r="FH410">
            <v>0</v>
          </cell>
          <cell r="FJ410">
            <v>0</v>
          </cell>
          <cell r="FL410">
            <v>0</v>
          </cell>
          <cell r="FN410">
            <v>0</v>
          </cell>
          <cell r="FP410">
            <v>0</v>
          </cell>
          <cell r="FR410">
            <v>0</v>
          </cell>
          <cell r="FT410">
            <v>0</v>
          </cell>
          <cell r="FV410">
            <v>0</v>
          </cell>
          <cell r="GD410">
            <v>14</v>
          </cell>
          <cell r="GF410">
            <v>4</v>
          </cell>
          <cell r="GH410">
            <v>1</v>
          </cell>
          <cell r="GJ410">
            <v>7</v>
          </cell>
          <cell r="GM410">
            <v>278.01</v>
          </cell>
          <cell r="GN41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281.檢查勞工個人防護具：█有 □無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W410" t="str">
            <v>（一）施工廠商施工前檢查事項辦理情形：█完成 □未完成 （二）其他工地安全衛生督導事項：</v>
          </cell>
          <cell r="GX410">
            <v>853901</v>
          </cell>
          <cell r="GY410">
            <v>0</v>
          </cell>
        </row>
        <row r="411">
          <cell r="N411">
            <v>1</v>
          </cell>
          <cell r="P411">
            <v>1</v>
          </cell>
          <cell r="R411">
            <v>672</v>
          </cell>
          <cell r="T411">
            <v>108</v>
          </cell>
          <cell r="V411">
            <v>661</v>
          </cell>
          <cell r="X411">
            <v>2</v>
          </cell>
          <cell r="Z411">
            <v>1</v>
          </cell>
          <cell r="AB411">
            <v>661</v>
          </cell>
          <cell r="AD411">
            <v>2</v>
          </cell>
          <cell r="AF411">
            <v>1</v>
          </cell>
          <cell r="AH411">
            <v>1</v>
          </cell>
          <cell r="AJ411">
            <v>1</v>
          </cell>
          <cell r="AL411">
            <v>0</v>
          </cell>
          <cell r="AN411">
            <v>0</v>
          </cell>
          <cell r="AP411">
            <v>0</v>
          </cell>
          <cell r="AR411">
            <v>0</v>
          </cell>
          <cell r="AT411">
            <v>0</v>
          </cell>
          <cell r="AV411">
            <v>0</v>
          </cell>
          <cell r="AX411">
            <v>0</v>
          </cell>
          <cell r="AZ411">
            <v>0</v>
          </cell>
          <cell r="BB411">
            <v>0</v>
          </cell>
          <cell r="BD411">
            <v>0</v>
          </cell>
          <cell r="BF411">
            <v>0</v>
          </cell>
          <cell r="BH411">
            <v>0</v>
          </cell>
          <cell r="BJ411">
            <v>0</v>
          </cell>
          <cell r="BL411">
            <v>0</v>
          </cell>
          <cell r="BN411">
            <v>0</v>
          </cell>
          <cell r="BP411">
            <v>0</v>
          </cell>
          <cell r="BR411">
            <v>0</v>
          </cell>
          <cell r="BT411">
            <v>0</v>
          </cell>
          <cell r="BV411">
            <v>0</v>
          </cell>
          <cell r="BX411">
            <v>0</v>
          </cell>
          <cell r="BZ411">
            <v>0</v>
          </cell>
          <cell r="CB411">
            <v>0</v>
          </cell>
          <cell r="CD411">
            <v>0</v>
          </cell>
          <cell r="CF411">
            <v>0</v>
          </cell>
          <cell r="CH411">
            <v>0</v>
          </cell>
          <cell r="CJ411">
            <v>0</v>
          </cell>
          <cell r="CL411">
            <v>0</v>
          </cell>
          <cell r="CN411">
            <v>0</v>
          </cell>
          <cell r="CP411">
            <v>0</v>
          </cell>
          <cell r="CR411">
            <v>0</v>
          </cell>
          <cell r="CT411">
            <v>0</v>
          </cell>
          <cell r="CV411">
            <v>0</v>
          </cell>
          <cell r="CX411">
            <v>0</v>
          </cell>
          <cell r="CZ411">
            <v>0</v>
          </cell>
          <cell r="DB411">
            <v>0</v>
          </cell>
          <cell r="DD411">
            <v>0</v>
          </cell>
          <cell r="DF411">
            <v>0</v>
          </cell>
          <cell r="DH411">
            <v>0</v>
          </cell>
          <cell r="DJ411">
            <v>0</v>
          </cell>
          <cell r="DL411">
            <v>0</v>
          </cell>
          <cell r="DN411">
            <v>0</v>
          </cell>
          <cell r="DP411">
            <v>0</v>
          </cell>
          <cell r="DR411">
            <v>0</v>
          </cell>
          <cell r="DT411">
            <v>0</v>
          </cell>
          <cell r="DV411">
            <v>0</v>
          </cell>
          <cell r="DX411">
            <v>0</v>
          </cell>
          <cell r="DZ411">
            <v>0</v>
          </cell>
          <cell r="EB411">
            <v>0</v>
          </cell>
          <cell r="ED411">
            <v>0</v>
          </cell>
          <cell r="EF411">
            <v>0</v>
          </cell>
          <cell r="EH411">
            <v>0</v>
          </cell>
          <cell r="EJ411">
            <v>0</v>
          </cell>
          <cell r="EL411">
            <v>0</v>
          </cell>
          <cell r="EN411">
            <v>0</v>
          </cell>
          <cell r="EP411">
            <v>0</v>
          </cell>
          <cell r="ER411">
            <v>0</v>
          </cell>
          <cell r="ET411">
            <v>0</v>
          </cell>
          <cell r="EV411">
            <v>0</v>
          </cell>
          <cell r="EX411">
            <v>0</v>
          </cell>
          <cell r="EZ411">
            <v>0</v>
          </cell>
          <cell r="FB411">
            <v>0</v>
          </cell>
          <cell r="FD411">
            <v>0</v>
          </cell>
          <cell r="FF411">
            <v>0</v>
          </cell>
          <cell r="FH411">
            <v>0</v>
          </cell>
          <cell r="FJ411">
            <v>0</v>
          </cell>
          <cell r="FL411">
            <v>0</v>
          </cell>
          <cell r="FN411">
            <v>0</v>
          </cell>
          <cell r="FP411">
            <v>0</v>
          </cell>
          <cell r="FR411">
            <v>0</v>
          </cell>
          <cell r="FT411">
            <v>0</v>
          </cell>
          <cell r="FV411">
            <v>0</v>
          </cell>
          <cell r="GD411">
            <v>14</v>
          </cell>
          <cell r="GF411">
            <v>4</v>
          </cell>
          <cell r="GH411">
            <v>1</v>
          </cell>
          <cell r="GJ411">
            <v>7</v>
          </cell>
          <cell r="GM411">
            <v>279.01</v>
          </cell>
          <cell r="GN41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282.檢查勞工個人防護具：█有 □無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W411" t="str">
            <v>（一）施工廠商施工前檢查事項辦理情形：█完成 □未完成 （二）其他工地安全衛生督導事項：</v>
          </cell>
          <cell r="GX411">
            <v>853901</v>
          </cell>
          <cell r="GY411">
            <v>0</v>
          </cell>
        </row>
        <row r="412">
          <cell r="N412">
            <v>1</v>
          </cell>
          <cell r="P412">
            <v>1</v>
          </cell>
          <cell r="R412">
            <v>672</v>
          </cell>
          <cell r="T412">
            <v>108</v>
          </cell>
          <cell r="V412">
            <v>661</v>
          </cell>
          <cell r="X412">
            <v>2</v>
          </cell>
          <cell r="Z412">
            <v>1</v>
          </cell>
          <cell r="AB412">
            <v>661</v>
          </cell>
          <cell r="AD412">
            <v>2</v>
          </cell>
          <cell r="AF412">
            <v>1</v>
          </cell>
          <cell r="AH412">
            <v>1</v>
          </cell>
          <cell r="AJ412">
            <v>1</v>
          </cell>
          <cell r="AL412">
            <v>0</v>
          </cell>
          <cell r="AN412">
            <v>0</v>
          </cell>
          <cell r="AP412">
            <v>0</v>
          </cell>
          <cell r="AR412">
            <v>0</v>
          </cell>
          <cell r="AT412">
            <v>0</v>
          </cell>
          <cell r="AV412">
            <v>0</v>
          </cell>
          <cell r="AX412">
            <v>0</v>
          </cell>
          <cell r="AZ412">
            <v>0</v>
          </cell>
          <cell r="BB412">
            <v>0</v>
          </cell>
          <cell r="BD412">
            <v>0</v>
          </cell>
          <cell r="BF412">
            <v>0</v>
          </cell>
          <cell r="BH412">
            <v>0</v>
          </cell>
          <cell r="BJ412">
            <v>0</v>
          </cell>
          <cell r="BL412">
            <v>0</v>
          </cell>
          <cell r="BN412">
            <v>0</v>
          </cell>
          <cell r="BP412">
            <v>0</v>
          </cell>
          <cell r="BR412">
            <v>0</v>
          </cell>
          <cell r="BT412">
            <v>0</v>
          </cell>
          <cell r="BV412">
            <v>0</v>
          </cell>
          <cell r="BX412">
            <v>0</v>
          </cell>
          <cell r="BZ412">
            <v>0</v>
          </cell>
          <cell r="CB412">
            <v>0</v>
          </cell>
          <cell r="CD412">
            <v>0</v>
          </cell>
          <cell r="CF412">
            <v>0</v>
          </cell>
          <cell r="CH412">
            <v>0</v>
          </cell>
          <cell r="CJ412">
            <v>0</v>
          </cell>
          <cell r="CL412">
            <v>0</v>
          </cell>
          <cell r="CN412">
            <v>0</v>
          </cell>
          <cell r="CP412">
            <v>0</v>
          </cell>
          <cell r="CR412">
            <v>0</v>
          </cell>
          <cell r="CT412">
            <v>0</v>
          </cell>
          <cell r="CV412">
            <v>0</v>
          </cell>
          <cell r="CX412">
            <v>0</v>
          </cell>
          <cell r="CZ412">
            <v>0</v>
          </cell>
          <cell r="DB412">
            <v>0</v>
          </cell>
          <cell r="DD412">
            <v>0</v>
          </cell>
          <cell r="DF412">
            <v>0</v>
          </cell>
          <cell r="DH412">
            <v>0</v>
          </cell>
          <cell r="DJ412">
            <v>0</v>
          </cell>
          <cell r="DL412">
            <v>0</v>
          </cell>
          <cell r="DN412">
            <v>0</v>
          </cell>
          <cell r="DP412">
            <v>0</v>
          </cell>
          <cell r="DR412">
            <v>0</v>
          </cell>
          <cell r="DT412">
            <v>0</v>
          </cell>
          <cell r="DV412">
            <v>0</v>
          </cell>
          <cell r="DX412">
            <v>0</v>
          </cell>
          <cell r="DZ412">
            <v>0</v>
          </cell>
          <cell r="EB412">
            <v>0</v>
          </cell>
          <cell r="ED412">
            <v>0</v>
          </cell>
          <cell r="EF412">
            <v>0</v>
          </cell>
          <cell r="EH412">
            <v>0</v>
          </cell>
          <cell r="EJ412">
            <v>0</v>
          </cell>
          <cell r="EL412">
            <v>0</v>
          </cell>
          <cell r="EN412">
            <v>0</v>
          </cell>
          <cell r="EP412">
            <v>0</v>
          </cell>
          <cell r="ER412">
            <v>0</v>
          </cell>
          <cell r="ET412">
            <v>0</v>
          </cell>
          <cell r="EV412">
            <v>0</v>
          </cell>
          <cell r="EX412">
            <v>0</v>
          </cell>
          <cell r="EZ412">
            <v>0</v>
          </cell>
          <cell r="FB412">
            <v>0</v>
          </cell>
          <cell r="FD412">
            <v>0</v>
          </cell>
          <cell r="FF412">
            <v>0</v>
          </cell>
          <cell r="FH412">
            <v>0</v>
          </cell>
          <cell r="FJ412">
            <v>0</v>
          </cell>
          <cell r="FL412">
            <v>0</v>
          </cell>
          <cell r="FN412">
            <v>0</v>
          </cell>
          <cell r="FP412">
            <v>0</v>
          </cell>
          <cell r="FR412">
            <v>0</v>
          </cell>
          <cell r="FT412">
            <v>0</v>
          </cell>
          <cell r="FV412">
            <v>0</v>
          </cell>
          <cell r="GD412">
            <v>14</v>
          </cell>
          <cell r="GF412">
            <v>4</v>
          </cell>
          <cell r="GH412">
            <v>1</v>
          </cell>
          <cell r="GJ412">
            <v>7</v>
          </cell>
          <cell r="GM412">
            <v>280.01</v>
          </cell>
          <cell r="GN41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283.檢查勞工個人防護具：█有 □無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W412" t="str">
            <v>（一）施工廠商施工前檢查事項辦理情形：█完成 □未完成 （二）其他工地安全衛生督導事項：</v>
          </cell>
          <cell r="GX412">
            <v>853901</v>
          </cell>
          <cell r="GY412">
            <v>0</v>
          </cell>
        </row>
        <row r="413">
          <cell r="N413">
            <v>1</v>
          </cell>
          <cell r="P413">
            <v>1</v>
          </cell>
          <cell r="R413">
            <v>672</v>
          </cell>
          <cell r="T413">
            <v>108</v>
          </cell>
          <cell r="V413">
            <v>661</v>
          </cell>
          <cell r="X413">
            <v>2</v>
          </cell>
          <cell r="Z413">
            <v>1</v>
          </cell>
          <cell r="AB413">
            <v>661</v>
          </cell>
          <cell r="AD413">
            <v>2</v>
          </cell>
          <cell r="AF413">
            <v>1</v>
          </cell>
          <cell r="AH413">
            <v>1</v>
          </cell>
          <cell r="AJ413">
            <v>1</v>
          </cell>
          <cell r="AL413">
            <v>0</v>
          </cell>
          <cell r="AN413">
            <v>0</v>
          </cell>
          <cell r="AP413">
            <v>0</v>
          </cell>
          <cell r="AR413">
            <v>0</v>
          </cell>
          <cell r="AT413">
            <v>0</v>
          </cell>
          <cell r="AV413">
            <v>0</v>
          </cell>
          <cell r="AX413">
            <v>0</v>
          </cell>
          <cell r="AZ413">
            <v>0</v>
          </cell>
          <cell r="BB413">
            <v>0</v>
          </cell>
          <cell r="BD413">
            <v>0</v>
          </cell>
          <cell r="BF413">
            <v>0</v>
          </cell>
          <cell r="BH413">
            <v>0</v>
          </cell>
          <cell r="BJ413">
            <v>0</v>
          </cell>
          <cell r="BL413">
            <v>0</v>
          </cell>
          <cell r="BN413">
            <v>0</v>
          </cell>
          <cell r="BP413">
            <v>0</v>
          </cell>
          <cell r="BR413">
            <v>0</v>
          </cell>
          <cell r="BT413">
            <v>0</v>
          </cell>
          <cell r="BV413">
            <v>0</v>
          </cell>
          <cell r="BX413">
            <v>0</v>
          </cell>
          <cell r="BZ413">
            <v>0</v>
          </cell>
          <cell r="CB413">
            <v>0</v>
          </cell>
          <cell r="CD413">
            <v>0</v>
          </cell>
          <cell r="CF413">
            <v>0</v>
          </cell>
          <cell r="CH413">
            <v>0</v>
          </cell>
          <cell r="CJ413">
            <v>0</v>
          </cell>
          <cell r="CL413">
            <v>0</v>
          </cell>
          <cell r="CN413">
            <v>0</v>
          </cell>
          <cell r="CP413">
            <v>0</v>
          </cell>
          <cell r="CR413">
            <v>0</v>
          </cell>
          <cell r="CT413">
            <v>0</v>
          </cell>
          <cell r="CV413">
            <v>0</v>
          </cell>
          <cell r="CX413">
            <v>0</v>
          </cell>
          <cell r="CZ413">
            <v>0</v>
          </cell>
          <cell r="DB413">
            <v>0</v>
          </cell>
          <cell r="DD413">
            <v>0</v>
          </cell>
          <cell r="DF413">
            <v>0</v>
          </cell>
          <cell r="DH413">
            <v>0</v>
          </cell>
          <cell r="DJ413">
            <v>0</v>
          </cell>
          <cell r="DL413">
            <v>0</v>
          </cell>
          <cell r="DN413">
            <v>0</v>
          </cell>
          <cell r="DP413">
            <v>0</v>
          </cell>
          <cell r="DR413">
            <v>0</v>
          </cell>
          <cell r="DT413">
            <v>0</v>
          </cell>
          <cell r="DV413">
            <v>0</v>
          </cell>
          <cell r="DX413">
            <v>0</v>
          </cell>
          <cell r="DZ413">
            <v>0</v>
          </cell>
          <cell r="EB413">
            <v>0</v>
          </cell>
          <cell r="ED413">
            <v>0</v>
          </cell>
          <cell r="EF413">
            <v>0</v>
          </cell>
          <cell r="EH413">
            <v>0</v>
          </cell>
          <cell r="EJ413">
            <v>0</v>
          </cell>
          <cell r="EL413">
            <v>0</v>
          </cell>
          <cell r="EN413">
            <v>0</v>
          </cell>
          <cell r="EP413">
            <v>0</v>
          </cell>
          <cell r="ER413">
            <v>0</v>
          </cell>
          <cell r="ET413">
            <v>0</v>
          </cell>
          <cell r="EV413">
            <v>0</v>
          </cell>
          <cell r="EX413">
            <v>0</v>
          </cell>
          <cell r="EZ413">
            <v>0</v>
          </cell>
          <cell r="FB413">
            <v>0</v>
          </cell>
          <cell r="FD413">
            <v>0</v>
          </cell>
          <cell r="FF413">
            <v>0</v>
          </cell>
          <cell r="FH413">
            <v>0</v>
          </cell>
          <cell r="FJ413">
            <v>0</v>
          </cell>
          <cell r="FL413">
            <v>0</v>
          </cell>
          <cell r="FN413">
            <v>0</v>
          </cell>
          <cell r="FP413">
            <v>0</v>
          </cell>
          <cell r="FR413">
            <v>0</v>
          </cell>
          <cell r="FT413">
            <v>0</v>
          </cell>
          <cell r="FV413">
            <v>0</v>
          </cell>
          <cell r="GD413">
            <v>14</v>
          </cell>
          <cell r="GF413">
            <v>4</v>
          </cell>
          <cell r="GH413">
            <v>1</v>
          </cell>
          <cell r="GJ413">
            <v>7</v>
          </cell>
          <cell r="GM413">
            <v>281.01</v>
          </cell>
          <cell r="GN41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284.檢查勞工個人防護具：█有 □無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W413" t="str">
            <v>（一）施工廠商施工前檢查事項辦理情形：█完成 □未完成 （二）其他工地安全衛生督導事項：</v>
          </cell>
          <cell r="GX413">
            <v>853901</v>
          </cell>
          <cell r="GY413">
            <v>0</v>
          </cell>
        </row>
        <row r="414">
          <cell r="N414">
            <v>1</v>
          </cell>
          <cell r="P414">
            <v>1</v>
          </cell>
          <cell r="R414">
            <v>672</v>
          </cell>
          <cell r="T414">
            <v>108</v>
          </cell>
          <cell r="V414">
            <v>661</v>
          </cell>
          <cell r="X414">
            <v>2</v>
          </cell>
          <cell r="Z414">
            <v>1</v>
          </cell>
          <cell r="AB414">
            <v>661</v>
          </cell>
          <cell r="AD414">
            <v>2</v>
          </cell>
          <cell r="AF414">
            <v>1</v>
          </cell>
          <cell r="AH414">
            <v>1</v>
          </cell>
          <cell r="AJ414">
            <v>1</v>
          </cell>
          <cell r="AL414">
            <v>0</v>
          </cell>
          <cell r="AN414">
            <v>0</v>
          </cell>
          <cell r="AP414">
            <v>0</v>
          </cell>
          <cell r="AR414">
            <v>0</v>
          </cell>
          <cell r="AT414">
            <v>0</v>
          </cell>
          <cell r="AV414">
            <v>0</v>
          </cell>
          <cell r="AX414">
            <v>0</v>
          </cell>
          <cell r="AZ414">
            <v>0</v>
          </cell>
          <cell r="BB414">
            <v>0</v>
          </cell>
          <cell r="BD414">
            <v>0</v>
          </cell>
          <cell r="BF414">
            <v>0</v>
          </cell>
          <cell r="BH414">
            <v>0</v>
          </cell>
          <cell r="BJ414">
            <v>0</v>
          </cell>
          <cell r="BL414">
            <v>0</v>
          </cell>
          <cell r="BN414">
            <v>0</v>
          </cell>
          <cell r="BP414">
            <v>0</v>
          </cell>
          <cell r="BR414">
            <v>0</v>
          </cell>
          <cell r="BT414">
            <v>0</v>
          </cell>
          <cell r="BV414">
            <v>0</v>
          </cell>
          <cell r="BX414">
            <v>0</v>
          </cell>
          <cell r="BZ414">
            <v>0</v>
          </cell>
          <cell r="CB414">
            <v>0</v>
          </cell>
          <cell r="CD414">
            <v>0</v>
          </cell>
          <cell r="CF414">
            <v>0</v>
          </cell>
          <cell r="CH414">
            <v>0</v>
          </cell>
          <cell r="CJ414">
            <v>0</v>
          </cell>
          <cell r="CL414">
            <v>0</v>
          </cell>
          <cell r="CN414">
            <v>0</v>
          </cell>
          <cell r="CP414">
            <v>0</v>
          </cell>
          <cell r="CR414">
            <v>0</v>
          </cell>
          <cell r="CT414">
            <v>0</v>
          </cell>
          <cell r="CV414">
            <v>0</v>
          </cell>
          <cell r="CX414">
            <v>0</v>
          </cell>
          <cell r="CZ414">
            <v>0</v>
          </cell>
          <cell r="DB414">
            <v>0</v>
          </cell>
          <cell r="DD414">
            <v>0</v>
          </cell>
          <cell r="DF414">
            <v>0</v>
          </cell>
          <cell r="DH414">
            <v>0</v>
          </cell>
          <cell r="DJ414">
            <v>0</v>
          </cell>
          <cell r="DL414">
            <v>0</v>
          </cell>
          <cell r="DN414">
            <v>0</v>
          </cell>
          <cell r="DP414">
            <v>0</v>
          </cell>
          <cell r="DR414">
            <v>0</v>
          </cell>
          <cell r="DT414">
            <v>0</v>
          </cell>
          <cell r="DV414">
            <v>0</v>
          </cell>
          <cell r="DX414">
            <v>0</v>
          </cell>
          <cell r="DZ414">
            <v>0</v>
          </cell>
          <cell r="EB414">
            <v>0</v>
          </cell>
          <cell r="ED414">
            <v>0</v>
          </cell>
          <cell r="EF414">
            <v>0</v>
          </cell>
          <cell r="EH414">
            <v>0</v>
          </cell>
          <cell r="EJ414">
            <v>0</v>
          </cell>
          <cell r="EL414">
            <v>0</v>
          </cell>
          <cell r="EN414">
            <v>0</v>
          </cell>
          <cell r="EP414">
            <v>0</v>
          </cell>
          <cell r="ER414">
            <v>0</v>
          </cell>
          <cell r="ET414">
            <v>0</v>
          </cell>
          <cell r="EV414">
            <v>0</v>
          </cell>
          <cell r="EX414">
            <v>0</v>
          </cell>
          <cell r="EZ414">
            <v>0</v>
          </cell>
          <cell r="FB414">
            <v>0</v>
          </cell>
          <cell r="FD414">
            <v>0</v>
          </cell>
          <cell r="FF414">
            <v>0</v>
          </cell>
          <cell r="FH414">
            <v>0</v>
          </cell>
          <cell r="FJ414">
            <v>0</v>
          </cell>
          <cell r="FL414">
            <v>0</v>
          </cell>
          <cell r="FN414">
            <v>0</v>
          </cell>
          <cell r="FP414">
            <v>0</v>
          </cell>
          <cell r="FR414">
            <v>0</v>
          </cell>
          <cell r="FT414">
            <v>0</v>
          </cell>
          <cell r="FV414">
            <v>0</v>
          </cell>
          <cell r="GD414">
            <v>14</v>
          </cell>
          <cell r="GF414">
            <v>4</v>
          </cell>
          <cell r="GH414">
            <v>1</v>
          </cell>
          <cell r="GJ414">
            <v>7</v>
          </cell>
          <cell r="GM414">
            <v>282.01</v>
          </cell>
          <cell r="GN41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285.檢查勞工個人防護具：█有 □無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W414" t="str">
            <v>（一）施工廠商施工前檢查事項辦理情形：█完成 □未完成 （二）其他工地安全衛生督導事項：</v>
          </cell>
          <cell r="GX414">
            <v>853901</v>
          </cell>
          <cell r="GY414">
            <v>0</v>
          </cell>
        </row>
        <row r="415">
          <cell r="N415">
            <v>1</v>
          </cell>
          <cell r="P415">
            <v>1</v>
          </cell>
          <cell r="R415">
            <v>672</v>
          </cell>
          <cell r="T415">
            <v>108</v>
          </cell>
          <cell r="V415">
            <v>661</v>
          </cell>
          <cell r="X415">
            <v>2</v>
          </cell>
          <cell r="Z415">
            <v>1</v>
          </cell>
          <cell r="AB415">
            <v>661</v>
          </cell>
          <cell r="AD415">
            <v>2</v>
          </cell>
          <cell r="AF415">
            <v>1</v>
          </cell>
          <cell r="AH415">
            <v>1</v>
          </cell>
          <cell r="AJ415">
            <v>1</v>
          </cell>
          <cell r="AL415">
            <v>0</v>
          </cell>
          <cell r="AN415">
            <v>0</v>
          </cell>
          <cell r="AP415">
            <v>0</v>
          </cell>
          <cell r="AR415">
            <v>0</v>
          </cell>
          <cell r="AT415">
            <v>0</v>
          </cell>
          <cell r="AV415">
            <v>0</v>
          </cell>
          <cell r="AX415">
            <v>0</v>
          </cell>
          <cell r="AZ415">
            <v>0</v>
          </cell>
          <cell r="BB415">
            <v>0</v>
          </cell>
          <cell r="BD415">
            <v>0</v>
          </cell>
          <cell r="BF415">
            <v>0</v>
          </cell>
          <cell r="BH415">
            <v>0</v>
          </cell>
          <cell r="BJ415">
            <v>0</v>
          </cell>
          <cell r="BL415">
            <v>0</v>
          </cell>
          <cell r="BN415">
            <v>0</v>
          </cell>
          <cell r="BP415">
            <v>0</v>
          </cell>
          <cell r="BR415">
            <v>0</v>
          </cell>
          <cell r="BT415">
            <v>0</v>
          </cell>
          <cell r="BV415">
            <v>0</v>
          </cell>
          <cell r="BX415">
            <v>0</v>
          </cell>
          <cell r="BZ415">
            <v>0</v>
          </cell>
          <cell r="CB415">
            <v>0</v>
          </cell>
          <cell r="CD415">
            <v>0</v>
          </cell>
          <cell r="CF415">
            <v>0</v>
          </cell>
          <cell r="CH415">
            <v>0</v>
          </cell>
          <cell r="CJ415">
            <v>0</v>
          </cell>
          <cell r="CL415">
            <v>0</v>
          </cell>
          <cell r="CN415">
            <v>0</v>
          </cell>
          <cell r="CP415">
            <v>0</v>
          </cell>
          <cell r="CR415">
            <v>0</v>
          </cell>
          <cell r="CT415">
            <v>0</v>
          </cell>
          <cell r="CV415">
            <v>0</v>
          </cell>
          <cell r="CX415">
            <v>0</v>
          </cell>
          <cell r="CZ415">
            <v>0</v>
          </cell>
          <cell r="DB415">
            <v>0</v>
          </cell>
          <cell r="DD415">
            <v>0</v>
          </cell>
          <cell r="DF415">
            <v>0</v>
          </cell>
          <cell r="DH415">
            <v>0</v>
          </cell>
          <cell r="DJ415">
            <v>0</v>
          </cell>
          <cell r="DL415">
            <v>0</v>
          </cell>
          <cell r="DN415">
            <v>0</v>
          </cell>
          <cell r="DP415">
            <v>0</v>
          </cell>
          <cell r="DR415">
            <v>0</v>
          </cell>
          <cell r="DT415">
            <v>0</v>
          </cell>
          <cell r="DV415">
            <v>0</v>
          </cell>
          <cell r="DX415">
            <v>0</v>
          </cell>
          <cell r="DZ415">
            <v>0</v>
          </cell>
          <cell r="EB415">
            <v>0</v>
          </cell>
          <cell r="ED415">
            <v>0</v>
          </cell>
          <cell r="EF415">
            <v>0</v>
          </cell>
          <cell r="EH415">
            <v>0</v>
          </cell>
          <cell r="EJ415">
            <v>0</v>
          </cell>
          <cell r="EL415">
            <v>0</v>
          </cell>
          <cell r="EN415">
            <v>0</v>
          </cell>
          <cell r="EP415">
            <v>0</v>
          </cell>
          <cell r="ER415">
            <v>0</v>
          </cell>
          <cell r="ET415">
            <v>0</v>
          </cell>
          <cell r="EV415">
            <v>0</v>
          </cell>
          <cell r="EX415">
            <v>0</v>
          </cell>
          <cell r="EZ415">
            <v>0</v>
          </cell>
          <cell r="FB415">
            <v>0</v>
          </cell>
          <cell r="FD415">
            <v>0</v>
          </cell>
          <cell r="FF415">
            <v>0</v>
          </cell>
          <cell r="FH415">
            <v>0</v>
          </cell>
          <cell r="FJ415">
            <v>0</v>
          </cell>
          <cell r="FL415">
            <v>0</v>
          </cell>
          <cell r="FN415">
            <v>0</v>
          </cell>
          <cell r="FP415">
            <v>0</v>
          </cell>
          <cell r="FR415">
            <v>0</v>
          </cell>
          <cell r="FT415">
            <v>0</v>
          </cell>
          <cell r="FV415">
            <v>0</v>
          </cell>
          <cell r="GD415">
            <v>14</v>
          </cell>
          <cell r="GF415">
            <v>4</v>
          </cell>
          <cell r="GH415">
            <v>1</v>
          </cell>
          <cell r="GJ415">
            <v>7</v>
          </cell>
          <cell r="GM415">
            <v>283.01</v>
          </cell>
          <cell r="GN41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286.檢查勞工個人防護具：█有 □無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W415" t="str">
            <v>（一）施工廠商施工前檢查事項辦理情形：█完成 □未完成 （二）其他工地安全衛生督導事項：</v>
          </cell>
          <cell r="GX415">
            <v>853901</v>
          </cell>
          <cell r="GY415">
            <v>0</v>
          </cell>
        </row>
        <row r="416">
          <cell r="N416">
            <v>1</v>
          </cell>
          <cell r="P416">
            <v>1</v>
          </cell>
          <cell r="R416">
            <v>672</v>
          </cell>
          <cell r="T416">
            <v>108</v>
          </cell>
          <cell r="V416">
            <v>661</v>
          </cell>
          <cell r="X416">
            <v>2</v>
          </cell>
          <cell r="Z416">
            <v>1</v>
          </cell>
          <cell r="AB416">
            <v>661</v>
          </cell>
          <cell r="AD416">
            <v>2</v>
          </cell>
          <cell r="AF416">
            <v>1</v>
          </cell>
          <cell r="AH416">
            <v>1</v>
          </cell>
          <cell r="AJ416">
            <v>1</v>
          </cell>
          <cell r="AL416">
            <v>0</v>
          </cell>
          <cell r="AN416">
            <v>0</v>
          </cell>
          <cell r="AP416">
            <v>0</v>
          </cell>
          <cell r="AR416">
            <v>0</v>
          </cell>
          <cell r="AT416">
            <v>0</v>
          </cell>
          <cell r="AV416">
            <v>0</v>
          </cell>
          <cell r="AX416">
            <v>0</v>
          </cell>
          <cell r="AZ416">
            <v>0</v>
          </cell>
          <cell r="BB416">
            <v>0</v>
          </cell>
          <cell r="BD416">
            <v>0</v>
          </cell>
          <cell r="BF416">
            <v>0</v>
          </cell>
          <cell r="BH416">
            <v>0</v>
          </cell>
          <cell r="BJ416">
            <v>0</v>
          </cell>
          <cell r="BL416">
            <v>0</v>
          </cell>
          <cell r="BN416">
            <v>0</v>
          </cell>
          <cell r="BP416">
            <v>0</v>
          </cell>
          <cell r="BR416">
            <v>0</v>
          </cell>
          <cell r="BT416">
            <v>0</v>
          </cell>
          <cell r="BV416">
            <v>0</v>
          </cell>
          <cell r="BX416">
            <v>0</v>
          </cell>
          <cell r="BZ416">
            <v>0</v>
          </cell>
          <cell r="CB416">
            <v>0</v>
          </cell>
          <cell r="CD416">
            <v>0</v>
          </cell>
          <cell r="CF416">
            <v>0</v>
          </cell>
          <cell r="CH416">
            <v>0</v>
          </cell>
          <cell r="CJ416">
            <v>0</v>
          </cell>
          <cell r="CL416">
            <v>0</v>
          </cell>
          <cell r="CN416">
            <v>0</v>
          </cell>
          <cell r="CP416">
            <v>0</v>
          </cell>
          <cell r="CR416">
            <v>0</v>
          </cell>
          <cell r="CT416">
            <v>0</v>
          </cell>
          <cell r="CV416">
            <v>0</v>
          </cell>
          <cell r="CX416">
            <v>0</v>
          </cell>
          <cell r="CZ416">
            <v>0</v>
          </cell>
          <cell r="DB416">
            <v>0</v>
          </cell>
          <cell r="DD416">
            <v>0</v>
          </cell>
          <cell r="DF416">
            <v>0</v>
          </cell>
          <cell r="DH416">
            <v>0</v>
          </cell>
          <cell r="DJ416">
            <v>0</v>
          </cell>
          <cell r="DL416">
            <v>0</v>
          </cell>
          <cell r="DN416">
            <v>0</v>
          </cell>
          <cell r="DP416">
            <v>0</v>
          </cell>
          <cell r="DR416">
            <v>0</v>
          </cell>
          <cell r="DT416">
            <v>0</v>
          </cell>
          <cell r="DV416">
            <v>0</v>
          </cell>
          <cell r="DX416">
            <v>0</v>
          </cell>
          <cell r="DZ416">
            <v>0</v>
          </cell>
          <cell r="EB416">
            <v>0</v>
          </cell>
          <cell r="ED416">
            <v>0</v>
          </cell>
          <cell r="EF416">
            <v>0</v>
          </cell>
          <cell r="EH416">
            <v>0</v>
          </cell>
          <cell r="EJ416">
            <v>0</v>
          </cell>
          <cell r="EL416">
            <v>0</v>
          </cell>
          <cell r="EN416">
            <v>0</v>
          </cell>
          <cell r="EP416">
            <v>0</v>
          </cell>
          <cell r="ER416">
            <v>0</v>
          </cell>
          <cell r="ET416">
            <v>0</v>
          </cell>
          <cell r="EV416">
            <v>0</v>
          </cell>
          <cell r="EX416">
            <v>0</v>
          </cell>
          <cell r="EZ416">
            <v>0</v>
          </cell>
          <cell r="FB416">
            <v>0</v>
          </cell>
          <cell r="FD416">
            <v>0</v>
          </cell>
          <cell r="FF416">
            <v>0</v>
          </cell>
          <cell r="FH416">
            <v>0</v>
          </cell>
          <cell r="FJ416">
            <v>0</v>
          </cell>
          <cell r="FL416">
            <v>0</v>
          </cell>
          <cell r="FN416">
            <v>0</v>
          </cell>
          <cell r="FP416">
            <v>0</v>
          </cell>
          <cell r="FR416">
            <v>0</v>
          </cell>
          <cell r="FT416">
            <v>0</v>
          </cell>
          <cell r="FV416">
            <v>0</v>
          </cell>
          <cell r="GD416">
            <v>14</v>
          </cell>
          <cell r="GF416">
            <v>4</v>
          </cell>
          <cell r="GH416">
            <v>1</v>
          </cell>
          <cell r="GJ416">
            <v>7</v>
          </cell>
          <cell r="GM416">
            <v>284.01</v>
          </cell>
          <cell r="GN41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287.檢查勞工個人防護具：█有 □無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W416" t="str">
            <v>（一）施工廠商施工前檢查事項辦理情形：█完成 □未完成 （二）其他工地安全衛生督導事項：</v>
          </cell>
          <cell r="GX416">
            <v>853901</v>
          </cell>
          <cell r="GY416">
            <v>0</v>
          </cell>
        </row>
        <row r="417">
          <cell r="N417">
            <v>1</v>
          </cell>
          <cell r="P417">
            <v>1</v>
          </cell>
          <cell r="R417">
            <v>672</v>
          </cell>
          <cell r="T417">
            <v>108</v>
          </cell>
          <cell r="V417">
            <v>661</v>
          </cell>
          <cell r="X417">
            <v>2</v>
          </cell>
          <cell r="Z417">
            <v>1</v>
          </cell>
          <cell r="AB417">
            <v>661</v>
          </cell>
          <cell r="AD417">
            <v>2</v>
          </cell>
          <cell r="AF417">
            <v>1</v>
          </cell>
          <cell r="AH417">
            <v>1</v>
          </cell>
          <cell r="AJ417">
            <v>1</v>
          </cell>
          <cell r="AL417">
            <v>0</v>
          </cell>
          <cell r="AN417">
            <v>0</v>
          </cell>
          <cell r="AP417">
            <v>0</v>
          </cell>
          <cell r="AR417">
            <v>0</v>
          </cell>
          <cell r="AT417">
            <v>0</v>
          </cell>
          <cell r="AV417">
            <v>0</v>
          </cell>
          <cell r="AX417">
            <v>0</v>
          </cell>
          <cell r="AZ417">
            <v>0</v>
          </cell>
          <cell r="BB417">
            <v>0</v>
          </cell>
          <cell r="BD417">
            <v>0</v>
          </cell>
          <cell r="BF417">
            <v>0</v>
          </cell>
          <cell r="BH417">
            <v>0</v>
          </cell>
          <cell r="BJ417">
            <v>0</v>
          </cell>
          <cell r="BL417">
            <v>0</v>
          </cell>
          <cell r="BN417">
            <v>0</v>
          </cell>
          <cell r="BP417">
            <v>0</v>
          </cell>
          <cell r="BR417">
            <v>0</v>
          </cell>
          <cell r="BT417">
            <v>0</v>
          </cell>
          <cell r="BV417">
            <v>0</v>
          </cell>
          <cell r="BX417">
            <v>0</v>
          </cell>
          <cell r="BZ417">
            <v>0</v>
          </cell>
          <cell r="CB417">
            <v>0</v>
          </cell>
          <cell r="CD417">
            <v>0</v>
          </cell>
          <cell r="CF417">
            <v>0</v>
          </cell>
          <cell r="CH417">
            <v>0</v>
          </cell>
          <cell r="CJ417">
            <v>0</v>
          </cell>
          <cell r="CL417">
            <v>0</v>
          </cell>
          <cell r="CN417">
            <v>0</v>
          </cell>
          <cell r="CP417">
            <v>0</v>
          </cell>
          <cell r="CR417">
            <v>0</v>
          </cell>
          <cell r="CT417">
            <v>0</v>
          </cell>
          <cell r="CV417">
            <v>0</v>
          </cell>
          <cell r="CX417">
            <v>0</v>
          </cell>
          <cell r="CZ417">
            <v>0</v>
          </cell>
          <cell r="DB417">
            <v>0</v>
          </cell>
          <cell r="DD417">
            <v>0</v>
          </cell>
          <cell r="DF417">
            <v>0</v>
          </cell>
          <cell r="DH417">
            <v>0</v>
          </cell>
          <cell r="DJ417">
            <v>0</v>
          </cell>
          <cell r="DL417">
            <v>0</v>
          </cell>
          <cell r="DN417">
            <v>0</v>
          </cell>
          <cell r="DP417">
            <v>0</v>
          </cell>
          <cell r="DR417">
            <v>0</v>
          </cell>
          <cell r="DT417">
            <v>0</v>
          </cell>
          <cell r="DV417">
            <v>0</v>
          </cell>
          <cell r="DX417">
            <v>0</v>
          </cell>
          <cell r="DZ417">
            <v>0</v>
          </cell>
          <cell r="EB417">
            <v>0</v>
          </cell>
          <cell r="ED417">
            <v>0</v>
          </cell>
          <cell r="EF417">
            <v>0</v>
          </cell>
          <cell r="EH417">
            <v>0</v>
          </cell>
          <cell r="EJ417">
            <v>0</v>
          </cell>
          <cell r="EL417">
            <v>0</v>
          </cell>
          <cell r="EN417">
            <v>0</v>
          </cell>
          <cell r="EP417">
            <v>0</v>
          </cell>
          <cell r="ER417">
            <v>0</v>
          </cell>
          <cell r="ET417">
            <v>0</v>
          </cell>
          <cell r="EV417">
            <v>0</v>
          </cell>
          <cell r="EX417">
            <v>0</v>
          </cell>
          <cell r="EZ417">
            <v>0</v>
          </cell>
          <cell r="FB417">
            <v>0</v>
          </cell>
          <cell r="FD417">
            <v>0</v>
          </cell>
          <cell r="FF417">
            <v>0</v>
          </cell>
          <cell r="FH417">
            <v>0</v>
          </cell>
          <cell r="FJ417">
            <v>0</v>
          </cell>
          <cell r="FL417">
            <v>0</v>
          </cell>
          <cell r="FN417">
            <v>0</v>
          </cell>
          <cell r="FP417">
            <v>0</v>
          </cell>
          <cell r="FR417">
            <v>0</v>
          </cell>
          <cell r="FT417">
            <v>0</v>
          </cell>
          <cell r="FV417">
            <v>0</v>
          </cell>
          <cell r="GD417">
            <v>14</v>
          </cell>
          <cell r="GF417">
            <v>4</v>
          </cell>
          <cell r="GH417">
            <v>1</v>
          </cell>
          <cell r="GJ417">
            <v>7</v>
          </cell>
          <cell r="GM417">
            <v>285.01</v>
          </cell>
          <cell r="GN41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288.檢查勞工個人防護具：█有 □無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W417" t="str">
            <v>（一）施工廠商施工前檢查事項辦理情形：█完成 □未完成 （二）其他工地安全衛生督導事項：</v>
          </cell>
          <cell r="GX417">
            <v>853901</v>
          </cell>
          <cell r="GY417">
            <v>0</v>
          </cell>
        </row>
        <row r="418">
          <cell r="N418">
            <v>1</v>
          </cell>
          <cell r="P418">
            <v>1</v>
          </cell>
          <cell r="R418">
            <v>672</v>
          </cell>
          <cell r="T418">
            <v>108</v>
          </cell>
          <cell r="V418">
            <v>661</v>
          </cell>
          <cell r="X418">
            <v>2</v>
          </cell>
          <cell r="Z418">
            <v>1</v>
          </cell>
          <cell r="AB418">
            <v>661</v>
          </cell>
          <cell r="AD418">
            <v>2</v>
          </cell>
          <cell r="AF418">
            <v>1</v>
          </cell>
          <cell r="AH418">
            <v>1</v>
          </cell>
          <cell r="AJ418">
            <v>1</v>
          </cell>
          <cell r="AL418">
            <v>0</v>
          </cell>
          <cell r="AN418">
            <v>0</v>
          </cell>
          <cell r="AP418">
            <v>0</v>
          </cell>
          <cell r="AR418">
            <v>0</v>
          </cell>
          <cell r="AT418">
            <v>0</v>
          </cell>
          <cell r="AV418">
            <v>0</v>
          </cell>
          <cell r="AX418">
            <v>0</v>
          </cell>
          <cell r="AZ418">
            <v>0</v>
          </cell>
          <cell r="BB418">
            <v>0</v>
          </cell>
          <cell r="BD418">
            <v>0</v>
          </cell>
          <cell r="BF418">
            <v>0</v>
          </cell>
          <cell r="BH418">
            <v>0</v>
          </cell>
          <cell r="BJ418">
            <v>0</v>
          </cell>
          <cell r="BL418">
            <v>0</v>
          </cell>
          <cell r="BN418">
            <v>0</v>
          </cell>
          <cell r="BP418">
            <v>0</v>
          </cell>
          <cell r="BR418">
            <v>0</v>
          </cell>
          <cell r="BT418">
            <v>0</v>
          </cell>
          <cell r="BV418">
            <v>0</v>
          </cell>
          <cell r="BX418">
            <v>0</v>
          </cell>
          <cell r="BZ418">
            <v>0</v>
          </cell>
          <cell r="CB418">
            <v>0</v>
          </cell>
          <cell r="CD418">
            <v>0</v>
          </cell>
          <cell r="CF418">
            <v>0</v>
          </cell>
          <cell r="CH418">
            <v>0</v>
          </cell>
          <cell r="CJ418">
            <v>0</v>
          </cell>
          <cell r="CL418">
            <v>0</v>
          </cell>
          <cell r="CN418">
            <v>0</v>
          </cell>
          <cell r="CP418">
            <v>0</v>
          </cell>
          <cell r="CR418">
            <v>0</v>
          </cell>
          <cell r="CT418">
            <v>0</v>
          </cell>
          <cell r="CV418">
            <v>0</v>
          </cell>
          <cell r="CX418">
            <v>0</v>
          </cell>
          <cell r="CZ418">
            <v>0</v>
          </cell>
          <cell r="DB418">
            <v>0</v>
          </cell>
          <cell r="DD418">
            <v>0</v>
          </cell>
          <cell r="DF418">
            <v>0</v>
          </cell>
          <cell r="DH418">
            <v>0</v>
          </cell>
          <cell r="DJ418">
            <v>0</v>
          </cell>
          <cell r="DL418">
            <v>0</v>
          </cell>
          <cell r="DN418">
            <v>0</v>
          </cell>
          <cell r="DP418">
            <v>0</v>
          </cell>
          <cell r="DR418">
            <v>0</v>
          </cell>
          <cell r="DT418">
            <v>0</v>
          </cell>
          <cell r="DV418">
            <v>0</v>
          </cell>
          <cell r="DX418">
            <v>0</v>
          </cell>
          <cell r="DZ418">
            <v>0</v>
          </cell>
          <cell r="EB418">
            <v>0</v>
          </cell>
          <cell r="ED418">
            <v>0</v>
          </cell>
          <cell r="EF418">
            <v>0</v>
          </cell>
          <cell r="EH418">
            <v>0</v>
          </cell>
          <cell r="EJ418">
            <v>0</v>
          </cell>
          <cell r="EL418">
            <v>0</v>
          </cell>
          <cell r="EN418">
            <v>0</v>
          </cell>
          <cell r="EP418">
            <v>0</v>
          </cell>
          <cell r="ER418">
            <v>0</v>
          </cell>
          <cell r="ET418">
            <v>0</v>
          </cell>
          <cell r="EV418">
            <v>0</v>
          </cell>
          <cell r="EX418">
            <v>0</v>
          </cell>
          <cell r="EZ418">
            <v>0</v>
          </cell>
          <cell r="FB418">
            <v>0</v>
          </cell>
          <cell r="FD418">
            <v>0</v>
          </cell>
          <cell r="FF418">
            <v>0</v>
          </cell>
          <cell r="FH418">
            <v>0</v>
          </cell>
          <cell r="FJ418">
            <v>0</v>
          </cell>
          <cell r="FL418">
            <v>0</v>
          </cell>
          <cell r="FN418">
            <v>0</v>
          </cell>
          <cell r="FP418">
            <v>0</v>
          </cell>
          <cell r="FR418">
            <v>0</v>
          </cell>
          <cell r="FT418">
            <v>0</v>
          </cell>
          <cell r="FV418">
            <v>0</v>
          </cell>
          <cell r="GD418">
            <v>14</v>
          </cell>
          <cell r="GF418">
            <v>4</v>
          </cell>
          <cell r="GH418">
            <v>1</v>
          </cell>
          <cell r="GJ418">
            <v>7</v>
          </cell>
          <cell r="GM418">
            <v>286.01</v>
          </cell>
          <cell r="GN41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289.檢查勞工個人防護具：█有 □無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W418" t="str">
            <v>（一）施工廠商施工前檢查事項辦理情形：█完成 □未完成 （二）其他工地安全衛生督導事項：</v>
          </cell>
          <cell r="GX418">
            <v>853901</v>
          </cell>
          <cell r="GY418">
            <v>0</v>
          </cell>
        </row>
        <row r="419">
          <cell r="N419">
            <v>1</v>
          </cell>
          <cell r="P419">
            <v>1</v>
          </cell>
          <cell r="R419">
            <v>672</v>
          </cell>
          <cell r="T419">
            <v>108</v>
          </cell>
          <cell r="V419">
            <v>661</v>
          </cell>
          <cell r="X419">
            <v>2</v>
          </cell>
          <cell r="Z419">
            <v>1</v>
          </cell>
          <cell r="AB419">
            <v>661</v>
          </cell>
          <cell r="AD419">
            <v>2</v>
          </cell>
          <cell r="AF419">
            <v>1</v>
          </cell>
          <cell r="AH419">
            <v>1</v>
          </cell>
          <cell r="AJ419">
            <v>1</v>
          </cell>
          <cell r="AL419">
            <v>0</v>
          </cell>
          <cell r="AN419">
            <v>0</v>
          </cell>
          <cell r="AP419">
            <v>0</v>
          </cell>
          <cell r="AR419">
            <v>0</v>
          </cell>
          <cell r="AT419">
            <v>0</v>
          </cell>
          <cell r="AV419">
            <v>0</v>
          </cell>
          <cell r="AX419">
            <v>0</v>
          </cell>
          <cell r="AZ419">
            <v>0</v>
          </cell>
          <cell r="BB419">
            <v>0</v>
          </cell>
          <cell r="BD419">
            <v>0</v>
          </cell>
          <cell r="BF419">
            <v>0</v>
          </cell>
          <cell r="BH419">
            <v>0</v>
          </cell>
          <cell r="BJ419">
            <v>0</v>
          </cell>
          <cell r="BL419">
            <v>0</v>
          </cell>
          <cell r="BN419">
            <v>0</v>
          </cell>
          <cell r="BP419">
            <v>0</v>
          </cell>
          <cell r="BR419">
            <v>0</v>
          </cell>
          <cell r="BT419">
            <v>0</v>
          </cell>
          <cell r="BV419">
            <v>0</v>
          </cell>
          <cell r="BX419">
            <v>0</v>
          </cell>
          <cell r="BZ419">
            <v>0</v>
          </cell>
          <cell r="CB419">
            <v>0</v>
          </cell>
          <cell r="CD419">
            <v>0</v>
          </cell>
          <cell r="CF419">
            <v>0</v>
          </cell>
          <cell r="CH419">
            <v>0</v>
          </cell>
          <cell r="CJ419">
            <v>0</v>
          </cell>
          <cell r="CL419">
            <v>0</v>
          </cell>
          <cell r="CN419">
            <v>0</v>
          </cell>
          <cell r="CP419">
            <v>0</v>
          </cell>
          <cell r="CR419">
            <v>0</v>
          </cell>
          <cell r="CT419">
            <v>0</v>
          </cell>
          <cell r="CV419">
            <v>0</v>
          </cell>
          <cell r="CX419">
            <v>0</v>
          </cell>
          <cell r="CZ419">
            <v>0</v>
          </cell>
          <cell r="DB419">
            <v>0</v>
          </cell>
          <cell r="DD419">
            <v>0</v>
          </cell>
          <cell r="DF419">
            <v>0</v>
          </cell>
          <cell r="DH419">
            <v>0</v>
          </cell>
          <cell r="DJ419">
            <v>0</v>
          </cell>
          <cell r="DL419">
            <v>0</v>
          </cell>
          <cell r="DN419">
            <v>0</v>
          </cell>
          <cell r="DP419">
            <v>0</v>
          </cell>
          <cell r="DR419">
            <v>0</v>
          </cell>
          <cell r="DT419">
            <v>0</v>
          </cell>
          <cell r="DV419">
            <v>0</v>
          </cell>
          <cell r="DX419">
            <v>0</v>
          </cell>
          <cell r="DZ419">
            <v>0</v>
          </cell>
          <cell r="EB419">
            <v>0</v>
          </cell>
          <cell r="ED419">
            <v>0</v>
          </cell>
          <cell r="EF419">
            <v>0</v>
          </cell>
          <cell r="EH419">
            <v>0</v>
          </cell>
          <cell r="EJ419">
            <v>0</v>
          </cell>
          <cell r="EL419">
            <v>0</v>
          </cell>
          <cell r="EN419">
            <v>0</v>
          </cell>
          <cell r="EP419">
            <v>0</v>
          </cell>
          <cell r="ER419">
            <v>0</v>
          </cell>
          <cell r="ET419">
            <v>0</v>
          </cell>
          <cell r="EV419">
            <v>0</v>
          </cell>
          <cell r="EX419">
            <v>0</v>
          </cell>
          <cell r="EZ419">
            <v>0</v>
          </cell>
          <cell r="FB419">
            <v>0</v>
          </cell>
          <cell r="FD419">
            <v>0</v>
          </cell>
          <cell r="FF419">
            <v>0</v>
          </cell>
          <cell r="FH419">
            <v>0</v>
          </cell>
          <cell r="FJ419">
            <v>0</v>
          </cell>
          <cell r="FL419">
            <v>0</v>
          </cell>
          <cell r="FN419">
            <v>0</v>
          </cell>
          <cell r="FP419">
            <v>0</v>
          </cell>
          <cell r="FR419">
            <v>0</v>
          </cell>
          <cell r="FT419">
            <v>0</v>
          </cell>
          <cell r="FV419">
            <v>0</v>
          </cell>
          <cell r="GD419">
            <v>14</v>
          </cell>
          <cell r="GF419">
            <v>4</v>
          </cell>
          <cell r="GH419">
            <v>1</v>
          </cell>
          <cell r="GJ419">
            <v>7</v>
          </cell>
          <cell r="GM419">
            <v>287.01</v>
          </cell>
          <cell r="GN41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290.檢查勞工個人防護具：█有 □無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W419" t="str">
            <v>（一）施工廠商施工前檢查事項辦理情形：█完成 □未完成 （二）其他工地安全衛生督導事項：</v>
          </cell>
          <cell r="GX419">
            <v>853901</v>
          </cell>
          <cell r="GY419">
            <v>0</v>
          </cell>
        </row>
        <row r="420">
          <cell r="N420">
            <v>1</v>
          </cell>
          <cell r="P420">
            <v>1</v>
          </cell>
          <cell r="R420">
            <v>672</v>
          </cell>
          <cell r="T420">
            <v>108</v>
          </cell>
          <cell r="V420">
            <v>661</v>
          </cell>
          <cell r="X420">
            <v>2</v>
          </cell>
          <cell r="Z420">
            <v>1</v>
          </cell>
          <cell r="AB420">
            <v>661</v>
          </cell>
          <cell r="AD420">
            <v>2</v>
          </cell>
          <cell r="AF420">
            <v>1</v>
          </cell>
          <cell r="AH420">
            <v>1</v>
          </cell>
          <cell r="AJ420">
            <v>1</v>
          </cell>
          <cell r="AL420">
            <v>0</v>
          </cell>
          <cell r="AN420">
            <v>0</v>
          </cell>
          <cell r="AP420">
            <v>0</v>
          </cell>
          <cell r="AR420">
            <v>0</v>
          </cell>
          <cell r="AT420">
            <v>0</v>
          </cell>
          <cell r="AV420">
            <v>0</v>
          </cell>
          <cell r="AX420">
            <v>0</v>
          </cell>
          <cell r="AZ420">
            <v>0</v>
          </cell>
          <cell r="BB420">
            <v>0</v>
          </cell>
          <cell r="BD420">
            <v>0</v>
          </cell>
          <cell r="BF420">
            <v>0</v>
          </cell>
          <cell r="BH420">
            <v>0</v>
          </cell>
          <cell r="BJ420">
            <v>0</v>
          </cell>
          <cell r="BL420">
            <v>0</v>
          </cell>
          <cell r="BN420">
            <v>0</v>
          </cell>
          <cell r="BP420">
            <v>0</v>
          </cell>
          <cell r="BR420">
            <v>0</v>
          </cell>
          <cell r="BT420">
            <v>0</v>
          </cell>
          <cell r="BV420">
            <v>0</v>
          </cell>
          <cell r="BX420">
            <v>0</v>
          </cell>
          <cell r="BZ420">
            <v>0</v>
          </cell>
          <cell r="CB420">
            <v>0</v>
          </cell>
          <cell r="CD420">
            <v>0</v>
          </cell>
          <cell r="CF420">
            <v>0</v>
          </cell>
          <cell r="CH420">
            <v>0</v>
          </cell>
          <cell r="CJ420">
            <v>0</v>
          </cell>
          <cell r="CL420">
            <v>0</v>
          </cell>
          <cell r="CN420">
            <v>0</v>
          </cell>
          <cell r="CP420">
            <v>0</v>
          </cell>
          <cell r="CR420">
            <v>0</v>
          </cell>
          <cell r="CT420">
            <v>0</v>
          </cell>
          <cell r="CV420">
            <v>0</v>
          </cell>
          <cell r="CX420">
            <v>0</v>
          </cell>
          <cell r="CZ420">
            <v>0</v>
          </cell>
          <cell r="DB420">
            <v>0</v>
          </cell>
          <cell r="DD420">
            <v>0</v>
          </cell>
          <cell r="DF420">
            <v>0</v>
          </cell>
          <cell r="DH420">
            <v>0</v>
          </cell>
          <cell r="DJ420">
            <v>0</v>
          </cell>
          <cell r="DL420">
            <v>0</v>
          </cell>
          <cell r="DN420">
            <v>0</v>
          </cell>
          <cell r="DP420">
            <v>0</v>
          </cell>
          <cell r="DR420">
            <v>0</v>
          </cell>
          <cell r="DT420">
            <v>0</v>
          </cell>
          <cell r="DV420">
            <v>0</v>
          </cell>
          <cell r="DX420">
            <v>0</v>
          </cell>
          <cell r="DZ420">
            <v>0</v>
          </cell>
          <cell r="EB420">
            <v>0</v>
          </cell>
          <cell r="ED420">
            <v>0</v>
          </cell>
          <cell r="EF420">
            <v>0</v>
          </cell>
          <cell r="EH420">
            <v>0</v>
          </cell>
          <cell r="EJ420">
            <v>0</v>
          </cell>
          <cell r="EL420">
            <v>0</v>
          </cell>
          <cell r="EN420">
            <v>0</v>
          </cell>
          <cell r="EP420">
            <v>0</v>
          </cell>
          <cell r="ER420">
            <v>0</v>
          </cell>
          <cell r="ET420">
            <v>0</v>
          </cell>
          <cell r="EV420">
            <v>0</v>
          </cell>
          <cell r="EX420">
            <v>0</v>
          </cell>
          <cell r="EZ420">
            <v>0</v>
          </cell>
          <cell r="FB420">
            <v>0</v>
          </cell>
          <cell r="FD420">
            <v>0</v>
          </cell>
          <cell r="FF420">
            <v>0</v>
          </cell>
          <cell r="FH420">
            <v>0</v>
          </cell>
          <cell r="FJ420">
            <v>0</v>
          </cell>
          <cell r="FL420">
            <v>0</v>
          </cell>
          <cell r="FN420">
            <v>0</v>
          </cell>
          <cell r="FP420">
            <v>0</v>
          </cell>
          <cell r="FR420">
            <v>0</v>
          </cell>
          <cell r="FT420">
            <v>0</v>
          </cell>
          <cell r="FV420">
            <v>0</v>
          </cell>
          <cell r="GD420">
            <v>14</v>
          </cell>
          <cell r="GF420">
            <v>4</v>
          </cell>
          <cell r="GH420">
            <v>1</v>
          </cell>
          <cell r="GJ420">
            <v>7</v>
          </cell>
          <cell r="GM420">
            <v>288.01</v>
          </cell>
          <cell r="GN42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291.檢查勞工個人防護具：█有 □無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W420" t="str">
            <v>（一）施工廠商施工前檢查事項辦理情形：█完成 □未完成 （二）其他工地安全衛生督導事項：</v>
          </cell>
          <cell r="GX420">
            <v>853901</v>
          </cell>
          <cell r="GY420">
            <v>0</v>
          </cell>
        </row>
        <row r="421">
          <cell r="N421">
            <v>1</v>
          </cell>
          <cell r="P421">
            <v>1</v>
          </cell>
          <cell r="R421">
            <v>672</v>
          </cell>
          <cell r="T421">
            <v>108</v>
          </cell>
          <cell r="V421">
            <v>661</v>
          </cell>
          <cell r="X421">
            <v>2</v>
          </cell>
          <cell r="Z421">
            <v>1</v>
          </cell>
          <cell r="AB421">
            <v>661</v>
          </cell>
          <cell r="AD421">
            <v>2</v>
          </cell>
          <cell r="AF421">
            <v>1</v>
          </cell>
          <cell r="AH421">
            <v>1</v>
          </cell>
          <cell r="AJ421">
            <v>1</v>
          </cell>
          <cell r="AL421">
            <v>0</v>
          </cell>
          <cell r="AN421">
            <v>0</v>
          </cell>
          <cell r="AP421">
            <v>0</v>
          </cell>
          <cell r="AR421">
            <v>0</v>
          </cell>
          <cell r="AT421">
            <v>0</v>
          </cell>
          <cell r="AV421">
            <v>0</v>
          </cell>
          <cell r="AX421">
            <v>0</v>
          </cell>
          <cell r="AZ421">
            <v>0</v>
          </cell>
          <cell r="BB421">
            <v>0</v>
          </cell>
          <cell r="BD421">
            <v>0</v>
          </cell>
          <cell r="BF421">
            <v>0</v>
          </cell>
          <cell r="BH421">
            <v>0</v>
          </cell>
          <cell r="BJ421">
            <v>0</v>
          </cell>
          <cell r="BL421">
            <v>0</v>
          </cell>
          <cell r="BN421">
            <v>0</v>
          </cell>
          <cell r="BP421">
            <v>0</v>
          </cell>
          <cell r="BR421">
            <v>0</v>
          </cell>
          <cell r="BT421">
            <v>0</v>
          </cell>
          <cell r="BV421">
            <v>0</v>
          </cell>
          <cell r="BX421">
            <v>0</v>
          </cell>
          <cell r="BZ421">
            <v>0</v>
          </cell>
          <cell r="CB421">
            <v>0</v>
          </cell>
          <cell r="CD421">
            <v>0</v>
          </cell>
          <cell r="CF421">
            <v>0</v>
          </cell>
          <cell r="CH421">
            <v>0</v>
          </cell>
          <cell r="CJ421">
            <v>0</v>
          </cell>
          <cell r="CL421">
            <v>0</v>
          </cell>
          <cell r="CN421">
            <v>0</v>
          </cell>
          <cell r="CP421">
            <v>0</v>
          </cell>
          <cell r="CR421">
            <v>0</v>
          </cell>
          <cell r="CT421">
            <v>0</v>
          </cell>
          <cell r="CV421">
            <v>0</v>
          </cell>
          <cell r="CX421">
            <v>0</v>
          </cell>
          <cell r="CZ421">
            <v>0</v>
          </cell>
          <cell r="DB421">
            <v>0</v>
          </cell>
          <cell r="DD421">
            <v>0</v>
          </cell>
          <cell r="DF421">
            <v>0</v>
          </cell>
          <cell r="DH421">
            <v>0</v>
          </cell>
          <cell r="DJ421">
            <v>0</v>
          </cell>
          <cell r="DL421">
            <v>0</v>
          </cell>
          <cell r="DN421">
            <v>0</v>
          </cell>
          <cell r="DP421">
            <v>0</v>
          </cell>
          <cell r="DR421">
            <v>0</v>
          </cell>
          <cell r="DT421">
            <v>0</v>
          </cell>
          <cell r="DV421">
            <v>0</v>
          </cell>
          <cell r="DX421">
            <v>0</v>
          </cell>
          <cell r="DZ421">
            <v>0</v>
          </cell>
          <cell r="EB421">
            <v>0</v>
          </cell>
          <cell r="ED421">
            <v>0</v>
          </cell>
          <cell r="EF421">
            <v>0</v>
          </cell>
          <cell r="EH421">
            <v>0</v>
          </cell>
          <cell r="EJ421">
            <v>0</v>
          </cell>
          <cell r="EL421">
            <v>0</v>
          </cell>
          <cell r="EN421">
            <v>0</v>
          </cell>
          <cell r="EP421">
            <v>0</v>
          </cell>
          <cell r="ER421">
            <v>0</v>
          </cell>
          <cell r="ET421">
            <v>0</v>
          </cell>
          <cell r="EV421">
            <v>0</v>
          </cell>
          <cell r="EX421">
            <v>0</v>
          </cell>
          <cell r="EZ421">
            <v>0</v>
          </cell>
          <cell r="FB421">
            <v>0</v>
          </cell>
          <cell r="FD421">
            <v>0</v>
          </cell>
          <cell r="FF421">
            <v>0</v>
          </cell>
          <cell r="FH421">
            <v>0</v>
          </cell>
          <cell r="FJ421">
            <v>0</v>
          </cell>
          <cell r="FL421">
            <v>0</v>
          </cell>
          <cell r="FN421">
            <v>0</v>
          </cell>
          <cell r="FP421">
            <v>0</v>
          </cell>
          <cell r="FR421">
            <v>0</v>
          </cell>
          <cell r="FT421">
            <v>0</v>
          </cell>
          <cell r="FV421">
            <v>0</v>
          </cell>
          <cell r="GD421">
            <v>14</v>
          </cell>
          <cell r="GF421">
            <v>4</v>
          </cell>
          <cell r="GH421">
            <v>1</v>
          </cell>
          <cell r="GJ421">
            <v>7</v>
          </cell>
          <cell r="GM421">
            <v>289.01</v>
          </cell>
          <cell r="GN42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292.檢查勞工個人防護具：█有 □無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W421" t="str">
            <v>（一）施工廠商施工前檢查事項辦理情形：█完成 □未完成 （二）其他工地安全衛生督導事項：</v>
          </cell>
          <cell r="GX421">
            <v>853901</v>
          </cell>
          <cell r="GY421">
            <v>0</v>
          </cell>
        </row>
        <row r="422">
          <cell r="N422">
            <v>1</v>
          </cell>
          <cell r="P422">
            <v>1</v>
          </cell>
          <cell r="R422">
            <v>672</v>
          </cell>
          <cell r="T422">
            <v>108</v>
          </cell>
          <cell r="V422">
            <v>661</v>
          </cell>
          <cell r="X422">
            <v>2</v>
          </cell>
          <cell r="Z422">
            <v>1</v>
          </cell>
          <cell r="AB422">
            <v>661</v>
          </cell>
          <cell r="AD422">
            <v>2</v>
          </cell>
          <cell r="AF422">
            <v>1</v>
          </cell>
          <cell r="AH422">
            <v>1</v>
          </cell>
          <cell r="AJ422">
            <v>1</v>
          </cell>
          <cell r="AL422">
            <v>0</v>
          </cell>
          <cell r="AN422">
            <v>0</v>
          </cell>
          <cell r="AP422">
            <v>0</v>
          </cell>
          <cell r="AR422">
            <v>0</v>
          </cell>
          <cell r="AT422">
            <v>0</v>
          </cell>
          <cell r="AV422">
            <v>0</v>
          </cell>
          <cell r="AX422">
            <v>0</v>
          </cell>
          <cell r="AZ422">
            <v>0</v>
          </cell>
          <cell r="BB422">
            <v>0</v>
          </cell>
          <cell r="BD422">
            <v>0</v>
          </cell>
          <cell r="BF422">
            <v>0</v>
          </cell>
          <cell r="BH422">
            <v>0</v>
          </cell>
          <cell r="BJ422">
            <v>0</v>
          </cell>
          <cell r="BL422">
            <v>0</v>
          </cell>
          <cell r="BN422">
            <v>0</v>
          </cell>
          <cell r="BP422">
            <v>0</v>
          </cell>
          <cell r="BR422">
            <v>0</v>
          </cell>
          <cell r="BT422">
            <v>0</v>
          </cell>
          <cell r="BV422">
            <v>0</v>
          </cell>
          <cell r="BX422">
            <v>0</v>
          </cell>
          <cell r="BZ422">
            <v>0</v>
          </cell>
          <cell r="CB422">
            <v>0</v>
          </cell>
          <cell r="CD422">
            <v>0</v>
          </cell>
          <cell r="CF422">
            <v>0</v>
          </cell>
          <cell r="CH422">
            <v>0</v>
          </cell>
          <cell r="CJ422">
            <v>0</v>
          </cell>
          <cell r="CL422">
            <v>0</v>
          </cell>
          <cell r="CN422">
            <v>0</v>
          </cell>
          <cell r="CP422">
            <v>0</v>
          </cell>
          <cell r="CR422">
            <v>0</v>
          </cell>
          <cell r="CT422">
            <v>0</v>
          </cell>
          <cell r="CV422">
            <v>0</v>
          </cell>
          <cell r="CX422">
            <v>0</v>
          </cell>
          <cell r="CZ422">
            <v>0</v>
          </cell>
          <cell r="DB422">
            <v>0</v>
          </cell>
          <cell r="DD422">
            <v>0</v>
          </cell>
          <cell r="DF422">
            <v>0</v>
          </cell>
          <cell r="DH422">
            <v>0</v>
          </cell>
          <cell r="DJ422">
            <v>0</v>
          </cell>
          <cell r="DL422">
            <v>0</v>
          </cell>
          <cell r="DN422">
            <v>0</v>
          </cell>
          <cell r="DP422">
            <v>0</v>
          </cell>
          <cell r="DR422">
            <v>0</v>
          </cell>
          <cell r="DT422">
            <v>0</v>
          </cell>
          <cell r="DV422">
            <v>0</v>
          </cell>
          <cell r="DX422">
            <v>0</v>
          </cell>
          <cell r="DZ422">
            <v>0</v>
          </cell>
          <cell r="EB422">
            <v>0</v>
          </cell>
          <cell r="ED422">
            <v>0</v>
          </cell>
          <cell r="EF422">
            <v>0</v>
          </cell>
          <cell r="EH422">
            <v>0</v>
          </cell>
          <cell r="EJ422">
            <v>0</v>
          </cell>
          <cell r="EL422">
            <v>0</v>
          </cell>
          <cell r="EN422">
            <v>0</v>
          </cell>
          <cell r="EP422">
            <v>0</v>
          </cell>
          <cell r="ER422">
            <v>0</v>
          </cell>
          <cell r="ET422">
            <v>0</v>
          </cell>
          <cell r="EV422">
            <v>0</v>
          </cell>
          <cell r="EX422">
            <v>0</v>
          </cell>
          <cell r="EZ422">
            <v>0</v>
          </cell>
          <cell r="FB422">
            <v>0</v>
          </cell>
          <cell r="FD422">
            <v>0</v>
          </cell>
          <cell r="FF422">
            <v>0</v>
          </cell>
          <cell r="FH422">
            <v>0</v>
          </cell>
          <cell r="FJ422">
            <v>0</v>
          </cell>
          <cell r="FL422">
            <v>0</v>
          </cell>
          <cell r="FN422">
            <v>0</v>
          </cell>
          <cell r="FP422">
            <v>0</v>
          </cell>
          <cell r="FR422">
            <v>0</v>
          </cell>
          <cell r="FT422">
            <v>0</v>
          </cell>
          <cell r="FV422">
            <v>0</v>
          </cell>
          <cell r="GD422">
            <v>14</v>
          </cell>
          <cell r="GF422">
            <v>4</v>
          </cell>
          <cell r="GH422">
            <v>1</v>
          </cell>
          <cell r="GJ422">
            <v>7</v>
          </cell>
          <cell r="GM422">
            <v>290.01</v>
          </cell>
          <cell r="GN42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293.檢查勞工個人防護具：█有 □無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W422" t="str">
            <v>（一）施工廠商施工前檢查事項辦理情形：█完成 □未完成 （二）其他工地安全衛生督導事項：</v>
          </cell>
          <cell r="GX422">
            <v>853901</v>
          </cell>
          <cell r="GY422">
            <v>0</v>
          </cell>
        </row>
        <row r="423">
          <cell r="N423">
            <v>1</v>
          </cell>
          <cell r="P423">
            <v>1</v>
          </cell>
          <cell r="R423">
            <v>672</v>
          </cell>
          <cell r="T423">
            <v>108</v>
          </cell>
          <cell r="V423">
            <v>661</v>
          </cell>
          <cell r="X423">
            <v>2</v>
          </cell>
          <cell r="Z423">
            <v>1</v>
          </cell>
          <cell r="AB423">
            <v>661</v>
          </cell>
          <cell r="AD423">
            <v>2</v>
          </cell>
          <cell r="AF423">
            <v>1</v>
          </cell>
          <cell r="AH423">
            <v>1</v>
          </cell>
          <cell r="AJ423">
            <v>1</v>
          </cell>
          <cell r="AL423">
            <v>0</v>
          </cell>
          <cell r="AN423">
            <v>0</v>
          </cell>
          <cell r="AP423">
            <v>0</v>
          </cell>
          <cell r="AR423">
            <v>0</v>
          </cell>
          <cell r="AT423">
            <v>0</v>
          </cell>
          <cell r="AV423">
            <v>0</v>
          </cell>
          <cell r="AX423">
            <v>0</v>
          </cell>
          <cell r="AZ423">
            <v>0</v>
          </cell>
          <cell r="BB423">
            <v>0</v>
          </cell>
          <cell r="BD423">
            <v>0</v>
          </cell>
          <cell r="BF423">
            <v>0</v>
          </cell>
          <cell r="BH423">
            <v>0</v>
          </cell>
          <cell r="BJ423">
            <v>0</v>
          </cell>
          <cell r="BL423">
            <v>0</v>
          </cell>
          <cell r="BN423">
            <v>0</v>
          </cell>
          <cell r="BP423">
            <v>0</v>
          </cell>
          <cell r="BR423">
            <v>0</v>
          </cell>
          <cell r="BT423">
            <v>0</v>
          </cell>
          <cell r="BV423">
            <v>0</v>
          </cell>
          <cell r="BX423">
            <v>0</v>
          </cell>
          <cell r="BZ423">
            <v>0</v>
          </cell>
          <cell r="CB423">
            <v>0</v>
          </cell>
          <cell r="CD423">
            <v>0</v>
          </cell>
          <cell r="CF423">
            <v>0</v>
          </cell>
          <cell r="CH423">
            <v>0</v>
          </cell>
          <cell r="CJ423">
            <v>0</v>
          </cell>
          <cell r="CL423">
            <v>0</v>
          </cell>
          <cell r="CN423">
            <v>0</v>
          </cell>
          <cell r="CP423">
            <v>0</v>
          </cell>
          <cell r="CR423">
            <v>0</v>
          </cell>
          <cell r="CT423">
            <v>0</v>
          </cell>
          <cell r="CV423">
            <v>0</v>
          </cell>
          <cell r="CX423">
            <v>0</v>
          </cell>
          <cell r="CZ423">
            <v>0</v>
          </cell>
          <cell r="DB423">
            <v>0</v>
          </cell>
          <cell r="DD423">
            <v>0</v>
          </cell>
          <cell r="DF423">
            <v>0</v>
          </cell>
          <cell r="DH423">
            <v>0</v>
          </cell>
          <cell r="DJ423">
            <v>0</v>
          </cell>
          <cell r="DL423">
            <v>0</v>
          </cell>
          <cell r="DN423">
            <v>0</v>
          </cell>
          <cell r="DP423">
            <v>0</v>
          </cell>
          <cell r="DR423">
            <v>0</v>
          </cell>
          <cell r="DT423">
            <v>0</v>
          </cell>
          <cell r="DV423">
            <v>0</v>
          </cell>
          <cell r="DX423">
            <v>0</v>
          </cell>
          <cell r="DZ423">
            <v>0</v>
          </cell>
          <cell r="EB423">
            <v>0</v>
          </cell>
          <cell r="ED423">
            <v>0</v>
          </cell>
          <cell r="EF423">
            <v>0</v>
          </cell>
          <cell r="EH423">
            <v>0</v>
          </cell>
          <cell r="EJ423">
            <v>0</v>
          </cell>
          <cell r="EL423">
            <v>0</v>
          </cell>
          <cell r="EN423">
            <v>0</v>
          </cell>
          <cell r="EP423">
            <v>0</v>
          </cell>
          <cell r="ER423">
            <v>0</v>
          </cell>
          <cell r="ET423">
            <v>0</v>
          </cell>
          <cell r="EV423">
            <v>0</v>
          </cell>
          <cell r="EX423">
            <v>0</v>
          </cell>
          <cell r="EZ423">
            <v>0</v>
          </cell>
          <cell r="FB423">
            <v>0</v>
          </cell>
          <cell r="FD423">
            <v>0</v>
          </cell>
          <cell r="FF423">
            <v>0</v>
          </cell>
          <cell r="FH423">
            <v>0</v>
          </cell>
          <cell r="FJ423">
            <v>0</v>
          </cell>
          <cell r="FL423">
            <v>0</v>
          </cell>
          <cell r="FN423">
            <v>0</v>
          </cell>
          <cell r="FP423">
            <v>0</v>
          </cell>
          <cell r="FR423">
            <v>0</v>
          </cell>
          <cell r="FT423">
            <v>0</v>
          </cell>
          <cell r="FV423">
            <v>0</v>
          </cell>
          <cell r="GD423">
            <v>14</v>
          </cell>
          <cell r="GF423">
            <v>4</v>
          </cell>
          <cell r="GH423">
            <v>1</v>
          </cell>
          <cell r="GJ423">
            <v>7</v>
          </cell>
          <cell r="GM423">
            <v>291.01</v>
          </cell>
          <cell r="GN42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294.檢查勞工個人防護具：█有 □無</v>
          </cell>
          <cell r="GP423">
            <v>0</v>
          </cell>
          <cell r="GQ423" t="e">
            <v>#REF!</v>
          </cell>
          <cell r="GR423">
            <v>0</v>
          </cell>
          <cell r="GS423">
            <v>0</v>
          </cell>
          <cell r="GT423">
            <v>0</v>
          </cell>
          <cell r="GW423" t="str">
            <v>（一）施工廠商施工前檢查事項辦理情形：█完成 □未完成 （二）其他工地安全衛生督導事項：</v>
          </cell>
          <cell r="GX423">
            <v>853901</v>
          </cell>
          <cell r="GY423">
            <v>0</v>
          </cell>
        </row>
        <row r="424">
          <cell r="N424">
            <v>1</v>
          </cell>
          <cell r="P424">
            <v>1</v>
          </cell>
          <cell r="R424">
            <v>672</v>
          </cell>
          <cell r="T424">
            <v>108</v>
          </cell>
          <cell r="V424">
            <v>661</v>
          </cell>
          <cell r="X424">
            <v>2</v>
          </cell>
          <cell r="Z424">
            <v>1</v>
          </cell>
          <cell r="AB424">
            <v>661</v>
          </cell>
          <cell r="AD424">
            <v>2</v>
          </cell>
          <cell r="AF424">
            <v>1</v>
          </cell>
          <cell r="AH424">
            <v>1</v>
          </cell>
          <cell r="AJ424">
            <v>1</v>
          </cell>
          <cell r="AL424">
            <v>0</v>
          </cell>
          <cell r="AN424">
            <v>0</v>
          </cell>
          <cell r="AP424">
            <v>0</v>
          </cell>
          <cell r="AR424">
            <v>0</v>
          </cell>
          <cell r="AT424">
            <v>0</v>
          </cell>
          <cell r="AV424">
            <v>0</v>
          </cell>
          <cell r="AX424">
            <v>0</v>
          </cell>
          <cell r="AZ424">
            <v>0</v>
          </cell>
          <cell r="BB424">
            <v>0</v>
          </cell>
          <cell r="BD424">
            <v>0</v>
          </cell>
          <cell r="BF424">
            <v>0</v>
          </cell>
          <cell r="BH424">
            <v>0</v>
          </cell>
          <cell r="BJ424">
            <v>0</v>
          </cell>
          <cell r="BL424">
            <v>0</v>
          </cell>
          <cell r="BN424">
            <v>0</v>
          </cell>
          <cell r="BP424">
            <v>0</v>
          </cell>
          <cell r="BR424">
            <v>0</v>
          </cell>
          <cell r="BT424">
            <v>0</v>
          </cell>
          <cell r="BV424">
            <v>0</v>
          </cell>
          <cell r="BX424">
            <v>0</v>
          </cell>
          <cell r="BZ424">
            <v>0</v>
          </cell>
          <cell r="CB424">
            <v>0</v>
          </cell>
          <cell r="CD424">
            <v>0</v>
          </cell>
          <cell r="CF424">
            <v>0</v>
          </cell>
          <cell r="CH424">
            <v>0</v>
          </cell>
          <cell r="CJ424">
            <v>0</v>
          </cell>
          <cell r="CL424">
            <v>0</v>
          </cell>
          <cell r="CN424">
            <v>0</v>
          </cell>
          <cell r="CP424">
            <v>0</v>
          </cell>
          <cell r="CR424">
            <v>0</v>
          </cell>
          <cell r="CT424">
            <v>0</v>
          </cell>
          <cell r="CV424">
            <v>0</v>
          </cell>
          <cell r="CX424">
            <v>0</v>
          </cell>
          <cell r="CZ424">
            <v>0</v>
          </cell>
          <cell r="DB424">
            <v>0</v>
          </cell>
          <cell r="DD424">
            <v>0</v>
          </cell>
          <cell r="DF424">
            <v>0</v>
          </cell>
          <cell r="DH424">
            <v>0</v>
          </cell>
          <cell r="DJ424">
            <v>0</v>
          </cell>
          <cell r="DL424">
            <v>0</v>
          </cell>
          <cell r="DN424">
            <v>0</v>
          </cell>
          <cell r="DP424">
            <v>0</v>
          </cell>
          <cell r="DR424">
            <v>0</v>
          </cell>
          <cell r="DT424">
            <v>0</v>
          </cell>
          <cell r="DV424">
            <v>0</v>
          </cell>
          <cell r="DX424">
            <v>0</v>
          </cell>
          <cell r="DZ424">
            <v>0</v>
          </cell>
          <cell r="EB424">
            <v>0</v>
          </cell>
          <cell r="ED424">
            <v>0</v>
          </cell>
          <cell r="EF424">
            <v>0</v>
          </cell>
          <cell r="EH424">
            <v>0</v>
          </cell>
          <cell r="EJ424">
            <v>0</v>
          </cell>
          <cell r="EL424">
            <v>0</v>
          </cell>
          <cell r="EN424">
            <v>0</v>
          </cell>
          <cell r="EP424">
            <v>0</v>
          </cell>
          <cell r="ER424">
            <v>0</v>
          </cell>
          <cell r="ET424">
            <v>0</v>
          </cell>
          <cell r="EV424">
            <v>0</v>
          </cell>
          <cell r="EX424">
            <v>0</v>
          </cell>
          <cell r="EZ424">
            <v>0</v>
          </cell>
          <cell r="FB424">
            <v>0</v>
          </cell>
          <cell r="FD424">
            <v>0</v>
          </cell>
          <cell r="FF424">
            <v>0</v>
          </cell>
          <cell r="FH424">
            <v>0</v>
          </cell>
          <cell r="FJ424">
            <v>0</v>
          </cell>
          <cell r="FL424">
            <v>0</v>
          </cell>
          <cell r="FN424">
            <v>0</v>
          </cell>
          <cell r="FP424">
            <v>0</v>
          </cell>
          <cell r="FR424">
            <v>0</v>
          </cell>
          <cell r="FT424">
            <v>0</v>
          </cell>
          <cell r="FV424">
            <v>0</v>
          </cell>
          <cell r="GD424">
            <v>14</v>
          </cell>
          <cell r="GF424">
            <v>4</v>
          </cell>
          <cell r="GH424">
            <v>1</v>
          </cell>
          <cell r="GJ424">
            <v>7</v>
          </cell>
          <cell r="GM424">
            <v>292.01</v>
          </cell>
          <cell r="GN42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295.檢查勞工個人防護具：█有 □無</v>
          </cell>
          <cell r="GP424">
            <v>0</v>
          </cell>
          <cell r="GQ424" t="e">
            <v>#REF!</v>
          </cell>
          <cell r="GR424">
            <v>0</v>
          </cell>
          <cell r="GS424">
            <v>0</v>
          </cell>
          <cell r="GT424">
            <v>0</v>
          </cell>
          <cell r="GW424" t="str">
            <v>（一）施工廠商施工前檢查事項辦理情形：█完成 □未完成 （二）其他工地安全衛生督導事項：</v>
          </cell>
          <cell r="GX424">
            <v>853901</v>
          </cell>
          <cell r="GY424">
            <v>0</v>
          </cell>
        </row>
        <row r="425">
          <cell r="N425">
            <v>1</v>
          </cell>
          <cell r="P425">
            <v>1</v>
          </cell>
          <cell r="R425">
            <v>672</v>
          </cell>
          <cell r="T425">
            <v>108</v>
          </cell>
          <cell r="V425">
            <v>661</v>
          </cell>
          <cell r="X425">
            <v>2</v>
          </cell>
          <cell r="Z425">
            <v>1</v>
          </cell>
          <cell r="AB425">
            <v>661</v>
          </cell>
          <cell r="AD425">
            <v>2</v>
          </cell>
          <cell r="AF425">
            <v>1</v>
          </cell>
          <cell r="AH425">
            <v>1</v>
          </cell>
          <cell r="AJ425">
            <v>1</v>
          </cell>
          <cell r="AL425">
            <v>0</v>
          </cell>
          <cell r="AN425">
            <v>0</v>
          </cell>
          <cell r="AP425">
            <v>0</v>
          </cell>
          <cell r="AR425">
            <v>0</v>
          </cell>
          <cell r="AT425">
            <v>0</v>
          </cell>
          <cell r="AV425">
            <v>0</v>
          </cell>
          <cell r="AX425">
            <v>0</v>
          </cell>
          <cell r="AZ425">
            <v>0</v>
          </cell>
          <cell r="BB425">
            <v>0</v>
          </cell>
          <cell r="BD425">
            <v>0</v>
          </cell>
          <cell r="BF425">
            <v>0</v>
          </cell>
          <cell r="BH425">
            <v>0</v>
          </cell>
          <cell r="BJ425">
            <v>0</v>
          </cell>
          <cell r="BL425">
            <v>0</v>
          </cell>
          <cell r="BN425">
            <v>0</v>
          </cell>
          <cell r="BP425">
            <v>0</v>
          </cell>
          <cell r="BR425">
            <v>0</v>
          </cell>
          <cell r="BT425">
            <v>0</v>
          </cell>
          <cell r="BV425">
            <v>0</v>
          </cell>
          <cell r="BX425">
            <v>0</v>
          </cell>
          <cell r="BZ425">
            <v>0</v>
          </cell>
          <cell r="CB425">
            <v>0</v>
          </cell>
          <cell r="CD425">
            <v>0</v>
          </cell>
          <cell r="CF425">
            <v>0</v>
          </cell>
          <cell r="CH425">
            <v>0</v>
          </cell>
          <cell r="CJ425">
            <v>0</v>
          </cell>
          <cell r="CL425">
            <v>0</v>
          </cell>
          <cell r="CN425">
            <v>0</v>
          </cell>
          <cell r="CP425">
            <v>0</v>
          </cell>
          <cell r="CR425">
            <v>0</v>
          </cell>
          <cell r="CT425">
            <v>0</v>
          </cell>
          <cell r="CV425">
            <v>0</v>
          </cell>
          <cell r="CX425">
            <v>0</v>
          </cell>
          <cell r="CZ425">
            <v>0</v>
          </cell>
          <cell r="DB425">
            <v>0</v>
          </cell>
          <cell r="DD425">
            <v>0</v>
          </cell>
          <cell r="DF425">
            <v>0</v>
          </cell>
          <cell r="DH425">
            <v>0</v>
          </cell>
          <cell r="DJ425">
            <v>0</v>
          </cell>
          <cell r="DL425">
            <v>0</v>
          </cell>
          <cell r="DN425">
            <v>0</v>
          </cell>
          <cell r="DP425">
            <v>0</v>
          </cell>
          <cell r="DR425">
            <v>0</v>
          </cell>
          <cell r="DT425">
            <v>0</v>
          </cell>
          <cell r="DV425">
            <v>0</v>
          </cell>
          <cell r="DX425">
            <v>0</v>
          </cell>
          <cell r="DZ425">
            <v>0</v>
          </cell>
          <cell r="EB425">
            <v>0</v>
          </cell>
          <cell r="ED425">
            <v>0</v>
          </cell>
          <cell r="EF425">
            <v>0</v>
          </cell>
          <cell r="EH425">
            <v>0</v>
          </cell>
          <cell r="EJ425">
            <v>0</v>
          </cell>
          <cell r="EL425">
            <v>0</v>
          </cell>
          <cell r="EN425">
            <v>0</v>
          </cell>
          <cell r="EP425">
            <v>0</v>
          </cell>
          <cell r="ER425">
            <v>0</v>
          </cell>
          <cell r="ET425">
            <v>0</v>
          </cell>
          <cell r="EV425">
            <v>0</v>
          </cell>
          <cell r="EX425">
            <v>0</v>
          </cell>
          <cell r="EZ425">
            <v>0</v>
          </cell>
          <cell r="FB425">
            <v>0</v>
          </cell>
          <cell r="FD425">
            <v>0</v>
          </cell>
          <cell r="FF425">
            <v>0</v>
          </cell>
          <cell r="FH425">
            <v>0</v>
          </cell>
          <cell r="FJ425">
            <v>0</v>
          </cell>
          <cell r="FL425">
            <v>0</v>
          </cell>
          <cell r="FN425">
            <v>0</v>
          </cell>
          <cell r="FP425">
            <v>0</v>
          </cell>
          <cell r="FR425">
            <v>0</v>
          </cell>
          <cell r="FT425">
            <v>0</v>
          </cell>
          <cell r="FV425">
            <v>0</v>
          </cell>
          <cell r="GD425">
            <v>14</v>
          </cell>
          <cell r="GF425">
            <v>4</v>
          </cell>
          <cell r="GH425">
            <v>1</v>
          </cell>
          <cell r="GJ425">
            <v>7</v>
          </cell>
          <cell r="GM425">
            <v>293.01</v>
          </cell>
          <cell r="GN42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296.檢查勞工個人防護具：█有 □無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W425" t="str">
            <v>（一）施工廠商施工前檢查事項辦理情形：█完成 □未完成 （二）其他工地安全衛生督導事項：</v>
          </cell>
          <cell r="GX425">
            <v>853901</v>
          </cell>
          <cell r="GY425">
            <v>0</v>
          </cell>
        </row>
        <row r="426">
          <cell r="N426">
            <v>1</v>
          </cell>
          <cell r="P426">
            <v>1</v>
          </cell>
          <cell r="R426">
            <v>672</v>
          </cell>
          <cell r="T426">
            <v>108</v>
          </cell>
          <cell r="V426">
            <v>661</v>
          </cell>
          <cell r="X426">
            <v>2</v>
          </cell>
          <cell r="Z426">
            <v>1</v>
          </cell>
          <cell r="AB426">
            <v>661</v>
          </cell>
          <cell r="AD426">
            <v>2</v>
          </cell>
          <cell r="AF426">
            <v>1</v>
          </cell>
          <cell r="AH426">
            <v>1</v>
          </cell>
          <cell r="AJ426">
            <v>1</v>
          </cell>
          <cell r="AL426">
            <v>0</v>
          </cell>
          <cell r="AN426">
            <v>0</v>
          </cell>
          <cell r="AP426">
            <v>0</v>
          </cell>
          <cell r="AR426">
            <v>0</v>
          </cell>
          <cell r="AT426">
            <v>0</v>
          </cell>
          <cell r="AV426">
            <v>0</v>
          </cell>
          <cell r="AX426">
            <v>0</v>
          </cell>
          <cell r="AZ426">
            <v>0</v>
          </cell>
          <cell r="BB426">
            <v>0</v>
          </cell>
          <cell r="BD426">
            <v>0</v>
          </cell>
          <cell r="BF426">
            <v>0</v>
          </cell>
          <cell r="BH426">
            <v>0</v>
          </cell>
          <cell r="BJ426">
            <v>0</v>
          </cell>
          <cell r="BL426">
            <v>0</v>
          </cell>
          <cell r="BN426">
            <v>0</v>
          </cell>
          <cell r="BP426">
            <v>0</v>
          </cell>
          <cell r="BR426">
            <v>0</v>
          </cell>
          <cell r="BT426">
            <v>0</v>
          </cell>
          <cell r="BV426">
            <v>0</v>
          </cell>
          <cell r="BX426">
            <v>0</v>
          </cell>
          <cell r="BZ426">
            <v>0</v>
          </cell>
          <cell r="CB426">
            <v>0</v>
          </cell>
          <cell r="CD426">
            <v>0</v>
          </cell>
          <cell r="CF426">
            <v>0</v>
          </cell>
          <cell r="CH426">
            <v>0</v>
          </cell>
          <cell r="CJ426">
            <v>0</v>
          </cell>
          <cell r="CL426">
            <v>0</v>
          </cell>
          <cell r="CN426">
            <v>0</v>
          </cell>
          <cell r="CP426">
            <v>0</v>
          </cell>
          <cell r="CR426">
            <v>0</v>
          </cell>
          <cell r="CT426">
            <v>0</v>
          </cell>
          <cell r="CV426">
            <v>0</v>
          </cell>
          <cell r="CX426">
            <v>0</v>
          </cell>
          <cell r="CZ426">
            <v>0</v>
          </cell>
          <cell r="DB426">
            <v>0</v>
          </cell>
          <cell r="DD426">
            <v>0</v>
          </cell>
          <cell r="DF426">
            <v>0</v>
          </cell>
          <cell r="DH426">
            <v>0</v>
          </cell>
          <cell r="DJ426">
            <v>0</v>
          </cell>
          <cell r="DL426">
            <v>0</v>
          </cell>
          <cell r="DN426">
            <v>0</v>
          </cell>
          <cell r="DP426">
            <v>0</v>
          </cell>
          <cell r="DR426">
            <v>0</v>
          </cell>
          <cell r="DT426">
            <v>0</v>
          </cell>
          <cell r="DV426">
            <v>0</v>
          </cell>
          <cell r="DX426">
            <v>0</v>
          </cell>
          <cell r="DZ426">
            <v>0</v>
          </cell>
          <cell r="EB426">
            <v>0</v>
          </cell>
          <cell r="ED426">
            <v>0</v>
          </cell>
          <cell r="EF426">
            <v>0</v>
          </cell>
          <cell r="EH426">
            <v>0</v>
          </cell>
          <cell r="EJ426">
            <v>0</v>
          </cell>
          <cell r="EL426">
            <v>0</v>
          </cell>
          <cell r="EN426">
            <v>0</v>
          </cell>
          <cell r="EP426">
            <v>0</v>
          </cell>
          <cell r="ER426">
            <v>0</v>
          </cell>
          <cell r="ET426">
            <v>0</v>
          </cell>
          <cell r="EV426">
            <v>0</v>
          </cell>
          <cell r="EX426">
            <v>0</v>
          </cell>
          <cell r="EZ426">
            <v>0</v>
          </cell>
          <cell r="FB426">
            <v>0</v>
          </cell>
          <cell r="FD426">
            <v>0</v>
          </cell>
          <cell r="FF426">
            <v>0</v>
          </cell>
          <cell r="FH426">
            <v>0</v>
          </cell>
          <cell r="FJ426">
            <v>0</v>
          </cell>
          <cell r="FL426">
            <v>0</v>
          </cell>
          <cell r="FN426">
            <v>0</v>
          </cell>
          <cell r="FP426">
            <v>0</v>
          </cell>
          <cell r="FR426">
            <v>0</v>
          </cell>
          <cell r="FT426">
            <v>0</v>
          </cell>
          <cell r="FV426">
            <v>0</v>
          </cell>
          <cell r="GD426">
            <v>14</v>
          </cell>
          <cell r="GF426">
            <v>4</v>
          </cell>
          <cell r="GH426">
            <v>1</v>
          </cell>
          <cell r="GJ426">
            <v>7</v>
          </cell>
          <cell r="GM426">
            <v>294.01</v>
          </cell>
          <cell r="GN42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297.檢查勞工個人防護具：█有 □無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W426" t="str">
            <v>（一）施工廠商施工前檢查事項辦理情形：█完成 □未完成 （二）其他工地安全衛生督導事項：</v>
          </cell>
          <cell r="GX426">
            <v>853901</v>
          </cell>
          <cell r="GY426">
            <v>0</v>
          </cell>
        </row>
        <row r="427">
          <cell r="N427">
            <v>1</v>
          </cell>
          <cell r="P427">
            <v>1</v>
          </cell>
          <cell r="R427">
            <v>672</v>
          </cell>
          <cell r="T427">
            <v>108</v>
          </cell>
          <cell r="V427">
            <v>661</v>
          </cell>
          <cell r="X427">
            <v>2</v>
          </cell>
          <cell r="Z427">
            <v>1</v>
          </cell>
          <cell r="AB427">
            <v>661</v>
          </cell>
          <cell r="AD427">
            <v>2</v>
          </cell>
          <cell r="AF427">
            <v>1</v>
          </cell>
          <cell r="AH427">
            <v>1</v>
          </cell>
          <cell r="AJ427">
            <v>1</v>
          </cell>
          <cell r="AL427">
            <v>0</v>
          </cell>
          <cell r="AN427">
            <v>0</v>
          </cell>
          <cell r="AP427">
            <v>0</v>
          </cell>
          <cell r="AR427">
            <v>0</v>
          </cell>
          <cell r="AT427">
            <v>0</v>
          </cell>
          <cell r="AV427">
            <v>0</v>
          </cell>
          <cell r="AX427">
            <v>0</v>
          </cell>
          <cell r="AZ427">
            <v>0</v>
          </cell>
          <cell r="BB427">
            <v>0</v>
          </cell>
          <cell r="BD427">
            <v>0</v>
          </cell>
          <cell r="BF427">
            <v>0</v>
          </cell>
          <cell r="BH427">
            <v>0</v>
          </cell>
          <cell r="BJ427">
            <v>0</v>
          </cell>
          <cell r="BL427">
            <v>0</v>
          </cell>
          <cell r="BN427">
            <v>0</v>
          </cell>
          <cell r="BP427">
            <v>0</v>
          </cell>
          <cell r="BR427">
            <v>0</v>
          </cell>
          <cell r="BT427">
            <v>0</v>
          </cell>
          <cell r="BV427">
            <v>0</v>
          </cell>
          <cell r="BX427">
            <v>0</v>
          </cell>
          <cell r="BZ427">
            <v>0</v>
          </cell>
          <cell r="CB427">
            <v>0</v>
          </cell>
          <cell r="CD427">
            <v>0</v>
          </cell>
          <cell r="CF427">
            <v>0</v>
          </cell>
          <cell r="CH427">
            <v>0</v>
          </cell>
          <cell r="CJ427">
            <v>0</v>
          </cell>
          <cell r="CL427">
            <v>0</v>
          </cell>
          <cell r="CN427">
            <v>0</v>
          </cell>
          <cell r="CP427">
            <v>0</v>
          </cell>
          <cell r="CR427">
            <v>0</v>
          </cell>
          <cell r="CT427">
            <v>0</v>
          </cell>
          <cell r="CV427">
            <v>0</v>
          </cell>
          <cell r="CX427">
            <v>0</v>
          </cell>
          <cell r="CZ427">
            <v>0</v>
          </cell>
          <cell r="DB427">
            <v>0</v>
          </cell>
          <cell r="DD427">
            <v>0</v>
          </cell>
          <cell r="DF427">
            <v>0</v>
          </cell>
          <cell r="DH427">
            <v>0</v>
          </cell>
          <cell r="DJ427">
            <v>0</v>
          </cell>
          <cell r="DL427">
            <v>0</v>
          </cell>
          <cell r="DN427">
            <v>0</v>
          </cell>
          <cell r="DP427">
            <v>0</v>
          </cell>
          <cell r="DR427">
            <v>0</v>
          </cell>
          <cell r="DT427">
            <v>0</v>
          </cell>
          <cell r="DV427">
            <v>0</v>
          </cell>
          <cell r="DX427">
            <v>0</v>
          </cell>
          <cell r="DZ427">
            <v>0</v>
          </cell>
          <cell r="EB427">
            <v>0</v>
          </cell>
          <cell r="ED427">
            <v>0</v>
          </cell>
          <cell r="EF427">
            <v>0</v>
          </cell>
          <cell r="EH427">
            <v>0</v>
          </cell>
          <cell r="EJ427">
            <v>0</v>
          </cell>
          <cell r="EL427">
            <v>0</v>
          </cell>
          <cell r="EN427">
            <v>0</v>
          </cell>
          <cell r="EP427">
            <v>0</v>
          </cell>
          <cell r="ER427">
            <v>0</v>
          </cell>
          <cell r="ET427">
            <v>0</v>
          </cell>
          <cell r="EV427">
            <v>0</v>
          </cell>
          <cell r="EX427">
            <v>0</v>
          </cell>
          <cell r="EZ427">
            <v>0</v>
          </cell>
          <cell r="FB427">
            <v>0</v>
          </cell>
          <cell r="FD427">
            <v>0</v>
          </cell>
          <cell r="FF427">
            <v>0</v>
          </cell>
          <cell r="FH427">
            <v>0</v>
          </cell>
          <cell r="FJ427">
            <v>0</v>
          </cell>
          <cell r="FL427">
            <v>0</v>
          </cell>
          <cell r="FN427">
            <v>0</v>
          </cell>
          <cell r="FP427">
            <v>0</v>
          </cell>
          <cell r="FR427">
            <v>0</v>
          </cell>
          <cell r="FT427">
            <v>0</v>
          </cell>
          <cell r="FV427">
            <v>0</v>
          </cell>
          <cell r="GD427">
            <v>14</v>
          </cell>
          <cell r="GF427">
            <v>4</v>
          </cell>
          <cell r="GH427">
            <v>1</v>
          </cell>
          <cell r="GJ427">
            <v>7</v>
          </cell>
          <cell r="GM427">
            <v>295.01</v>
          </cell>
          <cell r="GN427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298.檢查勞工個人防護具：█有 □無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W427" t="str">
            <v>（一）施工廠商施工前檢查事項辦理情形：█完成 □未完成 （二）其他工地安全衛生督導事項：</v>
          </cell>
          <cell r="GX427">
            <v>853901</v>
          </cell>
          <cell r="GY427">
            <v>0</v>
          </cell>
        </row>
        <row r="428">
          <cell r="N428">
            <v>1</v>
          </cell>
          <cell r="P428">
            <v>1</v>
          </cell>
          <cell r="R428">
            <v>672</v>
          </cell>
          <cell r="T428">
            <v>108</v>
          </cell>
          <cell r="V428">
            <v>661</v>
          </cell>
          <cell r="X428">
            <v>2</v>
          </cell>
          <cell r="Z428">
            <v>1</v>
          </cell>
          <cell r="AB428">
            <v>661</v>
          </cell>
          <cell r="AD428">
            <v>2</v>
          </cell>
          <cell r="AF428">
            <v>1</v>
          </cell>
          <cell r="AH428">
            <v>1</v>
          </cell>
          <cell r="AJ428">
            <v>1</v>
          </cell>
          <cell r="AL428">
            <v>0</v>
          </cell>
          <cell r="AN428">
            <v>0</v>
          </cell>
          <cell r="AP428">
            <v>0</v>
          </cell>
          <cell r="AR428">
            <v>0</v>
          </cell>
          <cell r="AT428">
            <v>0</v>
          </cell>
          <cell r="AV428">
            <v>0</v>
          </cell>
          <cell r="AX428">
            <v>0</v>
          </cell>
          <cell r="AZ428">
            <v>0</v>
          </cell>
          <cell r="BB428">
            <v>0</v>
          </cell>
          <cell r="BD428">
            <v>0</v>
          </cell>
          <cell r="BF428">
            <v>0</v>
          </cell>
          <cell r="BH428">
            <v>0</v>
          </cell>
          <cell r="BJ428">
            <v>0</v>
          </cell>
          <cell r="BL428">
            <v>0</v>
          </cell>
          <cell r="BN428">
            <v>0</v>
          </cell>
          <cell r="BP428">
            <v>0</v>
          </cell>
          <cell r="BR428">
            <v>0</v>
          </cell>
          <cell r="BT428">
            <v>0</v>
          </cell>
          <cell r="BV428">
            <v>0</v>
          </cell>
          <cell r="BX428">
            <v>0</v>
          </cell>
          <cell r="BZ428">
            <v>0</v>
          </cell>
          <cell r="CB428">
            <v>0</v>
          </cell>
          <cell r="CD428">
            <v>0</v>
          </cell>
          <cell r="CF428">
            <v>0</v>
          </cell>
          <cell r="CH428">
            <v>0</v>
          </cell>
          <cell r="CJ428">
            <v>0</v>
          </cell>
          <cell r="CL428">
            <v>0</v>
          </cell>
          <cell r="CN428">
            <v>0</v>
          </cell>
          <cell r="CP428">
            <v>0</v>
          </cell>
          <cell r="CR428">
            <v>0</v>
          </cell>
          <cell r="CT428">
            <v>0</v>
          </cell>
          <cell r="CV428">
            <v>0</v>
          </cell>
          <cell r="CX428">
            <v>0</v>
          </cell>
          <cell r="CZ428">
            <v>0</v>
          </cell>
          <cell r="DB428">
            <v>0</v>
          </cell>
          <cell r="DD428">
            <v>0</v>
          </cell>
          <cell r="DF428">
            <v>0</v>
          </cell>
          <cell r="DH428">
            <v>0</v>
          </cell>
          <cell r="DJ428">
            <v>0</v>
          </cell>
          <cell r="DL428">
            <v>0</v>
          </cell>
          <cell r="DN428">
            <v>0</v>
          </cell>
          <cell r="DP428">
            <v>0</v>
          </cell>
          <cell r="DR428">
            <v>0</v>
          </cell>
          <cell r="DT428">
            <v>0</v>
          </cell>
          <cell r="DV428">
            <v>0</v>
          </cell>
          <cell r="DX428">
            <v>0</v>
          </cell>
          <cell r="DZ428">
            <v>0</v>
          </cell>
          <cell r="EB428">
            <v>0</v>
          </cell>
          <cell r="ED428">
            <v>0</v>
          </cell>
          <cell r="EF428">
            <v>0</v>
          </cell>
          <cell r="EH428">
            <v>0</v>
          </cell>
          <cell r="EJ428">
            <v>0</v>
          </cell>
          <cell r="EL428">
            <v>0</v>
          </cell>
          <cell r="EN428">
            <v>0</v>
          </cell>
          <cell r="EP428">
            <v>0</v>
          </cell>
          <cell r="ER428">
            <v>0</v>
          </cell>
          <cell r="ET428">
            <v>0</v>
          </cell>
          <cell r="EV428">
            <v>0</v>
          </cell>
          <cell r="EX428">
            <v>0</v>
          </cell>
          <cell r="EZ428">
            <v>0</v>
          </cell>
          <cell r="FB428">
            <v>0</v>
          </cell>
          <cell r="FD428">
            <v>0</v>
          </cell>
          <cell r="FF428">
            <v>0</v>
          </cell>
          <cell r="FH428">
            <v>0</v>
          </cell>
          <cell r="FJ428">
            <v>0</v>
          </cell>
          <cell r="FL428">
            <v>0</v>
          </cell>
          <cell r="FN428">
            <v>0</v>
          </cell>
          <cell r="FP428">
            <v>0</v>
          </cell>
          <cell r="FR428">
            <v>0</v>
          </cell>
          <cell r="FT428">
            <v>0</v>
          </cell>
          <cell r="FV428">
            <v>0</v>
          </cell>
          <cell r="GD428">
            <v>14</v>
          </cell>
          <cell r="GF428">
            <v>4</v>
          </cell>
          <cell r="GH428">
            <v>1</v>
          </cell>
          <cell r="GJ428">
            <v>7</v>
          </cell>
          <cell r="GM428">
            <v>296.01</v>
          </cell>
          <cell r="GN428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299.檢查勞工個人防護具：█有 □無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W428" t="str">
            <v>（一）施工廠商施工前檢查事項辦理情形：█完成 □未完成 （二）其他工地安全衛生督導事項：</v>
          </cell>
          <cell r="GX428">
            <v>853901</v>
          </cell>
          <cell r="GY428">
            <v>0</v>
          </cell>
        </row>
        <row r="429">
          <cell r="N429">
            <v>1</v>
          </cell>
          <cell r="P429">
            <v>1</v>
          </cell>
          <cell r="R429">
            <v>672</v>
          </cell>
          <cell r="T429">
            <v>108</v>
          </cell>
          <cell r="V429">
            <v>661</v>
          </cell>
          <cell r="X429">
            <v>2</v>
          </cell>
          <cell r="Z429">
            <v>1</v>
          </cell>
          <cell r="AB429">
            <v>661</v>
          </cell>
          <cell r="AD429">
            <v>2</v>
          </cell>
          <cell r="AF429">
            <v>1</v>
          </cell>
          <cell r="AH429">
            <v>1</v>
          </cell>
          <cell r="AJ429">
            <v>1</v>
          </cell>
          <cell r="AL429">
            <v>0</v>
          </cell>
          <cell r="AN429">
            <v>0</v>
          </cell>
          <cell r="AP429">
            <v>0</v>
          </cell>
          <cell r="AR429">
            <v>0</v>
          </cell>
          <cell r="AT429">
            <v>0</v>
          </cell>
          <cell r="AV429">
            <v>0</v>
          </cell>
          <cell r="AX429">
            <v>0</v>
          </cell>
          <cell r="AZ429">
            <v>0</v>
          </cell>
          <cell r="BB429">
            <v>0</v>
          </cell>
          <cell r="BD429">
            <v>0</v>
          </cell>
          <cell r="BF429">
            <v>0</v>
          </cell>
          <cell r="BH429">
            <v>0</v>
          </cell>
          <cell r="BJ429">
            <v>0</v>
          </cell>
          <cell r="BL429">
            <v>0</v>
          </cell>
          <cell r="BN429">
            <v>0</v>
          </cell>
          <cell r="BP429">
            <v>0</v>
          </cell>
          <cell r="BR429">
            <v>0</v>
          </cell>
          <cell r="BT429">
            <v>0</v>
          </cell>
          <cell r="BV429">
            <v>0</v>
          </cell>
          <cell r="BX429">
            <v>0</v>
          </cell>
          <cell r="BZ429">
            <v>0</v>
          </cell>
          <cell r="CB429">
            <v>0</v>
          </cell>
          <cell r="CD429">
            <v>0</v>
          </cell>
          <cell r="CF429">
            <v>0</v>
          </cell>
          <cell r="CH429">
            <v>0</v>
          </cell>
          <cell r="CJ429">
            <v>0</v>
          </cell>
          <cell r="CL429">
            <v>0</v>
          </cell>
          <cell r="CN429">
            <v>0</v>
          </cell>
          <cell r="CP429">
            <v>0</v>
          </cell>
          <cell r="CR429">
            <v>0</v>
          </cell>
          <cell r="CT429">
            <v>0</v>
          </cell>
          <cell r="CV429">
            <v>0</v>
          </cell>
          <cell r="CX429">
            <v>0</v>
          </cell>
          <cell r="CZ429">
            <v>0</v>
          </cell>
          <cell r="DB429">
            <v>0</v>
          </cell>
          <cell r="DD429">
            <v>0</v>
          </cell>
          <cell r="DF429">
            <v>0</v>
          </cell>
          <cell r="DH429">
            <v>0</v>
          </cell>
          <cell r="DJ429">
            <v>0</v>
          </cell>
          <cell r="DL429">
            <v>0</v>
          </cell>
          <cell r="DN429">
            <v>0</v>
          </cell>
          <cell r="DP429">
            <v>0</v>
          </cell>
          <cell r="DR429">
            <v>0</v>
          </cell>
          <cell r="DT429">
            <v>0</v>
          </cell>
          <cell r="DV429">
            <v>0</v>
          </cell>
          <cell r="DX429">
            <v>0</v>
          </cell>
          <cell r="DZ429">
            <v>0</v>
          </cell>
          <cell r="EB429">
            <v>0</v>
          </cell>
          <cell r="ED429">
            <v>0</v>
          </cell>
          <cell r="EF429">
            <v>0</v>
          </cell>
          <cell r="EH429">
            <v>0</v>
          </cell>
          <cell r="EJ429">
            <v>0</v>
          </cell>
          <cell r="EL429">
            <v>0</v>
          </cell>
          <cell r="EN429">
            <v>0</v>
          </cell>
          <cell r="EP429">
            <v>0</v>
          </cell>
          <cell r="ER429">
            <v>0</v>
          </cell>
          <cell r="ET429">
            <v>0</v>
          </cell>
          <cell r="EV429">
            <v>0</v>
          </cell>
          <cell r="EX429">
            <v>0</v>
          </cell>
          <cell r="EZ429">
            <v>0</v>
          </cell>
          <cell r="FB429">
            <v>0</v>
          </cell>
          <cell r="FD429">
            <v>0</v>
          </cell>
          <cell r="FF429">
            <v>0</v>
          </cell>
          <cell r="FH429">
            <v>0</v>
          </cell>
          <cell r="FJ429">
            <v>0</v>
          </cell>
          <cell r="FL429">
            <v>0</v>
          </cell>
          <cell r="FN429">
            <v>0</v>
          </cell>
          <cell r="FP429">
            <v>0</v>
          </cell>
          <cell r="FR429">
            <v>0</v>
          </cell>
          <cell r="FT429">
            <v>0</v>
          </cell>
          <cell r="FV429">
            <v>0</v>
          </cell>
          <cell r="GD429">
            <v>14</v>
          </cell>
          <cell r="GF429">
            <v>4</v>
          </cell>
          <cell r="GH429">
            <v>1</v>
          </cell>
          <cell r="GJ429">
            <v>7</v>
          </cell>
          <cell r="GM429">
            <v>297.01</v>
          </cell>
          <cell r="GN429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300.檢查勞工個人防護具：█有 □無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W429" t="str">
            <v>（一）施工廠商施工前檢查事項辦理情形：█完成 □未完成 （二）其他工地安全衛生督導事項：</v>
          </cell>
          <cell r="GX429">
            <v>853901</v>
          </cell>
          <cell r="GY429">
            <v>0</v>
          </cell>
        </row>
        <row r="430">
          <cell r="N430">
            <v>1</v>
          </cell>
          <cell r="P430">
            <v>1</v>
          </cell>
          <cell r="R430">
            <v>672</v>
          </cell>
          <cell r="T430">
            <v>108</v>
          </cell>
          <cell r="V430">
            <v>661</v>
          </cell>
          <cell r="X430">
            <v>2</v>
          </cell>
          <cell r="Z430">
            <v>1</v>
          </cell>
          <cell r="AB430">
            <v>661</v>
          </cell>
          <cell r="AD430">
            <v>2</v>
          </cell>
          <cell r="AF430">
            <v>1</v>
          </cell>
          <cell r="AH430">
            <v>1</v>
          </cell>
          <cell r="AJ430">
            <v>1</v>
          </cell>
          <cell r="AL430">
            <v>0</v>
          </cell>
          <cell r="AN430">
            <v>0</v>
          </cell>
          <cell r="AP430">
            <v>0</v>
          </cell>
          <cell r="AR430">
            <v>0</v>
          </cell>
          <cell r="AT430">
            <v>0</v>
          </cell>
          <cell r="AV430">
            <v>0</v>
          </cell>
          <cell r="AX430">
            <v>0</v>
          </cell>
          <cell r="AZ430">
            <v>0</v>
          </cell>
          <cell r="BB430">
            <v>0</v>
          </cell>
          <cell r="BD430">
            <v>0</v>
          </cell>
          <cell r="BF430">
            <v>0</v>
          </cell>
          <cell r="BH430">
            <v>0</v>
          </cell>
          <cell r="BJ430">
            <v>0</v>
          </cell>
          <cell r="BL430">
            <v>0</v>
          </cell>
          <cell r="BN430">
            <v>0</v>
          </cell>
          <cell r="BP430">
            <v>0</v>
          </cell>
          <cell r="BR430">
            <v>0</v>
          </cell>
          <cell r="BT430">
            <v>0</v>
          </cell>
          <cell r="BV430">
            <v>0</v>
          </cell>
          <cell r="BX430">
            <v>0</v>
          </cell>
          <cell r="BZ430">
            <v>0</v>
          </cell>
          <cell r="CB430">
            <v>0</v>
          </cell>
          <cell r="CD430">
            <v>0</v>
          </cell>
          <cell r="CF430">
            <v>0</v>
          </cell>
          <cell r="CH430">
            <v>0</v>
          </cell>
          <cell r="CJ430">
            <v>0</v>
          </cell>
          <cell r="CL430">
            <v>0</v>
          </cell>
          <cell r="CN430">
            <v>0</v>
          </cell>
          <cell r="CP430">
            <v>0</v>
          </cell>
          <cell r="CR430">
            <v>0</v>
          </cell>
          <cell r="CT430">
            <v>0</v>
          </cell>
          <cell r="CV430">
            <v>0</v>
          </cell>
          <cell r="CX430">
            <v>0</v>
          </cell>
          <cell r="CZ430">
            <v>0</v>
          </cell>
          <cell r="DB430">
            <v>0</v>
          </cell>
          <cell r="DD430">
            <v>0</v>
          </cell>
          <cell r="DF430">
            <v>0</v>
          </cell>
          <cell r="DH430">
            <v>0</v>
          </cell>
          <cell r="DJ430">
            <v>0</v>
          </cell>
          <cell r="DL430">
            <v>0</v>
          </cell>
          <cell r="DN430">
            <v>0</v>
          </cell>
          <cell r="DP430">
            <v>0</v>
          </cell>
          <cell r="DR430">
            <v>0</v>
          </cell>
          <cell r="DT430">
            <v>0</v>
          </cell>
          <cell r="DV430">
            <v>0</v>
          </cell>
          <cell r="DX430">
            <v>0</v>
          </cell>
          <cell r="DZ430">
            <v>0</v>
          </cell>
          <cell r="EB430">
            <v>0</v>
          </cell>
          <cell r="ED430">
            <v>0</v>
          </cell>
          <cell r="EF430">
            <v>0</v>
          </cell>
          <cell r="EH430">
            <v>0</v>
          </cell>
          <cell r="EJ430">
            <v>0</v>
          </cell>
          <cell r="EL430">
            <v>0</v>
          </cell>
          <cell r="EN430">
            <v>0</v>
          </cell>
          <cell r="EP430">
            <v>0</v>
          </cell>
          <cell r="ER430">
            <v>0</v>
          </cell>
          <cell r="ET430">
            <v>0</v>
          </cell>
          <cell r="EV430">
            <v>0</v>
          </cell>
          <cell r="EX430">
            <v>0</v>
          </cell>
          <cell r="EZ430">
            <v>0</v>
          </cell>
          <cell r="FB430">
            <v>0</v>
          </cell>
          <cell r="FD430">
            <v>0</v>
          </cell>
          <cell r="FF430">
            <v>0</v>
          </cell>
          <cell r="FH430">
            <v>0</v>
          </cell>
          <cell r="FJ430">
            <v>0</v>
          </cell>
          <cell r="FL430">
            <v>0</v>
          </cell>
          <cell r="FN430">
            <v>0</v>
          </cell>
          <cell r="FP430">
            <v>0</v>
          </cell>
          <cell r="FR430">
            <v>0</v>
          </cell>
          <cell r="FT430">
            <v>0</v>
          </cell>
          <cell r="FV430">
            <v>0</v>
          </cell>
          <cell r="GD430">
            <v>14</v>
          </cell>
          <cell r="GF430">
            <v>4</v>
          </cell>
          <cell r="GH430">
            <v>1</v>
          </cell>
          <cell r="GJ430">
            <v>7</v>
          </cell>
          <cell r="GM430">
            <v>298.01</v>
          </cell>
          <cell r="GN430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301.檢查勞工個人防護具：█有 □無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W430" t="str">
            <v>（一）施工廠商施工前檢查事項辦理情形：█完成 □未完成 （二）其他工地安全衛生督導事項：</v>
          </cell>
          <cell r="GX430">
            <v>853901</v>
          </cell>
          <cell r="GY430">
            <v>0</v>
          </cell>
        </row>
        <row r="431">
          <cell r="N431">
            <v>1</v>
          </cell>
          <cell r="P431">
            <v>1</v>
          </cell>
          <cell r="R431">
            <v>672</v>
          </cell>
          <cell r="T431">
            <v>108</v>
          </cell>
          <cell r="V431">
            <v>661</v>
          </cell>
          <cell r="X431">
            <v>2</v>
          </cell>
          <cell r="Z431">
            <v>1</v>
          </cell>
          <cell r="AB431">
            <v>661</v>
          </cell>
          <cell r="AD431">
            <v>2</v>
          </cell>
          <cell r="AF431">
            <v>1</v>
          </cell>
          <cell r="AH431">
            <v>1</v>
          </cell>
          <cell r="AJ431">
            <v>1</v>
          </cell>
          <cell r="AL431">
            <v>0</v>
          </cell>
          <cell r="AN431">
            <v>0</v>
          </cell>
          <cell r="AP431">
            <v>0</v>
          </cell>
          <cell r="AR431">
            <v>0</v>
          </cell>
          <cell r="AT431">
            <v>0</v>
          </cell>
          <cell r="AV431">
            <v>0</v>
          </cell>
          <cell r="AX431">
            <v>0</v>
          </cell>
          <cell r="AZ431">
            <v>0</v>
          </cell>
          <cell r="BB431">
            <v>0</v>
          </cell>
          <cell r="BD431">
            <v>0</v>
          </cell>
          <cell r="BF431">
            <v>0</v>
          </cell>
          <cell r="BH431">
            <v>0</v>
          </cell>
          <cell r="BJ431">
            <v>0</v>
          </cell>
          <cell r="BL431">
            <v>0</v>
          </cell>
          <cell r="BN431">
            <v>0</v>
          </cell>
          <cell r="BP431">
            <v>0</v>
          </cell>
          <cell r="BR431">
            <v>0</v>
          </cell>
          <cell r="BT431">
            <v>0</v>
          </cell>
          <cell r="BV431">
            <v>0</v>
          </cell>
          <cell r="BX431">
            <v>0</v>
          </cell>
          <cell r="BZ431">
            <v>0</v>
          </cell>
          <cell r="CB431">
            <v>0</v>
          </cell>
          <cell r="CD431">
            <v>0</v>
          </cell>
          <cell r="CF431">
            <v>0</v>
          </cell>
          <cell r="CH431">
            <v>0</v>
          </cell>
          <cell r="CJ431">
            <v>0</v>
          </cell>
          <cell r="CL431">
            <v>0</v>
          </cell>
          <cell r="CN431">
            <v>0</v>
          </cell>
          <cell r="CP431">
            <v>0</v>
          </cell>
          <cell r="CR431">
            <v>0</v>
          </cell>
          <cell r="CT431">
            <v>0</v>
          </cell>
          <cell r="CV431">
            <v>0</v>
          </cell>
          <cell r="CX431">
            <v>0</v>
          </cell>
          <cell r="CZ431">
            <v>0</v>
          </cell>
          <cell r="DB431">
            <v>0</v>
          </cell>
          <cell r="DD431">
            <v>0</v>
          </cell>
          <cell r="DF431">
            <v>0</v>
          </cell>
          <cell r="DH431">
            <v>0</v>
          </cell>
          <cell r="DJ431">
            <v>0</v>
          </cell>
          <cell r="DL431">
            <v>0</v>
          </cell>
          <cell r="DN431">
            <v>0</v>
          </cell>
          <cell r="DP431">
            <v>0</v>
          </cell>
          <cell r="DR431">
            <v>0</v>
          </cell>
          <cell r="DT431">
            <v>0</v>
          </cell>
          <cell r="DV431">
            <v>0</v>
          </cell>
          <cell r="DX431">
            <v>0</v>
          </cell>
          <cell r="DZ431">
            <v>0</v>
          </cell>
          <cell r="EB431">
            <v>0</v>
          </cell>
          <cell r="ED431">
            <v>0</v>
          </cell>
          <cell r="EF431">
            <v>0</v>
          </cell>
          <cell r="EH431">
            <v>0</v>
          </cell>
          <cell r="EJ431">
            <v>0</v>
          </cell>
          <cell r="EL431">
            <v>0</v>
          </cell>
          <cell r="EN431">
            <v>0</v>
          </cell>
          <cell r="EP431">
            <v>0</v>
          </cell>
          <cell r="ER431">
            <v>0</v>
          </cell>
          <cell r="ET431">
            <v>0</v>
          </cell>
          <cell r="EV431">
            <v>0</v>
          </cell>
          <cell r="EX431">
            <v>0</v>
          </cell>
          <cell r="EZ431">
            <v>0</v>
          </cell>
          <cell r="FB431">
            <v>0</v>
          </cell>
          <cell r="FD431">
            <v>0</v>
          </cell>
          <cell r="FF431">
            <v>0</v>
          </cell>
          <cell r="FH431">
            <v>0</v>
          </cell>
          <cell r="FJ431">
            <v>0</v>
          </cell>
          <cell r="FL431">
            <v>0</v>
          </cell>
          <cell r="FN431">
            <v>0</v>
          </cell>
          <cell r="FP431">
            <v>0</v>
          </cell>
          <cell r="FR431">
            <v>0</v>
          </cell>
          <cell r="FT431">
            <v>0</v>
          </cell>
          <cell r="FV431">
            <v>0</v>
          </cell>
          <cell r="GD431">
            <v>14</v>
          </cell>
          <cell r="GF431">
            <v>4</v>
          </cell>
          <cell r="GH431">
            <v>1</v>
          </cell>
          <cell r="GJ431">
            <v>7</v>
          </cell>
          <cell r="GM431">
            <v>299.01</v>
          </cell>
          <cell r="GN431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302.檢查勞工個人防護具：█有 □無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W431" t="str">
            <v>（一）施工廠商施工前檢查事項辦理情形：█完成 □未完成 （二）其他工地安全衛生督導事項：</v>
          </cell>
          <cell r="GX431">
            <v>853901</v>
          </cell>
          <cell r="GY431">
            <v>0</v>
          </cell>
        </row>
        <row r="432">
          <cell r="N432">
            <v>1</v>
          </cell>
          <cell r="P432">
            <v>1</v>
          </cell>
          <cell r="R432">
            <v>672</v>
          </cell>
          <cell r="T432">
            <v>108</v>
          </cell>
          <cell r="V432">
            <v>661</v>
          </cell>
          <cell r="X432">
            <v>2</v>
          </cell>
          <cell r="Z432">
            <v>1</v>
          </cell>
          <cell r="AB432">
            <v>661</v>
          </cell>
          <cell r="AD432">
            <v>2</v>
          </cell>
          <cell r="AF432">
            <v>1</v>
          </cell>
          <cell r="AH432">
            <v>1</v>
          </cell>
          <cell r="AJ432">
            <v>1</v>
          </cell>
          <cell r="AL432">
            <v>0</v>
          </cell>
          <cell r="AN432">
            <v>0</v>
          </cell>
          <cell r="AP432">
            <v>0</v>
          </cell>
          <cell r="AR432">
            <v>0</v>
          </cell>
          <cell r="AT432">
            <v>0</v>
          </cell>
          <cell r="AV432">
            <v>0</v>
          </cell>
          <cell r="AX432">
            <v>0</v>
          </cell>
          <cell r="AZ432">
            <v>0</v>
          </cell>
          <cell r="BB432">
            <v>0</v>
          </cell>
          <cell r="BD432">
            <v>0</v>
          </cell>
          <cell r="BF432">
            <v>0</v>
          </cell>
          <cell r="BH432">
            <v>0</v>
          </cell>
          <cell r="BJ432">
            <v>0</v>
          </cell>
          <cell r="BL432">
            <v>0</v>
          </cell>
          <cell r="BN432">
            <v>0</v>
          </cell>
          <cell r="BP432">
            <v>0</v>
          </cell>
          <cell r="BR432">
            <v>0</v>
          </cell>
          <cell r="BT432">
            <v>0</v>
          </cell>
          <cell r="BV432">
            <v>0</v>
          </cell>
          <cell r="BX432">
            <v>0</v>
          </cell>
          <cell r="BZ432">
            <v>0</v>
          </cell>
          <cell r="CB432">
            <v>0</v>
          </cell>
          <cell r="CD432">
            <v>0</v>
          </cell>
          <cell r="CF432">
            <v>0</v>
          </cell>
          <cell r="CH432">
            <v>0</v>
          </cell>
          <cell r="CJ432">
            <v>0</v>
          </cell>
          <cell r="CL432">
            <v>0</v>
          </cell>
          <cell r="CN432">
            <v>0</v>
          </cell>
          <cell r="CP432">
            <v>0</v>
          </cell>
          <cell r="CR432">
            <v>0</v>
          </cell>
          <cell r="CT432">
            <v>0</v>
          </cell>
          <cell r="CV432">
            <v>0</v>
          </cell>
          <cell r="CX432">
            <v>0</v>
          </cell>
          <cell r="CZ432">
            <v>0</v>
          </cell>
          <cell r="DB432">
            <v>0</v>
          </cell>
          <cell r="DD432">
            <v>0</v>
          </cell>
          <cell r="DF432">
            <v>0</v>
          </cell>
          <cell r="DH432">
            <v>0</v>
          </cell>
          <cell r="DJ432">
            <v>0</v>
          </cell>
          <cell r="DL432">
            <v>0</v>
          </cell>
          <cell r="DN432">
            <v>0</v>
          </cell>
          <cell r="DP432">
            <v>0</v>
          </cell>
          <cell r="DR432">
            <v>0</v>
          </cell>
          <cell r="DT432">
            <v>0</v>
          </cell>
          <cell r="DV432">
            <v>0</v>
          </cell>
          <cell r="DX432">
            <v>0</v>
          </cell>
          <cell r="DZ432">
            <v>0</v>
          </cell>
          <cell r="EB432">
            <v>0</v>
          </cell>
          <cell r="ED432">
            <v>0</v>
          </cell>
          <cell r="EF432">
            <v>0</v>
          </cell>
          <cell r="EH432">
            <v>0</v>
          </cell>
          <cell r="EJ432">
            <v>0</v>
          </cell>
          <cell r="EL432">
            <v>0</v>
          </cell>
          <cell r="EN432">
            <v>0</v>
          </cell>
          <cell r="EP432">
            <v>0</v>
          </cell>
          <cell r="ER432">
            <v>0</v>
          </cell>
          <cell r="ET432">
            <v>0</v>
          </cell>
          <cell r="EV432">
            <v>0</v>
          </cell>
          <cell r="EX432">
            <v>0</v>
          </cell>
          <cell r="EZ432">
            <v>0</v>
          </cell>
          <cell r="FB432">
            <v>0</v>
          </cell>
          <cell r="FD432">
            <v>0</v>
          </cell>
          <cell r="FF432">
            <v>0</v>
          </cell>
          <cell r="FH432">
            <v>0</v>
          </cell>
          <cell r="FJ432">
            <v>0</v>
          </cell>
          <cell r="FL432">
            <v>0</v>
          </cell>
          <cell r="FN432">
            <v>0</v>
          </cell>
          <cell r="FP432">
            <v>0</v>
          </cell>
          <cell r="FR432">
            <v>0</v>
          </cell>
          <cell r="FT432">
            <v>0</v>
          </cell>
          <cell r="FV432">
            <v>0</v>
          </cell>
          <cell r="GD432">
            <v>14</v>
          </cell>
          <cell r="GF432">
            <v>4</v>
          </cell>
          <cell r="GH432">
            <v>1</v>
          </cell>
          <cell r="GJ432">
            <v>7</v>
          </cell>
          <cell r="GM432">
            <v>300.01</v>
          </cell>
          <cell r="GN432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303.檢查勞工個人防護具：█有 □無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W432" t="str">
            <v>（一）施工廠商施工前檢查事項辦理情形：█完成 □未完成 （二）其他工地安全衛生督導事項：</v>
          </cell>
          <cell r="GX432">
            <v>853901</v>
          </cell>
          <cell r="GY432">
            <v>0</v>
          </cell>
        </row>
        <row r="433">
          <cell r="N433">
            <v>1</v>
          </cell>
          <cell r="P433">
            <v>1</v>
          </cell>
          <cell r="R433">
            <v>672</v>
          </cell>
          <cell r="T433">
            <v>108</v>
          </cell>
          <cell r="V433">
            <v>661</v>
          </cell>
          <cell r="X433">
            <v>2</v>
          </cell>
          <cell r="Z433">
            <v>1</v>
          </cell>
          <cell r="AB433">
            <v>661</v>
          </cell>
          <cell r="AD433">
            <v>2</v>
          </cell>
          <cell r="AF433">
            <v>1</v>
          </cell>
          <cell r="AH433">
            <v>1</v>
          </cell>
          <cell r="AJ433">
            <v>1</v>
          </cell>
          <cell r="AL433">
            <v>0</v>
          </cell>
          <cell r="AN433">
            <v>0</v>
          </cell>
          <cell r="AP433">
            <v>0</v>
          </cell>
          <cell r="AR433">
            <v>0</v>
          </cell>
          <cell r="AT433">
            <v>0</v>
          </cell>
          <cell r="AV433">
            <v>0</v>
          </cell>
          <cell r="AX433">
            <v>0</v>
          </cell>
          <cell r="AZ433">
            <v>0</v>
          </cell>
          <cell r="BB433">
            <v>0</v>
          </cell>
          <cell r="BD433">
            <v>0</v>
          </cell>
          <cell r="BF433">
            <v>0</v>
          </cell>
          <cell r="BH433">
            <v>0</v>
          </cell>
          <cell r="BJ433">
            <v>0</v>
          </cell>
          <cell r="BL433">
            <v>0</v>
          </cell>
          <cell r="BN433">
            <v>0</v>
          </cell>
          <cell r="BP433">
            <v>0</v>
          </cell>
          <cell r="BR433">
            <v>0</v>
          </cell>
          <cell r="BT433">
            <v>0</v>
          </cell>
          <cell r="BV433">
            <v>0</v>
          </cell>
          <cell r="BX433">
            <v>0</v>
          </cell>
          <cell r="BZ433">
            <v>0</v>
          </cell>
          <cell r="CB433">
            <v>0</v>
          </cell>
          <cell r="CD433">
            <v>0</v>
          </cell>
          <cell r="CF433">
            <v>0</v>
          </cell>
          <cell r="CH433">
            <v>0</v>
          </cell>
          <cell r="CJ433">
            <v>0</v>
          </cell>
          <cell r="CL433">
            <v>0</v>
          </cell>
          <cell r="CN433">
            <v>0</v>
          </cell>
          <cell r="CP433">
            <v>0</v>
          </cell>
          <cell r="CR433">
            <v>0</v>
          </cell>
          <cell r="CT433">
            <v>0</v>
          </cell>
          <cell r="CV433">
            <v>0</v>
          </cell>
          <cell r="CX433">
            <v>0</v>
          </cell>
          <cell r="CZ433">
            <v>0</v>
          </cell>
          <cell r="DB433">
            <v>0</v>
          </cell>
          <cell r="DD433">
            <v>0</v>
          </cell>
          <cell r="DF433">
            <v>0</v>
          </cell>
          <cell r="DH433">
            <v>0</v>
          </cell>
          <cell r="DJ433">
            <v>0</v>
          </cell>
          <cell r="DL433">
            <v>0</v>
          </cell>
          <cell r="DN433">
            <v>0</v>
          </cell>
          <cell r="DP433">
            <v>0</v>
          </cell>
          <cell r="DR433">
            <v>0</v>
          </cell>
          <cell r="DT433">
            <v>0</v>
          </cell>
          <cell r="DV433">
            <v>0</v>
          </cell>
          <cell r="DX433">
            <v>0</v>
          </cell>
          <cell r="DZ433">
            <v>0</v>
          </cell>
          <cell r="EB433">
            <v>0</v>
          </cell>
          <cell r="ED433">
            <v>0</v>
          </cell>
          <cell r="EF433">
            <v>0</v>
          </cell>
          <cell r="EH433">
            <v>0</v>
          </cell>
          <cell r="EJ433">
            <v>0</v>
          </cell>
          <cell r="EL433">
            <v>0</v>
          </cell>
          <cell r="EN433">
            <v>0</v>
          </cell>
          <cell r="EP433">
            <v>0</v>
          </cell>
          <cell r="ER433">
            <v>0</v>
          </cell>
          <cell r="ET433">
            <v>0</v>
          </cell>
          <cell r="EV433">
            <v>0</v>
          </cell>
          <cell r="EX433">
            <v>0</v>
          </cell>
          <cell r="EZ433">
            <v>0</v>
          </cell>
          <cell r="FB433">
            <v>0</v>
          </cell>
          <cell r="FD433">
            <v>0</v>
          </cell>
          <cell r="FF433">
            <v>0</v>
          </cell>
          <cell r="FH433">
            <v>0</v>
          </cell>
          <cell r="FJ433">
            <v>0</v>
          </cell>
          <cell r="FL433">
            <v>0</v>
          </cell>
          <cell r="FN433">
            <v>0</v>
          </cell>
          <cell r="FP433">
            <v>0</v>
          </cell>
          <cell r="FR433">
            <v>0</v>
          </cell>
          <cell r="FT433">
            <v>0</v>
          </cell>
          <cell r="FV433">
            <v>0</v>
          </cell>
          <cell r="GD433">
            <v>14</v>
          </cell>
          <cell r="GF433">
            <v>4</v>
          </cell>
          <cell r="GH433">
            <v>1</v>
          </cell>
          <cell r="GJ433">
            <v>7</v>
          </cell>
          <cell r="GM433">
            <v>301.01</v>
          </cell>
          <cell r="GN433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304.檢查勞工個人防護具：█有 □無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W433" t="str">
            <v>（一）施工廠商施工前檢查事項辦理情形：█完成 □未完成 （二）其他工地安全衛生督導事項：</v>
          </cell>
          <cell r="GX433">
            <v>853901</v>
          </cell>
          <cell r="GY433">
            <v>0</v>
          </cell>
        </row>
        <row r="434">
          <cell r="N434">
            <v>1</v>
          </cell>
          <cell r="P434">
            <v>1</v>
          </cell>
          <cell r="R434">
            <v>672</v>
          </cell>
          <cell r="T434">
            <v>108</v>
          </cell>
          <cell r="V434">
            <v>661</v>
          </cell>
          <cell r="X434">
            <v>2</v>
          </cell>
          <cell r="Z434">
            <v>1</v>
          </cell>
          <cell r="AB434">
            <v>661</v>
          </cell>
          <cell r="AD434">
            <v>2</v>
          </cell>
          <cell r="AF434">
            <v>1</v>
          </cell>
          <cell r="AH434">
            <v>1</v>
          </cell>
          <cell r="AJ434">
            <v>1</v>
          </cell>
          <cell r="AL434">
            <v>0</v>
          </cell>
          <cell r="AN434">
            <v>0</v>
          </cell>
          <cell r="AP434">
            <v>0</v>
          </cell>
          <cell r="AR434">
            <v>0</v>
          </cell>
          <cell r="AT434">
            <v>0</v>
          </cell>
          <cell r="AV434">
            <v>0</v>
          </cell>
          <cell r="AX434">
            <v>0</v>
          </cell>
          <cell r="AZ434">
            <v>0</v>
          </cell>
          <cell r="BB434">
            <v>0</v>
          </cell>
          <cell r="BD434">
            <v>0</v>
          </cell>
          <cell r="BF434">
            <v>0</v>
          </cell>
          <cell r="BH434">
            <v>0</v>
          </cell>
          <cell r="BJ434">
            <v>0</v>
          </cell>
          <cell r="BL434">
            <v>0</v>
          </cell>
          <cell r="BN434">
            <v>0</v>
          </cell>
          <cell r="BP434">
            <v>0</v>
          </cell>
          <cell r="BR434">
            <v>0</v>
          </cell>
          <cell r="BT434">
            <v>0</v>
          </cell>
          <cell r="BV434">
            <v>0</v>
          </cell>
          <cell r="BX434">
            <v>0</v>
          </cell>
          <cell r="BZ434">
            <v>0</v>
          </cell>
          <cell r="CB434">
            <v>0</v>
          </cell>
          <cell r="CD434">
            <v>0</v>
          </cell>
          <cell r="CF434">
            <v>0</v>
          </cell>
          <cell r="CH434">
            <v>0</v>
          </cell>
          <cell r="CJ434">
            <v>0</v>
          </cell>
          <cell r="CL434">
            <v>0</v>
          </cell>
          <cell r="CN434">
            <v>0</v>
          </cell>
          <cell r="CP434">
            <v>0</v>
          </cell>
          <cell r="CR434">
            <v>0</v>
          </cell>
          <cell r="CT434">
            <v>0</v>
          </cell>
          <cell r="CV434">
            <v>0</v>
          </cell>
          <cell r="CX434">
            <v>0</v>
          </cell>
          <cell r="CZ434">
            <v>0</v>
          </cell>
          <cell r="DB434">
            <v>0</v>
          </cell>
          <cell r="DD434">
            <v>0</v>
          </cell>
          <cell r="DF434">
            <v>0</v>
          </cell>
          <cell r="DH434">
            <v>0</v>
          </cell>
          <cell r="DJ434">
            <v>0</v>
          </cell>
          <cell r="DL434">
            <v>0</v>
          </cell>
          <cell r="DN434">
            <v>0</v>
          </cell>
          <cell r="DP434">
            <v>0</v>
          </cell>
          <cell r="DR434">
            <v>0</v>
          </cell>
          <cell r="DT434">
            <v>0</v>
          </cell>
          <cell r="DV434">
            <v>0</v>
          </cell>
          <cell r="DX434">
            <v>0</v>
          </cell>
          <cell r="DZ434">
            <v>0</v>
          </cell>
          <cell r="EB434">
            <v>0</v>
          </cell>
          <cell r="ED434">
            <v>0</v>
          </cell>
          <cell r="EF434">
            <v>0</v>
          </cell>
          <cell r="EH434">
            <v>0</v>
          </cell>
          <cell r="EJ434">
            <v>0</v>
          </cell>
          <cell r="EL434">
            <v>0</v>
          </cell>
          <cell r="EN434">
            <v>0</v>
          </cell>
          <cell r="EP434">
            <v>0</v>
          </cell>
          <cell r="ER434">
            <v>0</v>
          </cell>
          <cell r="ET434">
            <v>0</v>
          </cell>
          <cell r="EV434">
            <v>0</v>
          </cell>
          <cell r="EX434">
            <v>0</v>
          </cell>
          <cell r="EZ434">
            <v>0</v>
          </cell>
          <cell r="FB434">
            <v>0</v>
          </cell>
          <cell r="FD434">
            <v>0</v>
          </cell>
          <cell r="FF434">
            <v>0</v>
          </cell>
          <cell r="FH434">
            <v>0</v>
          </cell>
          <cell r="FJ434">
            <v>0</v>
          </cell>
          <cell r="FL434">
            <v>0</v>
          </cell>
          <cell r="FN434">
            <v>0</v>
          </cell>
          <cell r="FP434">
            <v>0</v>
          </cell>
          <cell r="FR434">
            <v>0</v>
          </cell>
          <cell r="FT434">
            <v>0</v>
          </cell>
          <cell r="FV434">
            <v>0</v>
          </cell>
          <cell r="GD434">
            <v>14</v>
          </cell>
          <cell r="GF434">
            <v>4</v>
          </cell>
          <cell r="GH434">
            <v>1</v>
          </cell>
          <cell r="GJ434">
            <v>7</v>
          </cell>
          <cell r="GM434">
            <v>302.01</v>
          </cell>
          <cell r="GN434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305.檢查勞工個人防護具：█有 □無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W434" t="str">
            <v>（一）施工廠商施工前檢查事項辦理情形：█完成 □未完成 （二）其他工地安全衛生督導事項：</v>
          </cell>
          <cell r="GX434">
            <v>853901</v>
          </cell>
          <cell r="GY434">
            <v>0</v>
          </cell>
        </row>
        <row r="435">
          <cell r="N435">
            <v>1</v>
          </cell>
          <cell r="P435">
            <v>1</v>
          </cell>
          <cell r="R435">
            <v>672</v>
          </cell>
          <cell r="T435">
            <v>108</v>
          </cell>
          <cell r="V435">
            <v>661</v>
          </cell>
          <cell r="X435">
            <v>2</v>
          </cell>
          <cell r="Z435">
            <v>1</v>
          </cell>
          <cell r="AB435">
            <v>661</v>
          </cell>
          <cell r="AD435">
            <v>2</v>
          </cell>
          <cell r="AF435">
            <v>1</v>
          </cell>
          <cell r="AH435">
            <v>1</v>
          </cell>
          <cell r="AJ435">
            <v>1</v>
          </cell>
          <cell r="AL435">
            <v>0</v>
          </cell>
          <cell r="AN435">
            <v>0</v>
          </cell>
          <cell r="AP435">
            <v>0</v>
          </cell>
          <cell r="AR435">
            <v>0</v>
          </cell>
          <cell r="AT435">
            <v>0</v>
          </cell>
          <cell r="AV435">
            <v>0</v>
          </cell>
          <cell r="AX435">
            <v>0</v>
          </cell>
          <cell r="AZ435">
            <v>0</v>
          </cell>
          <cell r="BB435">
            <v>0</v>
          </cell>
          <cell r="BD435">
            <v>0</v>
          </cell>
          <cell r="BF435">
            <v>0</v>
          </cell>
          <cell r="BH435">
            <v>0</v>
          </cell>
          <cell r="BJ435">
            <v>0</v>
          </cell>
          <cell r="BL435">
            <v>0</v>
          </cell>
          <cell r="BN435">
            <v>0</v>
          </cell>
          <cell r="BP435">
            <v>0</v>
          </cell>
          <cell r="BR435">
            <v>0</v>
          </cell>
          <cell r="BT435">
            <v>0</v>
          </cell>
          <cell r="BV435">
            <v>0</v>
          </cell>
          <cell r="BX435">
            <v>0</v>
          </cell>
          <cell r="BZ435">
            <v>0</v>
          </cell>
          <cell r="CB435">
            <v>0</v>
          </cell>
          <cell r="CD435">
            <v>0</v>
          </cell>
          <cell r="CF435">
            <v>0</v>
          </cell>
          <cell r="CH435">
            <v>0</v>
          </cell>
          <cell r="CJ435">
            <v>0</v>
          </cell>
          <cell r="CL435">
            <v>0</v>
          </cell>
          <cell r="CN435">
            <v>0</v>
          </cell>
          <cell r="CP435">
            <v>0</v>
          </cell>
          <cell r="CR435">
            <v>0</v>
          </cell>
          <cell r="CT435">
            <v>0</v>
          </cell>
          <cell r="CV435">
            <v>0</v>
          </cell>
          <cell r="CX435">
            <v>0</v>
          </cell>
          <cell r="CZ435">
            <v>0</v>
          </cell>
          <cell r="DB435">
            <v>0</v>
          </cell>
          <cell r="DD435">
            <v>0</v>
          </cell>
          <cell r="DF435">
            <v>0</v>
          </cell>
          <cell r="DH435">
            <v>0</v>
          </cell>
          <cell r="DJ435">
            <v>0</v>
          </cell>
          <cell r="DL435">
            <v>0</v>
          </cell>
          <cell r="DN435">
            <v>0</v>
          </cell>
          <cell r="DP435">
            <v>0</v>
          </cell>
          <cell r="DR435">
            <v>0</v>
          </cell>
          <cell r="DT435">
            <v>0</v>
          </cell>
          <cell r="DV435">
            <v>0</v>
          </cell>
          <cell r="DX435">
            <v>0</v>
          </cell>
          <cell r="DZ435">
            <v>0</v>
          </cell>
          <cell r="EB435">
            <v>0</v>
          </cell>
          <cell r="ED435">
            <v>0</v>
          </cell>
          <cell r="EF435">
            <v>0</v>
          </cell>
          <cell r="EH435">
            <v>0</v>
          </cell>
          <cell r="EJ435">
            <v>0</v>
          </cell>
          <cell r="EL435">
            <v>0</v>
          </cell>
          <cell r="EN435">
            <v>0</v>
          </cell>
          <cell r="EP435">
            <v>0</v>
          </cell>
          <cell r="ER435">
            <v>0</v>
          </cell>
          <cell r="ET435">
            <v>0</v>
          </cell>
          <cell r="EV435">
            <v>0</v>
          </cell>
          <cell r="EX435">
            <v>0</v>
          </cell>
          <cell r="EZ435">
            <v>0</v>
          </cell>
          <cell r="FB435">
            <v>0</v>
          </cell>
          <cell r="FD435">
            <v>0</v>
          </cell>
          <cell r="FF435">
            <v>0</v>
          </cell>
          <cell r="FH435">
            <v>0</v>
          </cell>
          <cell r="FJ435">
            <v>0</v>
          </cell>
          <cell r="FL435">
            <v>0</v>
          </cell>
          <cell r="FN435">
            <v>0</v>
          </cell>
          <cell r="FP435">
            <v>0</v>
          </cell>
          <cell r="FR435">
            <v>0</v>
          </cell>
          <cell r="FT435">
            <v>0</v>
          </cell>
          <cell r="FV435">
            <v>0</v>
          </cell>
          <cell r="GD435">
            <v>14</v>
          </cell>
          <cell r="GF435">
            <v>4</v>
          </cell>
          <cell r="GH435">
            <v>1</v>
          </cell>
          <cell r="GJ435">
            <v>7</v>
          </cell>
          <cell r="GM435">
            <v>303.01</v>
          </cell>
          <cell r="GN435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306.檢查勞工個人防護具：█有 □無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W435" t="str">
            <v>（一）施工廠商施工前檢查事項辦理情形：█完成 □未完成 （二）其他工地安全衛生督導事項：</v>
          </cell>
          <cell r="GX435">
            <v>853901</v>
          </cell>
          <cell r="GY435">
            <v>0</v>
          </cell>
        </row>
        <row r="436">
          <cell r="N436">
            <v>1</v>
          </cell>
          <cell r="P436">
            <v>1</v>
          </cell>
          <cell r="R436">
            <v>672</v>
          </cell>
          <cell r="T436">
            <v>108</v>
          </cell>
          <cell r="V436">
            <v>661</v>
          </cell>
          <cell r="X436">
            <v>2</v>
          </cell>
          <cell r="Z436">
            <v>1</v>
          </cell>
          <cell r="AB436">
            <v>661</v>
          </cell>
          <cell r="AD436">
            <v>2</v>
          </cell>
          <cell r="AF436">
            <v>1</v>
          </cell>
          <cell r="AH436">
            <v>1</v>
          </cell>
          <cell r="AJ436">
            <v>1</v>
          </cell>
          <cell r="AL436">
            <v>0</v>
          </cell>
          <cell r="AN436">
            <v>0</v>
          </cell>
          <cell r="AP436">
            <v>0</v>
          </cell>
          <cell r="AR436">
            <v>0</v>
          </cell>
          <cell r="AT436">
            <v>0</v>
          </cell>
          <cell r="AV436">
            <v>0</v>
          </cell>
          <cell r="AX436">
            <v>0</v>
          </cell>
          <cell r="AZ436">
            <v>0</v>
          </cell>
          <cell r="BB436">
            <v>0</v>
          </cell>
          <cell r="BD436">
            <v>0</v>
          </cell>
          <cell r="BF436">
            <v>0</v>
          </cell>
          <cell r="BH436">
            <v>0</v>
          </cell>
          <cell r="BJ436">
            <v>0</v>
          </cell>
          <cell r="BL436">
            <v>0</v>
          </cell>
          <cell r="BN436">
            <v>0</v>
          </cell>
          <cell r="BP436">
            <v>0</v>
          </cell>
          <cell r="BR436">
            <v>0</v>
          </cell>
          <cell r="BT436">
            <v>0</v>
          </cell>
          <cell r="BV436">
            <v>0</v>
          </cell>
          <cell r="BX436">
            <v>0</v>
          </cell>
          <cell r="BZ436">
            <v>0</v>
          </cell>
          <cell r="CB436">
            <v>0</v>
          </cell>
          <cell r="CD436">
            <v>0</v>
          </cell>
          <cell r="CF436">
            <v>0</v>
          </cell>
          <cell r="CH436">
            <v>0</v>
          </cell>
          <cell r="CJ436">
            <v>0</v>
          </cell>
          <cell r="CL436">
            <v>0</v>
          </cell>
          <cell r="CN436">
            <v>0</v>
          </cell>
          <cell r="CP436">
            <v>0</v>
          </cell>
          <cell r="CR436">
            <v>0</v>
          </cell>
          <cell r="CT436">
            <v>0</v>
          </cell>
          <cell r="CV436">
            <v>0</v>
          </cell>
          <cell r="CX436">
            <v>0</v>
          </cell>
          <cell r="CZ436">
            <v>0</v>
          </cell>
          <cell r="DB436">
            <v>0</v>
          </cell>
          <cell r="DD436">
            <v>0</v>
          </cell>
          <cell r="DF436">
            <v>0</v>
          </cell>
          <cell r="DH436">
            <v>0</v>
          </cell>
          <cell r="DJ436">
            <v>0</v>
          </cell>
          <cell r="DL436">
            <v>0</v>
          </cell>
          <cell r="DN436">
            <v>0</v>
          </cell>
          <cell r="DP436">
            <v>0</v>
          </cell>
          <cell r="DR436">
            <v>0</v>
          </cell>
          <cell r="DT436">
            <v>0</v>
          </cell>
          <cell r="DV436">
            <v>0</v>
          </cell>
          <cell r="DX436">
            <v>0</v>
          </cell>
          <cell r="DZ436">
            <v>0</v>
          </cell>
          <cell r="EB436">
            <v>0</v>
          </cell>
          <cell r="ED436">
            <v>0</v>
          </cell>
          <cell r="EF436">
            <v>0</v>
          </cell>
          <cell r="EH436">
            <v>0</v>
          </cell>
          <cell r="EJ436">
            <v>0</v>
          </cell>
          <cell r="EL436">
            <v>0</v>
          </cell>
          <cell r="EN436">
            <v>0</v>
          </cell>
          <cell r="EP436">
            <v>0</v>
          </cell>
          <cell r="ER436">
            <v>0</v>
          </cell>
          <cell r="ET436">
            <v>0</v>
          </cell>
          <cell r="EV436">
            <v>0</v>
          </cell>
          <cell r="EX436">
            <v>0</v>
          </cell>
          <cell r="EZ436">
            <v>0</v>
          </cell>
          <cell r="FB436">
            <v>0</v>
          </cell>
          <cell r="FD436">
            <v>0</v>
          </cell>
          <cell r="FF436">
            <v>0</v>
          </cell>
          <cell r="FH436">
            <v>0</v>
          </cell>
          <cell r="FJ436">
            <v>0</v>
          </cell>
          <cell r="FL436">
            <v>0</v>
          </cell>
          <cell r="FN436">
            <v>0</v>
          </cell>
          <cell r="FP436">
            <v>0</v>
          </cell>
          <cell r="FR436">
            <v>0</v>
          </cell>
          <cell r="FT436">
            <v>0</v>
          </cell>
          <cell r="FV436">
            <v>0</v>
          </cell>
          <cell r="GD436">
            <v>14</v>
          </cell>
          <cell r="GF436">
            <v>4</v>
          </cell>
          <cell r="GH436">
            <v>1</v>
          </cell>
          <cell r="GJ436">
            <v>7</v>
          </cell>
          <cell r="GM436">
            <v>304.01</v>
          </cell>
          <cell r="GN436" t="str">
    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307.檢查勞工個人防護具：█有 □無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W436" t="str">
            <v>（一）施工廠商施工前檢查事項辦理情形：█完成 □未完成 （二）其他工地安全衛生督導事項：</v>
          </cell>
          <cell r="GX436">
            <v>853901</v>
          </cell>
          <cell r="GY436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4260-5B6E-4E0E-AB7C-B212291EB7F1}">
  <dimension ref="B1:P16"/>
  <sheetViews>
    <sheetView zoomScale="78" zoomScaleNormal="78" workbookViewId="0">
      <selection activeCell="E25" sqref="E25"/>
    </sheetView>
  </sheetViews>
  <sheetFormatPr defaultRowHeight="16.2"/>
  <cols>
    <col min="1" max="1" width="2.69921875" style="13" customWidth="1"/>
    <col min="2" max="6" width="8.796875" style="13"/>
    <col min="7" max="7" width="14.3984375" style="13" bestFit="1" customWidth="1"/>
    <col min="8" max="9" width="8.796875" style="13"/>
    <col min="10" max="10" width="8.3984375" style="26" customWidth="1"/>
    <col min="11" max="11" width="32.59765625" style="13" customWidth="1"/>
    <col min="12" max="13" width="5.5" style="13" bestFit="1" customWidth="1"/>
    <col min="14" max="14" width="9.3984375" style="13" bestFit="1" customWidth="1"/>
    <col min="15" max="16" width="10.3984375" style="13" bestFit="1" customWidth="1"/>
    <col min="17" max="16384" width="8.796875" style="13"/>
  </cols>
  <sheetData>
    <row r="1" spans="2:16">
      <c r="B1" s="11" t="s">
        <v>20</v>
      </c>
      <c r="C1" s="12" t="s">
        <v>21</v>
      </c>
    </row>
    <row r="2" spans="2:16" ht="16.8" thickBot="1">
      <c r="J2" s="26" t="s">
        <v>28</v>
      </c>
    </row>
    <row r="3" spans="2:16" ht="17.399999999999999" thickTop="1" thickBot="1">
      <c r="B3" s="176" t="s">
        <v>0</v>
      </c>
      <c r="C3" s="177"/>
      <c r="D3" s="156" t="s">
        <v>99</v>
      </c>
      <c r="E3" s="157"/>
      <c r="F3" s="158"/>
      <c r="G3" s="5" t="s">
        <v>1</v>
      </c>
      <c r="J3" s="8" t="s">
        <v>29</v>
      </c>
      <c r="K3" s="9" t="s">
        <v>30</v>
      </c>
      <c r="L3" s="8" t="s">
        <v>31</v>
      </c>
      <c r="M3" s="10" t="s">
        <v>25</v>
      </c>
      <c r="N3" s="14" t="s">
        <v>26</v>
      </c>
      <c r="O3" s="14" t="s">
        <v>27</v>
      </c>
    </row>
    <row r="4" spans="2:16" ht="16.8" thickBot="1">
      <c r="B4" s="174" t="s">
        <v>2</v>
      </c>
      <c r="C4" s="175"/>
      <c r="D4" s="2">
        <v>30</v>
      </c>
      <c r="E4" s="4" t="s">
        <v>3</v>
      </c>
      <c r="F4" s="3"/>
      <c r="G4" s="6" t="s">
        <v>1</v>
      </c>
      <c r="J4" s="8" t="s">
        <v>32</v>
      </c>
      <c r="K4" s="15" t="s">
        <v>33</v>
      </c>
      <c r="L4" s="16"/>
      <c r="M4" s="17"/>
      <c r="N4" s="18"/>
      <c r="O4" s="18"/>
    </row>
    <row r="5" spans="2:16" ht="16.8" thickBot="1">
      <c r="B5" s="174" t="s">
        <v>4</v>
      </c>
      <c r="C5" s="175"/>
      <c r="D5" s="162">
        <v>45880</v>
      </c>
      <c r="E5" s="163"/>
      <c r="F5" s="164"/>
      <c r="G5" s="6" t="s">
        <v>1</v>
      </c>
      <c r="J5" s="21">
        <v>1</v>
      </c>
      <c r="K5" s="19" t="s">
        <v>34</v>
      </c>
      <c r="L5" s="20" t="s">
        <v>35</v>
      </c>
      <c r="M5" s="21">
        <v>1</v>
      </c>
      <c r="N5" s="22">
        <v>8700</v>
      </c>
      <c r="O5" s="25">
        <f>M5*N5</f>
        <v>8700</v>
      </c>
    </row>
    <row r="6" spans="2:16" ht="33" thickBot="1">
      <c r="B6" s="174" t="s">
        <v>5</v>
      </c>
      <c r="C6" s="175"/>
      <c r="D6" s="165">
        <f>D5+D4-1</f>
        <v>45909</v>
      </c>
      <c r="E6" s="166"/>
      <c r="F6" s="167"/>
      <c r="G6" s="6" t="s">
        <v>1</v>
      </c>
      <c r="J6" s="21">
        <v>2</v>
      </c>
      <c r="K6" s="19" t="s">
        <v>36</v>
      </c>
      <c r="L6" s="20" t="s">
        <v>35</v>
      </c>
      <c r="M6" s="21">
        <v>1</v>
      </c>
      <c r="N6" s="22">
        <v>15300</v>
      </c>
      <c r="O6" s="25">
        <f t="shared" ref="O6:O8" si="0">M6*N6</f>
        <v>15300</v>
      </c>
    </row>
    <row r="7" spans="2:16" ht="33" thickBot="1">
      <c r="B7" s="174" t="s">
        <v>6</v>
      </c>
      <c r="C7" s="175"/>
      <c r="D7" s="159">
        <v>11419</v>
      </c>
      <c r="E7" s="160"/>
      <c r="F7" s="161"/>
      <c r="G7" s="6" t="s">
        <v>109</v>
      </c>
      <c r="J7" s="21">
        <v>3</v>
      </c>
      <c r="K7" s="19" t="s">
        <v>37</v>
      </c>
      <c r="L7" s="20" t="s">
        <v>35</v>
      </c>
      <c r="M7" s="21">
        <v>1</v>
      </c>
      <c r="N7" s="22">
        <v>95210</v>
      </c>
      <c r="O7" s="25">
        <f t="shared" si="0"/>
        <v>95210</v>
      </c>
    </row>
    <row r="8" spans="2:16" ht="38.4" thickBot="1">
      <c r="B8" s="174" t="s">
        <v>7</v>
      </c>
      <c r="C8" s="7" t="s">
        <v>8</v>
      </c>
      <c r="D8" s="181">
        <v>780000</v>
      </c>
      <c r="E8" s="182"/>
      <c r="F8" s="183"/>
      <c r="G8" s="6" t="s">
        <v>1</v>
      </c>
      <c r="J8" s="21">
        <v>4</v>
      </c>
      <c r="K8" s="23" t="s">
        <v>38</v>
      </c>
      <c r="L8" s="20" t="s">
        <v>39</v>
      </c>
      <c r="M8" s="21">
        <v>10</v>
      </c>
      <c r="N8" s="22">
        <v>19100</v>
      </c>
      <c r="O8" s="25">
        <f t="shared" si="0"/>
        <v>191000</v>
      </c>
    </row>
    <row r="9" spans="2:16" ht="16.8" thickBot="1">
      <c r="B9" s="174"/>
      <c r="C9" s="7" t="s">
        <v>9</v>
      </c>
      <c r="D9" s="178"/>
      <c r="E9" s="179"/>
      <c r="F9" s="180"/>
      <c r="G9" s="6" t="s">
        <v>10</v>
      </c>
      <c r="J9" s="20" t="s">
        <v>40</v>
      </c>
      <c r="K9" s="19" t="s">
        <v>41</v>
      </c>
      <c r="L9" s="20" t="s">
        <v>35</v>
      </c>
      <c r="M9" s="21">
        <v>1</v>
      </c>
      <c r="N9" s="22">
        <v>3102</v>
      </c>
      <c r="O9" s="25">
        <f>M9*N9</f>
        <v>3102</v>
      </c>
    </row>
    <row r="10" spans="2:16" ht="16.8" thickBot="1">
      <c r="B10" s="174" t="s">
        <v>11</v>
      </c>
      <c r="C10" s="175"/>
      <c r="D10" s="168"/>
      <c r="E10" s="169"/>
      <c r="F10" s="170"/>
      <c r="G10" s="6" t="s">
        <v>12</v>
      </c>
      <c r="J10" s="20" t="s">
        <v>42</v>
      </c>
      <c r="K10" s="19" t="s">
        <v>24</v>
      </c>
      <c r="L10" s="20" t="s">
        <v>35</v>
      </c>
      <c r="M10" s="21">
        <v>1</v>
      </c>
      <c r="N10" s="22">
        <v>3102</v>
      </c>
      <c r="O10" s="25">
        <f t="shared" ref="O10:O13" si="1">M10*N10</f>
        <v>3102</v>
      </c>
    </row>
    <row r="11" spans="2:16" ht="16.8" thickBot="1">
      <c r="B11" s="174" t="s">
        <v>13</v>
      </c>
      <c r="C11" s="175"/>
      <c r="D11" s="168"/>
      <c r="E11" s="169"/>
      <c r="F11" s="170"/>
      <c r="G11" s="6" t="s">
        <v>12</v>
      </c>
      <c r="J11" s="20" t="s">
        <v>43</v>
      </c>
      <c r="K11" s="19" t="s">
        <v>44</v>
      </c>
      <c r="L11" s="20" t="s">
        <v>35</v>
      </c>
      <c r="M11" s="21">
        <v>1</v>
      </c>
      <c r="N11" s="22">
        <v>21715</v>
      </c>
      <c r="O11" s="25">
        <f t="shared" si="1"/>
        <v>21715</v>
      </c>
    </row>
    <row r="12" spans="2:16" ht="16.8" thickBot="1">
      <c r="B12" s="174" t="s">
        <v>14</v>
      </c>
      <c r="C12" s="175"/>
      <c r="D12" s="171" t="s">
        <v>22</v>
      </c>
      <c r="E12" s="172"/>
      <c r="F12" s="173"/>
      <c r="G12" s="6" t="s">
        <v>15</v>
      </c>
      <c r="J12" s="20" t="s">
        <v>45</v>
      </c>
      <c r="K12" s="19" t="s">
        <v>46</v>
      </c>
      <c r="L12" s="20" t="s">
        <v>35</v>
      </c>
      <c r="M12" s="21">
        <v>1</v>
      </c>
      <c r="N12" s="22">
        <v>2000</v>
      </c>
      <c r="O12" s="25">
        <f t="shared" si="1"/>
        <v>2000</v>
      </c>
    </row>
    <row r="13" spans="2:16" ht="16.8" thickBot="1">
      <c r="B13" s="174" t="s">
        <v>16</v>
      </c>
      <c r="C13" s="175"/>
      <c r="D13" s="171" t="s">
        <v>17</v>
      </c>
      <c r="E13" s="172"/>
      <c r="F13" s="173"/>
      <c r="G13" s="6" t="s">
        <v>15</v>
      </c>
      <c r="J13" s="20" t="s">
        <v>47</v>
      </c>
      <c r="K13" s="19" t="s">
        <v>48</v>
      </c>
      <c r="L13" s="20" t="s">
        <v>35</v>
      </c>
      <c r="M13" s="21">
        <v>1</v>
      </c>
      <c r="N13" s="24">
        <v>17006</v>
      </c>
      <c r="O13" s="25">
        <f t="shared" si="1"/>
        <v>17006</v>
      </c>
    </row>
    <row r="14" spans="2:16" ht="16.8" thickBot="1">
      <c r="B14" s="174" t="s">
        <v>18</v>
      </c>
      <c r="C14" s="175"/>
      <c r="D14" s="171" t="s">
        <v>23</v>
      </c>
      <c r="E14" s="172"/>
      <c r="F14" s="173"/>
      <c r="G14" s="6" t="s">
        <v>15</v>
      </c>
    </row>
    <row r="15" spans="2:16" ht="16.8" thickBot="1">
      <c r="B15" s="184" t="s">
        <v>19</v>
      </c>
      <c r="C15" s="185"/>
      <c r="D15" s="153"/>
      <c r="E15" s="154"/>
      <c r="F15" s="155"/>
      <c r="G15" s="1" t="s">
        <v>15</v>
      </c>
      <c r="P15" s="48">
        <f>SUM(O5:O13)</f>
        <v>357135</v>
      </c>
    </row>
    <row r="16" spans="2:16" ht="16.8" thickTop="1"/>
  </sheetData>
  <mergeCells count="24">
    <mergeCell ref="B14:C14"/>
    <mergeCell ref="B13:C13"/>
    <mergeCell ref="B15:C15"/>
    <mergeCell ref="B11:C11"/>
    <mergeCell ref="B12:C12"/>
    <mergeCell ref="B10:C10"/>
    <mergeCell ref="B7:C7"/>
    <mergeCell ref="B8:B9"/>
    <mergeCell ref="B3:C3"/>
    <mergeCell ref="D10:F10"/>
    <mergeCell ref="B4:C4"/>
    <mergeCell ref="B5:C5"/>
    <mergeCell ref="B6:C6"/>
    <mergeCell ref="D9:F9"/>
    <mergeCell ref="D8:F8"/>
    <mergeCell ref="D15:F15"/>
    <mergeCell ref="D3:F3"/>
    <mergeCell ref="D7:F7"/>
    <mergeCell ref="D5:F5"/>
    <mergeCell ref="D6:F6"/>
    <mergeCell ref="D11:F11"/>
    <mergeCell ref="D12:F12"/>
    <mergeCell ref="D14:F14"/>
    <mergeCell ref="D13:F13"/>
  </mergeCells>
  <phoneticPr fontId="4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3D84-4E84-4993-8D62-3675828A9D0E}">
  <dimension ref="A1:AX35"/>
  <sheetViews>
    <sheetView zoomScale="60" zoomScaleNormal="60" workbookViewId="0">
      <selection activeCell="AD12" sqref="AD12"/>
    </sheetView>
  </sheetViews>
  <sheetFormatPr defaultRowHeight="15.6"/>
  <cols>
    <col min="1" max="2" width="8.796875" style="122"/>
    <col min="3" max="5" width="8.796875" style="122" customWidth="1"/>
    <col min="6" max="6" width="13.19921875" style="122" customWidth="1"/>
    <col min="7" max="7" width="9.69921875" style="122" customWidth="1"/>
    <col min="8" max="8" width="15.59765625" style="122" customWidth="1"/>
    <col min="9" max="9" width="14.3984375" style="122" customWidth="1"/>
    <col min="10" max="11" width="8.796875" style="122" customWidth="1"/>
    <col min="12" max="30" width="15.69921875" style="122" customWidth="1"/>
    <col min="31" max="31" width="23.09765625" style="122" customWidth="1"/>
    <col min="32" max="32" width="8.796875" style="122"/>
    <col min="33" max="33" width="8.59765625" style="122" bestFit="1" customWidth="1"/>
    <col min="34" max="37" width="8.796875" style="122"/>
    <col min="38" max="38" width="22.09765625" style="122" bestFit="1" customWidth="1"/>
    <col min="39" max="39" width="19.796875" style="122" bestFit="1" customWidth="1"/>
    <col min="40" max="40" width="8.796875" style="122"/>
    <col min="41" max="41" width="24.09765625" style="122" customWidth="1"/>
    <col min="42" max="42" width="31.3984375" style="122" bestFit="1" customWidth="1"/>
    <col min="43" max="45" width="8.796875" style="122"/>
    <col min="46" max="46" width="7.796875" style="122" bestFit="1" customWidth="1"/>
    <col min="47" max="47" width="22.09765625" style="122" bestFit="1" customWidth="1"/>
    <col min="48" max="48" width="19.796875" style="122" bestFit="1" customWidth="1"/>
    <col min="49" max="49" width="24.3984375" style="122" customWidth="1"/>
    <col min="50" max="50" width="48.3984375" style="122" customWidth="1"/>
    <col min="51" max="16384" width="8.796875" style="122"/>
  </cols>
  <sheetData>
    <row r="1" spans="1:50" s="64" customFormat="1" ht="16.8" customHeight="1">
      <c r="A1" s="51"/>
      <c r="B1" s="51"/>
      <c r="C1" s="51"/>
      <c r="D1" s="51"/>
      <c r="E1" s="51"/>
      <c r="F1" s="52"/>
      <c r="G1" s="52"/>
      <c r="H1" s="52"/>
      <c r="I1" s="53"/>
      <c r="J1" s="54"/>
      <c r="K1" s="55"/>
      <c r="L1" s="56"/>
      <c r="M1" s="56"/>
      <c r="N1" s="56"/>
      <c r="O1" s="56"/>
      <c r="P1" s="56"/>
      <c r="Q1" s="56"/>
      <c r="R1" s="57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8" t="s">
        <v>97</v>
      </c>
      <c r="AF1" s="59" t="s">
        <v>98</v>
      </c>
      <c r="AG1" s="56"/>
      <c r="AH1" s="60"/>
      <c r="AI1" s="56"/>
      <c r="AJ1" s="61"/>
      <c r="AK1" s="56"/>
      <c r="AL1" s="62" t="s">
        <v>122</v>
      </c>
      <c r="AM1" s="62" t="s">
        <v>123</v>
      </c>
      <c r="AN1" s="63"/>
      <c r="AO1" s="64" t="s">
        <v>124</v>
      </c>
      <c r="AP1" s="64" t="s">
        <v>125</v>
      </c>
      <c r="AU1" s="64" t="s">
        <v>126</v>
      </c>
      <c r="AV1" s="64" t="s">
        <v>127</v>
      </c>
      <c r="AW1" s="64" t="s">
        <v>128</v>
      </c>
      <c r="AX1" s="64" t="s">
        <v>129</v>
      </c>
    </row>
    <row r="2" spans="1:50" s="64" customFormat="1" ht="86.4">
      <c r="A2" s="51" t="s">
        <v>102</v>
      </c>
      <c r="B2" s="51" t="s">
        <v>103</v>
      </c>
      <c r="C2" s="51" t="s">
        <v>100</v>
      </c>
      <c r="D2" s="51" t="s">
        <v>101</v>
      </c>
      <c r="E2" s="51" t="s">
        <v>104</v>
      </c>
      <c r="F2" s="52" t="s">
        <v>117</v>
      </c>
      <c r="G2" s="52" t="s">
        <v>118</v>
      </c>
      <c r="H2" s="52" t="s">
        <v>121</v>
      </c>
      <c r="I2" s="53" t="s">
        <v>105</v>
      </c>
      <c r="J2" s="54" t="s">
        <v>106</v>
      </c>
      <c r="K2" s="55" t="s">
        <v>110</v>
      </c>
      <c r="L2" s="56" t="str">
        <f>基本資料!K5</f>
        <v>工程告示牌與職安衛告示牌(租用)</v>
      </c>
      <c r="M2" s="56" t="s">
        <v>113</v>
      </c>
      <c r="N2" s="56" t="str">
        <f>基本資料!K6</f>
        <v>工區管制措施，施工環境保護與清潔</v>
      </c>
      <c r="O2" s="56" t="s">
        <v>113</v>
      </c>
      <c r="P2" s="56" t="str">
        <f>基本資料!K7</f>
        <v>查修天花板所有天井燈具(30盞)與迴路</v>
      </c>
      <c r="Q2" s="56" t="s">
        <v>113</v>
      </c>
      <c r="R2" s="57" t="str">
        <f>基本資料!K8</f>
        <v>拆除清運既有天井燈具，安裝LED天井燈具 (200W以上，含防眩鏡片與安全防墜配件)(含施工機具，連工帶料</v>
      </c>
      <c r="S2" s="56" t="s">
        <v>113</v>
      </c>
      <c r="T2" s="56" t="str">
        <f>基本資料!K9</f>
        <v>職業安全衛生管理費(壹*1%)</v>
      </c>
      <c r="U2" s="56" t="s">
        <v>113</v>
      </c>
      <c r="V2" s="56" t="str">
        <f>基本資料!K10</f>
        <v>公共工程品質管制作業費(壹*1%)</v>
      </c>
      <c r="W2" s="56" t="s">
        <v>113</v>
      </c>
      <c r="X2" s="56" t="str">
        <f>基本資料!K11</f>
        <v>包商利潤及管理費(約壹*7%)</v>
      </c>
      <c r="Y2" s="56" t="s">
        <v>113</v>
      </c>
      <c r="Z2" s="56" t="str">
        <f>基本資料!K12</f>
        <v>營造綜合保險費</v>
      </c>
      <c r="AA2" s="56" t="s">
        <v>113</v>
      </c>
      <c r="AB2" s="56" t="str">
        <f>基本資料!K13</f>
        <v>營業稅((壹~伍)*5%)</v>
      </c>
      <c r="AC2" s="56" t="s">
        <v>113</v>
      </c>
      <c r="AD2" s="129" t="s">
        <v>132</v>
      </c>
      <c r="AE2" s="65"/>
      <c r="AF2" s="66" t="s">
        <v>114</v>
      </c>
      <c r="AG2" s="56" t="s">
        <v>113</v>
      </c>
      <c r="AH2" s="60" t="s">
        <v>115</v>
      </c>
      <c r="AI2" s="56" t="s">
        <v>113</v>
      </c>
      <c r="AJ2" s="61" t="s">
        <v>116</v>
      </c>
      <c r="AK2" s="56" t="s">
        <v>113</v>
      </c>
      <c r="AN2" s="63"/>
      <c r="AO2" s="67" t="s">
        <v>133</v>
      </c>
      <c r="AP2" s="68"/>
      <c r="AQ2" s="69"/>
      <c r="AR2" s="70"/>
      <c r="AS2" s="70"/>
      <c r="AT2" s="71"/>
      <c r="AU2" s="72"/>
      <c r="AV2" s="72"/>
      <c r="AW2" s="72"/>
      <c r="AX2" s="73"/>
    </row>
    <row r="3" spans="1:50" s="64" customFormat="1">
      <c r="A3" s="51"/>
      <c r="B3" s="51"/>
      <c r="C3" s="51"/>
      <c r="D3" s="51"/>
      <c r="E3" s="51"/>
      <c r="F3" s="52"/>
      <c r="G3" s="52"/>
      <c r="H3" s="52"/>
      <c r="I3" s="53"/>
      <c r="J3" s="54"/>
      <c r="K3" s="55" t="s">
        <v>111</v>
      </c>
      <c r="L3" s="74" t="str">
        <f>基本資料!L5</f>
        <v>式</v>
      </c>
      <c r="M3" s="74"/>
      <c r="N3" s="74" t="str">
        <f>基本資料!L6</f>
        <v>式</v>
      </c>
      <c r="O3" s="74"/>
      <c r="P3" s="74" t="str">
        <f>基本資料!L7</f>
        <v>式</v>
      </c>
      <c r="Q3" s="74"/>
      <c r="R3" s="74" t="str">
        <f>基本資料!L8</f>
        <v>盞</v>
      </c>
      <c r="S3" s="74"/>
      <c r="T3" s="74" t="str">
        <f>基本資料!L9</f>
        <v>式</v>
      </c>
      <c r="U3" s="74"/>
      <c r="V3" s="74" t="str">
        <f>基本資料!L10</f>
        <v>式</v>
      </c>
      <c r="W3" s="74"/>
      <c r="X3" s="74" t="str">
        <f>基本資料!L11</f>
        <v>式</v>
      </c>
      <c r="Y3" s="74"/>
      <c r="Z3" s="74" t="str">
        <f>基本資料!L12</f>
        <v>式</v>
      </c>
      <c r="AA3" s="74"/>
      <c r="AB3" s="74" t="str">
        <f>基本資料!L13</f>
        <v>式</v>
      </c>
      <c r="AC3" s="56"/>
      <c r="AD3" s="75"/>
      <c r="AE3" s="65"/>
      <c r="AF3" s="66"/>
      <c r="AG3" s="60"/>
      <c r="AH3" s="61"/>
      <c r="AI3" s="60"/>
      <c r="AJ3" s="61"/>
      <c r="AK3" s="60"/>
      <c r="AL3" s="76"/>
      <c r="AM3" s="77"/>
      <c r="AN3" s="63"/>
      <c r="AO3" s="77"/>
      <c r="AP3" s="68"/>
      <c r="AQ3" s="69"/>
      <c r="AR3" s="70"/>
      <c r="AS3" s="70"/>
      <c r="AT3" s="71"/>
      <c r="AU3" s="72"/>
      <c r="AV3" s="72"/>
      <c r="AW3" s="72"/>
      <c r="AX3" s="73"/>
    </row>
    <row r="4" spans="1:50" s="64" customFormat="1">
      <c r="A4" s="51"/>
      <c r="B4" s="51"/>
      <c r="C4" s="51"/>
      <c r="D4" s="51"/>
      <c r="E4" s="51"/>
      <c r="F4" s="52"/>
      <c r="G4" s="52"/>
      <c r="H4" s="52"/>
      <c r="I4" s="53"/>
      <c r="J4" s="54"/>
      <c r="K4" s="55" t="s">
        <v>112</v>
      </c>
      <c r="L4" s="78">
        <f>基本資料!M5</f>
        <v>1</v>
      </c>
      <c r="M4" s="78"/>
      <c r="N4" s="78">
        <f>基本資料!M6</f>
        <v>1</v>
      </c>
      <c r="O4" s="78"/>
      <c r="P4" s="78">
        <f>基本資料!M7</f>
        <v>1</v>
      </c>
      <c r="Q4" s="78"/>
      <c r="R4" s="78">
        <f>基本資料!M8</f>
        <v>10</v>
      </c>
      <c r="S4" s="78"/>
      <c r="T4" s="78">
        <f>基本資料!M9</f>
        <v>1</v>
      </c>
      <c r="U4" s="78"/>
      <c r="V4" s="78">
        <f>基本資料!M10</f>
        <v>1</v>
      </c>
      <c r="W4" s="78"/>
      <c r="X4" s="78">
        <f>基本資料!M11</f>
        <v>1</v>
      </c>
      <c r="Y4" s="78"/>
      <c r="Z4" s="78">
        <f>基本資料!M12</f>
        <v>1</v>
      </c>
      <c r="AA4" s="78"/>
      <c r="AB4" s="78">
        <f>基本資料!M13</f>
        <v>1</v>
      </c>
      <c r="AC4" s="130"/>
      <c r="AD4" s="79" t="s">
        <v>131</v>
      </c>
      <c r="AE4" s="65"/>
      <c r="AF4" s="66"/>
      <c r="AG4" s="60"/>
      <c r="AH4" s="61"/>
      <c r="AI4" s="60"/>
      <c r="AJ4" s="61"/>
      <c r="AK4" s="60"/>
      <c r="AL4" s="76"/>
      <c r="AM4" s="77"/>
      <c r="AN4" s="63"/>
      <c r="AO4" s="77"/>
      <c r="AP4" s="68"/>
      <c r="AQ4" s="69"/>
      <c r="AR4" s="70"/>
      <c r="AS4" s="70"/>
      <c r="AT4" s="71"/>
      <c r="AU4" s="72"/>
      <c r="AV4" s="72"/>
      <c r="AW4" s="72"/>
      <c r="AX4" s="73"/>
    </row>
    <row r="5" spans="1:50" s="93" customFormat="1" ht="16.2" thickBot="1">
      <c r="A5" s="125"/>
      <c r="B5" s="125"/>
      <c r="C5" s="125"/>
      <c r="D5" s="125"/>
      <c r="E5" s="125"/>
      <c r="F5" s="126"/>
      <c r="G5" s="126"/>
      <c r="H5" s="126"/>
      <c r="I5" s="83"/>
      <c r="J5" s="127"/>
      <c r="K5" s="128" t="s">
        <v>130</v>
      </c>
      <c r="L5" s="141">
        <f>基本資料!N5</f>
        <v>8700</v>
      </c>
      <c r="M5" s="141"/>
      <c r="N5" s="141">
        <f>基本資料!N6</f>
        <v>15300</v>
      </c>
      <c r="O5" s="141"/>
      <c r="P5" s="141">
        <f>基本資料!N7</f>
        <v>95210</v>
      </c>
      <c r="Q5" s="141"/>
      <c r="R5" s="141">
        <f>基本資料!N8</f>
        <v>19100</v>
      </c>
      <c r="S5" s="141"/>
      <c r="T5" s="141">
        <f>基本資料!N9</f>
        <v>3102</v>
      </c>
      <c r="U5" s="141"/>
      <c r="V5" s="141">
        <f>基本資料!N10</f>
        <v>3102</v>
      </c>
      <c r="W5" s="141"/>
      <c r="X5" s="141">
        <f>基本資料!N11</f>
        <v>21715</v>
      </c>
      <c r="Y5" s="141"/>
      <c r="Z5" s="141">
        <f>基本資料!N12</f>
        <v>2000</v>
      </c>
      <c r="AA5" s="141"/>
      <c r="AB5" s="141">
        <f>基本資料!N13</f>
        <v>17006</v>
      </c>
      <c r="AC5" s="142"/>
      <c r="AD5" s="80">
        <f>L4*L5+N4*N5+P4*P5+R4*R5+T4*T5+V4*V5+X4*X5+Z4*Z5+AB4*AB5</f>
        <v>357135</v>
      </c>
      <c r="AE5" s="81"/>
      <c r="AF5" s="82"/>
      <c r="AG5" s="83"/>
      <c r="AH5" s="84"/>
      <c r="AI5" s="83"/>
      <c r="AJ5" s="84"/>
      <c r="AK5" s="83"/>
      <c r="AL5" s="85"/>
      <c r="AM5" s="86"/>
      <c r="AN5" s="87"/>
      <c r="AO5" s="86"/>
      <c r="AP5" s="88"/>
      <c r="AQ5" s="89"/>
      <c r="AR5" s="90"/>
      <c r="AS5" s="90"/>
      <c r="AT5" s="84"/>
      <c r="AU5" s="91"/>
      <c r="AV5" s="91"/>
      <c r="AW5" s="91"/>
      <c r="AX5" s="92"/>
    </row>
    <row r="6" spans="1:50" s="112" customFormat="1">
      <c r="A6" s="94">
        <f>基本資料!D5</f>
        <v>45880</v>
      </c>
      <c r="B6" s="95">
        <f>A6</f>
        <v>45880</v>
      </c>
      <c r="C6" s="96" t="s">
        <v>107</v>
      </c>
      <c r="D6" s="96" t="s">
        <v>107</v>
      </c>
      <c r="E6" s="97">
        <v>1</v>
      </c>
      <c r="F6" s="98">
        <v>3.3300000000000003E-2</v>
      </c>
      <c r="G6" s="132">
        <v>3.3300000000000003E-2</v>
      </c>
      <c r="H6" s="303">
        <v>3.3799999999999997E-2</v>
      </c>
      <c r="I6" s="99"/>
      <c r="J6" s="99"/>
      <c r="K6" s="100"/>
      <c r="L6" s="143">
        <v>1</v>
      </c>
      <c r="M6" s="144">
        <f>L6</f>
        <v>1</v>
      </c>
      <c r="N6" s="145"/>
      <c r="O6" s="146">
        <f>N6</f>
        <v>0</v>
      </c>
      <c r="P6" s="143"/>
      <c r="Q6" s="147">
        <f>P6</f>
        <v>0</v>
      </c>
      <c r="R6" s="143"/>
      <c r="S6" s="147">
        <f>R6</f>
        <v>0</v>
      </c>
      <c r="T6" s="143">
        <v>2.8000000000000001E-2</v>
      </c>
      <c r="U6" s="147">
        <f>T6</f>
        <v>2.8000000000000001E-2</v>
      </c>
      <c r="V6" s="143">
        <v>2.8000000000000001E-2</v>
      </c>
      <c r="W6" s="147">
        <f>V6</f>
        <v>2.8000000000000001E-2</v>
      </c>
      <c r="X6" s="143">
        <v>2.8000000000000001E-2</v>
      </c>
      <c r="Y6" s="147">
        <f>X6</f>
        <v>2.8000000000000001E-2</v>
      </c>
      <c r="Z6" s="143">
        <v>2.8000000000000001E-2</v>
      </c>
      <c r="AA6" s="147">
        <f>Z6</f>
        <v>2.8000000000000001E-2</v>
      </c>
      <c r="AB6" s="143">
        <v>2.8000000000000001E-2</v>
      </c>
      <c r="AC6" s="147">
        <f>AB6</f>
        <v>2.8000000000000001E-2</v>
      </c>
      <c r="AD6" s="150">
        <f>填寫!M6*基本資料!$N$5+填寫!O6*基本資料!$N$6+填寫!Q6*基本資料!$N$7+填寫!S6*基本資料!$N$8+填寫!U6*基本資料!$N$9+填寫!W6*基本資料!$N$10+填寫!Y6*基本資料!$N$11+填寫!AA6*基本資料!$N$12+填寫!AC6*基本資料!$N$13</f>
        <v>10013.9</v>
      </c>
      <c r="AE6" s="101"/>
      <c r="AF6" s="102"/>
      <c r="AG6" s="102">
        <v>0</v>
      </c>
      <c r="AH6" s="102"/>
      <c r="AI6" s="102">
        <f>AH6</f>
        <v>0</v>
      </c>
      <c r="AJ6" s="102"/>
      <c r="AK6" s="102">
        <f>AJ6</f>
        <v>0</v>
      </c>
      <c r="AL6" s="103"/>
      <c r="AM6" s="104"/>
      <c r="AN6" s="105">
        <f>G6</f>
        <v>3.3300000000000003E-2</v>
      </c>
      <c r="AO6" s="106" t="s">
        <v>134</v>
      </c>
      <c r="AP6" s="107"/>
      <c r="AQ6" s="108">
        <f>B6</f>
        <v>45880</v>
      </c>
      <c r="AR6" s="109">
        <f>F6-0</f>
        <v>3.3300000000000003E-2</v>
      </c>
      <c r="AS6" s="109">
        <f>G6-0</f>
        <v>3.3300000000000003E-2</v>
      </c>
      <c r="AT6" s="110">
        <f>A6</f>
        <v>45880</v>
      </c>
      <c r="AU6" s="111">
        <f t="shared" ref="AU6" si="0">K6</f>
        <v>0</v>
      </c>
      <c r="AX6" s="113" t="s">
        <v>135</v>
      </c>
    </row>
    <row r="7" spans="1:50">
      <c r="A7" s="114">
        <f>A6+1</f>
        <v>45881</v>
      </c>
      <c r="B7" s="115">
        <f t="shared" ref="B7:B35" si="1">A7</f>
        <v>45881</v>
      </c>
      <c r="C7" s="116" t="s">
        <v>107</v>
      </c>
      <c r="D7" s="116" t="s">
        <v>107</v>
      </c>
      <c r="E7" s="117">
        <f>E6+1</f>
        <v>2</v>
      </c>
      <c r="F7" s="119">
        <v>3.3300000000000003E-2</v>
      </c>
      <c r="G7" s="131">
        <f>G6+F7</f>
        <v>6.6600000000000006E-2</v>
      </c>
      <c r="H7" s="152">
        <v>3.3799999999999997E-2</v>
      </c>
      <c r="I7" s="118"/>
      <c r="J7" s="118"/>
      <c r="K7" s="118"/>
      <c r="L7" s="148"/>
      <c r="M7" s="149">
        <f>M6+L7</f>
        <v>1</v>
      </c>
      <c r="N7" s="148"/>
      <c r="O7" s="149">
        <f>O6+N7</f>
        <v>0</v>
      </c>
      <c r="P7" s="148"/>
      <c r="Q7" s="149">
        <f>Q6+P7</f>
        <v>0</v>
      </c>
      <c r="R7" s="148"/>
      <c r="S7" s="149">
        <f>S6+R7</f>
        <v>0</v>
      </c>
      <c r="T7" s="148"/>
      <c r="U7" s="149">
        <f>U6+T7</f>
        <v>2.8000000000000001E-2</v>
      </c>
      <c r="V7" s="148"/>
      <c r="W7" s="149">
        <f>W6+V7</f>
        <v>2.8000000000000001E-2</v>
      </c>
      <c r="X7" s="148"/>
      <c r="Y7" s="149">
        <f>Y6+X7</f>
        <v>2.8000000000000001E-2</v>
      </c>
      <c r="Z7" s="148"/>
      <c r="AA7" s="149">
        <f>AA6+Z7</f>
        <v>2.8000000000000001E-2</v>
      </c>
      <c r="AB7" s="148"/>
      <c r="AC7" s="149">
        <f t="shared" ref="AC7:AC18" si="2">AC6+AB7</f>
        <v>2.8000000000000001E-2</v>
      </c>
      <c r="AD7" s="150">
        <f>填寫!M7*基本資料!$N$5+填寫!O7*基本資料!$N$6+填寫!Q7*基本資料!$N$7+填寫!S7*基本資料!$N$8+填寫!U7*基本資料!$N$9+填寫!W7*基本資料!$N$10+填寫!Y7*基本資料!$N$11+填寫!AA7*基本資料!$N$12+填寫!AC7*基本資料!$N$13</f>
        <v>10013.9</v>
      </c>
      <c r="AE7" s="118"/>
      <c r="AF7" s="118"/>
      <c r="AG7" s="121">
        <f>AG6+AF7</f>
        <v>0</v>
      </c>
      <c r="AH7" s="118"/>
      <c r="AI7" s="121">
        <f>AI6+AH7</f>
        <v>0</v>
      </c>
      <c r="AJ7" s="118"/>
      <c r="AK7" s="121">
        <f>AK6+AJ7</f>
        <v>0</v>
      </c>
    </row>
    <row r="8" spans="1:50">
      <c r="A8" s="123">
        <f t="shared" ref="A8:A35" si="3">A7+1</f>
        <v>45882</v>
      </c>
      <c r="B8" s="124">
        <f t="shared" si="1"/>
        <v>45882</v>
      </c>
      <c r="C8" s="116" t="s">
        <v>107</v>
      </c>
      <c r="D8" s="116" t="s">
        <v>107</v>
      </c>
      <c r="E8" s="71">
        <f t="shared" ref="E8:E17" si="4">E7+1</f>
        <v>3</v>
      </c>
      <c r="F8" s="119">
        <v>3.3300000000000003E-2</v>
      </c>
      <c r="G8" s="131">
        <f t="shared" ref="G8:G34" si="5">G7+F8</f>
        <v>9.9900000000000017E-2</v>
      </c>
      <c r="H8" s="152">
        <v>3.3799999999999997E-2</v>
      </c>
      <c r="I8" s="118"/>
      <c r="J8" s="118"/>
      <c r="K8" s="118"/>
      <c r="L8" s="148"/>
      <c r="M8" s="149">
        <f t="shared" ref="M8:M17" si="6">M7+L8</f>
        <v>1</v>
      </c>
      <c r="N8" s="148"/>
      <c r="O8" s="149">
        <f t="shared" ref="O8:O18" si="7">O7+N8</f>
        <v>0</v>
      </c>
      <c r="P8" s="148"/>
      <c r="Q8" s="149">
        <f t="shared" ref="Q8:Q18" si="8">Q7+P8</f>
        <v>0</v>
      </c>
      <c r="R8" s="148"/>
      <c r="S8" s="149">
        <f t="shared" ref="S8:S17" si="9">S7+R8</f>
        <v>0</v>
      </c>
      <c r="T8" s="148"/>
      <c r="U8" s="149">
        <f t="shared" ref="U8:U18" si="10">U7+T8</f>
        <v>2.8000000000000001E-2</v>
      </c>
      <c r="V8" s="148"/>
      <c r="W8" s="149">
        <f t="shared" ref="W8:W18" si="11">W7+V8</f>
        <v>2.8000000000000001E-2</v>
      </c>
      <c r="X8" s="148"/>
      <c r="Y8" s="149">
        <f t="shared" ref="Y8:Y18" si="12">Y7+X8</f>
        <v>2.8000000000000001E-2</v>
      </c>
      <c r="Z8" s="148"/>
      <c r="AA8" s="149">
        <f t="shared" ref="AA8:AA18" si="13">AA7+Z8</f>
        <v>2.8000000000000001E-2</v>
      </c>
      <c r="AB8" s="148"/>
      <c r="AC8" s="149">
        <f t="shared" si="2"/>
        <v>2.8000000000000001E-2</v>
      </c>
      <c r="AD8" s="150">
        <f>填寫!M8*基本資料!$N$5+填寫!O8*基本資料!$N$6+填寫!Q8*基本資料!$N$7+填寫!S8*基本資料!$N$8+填寫!U8*基本資料!$N$9+填寫!W8*基本資料!$N$10+填寫!Y8*基本資料!$N$11+填寫!AA8*基本資料!$N$12+填寫!AC8*基本資料!$N$13</f>
        <v>10013.9</v>
      </c>
      <c r="AE8" s="118"/>
      <c r="AF8" s="118"/>
      <c r="AG8" s="121">
        <f t="shared" ref="AG8:AG18" si="14">AG7+AF8</f>
        <v>0</v>
      </c>
      <c r="AH8" s="118"/>
      <c r="AI8" s="121">
        <f t="shared" ref="AI8:AI18" si="15">AI7+AH8</f>
        <v>0</v>
      </c>
      <c r="AJ8" s="118"/>
      <c r="AK8" s="121">
        <f t="shared" ref="AK8:AK18" si="16">AK7+AJ8</f>
        <v>0</v>
      </c>
    </row>
    <row r="9" spans="1:50">
      <c r="A9" s="123">
        <f t="shared" si="3"/>
        <v>45883</v>
      </c>
      <c r="B9" s="124">
        <f t="shared" si="1"/>
        <v>45883</v>
      </c>
      <c r="C9" s="116" t="s">
        <v>107</v>
      </c>
      <c r="D9" s="116" t="s">
        <v>107</v>
      </c>
      <c r="E9" s="71">
        <f t="shared" si="4"/>
        <v>4</v>
      </c>
      <c r="F9" s="119">
        <v>3.3300000000000003E-2</v>
      </c>
      <c r="G9" s="131">
        <f t="shared" si="5"/>
        <v>0.13320000000000001</v>
      </c>
      <c r="H9" s="152">
        <v>3.3799999999999997E-2</v>
      </c>
      <c r="I9" s="118"/>
      <c r="J9" s="118"/>
      <c r="K9" s="118"/>
      <c r="L9" s="148"/>
      <c r="M9" s="149">
        <f t="shared" si="6"/>
        <v>1</v>
      </c>
      <c r="N9" s="148"/>
      <c r="O9" s="149">
        <f t="shared" si="7"/>
        <v>0</v>
      </c>
      <c r="P9" s="148"/>
      <c r="Q9" s="149">
        <f t="shared" si="8"/>
        <v>0</v>
      </c>
      <c r="R9" s="148"/>
      <c r="S9" s="149">
        <f t="shared" si="9"/>
        <v>0</v>
      </c>
      <c r="T9" s="148"/>
      <c r="U9" s="149">
        <f t="shared" si="10"/>
        <v>2.8000000000000001E-2</v>
      </c>
      <c r="V9" s="148"/>
      <c r="W9" s="149">
        <f t="shared" si="11"/>
        <v>2.8000000000000001E-2</v>
      </c>
      <c r="X9" s="148"/>
      <c r="Y9" s="149">
        <f t="shared" si="12"/>
        <v>2.8000000000000001E-2</v>
      </c>
      <c r="Z9" s="148"/>
      <c r="AA9" s="149">
        <f t="shared" si="13"/>
        <v>2.8000000000000001E-2</v>
      </c>
      <c r="AB9" s="148"/>
      <c r="AC9" s="149">
        <f t="shared" si="2"/>
        <v>2.8000000000000001E-2</v>
      </c>
      <c r="AD9" s="150">
        <f>填寫!M9*基本資料!$N$5+填寫!O9*基本資料!$N$6+填寫!Q9*基本資料!$N$7+填寫!S9*基本資料!$N$8+填寫!U9*基本資料!$N$9+填寫!W9*基本資料!$N$10+填寫!Y9*基本資料!$N$11+填寫!AA9*基本資料!$N$12+填寫!AC9*基本資料!$N$13</f>
        <v>10013.9</v>
      </c>
      <c r="AE9" s="118"/>
      <c r="AF9" s="118"/>
      <c r="AG9" s="121">
        <f t="shared" si="14"/>
        <v>0</v>
      </c>
      <c r="AH9" s="118"/>
      <c r="AI9" s="121">
        <f t="shared" si="15"/>
        <v>0</v>
      </c>
      <c r="AJ9" s="118"/>
      <c r="AK9" s="121">
        <f t="shared" si="16"/>
        <v>0</v>
      </c>
    </row>
    <row r="10" spans="1:50">
      <c r="A10" s="123">
        <f t="shared" si="3"/>
        <v>45884</v>
      </c>
      <c r="B10" s="124">
        <f t="shared" si="1"/>
        <v>45884</v>
      </c>
      <c r="C10" s="116" t="s">
        <v>107</v>
      </c>
      <c r="D10" s="116" t="s">
        <v>107</v>
      </c>
      <c r="E10" s="71">
        <f t="shared" si="4"/>
        <v>5</v>
      </c>
      <c r="F10" s="119">
        <v>3.3300000000000003E-2</v>
      </c>
      <c r="G10" s="131">
        <f t="shared" si="5"/>
        <v>0.16650000000000001</v>
      </c>
      <c r="H10" s="152">
        <v>3.3799999999999997E-2</v>
      </c>
      <c r="I10" s="118"/>
      <c r="J10" s="118"/>
      <c r="K10" s="118"/>
      <c r="L10" s="148"/>
      <c r="M10" s="149">
        <f t="shared" si="6"/>
        <v>1</v>
      </c>
      <c r="N10" s="148"/>
      <c r="O10" s="149">
        <f t="shared" si="7"/>
        <v>0</v>
      </c>
      <c r="P10" s="148"/>
      <c r="Q10" s="149">
        <f t="shared" si="8"/>
        <v>0</v>
      </c>
      <c r="R10" s="148"/>
      <c r="S10" s="149">
        <f t="shared" si="9"/>
        <v>0</v>
      </c>
      <c r="T10" s="148"/>
      <c r="U10" s="149">
        <f t="shared" si="10"/>
        <v>2.8000000000000001E-2</v>
      </c>
      <c r="V10" s="148"/>
      <c r="W10" s="149">
        <f t="shared" si="11"/>
        <v>2.8000000000000001E-2</v>
      </c>
      <c r="X10" s="148"/>
      <c r="Y10" s="149">
        <f t="shared" si="12"/>
        <v>2.8000000000000001E-2</v>
      </c>
      <c r="Z10" s="148"/>
      <c r="AA10" s="149">
        <f t="shared" si="13"/>
        <v>2.8000000000000001E-2</v>
      </c>
      <c r="AB10" s="148"/>
      <c r="AC10" s="149">
        <f t="shared" si="2"/>
        <v>2.8000000000000001E-2</v>
      </c>
      <c r="AD10" s="150">
        <f>填寫!M10*基本資料!$N$5+填寫!O10*基本資料!$N$6+填寫!Q10*基本資料!$N$7+填寫!S10*基本資料!$N$8+填寫!U10*基本資料!$N$9+填寫!W10*基本資料!$N$10+填寫!Y10*基本資料!$N$11+填寫!AA10*基本資料!$N$12+填寫!AC10*基本資料!$N$13</f>
        <v>10013.9</v>
      </c>
      <c r="AE10" s="118"/>
      <c r="AF10" s="118"/>
      <c r="AG10" s="121">
        <f t="shared" si="14"/>
        <v>0</v>
      </c>
      <c r="AH10" s="118"/>
      <c r="AI10" s="121">
        <f t="shared" si="15"/>
        <v>0</v>
      </c>
      <c r="AJ10" s="118"/>
      <c r="AK10" s="121">
        <f t="shared" si="16"/>
        <v>0</v>
      </c>
    </row>
    <row r="11" spans="1:50">
      <c r="A11" s="123">
        <f t="shared" si="3"/>
        <v>45885</v>
      </c>
      <c r="B11" s="124">
        <f t="shared" si="1"/>
        <v>45885</v>
      </c>
      <c r="C11" s="116" t="s">
        <v>107</v>
      </c>
      <c r="D11" s="116" t="s">
        <v>107</v>
      </c>
      <c r="E11" s="71">
        <f t="shared" si="4"/>
        <v>6</v>
      </c>
      <c r="F11" s="119">
        <v>3.3300000000000003E-2</v>
      </c>
      <c r="G11" s="131">
        <f t="shared" si="5"/>
        <v>0.19980000000000001</v>
      </c>
      <c r="H11" s="152">
        <v>3.3799999999999997E-2</v>
      </c>
      <c r="I11" s="118"/>
      <c r="J11" s="118"/>
      <c r="K11" s="118"/>
      <c r="L11" s="148"/>
      <c r="M11" s="149">
        <f t="shared" si="6"/>
        <v>1</v>
      </c>
      <c r="N11" s="148"/>
      <c r="O11" s="149">
        <f t="shared" si="7"/>
        <v>0</v>
      </c>
      <c r="P11" s="148"/>
      <c r="Q11" s="149">
        <f t="shared" si="8"/>
        <v>0</v>
      </c>
      <c r="R11" s="148"/>
      <c r="S11" s="149">
        <f t="shared" si="9"/>
        <v>0</v>
      </c>
      <c r="T11" s="148"/>
      <c r="U11" s="149">
        <f t="shared" si="10"/>
        <v>2.8000000000000001E-2</v>
      </c>
      <c r="V11" s="148"/>
      <c r="W11" s="149">
        <f t="shared" si="11"/>
        <v>2.8000000000000001E-2</v>
      </c>
      <c r="X11" s="148"/>
      <c r="Y11" s="149">
        <f t="shared" si="12"/>
        <v>2.8000000000000001E-2</v>
      </c>
      <c r="Z11" s="148"/>
      <c r="AA11" s="149">
        <f t="shared" si="13"/>
        <v>2.8000000000000001E-2</v>
      </c>
      <c r="AB11" s="148"/>
      <c r="AC11" s="149">
        <f t="shared" si="2"/>
        <v>2.8000000000000001E-2</v>
      </c>
      <c r="AD11" s="150">
        <f>填寫!M11*基本資料!$N$5+填寫!O11*基本資料!$N$6+填寫!Q11*基本資料!$N$7+填寫!S11*基本資料!$N$8+填寫!U11*基本資料!$N$9+填寫!W11*基本資料!$N$10+填寫!Y11*基本資料!$N$11+填寫!AA11*基本資料!$N$12+填寫!AC11*基本資料!$N$13</f>
        <v>10013.9</v>
      </c>
      <c r="AE11" s="118"/>
      <c r="AF11" s="118"/>
      <c r="AG11" s="121">
        <f t="shared" si="14"/>
        <v>0</v>
      </c>
      <c r="AH11" s="118"/>
      <c r="AI11" s="121">
        <f t="shared" si="15"/>
        <v>0</v>
      </c>
      <c r="AJ11" s="118"/>
      <c r="AK11" s="121">
        <f t="shared" si="16"/>
        <v>0</v>
      </c>
    </row>
    <row r="12" spans="1:50">
      <c r="A12" s="123">
        <f t="shared" si="3"/>
        <v>45886</v>
      </c>
      <c r="B12" s="124">
        <f t="shared" si="1"/>
        <v>45886</v>
      </c>
      <c r="C12" s="116" t="s">
        <v>107</v>
      </c>
      <c r="D12" s="116" t="s">
        <v>107</v>
      </c>
      <c r="E12" s="71">
        <f t="shared" si="4"/>
        <v>7</v>
      </c>
      <c r="F12" s="119">
        <v>3.3300000000000003E-2</v>
      </c>
      <c r="G12" s="131">
        <f t="shared" si="5"/>
        <v>0.2331</v>
      </c>
      <c r="H12" s="152">
        <v>3.3799999999999997E-2</v>
      </c>
      <c r="I12" s="118"/>
      <c r="J12" s="118"/>
      <c r="K12" s="118"/>
      <c r="L12" s="148"/>
      <c r="M12" s="149">
        <f t="shared" si="6"/>
        <v>1</v>
      </c>
      <c r="N12" s="148"/>
      <c r="O12" s="149">
        <f t="shared" si="7"/>
        <v>0</v>
      </c>
      <c r="P12" s="148"/>
      <c r="Q12" s="149">
        <f t="shared" si="8"/>
        <v>0</v>
      </c>
      <c r="R12" s="148"/>
      <c r="S12" s="149">
        <f t="shared" si="9"/>
        <v>0</v>
      </c>
      <c r="T12" s="148"/>
      <c r="U12" s="149">
        <f t="shared" si="10"/>
        <v>2.8000000000000001E-2</v>
      </c>
      <c r="V12" s="148"/>
      <c r="W12" s="149">
        <f t="shared" si="11"/>
        <v>2.8000000000000001E-2</v>
      </c>
      <c r="X12" s="148"/>
      <c r="Y12" s="149">
        <f t="shared" si="12"/>
        <v>2.8000000000000001E-2</v>
      </c>
      <c r="Z12" s="148"/>
      <c r="AA12" s="149">
        <f t="shared" si="13"/>
        <v>2.8000000000000001E-2</v>
      </c>
      <c r="AB12" s="148"/>
      <c r="AC12" s="149">
        <f t="shared" si="2"/>
        <v>2.8000000000000001E-2</v>
      </c>
      <c r="AD12" s="150">
        <f>填寫!M12*基本資料!$N$5+填寫!O12*基本資料!$N$6+填寫!Q12*基本資料!$N$7+填寫!S12*基本資料!$N$8+填寫!U12*基本資料!$N$9+填寫!W12*基本資料!$N$10+填寫!Y12*基本資料!$N$11+填寫!AA12*基本資料!$N$12+填寫!AC12*基本資料!$N$13</f>
        <v>10013.9</v>
      </c>
      <c r="AE12" s="118"/>
      <c r="AF12" s="118"/>
      <c r="AG12" s="121">
        <f t="shared" si="14"/>
        <v>0</v>
      </c>
      <c r="AH12" s="118"/>
      <c r="AI12" s="121">
        <f t="shared" si="15"/>
        <v>0</v>
      </c>
      <c r="AJ12" s="118"/>
      <c r="AK12" s="121">
        <f t="shared" si="16"/>
        <v>0</v>
      </c>
    </row>
    <row r="13" spans="1:50">
      <c r="A13" s="123">
        <f t="shared" si="3"/>
        <v>45887</v>
      </c>
      <c r="B13" s="124">
        <f t="shared" si="1"/>
        <v>45887</v>
      </c>
      <c r="C13" s="116" t="s">
        <v>108</v>
      </c>
      <c r="D13" s="116" t="s">
        <v>107</v>
      </c>
      <c r="E13" s="71">
        <f t="shared" si="4"/>
        <v>8</v>
      </c>
      <c r="F13" s="119">
        <v>3.3300000000000003E-2</v>
      </c>
      <c r="G13" s="131">
        <f t="shared" si="5"/>
        <v>0.26640000000000003</v>
      </c>
      <c r="H13" s="152">
        <v>3.3799999999999997E-2</v>
      </c>
      <c r="I13" s="118"/>
      <c r="J13" s="118"/>
      <c r="K13" s="118"/>
      <c r="L13" s="148"/>
      <c r="M13" s="149">
        <f t="shared" si="6"/>
        <v>1</v>
      </c>
      <c r="N13" s="148"/>
      <c r="O13" s="149">
        <f t="shared" si="7"/>
        <v>0</v>
      </c>
      <c r="P13" s="148"/>
      <c r="Q13" s="149">
        <f t="shared" si="8"/>
        <v>0</v>
      </c>
      <c r="R13" s="148"/>
      <c r="S13" s="149">
        <f t="shared" si="9"/>
        <v>0</v>
      </c>
      <c r="T13" s="148"/>
      <c r="U13" s="149">
        <f t="shared" si="10"/>
        <v>2.8000000000000001E-2</v>
      </c>
      <c r="V13" s="148"/>
      <c r="W13" s="149">
        <f t="shared" si="11"/>
        <v>2.8000000000000001E-2</v>
      </c>
      <c r="X13" s="148"/>
      <c r="Y13" s="149">
        <f t="shared" si="12"/>
        <v>2.8000000000000001E-2</v>
      </c>
      <c r="Z13" s="148"/>
      <c r="AA13" s="149">
        <f t="shared" si="13"/>
        <v>2.8000000000000001E-2</v>
      </c>
      <c r="AB13" s="148"/>
      <c r="AC13" s="149">
        <f t="shared" si="2"/>
        <v>2.8000000000000001E-2</v>
      </c>
      <c r="AD13" s="150">
        <f>填寫!M13*基本資料!$N$5+填寫!O13*基本資料!$N$6+填寫!Q13*基本資料!$N$7+填寫!S13*基本資料!$N$8+填寫!U13*基本資料!$N$9+填寫!W13*基本資料!$N$10+填寫!Y13*基本資料!$N$11+填寫!AA13*基本資料!$N$12+填寫!AC13*基本資料!$N$13</f>
        <v>10013.9</v>
      </c>
      <c r="AE13" s="118"/>
      <c r="AF13" s="118"/>
      <c r="AG13" s="121">
        <f t="shared" si="14"/>
        <v>0</v>
      </c>
      <c r="AH13" s="118"/>
      <c r="AI13" s="121">
        <f t="shared" si="15"/>
        <v>0</v>
      </c>
      <c r="AJ13" s="118"/>
      <c r="AK13" s="121">
        <f t="shared" si="16"/>
        <v>0</v>
      </c>
    </row>
    <row r="14" spans="1:50">
      <c r="A14" s="123">
        <f t="shared" si="3"/>
        <v>45888</v>
      </c>
      <c r="B14" s="124">
        <f t="shared" si="1"/>
        <v>45888</v>
      </c>
      <c r="C14" s="116" t="s">
        <v>108</v>
      </c>
      <c r="D14" s="116" t="s">
        <v>107</v>
      </c>
      <c r="E14" s="71">
        <f t="shared" si="4"/>
        <v>9</v>
      </c>
      <c r="F14" s="119">
        <v>3.3300000000000003E-2</v>
      </c>
      <c r="G14" s="131">
        <f t="shared" si="5"/>
        <v>0.29970000000000002</v>
      </c>
      <c r="H14" s="152">
        <v>3.3799999999999997E-2</v>
      </c>
      <c r="I14" s="118"/>
      <c r="J14" s="118"/>
      <c r="K14" s="118"/>
      <c r="L14" s="148"/>
      <c r="M14" s="149">
        <f t="shared" si="6"/>
        <v>1</v>
      </c>
      <c r="N14" s="148"/>
      <c r="O14" s="149">
        <f t="shared" si="7"/>
        <v>0</v>
      </c>
      <c r="P14" s="148"/>
      <c r="Q14" s="149">
        <f t="shared" si="8"/>
        <v>0</v>
      </c>
      <c r="R14" s="148"/>
      <c r="S14" s="149">
        <f t="shared" si="9"/>
        <v>0</v>
      </c>
      <c r="T14" s="148"/>
      <c r="U14" s="149">
        <f t="shared" si="10"/>
        <v>2.8000000000000001E-2</v>
      </c>
      <c r="V14" s="148"/>
      <c r="W14" s="149">
        <f t="shared" si="11"/>
        <v>2.8000000000000001E-2</v>
      </c>
      <c r="X14" s="148"/>
      <c r="Y14" s="149">
        <f t="shared" si="12"/>
        <v>2.8000000000000001E-2</v>
      </c>
      <c r="Z14" s="148"/>
      <c r="AA14" s="149">
        <f t="shared" si="13"/>
        <v>2.8000000000000001E-2</v>
      </c>
      <c r="AB14" s="148"/>
      <c r="AC14" s="149">
        <f t="shared" si="2"/>
        <v>2.8000000000000001E-2</v>
      </c>
      <c r="AD14" s="150">
        <f>填寫!M14*基本資料!$N$5+填寫!O14*基本資料!$N$6+填寫!Q14*基本資料!$N$7+填寫!S14*基本資料!$N$8+填寫!U14*基本資料!$N$9+填寫!W14*基本資料!$N$10+填寫!Y14*基本資料!$N$11+填寫!AA14*基本資料!$N$12+填寫!AC14*基本資料!$N$13</f>
        <v>10013.9</v>
      </c>
      <c r="AE14" s="118"/>
      <c r="AF14" s="118"/>
      <c r="AG14" s="121">
        <f t="shared" si="14"/>
        <v>0</v>
      </c>
      <c r="AH14" s="118"/>
      <c r="AI14" s="121">
        <f t="shared" si="15"/>
        <v>0</v>
      </c>
      <c r="AJ14" s="118"/>
      <c r="AK14" s="121">
        <f t="shared" si="16"/>
        <v>0</v>
      </c>
    </row>
    <row r="15" spans="1:50">
      <c r="A15" s="123">
        <f t="shared" si="3"/>
        <v>45889</v>
      </c>
      <c r="B15" s="124">
        <f t="shared" si="1"/>
        <v>45889</v>
      </c>
      <c r="C15" s="116" t="s">
        <v>108</v>
      </c>
      <c r="D15" s="116" t="s">
        <v>108</v>
      </c>
      <c r="E15" s="71">
        <f t="shared" si="4"/>
        <v>10</v>
      </c>
      <c r="F15" s="119">
        <v>3.3300000000000003E-2</v>
      </c>
      <c r="G15" s="131">
        <f t="shared" si="5"/>
        <v>0.33300000000000002</v>
      </c>
      <c r="H15" s="152">
        <v>3.3799999999999997E-2</v>
      </c>
      <c r="I15" s="118"/>
      <c r="J15" s="118"/>
      <c r="K15" s="118"/>
      <c r="L15" s="148"/>
      <c r="M15" s="149">
        <f t="shared" si="6"/>
        <v>1</v>
      </c>
      <c r="N15" s="148"/>
      <c r="O15" s="149">
        <f t="shared" si="7"/>
        <v>0</v>
      </c>
      <c r="P15" s="148"/>
      <c r="Q15" s="149">
        <f t="shared" si="8"/>
        <v>0</v>
      </c>
      <c r="R15" s="148"/>
      <c r="S15" s="149">
        <f t="shared" si="9"/>
        <v>0</v>
      </c>
      <c r="T15" s="148"/>
      <c r="U15" s="149">
        <f t="shared" si="10"/>
        <v>2.8000000000000001E-2</v>
      </c>
      <c r="V15" s="148"/>
      <c r="W15" s="149">
        <f t="shared" si="11"/>
        <v>2.8000000000000001E-2</v>
      </c>
      <c r="X15" s="148"/>
      <c r="Y15" s="149">
        <f t="shared" si="12"/>
        <v>2.8000000000000001E-2</v>
      </c>
      <c r="Z15" s="148"/>
      <c r="AA15" s="149">
        <f t="shared" si="13"/>
        <v>2.8000000000000001E-2</v>
      </c>
      <c r="AB15" s="148"/>
      <c r="AC15" s="149">
        <f t="shared" si="2"/>
        <v>2.8000000000000001E-2</v>
      </c>
      <c r="AD15" s="150">
        <f>填寫!M15*基本資料!$N$5+填寫!O15*基本資料!$N$6+填寫!Q15*基本資料!$N$7+填寫!S15*基本資料!$N$8+填寫!U15*基本資料!$N$9+填寫!W15*基本資料!$N$10+填寫!Y15*基本資料!$N$11+填寫!AA15*基本資料!$N$12+填寫!AC15*基本資料!$N$13</f>
        <v>10013.9</v>
      </c>
      <c r="AE15" s="118"/>
      <c r="AF15" s="118"/>
      <c r="AG15" s="121">
        <f t="shared" si="14"/>
        <v>0</v>
      </c>
      <c r="AH15" s="118"/>
      <c r="AI15" s="121">
        <f t="shared" si="15"/>
        <v>0</v>
      </c>
      <c r="AJ15" s="118"/>
      <c r="AK15" s="121">
        <f t="shared" si="16"/>
        <v>0</v>
      </c>
    </row>
    <row r="16" spans="1:50">
      <c r="A16" s="123">
        <f t="shared" si="3"/>
        <v>45890</v>
      </c>
      <c r="B16" s="124">
        <f t="shared" si="1"/>
        <v>45890</v>
      </c>
      <c r="C16" s="116" t="s">
        <v>108</v>
      </c>
      <c r="D16" s="116" t="s">
        <v>108</v>
      </c>
      <c r="E16" s="71">
        <f t="shared" si="4"/>
        <v>11</v>
      </c>
      <c r="F16" s="119">
        <v>3.3300000000000003E-2</v>
      </c>
      <c r="G16" s="131">
        <f t="shared" si="5"/>
        <v>0.36630000000000001</v>
      </c>
      <c r="H16" s="152">
        <f>AD16/基本資料!P15</f>
        <v>0.54240406288938359</v>
      </c>
      <c r="I16" s="118" t="s">
        <v>119</v>
      </c>
      <c r="J16" s="118"/>
      <c r="K16" s="118"/>
      <c r="L16" s="148"/>
      <c r="M16" s="149">
        <f t="shared" si="6"/>
        <v>1</v>
      </c>
      <c r="N16" s="148">
        <v>1</v>
      </c>
      <c r="O16" s="149">
        <f t="shared" si="7"/>
        <v>1</v>
      </c>
      <c r="P16" s="148">
        <v>0.5</v>
      </c>
      <c r="Q16" s="149">
        <f t="shared" si="8"/>
        <v>0.5</v>
      </c>
      <c r="R16" s="148">
        <v>5</v>
      </c>
      <c r="S16" s="149">
        <f t="shared" si="9"/>
        <v>5</v>
      </c>
      <c r="T16" s="148">
        <v>0.53900000000000003</v>
      </c>
      <c r="U16" s="149">
        <f t="shared" si="10"/>
        <v>0.56700000000000006</v>
      </c>
      <c r="V16" s="148">
        <v>0.53900000000000003</v>
      </c>
      <c r="W16" s="149">
        <f t="shared" si="11"/>
        <v>0.56700000000000006</v>
      </c>
      <c r="X16" s="148">
        <v>0.53900000000000003</v>
      </c>
      <c r="Y16" s="149">
        <f t="shared" si="12"/>
        <v>0.56700000000000006</v>
      </c>
      <c r="Z16" s="148">
        <v>0.53900000000000003</v>
      </c>
      <c r="AA16" s="149">
        <f t="shared" si="13"/>
        <v>0.56700000000000006</v>
      </c>
      <c r="AB16" s="148">
        <v>0.53900000000000003</v>
      </c>
      <c r="AC16" s="149">
        <f t="shared" si="2"/>
        <v>0.56700000000000006</v>
      </c>
      <c r="AD16" s="150">
        <f>填寫!M16*基本資料!$N$5+填寫!O16*基本資料!$N$6+填寫!Q16*基本資料!$N$7+填寫!S16*基本資料!$N$8+填寫!U16*基本資料!$N$9+填寫!W16*基本資料!$N$10+填寫!Y16*基本資料!$N$11+填寫!AA16*基本資料!$N$12+填寫!AC16*基本資料!$N$13</f>
        <v>193711.47500000001</v>
      </c>
      <c r="AE16" s="118"/>
      <c r="AF16" s="118">
        <v>4</v>
      </c>
      <c r="AG16" s="121">
        <f t="shared" si="14"/>
        <v>4</v>
      </c>
      <c r="AH16" s="118">
        <v>2</v>
      </c>
      <c r="AI16" s="121">
        <f t="shared" si="15"/>
        <v>2</v>
      </c>
      <c r="AJ16" s="118">
        <v>2</v>
      </c>
      <c r="AK16" s="121">
        <f t="shared" si="16"/>
        <v>2</v>
      </c>
    </row>
    <row r="17" spans="1:37">
      <c r="A17" s="123">
        <f t="shared" si="3"/>
        <v>45891</v>
      </c>
      <c r="B17" s="124">
        <f t="shared" si="1"/>
        <v>45891</v>
      </c>
      <c r="C17" s="116" t="s">
        <v>108</v>
      </c>
      <c r="D17" s="116" t="s">
        <v>108</v>
      </c>
      <c r="E17" s="71">
        <f t="shared" si="4"/>
        <v>12</v>
      </c>
      <c r="F17" s="119">
        <v>3.3300000000000003E-2</v>
      </c>
      <c r="G17" s="131">
        <f t="shared" si="5"/>
        <v>0.39960000000000001</v>
      </c>
      <c r="H17" s="152">
        <v>1</v>
      </c>
      <c r="I17" s="118" t="s">
        <v>120</v>
      </c>
      <c r="J17" s="118"/>
      <c r="K17" s="118"/>
      <c r="L17" s="148"/>
      <c r="M17" s="149">
        <f t="shared" si="6"/>
        <v>1</v>
      </c>
      <c r="N17" s="148"/>
      <c r="O17" s="149">
        <f t="shared" si="7"/>
        <v>1</v>
      </c>
      <c r="P17" s="148">
        <v>0.5</v>
      </c>
      <c r="Q17" s="149">
        <f t="shared" si="8"/>
        <v>1</v>
      </c>
      <c r="R17" s="148">
        <v>5</v>
      </c>
      <c r="S17" s="149">
        <f t="shared" si="9"/>
        <v>10</v>
      </c>
      <c r="T17" s="148">
        <v>0.46100000000000002</v>
      </c>
      <c r="U17" s="149">
        <f t="shared" si="10"/>
        <v>1.028</v>
      </c>
      <c r="V17" s="148">
        <v>0.46100000000000002</v>
      </c>
      <c r="W17" s="149">
        <f t="shared" si="11"/>
        <v>1.028</v>
      </c>
      <c r="X17" s="148">
        <v>0.46100000000000002</v>
      </c>
      <c r="Y17" s="149">
        <f t="shared" si="12"/>
        <v>1.028</v>
      </c>
      <c r="Z17" s="148">
        <v>0.46100000000000002</v>
      </c>
      <c r="AA17" s="149">
        <f t="shared" si="13"/>
        <v>1.028</v>
      </c>
      <c r="AB17" s="148">
        <v>0.46100000000000002</v>
      </c>
      <c r="AC17" s="149">
        <f t="shared" si="2"/>
        <v>1.028</v>
      </c>
      <c r="AD17" s="150">
        <f>填寫!M17*基本資料!$N$5+填寫!O17*基本資料!$N$6+填寫!Q17*基本資料!$N$7+填寫!S17*基本資料!$N$8+填寫!U17*基本資料!$N$9+填寫!W17*基本資料!$N$10+填寫!Y17*基本資料!$N$11+填寫!AA17*基本資料!$N$12+填寫!AC17*基本資料!$N$13</f>
        <v>358448.90000000008</v>
      </c>
      <c r="AE17" s="118"/>
      <c r="AF17" s="118">
        <v>4</v>
      </c>
      <c r="AG17" s="121">
        <f t="shared" si="14"/>
        <v>8</v>
      </c>
      <c r="AH17" s="118">
        <v>2</v>
      </c>
      <c r="AI17" s="121">
        <f t="shared" si="15"/>
        <v>4</v>
      </c>
      <c r="AJ17" s="118">
        <v>2</v>
      </c>
      <c r="AK17" s="121">
        <f t="shared" si="16"/>
        <v>4</v>
      </c>
    </row>
    <row r="18" spans="1:37">
      <c r="A18" s="123">
        <f t="shared" si="3"/>
        <v>45892</v>
      </c>
      <c r="B18" s="124">
        <f t="shared" si="1"/>
        <v>45892</v>
      </c>
      <c r="C18" s="118"/>
      <c r="D18" s="118"/>
      <c r="E18" s="118"/>
      <c r="F18" s="119">
        <v>3.3300000000000003E-2</v>
      </c>
      <c r="G18" s="120">
        <f t="shared" si="5"/>
        <v>0.43290000000000001</v>
      </c>
      <c r="H18" s="120"/>
      <c r="I18" s="118"/>
      <c r="J18" s="118"/>
      <c r="K18" s="118"/>
      <c r="L18" s="148"/>
      <c r="M18" s="148"/>
      <c r="N18" s="148"/>
      <c r="O18" s="148">
        <f t="shared" si="7"/>
        <v>1</v>
      </c>
      <c r="P18" s="148"/>
      <c r="Q18" s="148">
        <f t="shared" si="8"/>
        <v>1</v>
      </c>
      <c r="R18" s="148"/>
      <c r="S18" s="148">
        <f>S17+R18</f>
        <v>10</v>
      </c>
      <c r="T18" s="148"/>
      <c r="U18" s="148">
        <f t="shared" si="10"/>
        <v>1.028</v>
      </c>
      <c r="V18" s="148"/>
      <c r="W18" s="148">
        <f t="shared" si="11"/>
        <v>1.028</v>
      </c>
      <c r="X18" s="148"/>
      <c r="Y18" s="148">
        <f t="shared" si="12"/>
        <v>1.028</v>
      </c>
      <c r="Z18" s="148"/>
      <c r="AA18" s="148">
        <f t="shared" si="13"/>
        <v>1.028</v>
      </c>
      <c r="AB18" s="148"/>
      <c r="AC18" s="148">
        <f t="shared" si="2"/>
        <v>1.028</v>
      </c>
      <c r="AD18" s="151">
        <f>填寫!M18*基本資料!N17+填寫!O18*基本資料!N18+填寫!Q18*基本資料!N19+填寫!S18*基本資料!N20+填寫!U18*基本資料!N21+填寫!W18*基本資料!N22+填寫!Y18*填寫!J16+填寫!AA18*填寫!J17+填寫!AC18*基本資料!N25</f>
        <v>0</v>
      </c>
      <c r="AE18" s="118"/>
      <c r="AF18" s="118"/>
      <c r="AG18" s="118">
        <f t="shared" si="14"/>
        <v>8</v>
      </c>
      <c r="AH18" s="118"/>
      <c r="AI18" s="118">
        <f t="shared" si="15"/>
        <v>4</v>
      </c>
      <c r="AJ18" s="118"/>
      <c r="AK18" s="118">
        <f t="shared" si="16"/>
        <v>4</v>
      </c>
    </row>
    <row r="19" spans="1:37">
      <c r="A19" s="123">
        <f t="shared" si="3"/>
        <v>45893</v>
      </c>
      <c r="B19" s="124">
        <f t="shared" si="1"/>
        <v>45893</v>
      </c>
      <c r="C19" s="118"/>
      <c r="D19" s="118"/>
      <c r="E19" s="118"/>
      <c r="F19" s="119">
        <v>3.3300000000000003E-2</v>
      </c>
      <c r="G19" s="120">
        <f t="shared" si="5"/>
        <v>0.4662</v>
      </c>
      <c r="H19" s="120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</row>
    <row r="20" spans="1:37">
      <c r="A20" s="123">
        <f t="shared" si="3"/>
        <v>45894</v>
      </c>
      <c r="B20" s="124">
        <f t="shared" si="1"/>
        <v>45894</v>
      </c>
      <c r="C20" s="118"/>
      <c r="D20" s="118"/>
      <c r="E20" s="118"/>
      <c r="F20" s="119">
        <v>3.3300000000000003E-2</v>
      </c>
      <c r="G20" s="120">
        <f t="shared" si="5"/>
        <v>0.4995</v>
      </c>
      <c r="H20" s="120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</row>
    <row r="21" spans="1:37">
      <c r="A21" s="123">
        <f t="shared" si="3"/>
        <v>45895</v>
      </c>
      <c r="B21" s="124">
        <f t="shared" si="1"/>
        <v>45895</v>
      </c>
      <c r="C21" s="118"/>
      <c r="D21" s="118"/>
      <c r="E21" s="118"/>
      <c r="F21" s="119">
        <v>3.3300000000000003E-2</v>
      </c>
      <c r="G21" s="120">
        <f t="shared" si="5"/>
        <v>0.53280000000000005</v>
      </c>
      <c r="H21" s="120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</row>
    <row r="22" spans="1:37">
      <c r="A22" s="123">
        <f t="shared" si="3"/>
        <v>45896</v>
      </c>
      <c r="B22" s="124">
        <f t="shared" si="1"/>
        <v>45896</v>
      </c>
      <c r="C22" s="118"/>
      <c r="D22" s="118"/>
      <c r="E22" s="118"/>
      <c r="F22" s="119">
        <v>3.3300000000000003E-2</v>
      </c>
      <c r="G22" s="120">
        <f t="shared" si="5"/>
        <v>0.56610000000000005</v>
      </c>
      <c r="H22" s="120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</row>
    <row r="23" spans="1:37">
      <c r="A23" s="123">
        <f t="shared" si="3"/>
        <v>45897</v>
      </c>
      <c r="B23" s="124">
        <f t="shared" si="1"/>
        <v>45897</v>
      </c>
      <c r="C23" s="118"/>
      <c r="D23" s="118"/>
      <c r="E23" s="118"/>
      <c r="F23" s="119">
        <v>3.3300000000000003E-2</v>
      </c>
      <c r="G23" s="120">
        <f t="shared" si="5"/>
        <v>0.59940000000000004</v>
      </c>
      <c r="H23" s="120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</row>
    <row r="24" spans="1:37">
      <c r="A24" s="123">
        <f t="shared" si="3"/>
        <v>45898</v>
      </c>
      <c r="B24" s="124">
        <f t="shared" si="1"/>
        <v>45898</v>
      </c>
      <c r="C24" s="118"/>
      <c r="D24" s="118"/>
      <c r="E24" s="118"/>
      <c r="F24" s="119">
        <v>3.3300000000000003E-2</v>
      </c>
      <c r="G24" s="120">
        <f t="shared" si="5"/>
        <v>0.63270000000000004</v>
      </c>
      <c r="H24" s="120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</row>
    <row r="25" spans="1:37">
      <c r="A25" s="123">
        <f t="shared" si="3"/>
        <v>45899</v>
      </c>
      <c r="B25" s="124">
        <f t="shared" si="1"/>
        <v>45899</v>
      </c>
      <c r="C25" s="118"/>
      <c r="D25" s="118"/>
      <c r="E25" s="118"/>
      <c r="F25" s="119">
        <v>3.3300000000000003E-2</v>
      </c>
      <c r="G25" s="120">
        <f t="shared" si="5"/>
        <v>0.66600000000000004</v>
      </c>
      <c r="H25" s="120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</row>
    <row r="26" spans="1:37">
      <c r="A26" s="123">
        <f t="shared" si="3"/>
        <v>45900</v>
      </c>
      <c r="B26" s="124">
        <f t="shared" si="1"/>
        <v>45900</v>
      </c>
      <c r="C26" s="118"/>
      <c r="D26" s="118"/>
      <c r="E26" s="118"/>
      <c r="F26" s="119">
        <v>3.3300000000000003E-2</v>
      </c>
      <c r="G26" s="120">
        <f t="shared" si="5"/>
        <v>0.69930000000000003</v>
      </c>
      <c r="H26" s="120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</row>
    <row r="27" spans="1:37">
      <c r="A27" s="123">
        <f t="shared" si="3"/>
        <v>45901</v>
      </c>
      <c r="B27" s="124">
        <f t="shared" si="1"/>
        <v>45901</v>
      </c>
      <c r="C27" s="118"/>
      <c r="D27" s="118"/>
      <c r="E27" s="118"/>
      <c r="F27" s="119">
        <v>3.3300000000000003E-2</v>
      </c>
      <c r="G27" s="120">
        <f t="shared" si="5"/>
        <v>0.73260000000000003</v>
      </c>
      <c r="H27" s="120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</row>
    <row r="28" spans="1:37">
      <c r="A28" s="123">
        <f t="shared" si="3"/>
        <v>45902</v>
      </c>
      <c r="B28" s="124">
        <f t="shared" si="1"/>
        <v>45902</v>
      </c>
      <c r="C28" s="118"/>
      <c r="D28" s="118"/>
      <c r="E28" s="118"/>
      <c r="F28" s="119">
        <v>3.3300000000000003E-2</v>
      </c>
      <c r="G28" s="120">
        <f t="shared" si="5"/>
        <v>0.76590000000000003</v>
      </c>
      <c r="H28" s="120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</row>
    <row r="29" spans="1:37">
      <c r="A29" s="123">
        <f t="shared" si="3"/>
        <v>45903</v>
      </c>
      <c r="B29" s="124">
        <f t="shared" si="1"/>
        <v>45903</v>
      </c>
      <c r="C29" s="118"/>
      <c r="D29" s="118"/>
      <c r="E29" s="118"/>
      <c r="F29" s="119">
        <v>3.3300000000000003E-2</v>
      </c>
      <c r="G29" s="120">
        <f t="shared" si="5"/>
        <v>0.79920000000000002</v>
      </c>
      <c r="H29" s="120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</row>
    <row r="30" spans="1:37">
      <c r="A30" s="123">
        <f t="shared" si="3"/>
        <v>45904</v>
      </c>
      <c r="B30" s="124">
        <f t="shared" si="1"/>
        <v>45904</v>
      </c>
      <c r="C30" s="118"/>
      <c r="D30" s="118"/>
      <c r="E30" s="118"/>
      <c r="F30" s="119">
        <v>3.3300000000000003E-2</v>
      </c>
      <c r="G30" s="120">
        <f t="shared" si="5"/>
        <v>0.83250000000000002</v>
      </c>
      <c r="H30" s="120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</row>
    <row r="31" spans="1:37">
      <c r="A31" s="123">
        <f t="shared" si="3"/>
        <v>45905</v>
      </c>
      <c r="B31" s="124">
        <f t="shared" si="1"/>
        <v>45905</v>
      </c>
      <c r="C31" s="118"/>
      <c r="D31" s="118"/>
      <c r="E31" s="118"/>
      <c r="F31" s="119">
        <v>3.3300000000000003E-2</v>
      </c>
      <c r="G31" s="120">
        <f t="shared" si="5"/>
        <v>0.86580000000000001</v>
      </c>
      <c r="H31" s="120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</row>
    <row r="32" spans="1:37">
      <c r="A32" s="123">
        <f t="shared" si="3"/>
        <v>45906</v>
      </c>
      <c r="B32" s="124">
        <f t="shared" si="1"/>
        <v>45906</v>
      </c>
      <c r="C32" s="118"/>
      <c r="D32" s="118"/>
      <c r="E32" s="118"/>
      <c r="F32" s="119">
        <v>3.3300000000000003E-2</v>
      </c>
      <c r="G32" s="120">
        <f t="shared" si="5"/>
        <v>0.89910000000000001</v>
      </c>
      <c r="H32" s="120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</row>
    <row r="33" spans="1:37">
      <c r="A33" s="123">
        <f t="shared" si="3"/>
        <v>45907</v>
      </c>
      <c r="B33" s="124">
        <f t="shared" si="1"/>
        <v>45907</v>
      </c>
      <c r="C33" s="118"/>
      <c r="D33" s="118"/>
      <c r="E33" s="118"/>
      <c r="F33" s="119">
        <v>3.3300000000000003E-2</v>
      </c>
      <c r="G33" s="120">
        <f t="shared" si="5"/>
        <v>0.93240000000000001</v>
      </c>
      <c r="H33" s="120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</row>
    <row r="34" spans="1:37">
      <c r="A34" s="123">
        <f t="shared" si="3"/>
        <v>45908</v>
      </c>
      <c r="B34" s="124">
        <f t="shared" si="1"/>
        <v>45908</v>
      </c>
      <c r="C34" s="118"/>
      <c r="D34" s="118"/>
      <c r="E34" s="118"/>
      <c r="F34" s="119">
        <v>3.3300000000000003E-2</v>
      </c>
      <c r="G34" s="120">
        <f t="shared" si="5"/>
        <v>0.9657</v>
      </c>
      <c r="H34" s="120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</row>
    <row r="35" spans="1:37">
      <c r="A35" s="123">
        <f t="shared" si="3"/>
        <v>45909</v>
      </c>
      <c r="B35" s="124">
        <f t="shared" si="1"/>
        <v>45909</v>
      </c>
      <c r="C35" s="118"/>
      <c r="D35" s="118"/>
      <c r="E35" s="118"/>
      <c r="F35" s="119">
        <v>3.4299999999999997E-2</v>
      </c>
      <c r="G35" s="120">
        <f>G34+F35</f>
        <v>1</v>
      </c>
      <c r="H35" s="120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</row>
  </sheetData>
  <phoneticPr fontId="4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300F-72FA-49FA-8D9D-BD0F87D5E47D}">
  <dimension ref="A1:L49"/>
  <sheetViews>
    <sheetView topLeftCell="A4" zoomScaleNormal="10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45880</v>
      </c>
      <c r="G2" s="40"/>
      <c r="I2" s="41" t="s">
        <v>51</v>
      </c>
      <c r="J2" s="200">
        <f>基本資料!D5</f>
        <v>45880</v>
      </c>
      <c r="K2" s="200"/>
      <c r="L2" s="28">
        <f>J2</f>
        <v>45880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填寫!E6</f>
        <v>1</v>
      </c>
      <c r="G5" s="198" t="s">
        <v>59</v>
      </c>
      <c r="H5" s="198"/>
      <c r="I5" s="137">
        <f>C5-F5</f>
        <v>29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3.3300000000000003E-2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1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2.8000000000000001E-2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2.8000000000000001E-2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2.8000000000000001E-2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2.8000000000000001E-2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2.8000000000000001E-2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17:C17"/>
    <mergeCell ref="E17:F17"/>
    <mergeCell ref="G17:H17"/>
    <mergeCell ref="I17:J17"/>
    <mergeCell ref="K17:L17"/>
    <mergeCell ref="A21:L21"/>
    <mergeCell ref="A20:C20"/>
    <mergeCell ref="E20:F20"/>
    <mergeCell ref="G20:H20"/>
    <mergeCell ref="I20:J20"/>
    <mergeCell ref="K20:L20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2:C12"/>
    <mergeCell ref="E12:F12"/>
    <mergeCell ref="G12:H12"/>
    <mergeCell ref="I12:J12"/>
    <mergeCell ref="K12:L12"/>
    <mergeCell ref="A13:C13"/>
    <mergeCell ref="E13:F13"/>
    <mergeCell ref="G14:H14"/>
    <mergeCell ref="I13:J13"/>
    <mergeCell ref="K13:L13"/>
    <mergeCell ref="G13:H13"/>
    <mergeCell ref="A14:C14"/>
    <mergeCell ref="E14:F14"/>
    <mergeCell ref="I14:J14"/>
    <mergeCell ref="K14:L14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8:L8"/>
    <mergeCell ref="A9:C9"/>
    <mergeCell ref="E9:F9"/>
    <mergeCell ref="G9:H9"/>
    <mergeCell ref="I9:J9"/>
    <mergeCell ref="K9:L9"/>
    <mergeCell ref="A6:C6"/>
    <mergeCell ref="D6:F6"/>
    <mergeCell ref="G6:I6"/>
    <mergeCell ref="J6:L6"/>
    <mergeCell ref="A7:C7"/>
    <mergeCell ref="D7:F7"/>
    <mergeCell ref="G7:I7"/>
    <mergeCell ref="J7:L7"/>
    <mergeCell ref="A4:B4"/>
    <mergeCell ref="C4:F4"/>
    <mergeCell ref="G4:H4"/>
    <mergeCell ref="I4:L4"/>
    <mergeCell ref="A5:B5"/>
    <mergeCell ref="D5:E5"/>
    <mergeCell ref="G5:H5"/>
    <mergeCell ref="J5:K5"/>
    <mergeCell ref="A1:L1"/>
    <mergeCell ref="J2:K2"/>
  </mergeCells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ED24-6D5B-48CD-9A09-016539B90BEF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45881</v>
      </c>
      <c r="G2" s="40"/>
      <c r="I2" s="41" t="s">
        <v>51</v>
      </c>
      <c r="J2" s="200">
        <v>45881</v>
      </c>
      <c r="K2" s="200"/>
      <c r="L2" s="28">
        <f>J2</f>
        <v>45881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填寫!E7</f>
        <v>2</v>
      </c>
      <c r="G5" s="198" t="s">
        <v>59</v>
      </c>
      <c r="H5" s="198"/>
      <c r="I5" s="137">
        <f>C5-F5</f>
        <v>28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6.6600000000000006E-2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0DDD-B9D0-4A0B-9507-5D984D6197C8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45882</v>
      </c>
      <c r="G2" s="40"/>
      <c r="I2" s="41" t="s">
        <v>51</v>
      </c>
      <c r="J2" s="200">
        <v>45882</v>
      </c>
      <c r="K2" s="200"/>
      <c r="L2" s="28">
        <f>J2</f>
        <v>45882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填寫!E8</f>
        <v>3</v>
      </c>
      <c r="G5" s="198" t="s">
        <v>59</v>
      </c>
      <c r="H5" s="198"/>
      <c r="I5" s="137">
        <f>C5-F5</f>
        <v>27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9.9900000000000017E-2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8BAC-C85C-40A0-A340-00C6B8CA9870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45883</v>
      </c>
      <c r="G2" s="40"/>
      <c r="I2" s="41" t="s">
        <v>51</v>
      </c>
      <c r="J2" s="200">
        <v>45883</v>
      </c>
      <c r="K2" s="200"/>
      <c r="L2" s="28">
        <f>J2</f>
        <v>45883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填寫!E9</f>
        <v>4</v>
      </c>
      <c r="G5" s="198" t="s">
        <v>59</v>
      </c>
      <c r="H5" s="198"/>
      <c r="I5" s="137">
        <f>C5-F5</f>
        <v>26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0.13320000000000001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20DD-7B03-4591-9664-EED9176E3D48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45884</v>
      </c>
      <c r="G2" s="40"/>
      <c r="I2" s="41" t="s">
        <v>51</v>
      </c>
      <c r="J2" s="200">
        <v>45884</v>
      </c>
      <c r="K2" s="200"/>
      <c r="L2" s="28">
        <f>J2</f>
        <v>45884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填寫!E10</f>
        <v>5</v>
      </c>
      <c r="G5" s="198" t="s">
        <v>59</v>
      </c>
      <c r="H5" s="198"/>
      <c r="I5" s="137">
        <f>C5-F5</f>
        <v>25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0.16650000000000001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D34C-B382-4D00-AC2C-0AC43ED4E014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45885</v>
      </c>
      <c r="G2" s="40"/>
      <c r="I2" s="41" t="s">
        <v>51</v>
      </c>
      <c r="J2" s="200">
        <v>45885</v>
      </c>
      <c r="K2" s="200"/>
      <c r="L2" s="28">
        <f>J2</f>
        <v>45885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填寫!E11</f>
        <v>6</v>
      </c>
      <c r="G5" s="198" t="s">
        <v>59</v>
      </c>
      <c r="H5" s="198"/>
      <c r="I5" s="137">
        <f>C5-F5</f>
        <v>24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0.19980000000000001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AE2E-9E4D-41FC-8BCA-D3A1C8C2A2E1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45886</v>
      </c>
      <c r="G2" s="40"/>
      <c r="I2" s="41" t="s">
        <v>51</v>
      </c>
      <c r="J2" s="200">
        <v>45886</v>
      </c>
      <c r="K2" s="200"/>
      <c r="L2" s="28">
        <f>J2</f>
        <v>45886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雨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填寫!E12</f>
        <v>7</v>
      </c>
      <c r="G5" s="198" t="s">
        <v>59</v>
      </c>
      <c r="H5" s="198"/>
      <c r="I5" s="137">
        <f>C5-F5</f>
        <v>23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0.2331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E259-2180-4EC1-8B59-D723328F4D63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45887</v>
      </c>
      <c r="G2" s="40"/>
      <c r="I2" s="41" t="s">
        <v>51</v>
      </c>
      <c r="J2" s="200">
        <v>45887</v>
      </c>
      <c r="K2" s="200"/>
      <c r="L2" s="28">
        <f>J2</f>
        <v>45887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晴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填寫!E13</f>
        <v>8</v>
      </c>
      <c r="G5" s="198" t="s">
        <v>59</v>
      </c>
      <c r="H5" s="198"/>
      <c r="I5" s="137">
        <f>C5-F5</f>
        <v>22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0.26640000000000003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FE5C-C697-4D8D-8DA2-E036E7D50D5C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45888</v>
      </c>
      <c r="G2" s="40"/>
      <c r="I2" s="41" t="s">
        <v>51</v>
      </c>
      <c r="J2" s="200">
        <v>45888</v>
      </c>
      <c r="K2" s="200"/>
      <c r="L2" s="28">
        <f>J2</f>
        <v>45888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晴</v>
      </c>
      <c r="D3" s="39" t="s">
        <v>54</v>
      </c>
      <c r="E3" s="136" t="str">
        <f>_xlfn.XLOOKUP(J2,填寫!A:A,填寫!D:D)</f>
        <v>雨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填寫!E14</f>
        <v>9</v>
      </c>
      <c r="G5" s="198" t="s">
        <v>59</v>
      </c>
      <c r="H5" s="198"/>
      <c r="I5" s="137">
        <f>C5-F5</f>
        <v>21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0.29970000000000002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08DC-1B17-4FD7-B542-91E84B72C488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45889</v>
      </c>
      <c r="G2" s="40"/>
      <c r="I2" s="41" t="s">
        <v>51</v>
      </c>
      <c r="J2" s="200">
        <v>45889</v>
      </c>
      <c r="K2" s="200"/>
      <c r="L2" s="28">
        <f>J2</f>
        <v>45889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晴</v>
      </c>
      <c r="D3" s="39" t="s">
        <v>54</v>
      </c>
      <c r="E3" s="136" t="str">
        <f>_xlfn.XLOOKUP(J2,填寫!A:A,填寫!D:D)</f>
        <v>晴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填寫!E15</f>
        <v>10</v>
      </c>
      <c r="G5" s="198" t="s">
        <v>59</v>
      </c>
      <c r="H5" s="198"/>
      <c r="I5" s="137">
        <f>C5-F5</f>
        <v>20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0.33300000000000002</v>
      </c>
      <c r="E7" s="304"/>
      <c r="F7" s="304"/>
      <c r="G7" s="198" t="s">
        <v>64</v>
      </c>
      <c r="H7" s="198"/>
      <c r="I7" s="198"/>
      <c r="J7" s="209">
        <f>_xlfn.XLOOKUP(J2,填寫!A:A,填寫!H:H)</f>
        <v>3.3799999999999997E-2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16">
        <f>_xlfn.XLOOKUP(J2,填寫!A:A,填寫!O:O)</f>
        <v>0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</v>
      </c>
      <c r="H12" s="217"/>
      <c r="I12" s="216">
        <f>_xlfn.XLOOKUP(J2,填寫!A:A,填寫!Q:Q)</f>
        <v>0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0</v>
      </c>
      <c r="H13" s="217"/>
      <c r="I13" s="216">
        <f>_xlfn.XLOOKUP(J2,填寫!A:A,填寫!S:S)</f>
        <v>0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</v>
      </c>
      <c r="H14" s="217"/>
      <c r="I14" s="216">
        <f>_xlfn.XLOOKUP(J2,填寫!A:A,填寫!U:U)</f>
        <v>2.8000000000000001E-2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</v>
      </c>
      <c r="H15" s="217"/>
      <c r="I15" s="216">
        <f>_xlfn.XLOOKUP(J2,填寫!A:A,填寫!W:W)</f>
        <v>2.8000000000000001E-2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</v>
      </c>
      <c r="H16" s="217"/>
      <c r="I16" s="216">
        <f>_xlfn.XLOOKUP(J2,填寫!A:A,填寫!Y:Y)</f>
        <v>2.8000000000000001E-2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</v>
      </c>
      <c r="H17" s="217"/>
      <c r="I17" s="216">
        <f>_xlfn.XLOOKUP(J2,填寫!A:A,填寫!AA:AA)</f>
        <v>2.8000000000000001E-2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</v>
      </c>
      <c r="H18" s="217"/>
      <c r="I18" s="216">
        <f>_xlfn.XLOOKUP(J2,填寫!A:A,填寫!AC:AC)</f>
        <v>2.8000000000000001E-2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0</v>
      </c>
      <c r="D26" s="234"/>
      <c r="E26" s="234">
        <f>_xlfn.XLOOKUP(J2,填寫!A:A,填寫!AG:AG)</f>
        <v>0</v>
      </c>
      <c r="F26" s="234"/>
      <c r="G26" s="234" t="str">
        <f>填寫!AH2</f>
        <v>高空作業車</v>
      </c>
      <c r="H26" s="234"/>
      <c r="I26" s="234">
        <f>_xlfn.XLOOKUP(J2,填寫!A:A,填寫!AH:AH)</f>
        <v>0</v>
      </c>
      <c r="J26" s="234"/>
      <c r="K26" s="234">
        <f>_xlfn.XLOOKUP(J2,填寫!A:A,填寫!AI:AI)</f>
        <v>0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0</v>
      </c>
      <c r="J27" s="234"/>
      <c r="K27" s="234">
        <f>_xlfn.XLOOKUP(J2,填寫!A:A,填寫!AK:AK)</f>
        <v>0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694F-8F78-407C-9A8F-3068024C11BA}">
  <dimension ref="A1:L49"/>
  <sheetViews>
    <sheetView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45890</v>
      </c>
      <c r="G2" s="40"/>
      <c r="I2" s="41" t="s">
        <v>51</v>
      </c>
      <c r="J2" s="200">
        <v>45890</v>
      </c>
      <c r="K2" s="200"/>
      <c r="L2" s="28">
        <f>J2</f>
        <v>45890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晴</v>
      </c>
      <c r="D3" s="39" t="s">
        <v>54</v>
      </c>
      <c r="E3" s="136" t="str">
        <f>_xlfn.XLOOKUP(J2,填寫!A:A,填寫!D:D)</f>
        <v>晴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填寫!E16</f>
        <v>11</v>
      </c>
      <c r="G5" s="198" t="s">
        <v>59</v>
      </c>
      <c r="H5" s="198"/>
      <c r="I5" s="137">
        <f>C5-F5</f>
        <v>19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0.36630000000000001</v>
      </c>
      <c r="E7" s="304"/>
      <c r="F7" s="304"/>
      <c r="G7" s="198" t="s">
        <v>64</v>
      </c>
      <c r="H7" s="198"/>
      <c r="I7" s="198"/>
      <c r="J7" s="209">
        <f>_xlfn.XLOOKUP(J2,填寫!A:A,填寫!H:H)</f>
        <v>0.54240406288938359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16">
        <f>_xlfn.XLOOKUP(J2,填寫!A:A,填寫!M:M)</f>
        <v>1</v>
      </c>
      <c r="J10" s="217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1</v>
      </c>
      <c r="H11" s="217"/>
      <c r="I11" s="216">
        <f>_xlfn.XLOOKUP(J2,填寫!A:A,填寫!O:O)</f>
        <v>1</v>
      </c>
      <c r="J11" s="217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0.5</v>
      </c>
      <c r="H12" s="217"/>
      <c r="I12" s="216">
        <f>_xlfn.XLOOKUP(J2,填寫!A:A,填寫!Q:Q)</f>
        <v>0.5</v>
      </c>
      <c r="J12" s="217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5</v>
      </c>
      <c r="H13" s="217"/>
      <c r="I13" s="216">
        <f>_xlfn.XLOOKUP(J2,填寫!A:A,填寫!S:S)</f>
        <v>5</v>
      </c>
      <c r="J13" s="217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0.53900000000000003</v>
      </c>
      <c r="H14" s="217"/>
      <c r="I14" s="216">
        <f>_xlfn.XLOOKUP(J2,填寫!A:A,填寫!U:U)</f>
        <v>0.56700000000000006</v>
      </c>
      <c r="J14" s="217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0.53900000000000003</v>
      </c>
      <c r="H15" s="217"/>
      <c r="I15" s="216">
        <f>_xlfn.XLOOKUP(J2,填寫!A:A,填寫!W:W)</f>
        <v>0.56700000000000006</v>
      </c>
      <c r="J15" s="217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0.53900000000000003</v>
      </c>
      <c r="H16" s="217"/>
      <c r="I16" s="216">
        <f>_xlfn.XLOOKUP(J2,填寫!A:A,填寫!Y:Y)</f>
        <v>0.56700000000000006</v>
      </c>
      <c r="J16" s="217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0.53900000000000003</v>
      </c>
      <c r="H17" s="217"/>
      <c r="I17" s="216">
        <f>_xlfn.XLOOKUP(J2,填寫!A:A,填寫!AA:AA)</f>
        <v>0.56700000000000006</v>
      </c>
      <c r="J17" s="217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0.53900000000000003</v>
      </c>
      <c r="H18" s="217"/>
      <c r="I18" s="216">
        <f>_xlfn.XLOOKUP(J2,填寫!A:A,填寫!AC:AC)</f>
        <v>0.56700000000000006</v>
      </c>
      <c r="J18" s="217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4</v>
      </c>
      <c r="D26" s="234"/>
      <c r="E26" s="234">
        <f>_xlfn.XLOOKUP(J2,填寫!A:A,填寫!AG:AG)</f>
        <v>4</v>
      </c>
      <c r="F26" s="234"/>
      <c r="G26" s="234" t="str">
        <f>填寫!AH2</f>
        <v>高空作業車</v>
      </c>
      <c r="H26" s="234"/>
      <c r="I26" s="234">
        <f>_xlfn.XLOOKUP(J2,填寫!A:A,填寫!AH:AH)</f>
        <v>2</v>
      </c>
      <c r="J26" s="234"/>
      <c r="K26" s="234">
        <f>_xlfn.XLOOKUP(J2,填寫!A:A,填寫!AI:AI)</f>
        <v>2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2</v>
      </c>
      <c r="J27" s="234"/>
      <c r="K27" s="234">
        <f>_xlfn.XLOOKUP(J2,填寫!A:A,填寫!AK:AK)</f>
        <v>2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22F6-F031-44AF-9C40-F259936FA1FD}">
  <dimension ref="A1:L49"/>
  <sheetViews>
    <sheetView tabSelected="1" zoomScale="110" zoomScaleNormal="110" workbookViewId="0">
      <selection activeCell="D7" sqref="D7:F7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133">
        <f>基本資料!D7</f>
        <v>11419</v>
      </c>
      <c r="C2" s="134" t="s">
        <v>50</v>
      </c>
      <c r="D2" s="135">
        <f>J2</f>
        <v>45891</v>
      </c>
      <c r="G2" s="40"/>
      <c r="I2" s="41" t="s">
        <v>51</v>
      </c>
      <c r="J2" s="200">
        <v>45891</v>
      </c>
      <c r="K2" s="200"/>
      <c r="L2" s="28">
        <f>J2</f>
        <v>45891</v>
      </c>
    </row>
    <row r="3" spans="1:12" ht="16.8" thickBot="1">
      <c r="A3" s="27" t="s">
        <v>52</v>
      </c>
      <c r="B3" s="38" t="s">
        <v>53</v>
      </c>
      <c r="C3" s="136" t="str">
        <f>_xlfn.XLOOKUP(J2,填寫!A:A,填寫!C:C)</f>
        <v>晴</v>
      </c>
      <c r="D3" s="39" t="s">
        <v>54</v>
      </c>
      <c r="E3" s="136" t="str">
        <f>_xlfn.XLOOKUP(J2,填寫!A:A,填寫!D:D)</f>
        <v>晴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188" t="str">
        <f>基本資料!D3</f>
        <v>114年度修整建運動場地</v>
      </c>
      <c r="D4" s="189"/>
      <c r="E4" s="189"/>
      <c r="F4" s="190"/>
      <c r="G4" s="191" t="s">
        <v>56</v>
      </c>
      <c r="H4" s="192"/>
      <c r="I4" s="193" t="str">
        <f>基本資料!D14</f>
        <v>以勒綠能光電有限公司</v>
      </c>
      <c r="J4" s="194"/>
      <c r="K4" s="194"/>
      <c r="L4" s="195"/>
    </row>
    <row r="5" spans="1:12">
      <c r="A5" s="196" t="s">
        <v>57</v>
      </c>
      <c r="B5" s="197"/>
      <c r="C5" s="137">
        <f>基本資料!D4</f>
        <v>30</v>
      </c>
      <c r="D5" s="198" t="s">
        <v>58</v>
      </c>
      <c r="E5" s="198"/>
      <c r="F5" s="137">
        <f>填寫!E17</f>
        <v>12</v>
      </c>
      <c r="G5" s="198" t="s">
        <v>59</v>
      </c>
      <c r="H5" s="198"/>
      <c r="I5" s="137">
        <f>C5-F5</f>
        <v>18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07">
        <f>基本資料!D5</f>
        <v>45880</v>
      </c>
      <c r="E6" s="207"/>
      <c r="F6" s="207"/>
      <c r="G6" s="198" t="s">
        <v>62</v>
      </c>
      <c r="H6" s="198"/>
      <c r="I6" s="198"/>
      <c r="J6" s="207">
        <f>D6+C5-1</f>
        <v>45909</v>
      </c>
      <c r="K6" s="207"/>
      <c r="L6" s="208"/>
    </row>
    <row r="7" spans="1:12">
      <c r="A7" s="204" t="s">
        <v>63</v>
      </c>
      <c r="B7" s="198"/>
      <c r="C7" s="198"/>
      <c r="D7" s="304">
        <f>_xlfn.XLOOKUP(J2,填寫!A:A,填寫!G:G,)</f>
        <v>0.39960000000000001</v>
      </c>
      <c r="E7" s="304"/>
      <c r="F7" s="304"/>
      <c r="G7" s="198" t="s">
        <v>64</v>
      </c>
      <c r="H7" s="198"/>
      <c r="I7" s="198"/>
      <c r="J7" s="209">
        <f>_xlfn.XLOOKUP(J2,填寫!A:A,填寫!H:H)</f>
        <v>1</v>
      </c>
      <c r="K7" s="209"/>
      <c r="L7" s="210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11" t="str">
        <f>基本資料!K5</f>
        <v>工程告示牌與職安衛告示牌(租用)</v>
      </c>
      <c r="B10" s="212"/>
      <c r="C10" s="213"/>
      <c r="D10" s="138" t="str">
        <f>基本資料!L5</f>
        <v>式</v>
      </c>
      <c r="E10" s="214">
        <f>基本資料!M5</f>
        <v>1</v>
      </c>
      <c r="F10" s="215"/>
      <c r="G10" s="216">
        <f>_xlfn.XLOOKUP(J2,填寫!A:A,填寫!L:L)</f>
        <v>0</v>
      </c>
      <c r="H10" s="217"/>
      <c r="I10" s="267">
        <f>_xlfn.XLOOKUP(J2,填寫!A:A,填寫!M:M)</f>
        <v>1</v>
      </c>
      <c r="J10" s="268"/>
      <c r="K10" s="218"/>
      <c r="L10" s="219"/>
    </row>
    <row r="11" spans="1:12" ht="25.2" customHeight="1">
      <c r="A11" s="211" t="str">
        <f>基本資料!K6</f>
        <v>工區管制措施，施工環境保護與清潔</v>
      </c>
      <c r="B11" s="212"/>
      <c r="C11" s="213"/>
      <c r="D11" s="138" t="str">
        <f>基本資料!L6</f>
        <v>式</v>
      </c>
      <c r="E11" s="214">
        <f>基本資料!M6</f>
        <v>1</v>
      </c>
      <c r="F11" s="215"/>
      <c r="G11" s="216">
        <f>_xlfn.XLOOKUP(J2,填寫!A:A,填寫!N:N)</f>
        <v>0</v>
      </c>
      <c r="H11" s="217"/>
      <c r="I11" s="267">
        <f>_xlfn.XLOOKUP(J2,填寫!A:A,填寫!O:O)</f>
        <v>1</v>
      </c>
      <c r="J11" s="268"/>
      <c r="K11" s="218"/>
      <c r="L11" s="219"/>
    </row>
    <row r="12" spans="1:12" ht="25.8" customHeight="1">
      <c r="A12" s="211" t="str">
        <f>基本資料!K7</f>
        <v>查修天花板所有天井燈具(30盞)與迴路</v>
      </c>
      <c r="B12" s="212"/>
      <c r="C12" s="213"/>
      <c r="D12" s="138" t="str">
        <f>基本資料!L7</f>
        <v>式</v>
      </c>
      <c r="E12" s="214">
        <f>基本資料!M7</f>
        <v>1</v>
      </c>
      <c r="F12" s="215"/>
      <c r="G12" s="216">
        <f>_xlfn.XLOOKUP(J2,填寫!A:A,填寫!P:P)</f>
        <v>0.5</v>
      </c>
      <c r="H12" s="217"/>
      <c r="I12" s="267">
        <f>_xlfn.XLOOKUP(J2,填寫!A:A,填寫!Q:Q)</f>
        <v>1</v>
      </c>
      <c r="J12" s="268"/>
      <c r="K12" s="218"/>
      <c r="L12" s="219"/>
    </row>
    <row r="13" spans="1:12" ht="55.2" customHeight="1">
      <c r="A13" s="211" t="str">
        <f>基本資料!K8</f>
        <v>拆除清運既有天井燈具，安裝LED天井燈具 (200W以上，含防眩鏡片與安全防墜配件)(含施工機具，連工帶料</v>
      </c>
      <c r="B13" s="212"/>
      <c r="C13" s="213"/>
      <c r="D13" s="138" t="str">
        <f>基本資料!L8</f>
        <v>盞</v>
      </c>
      <c r="E13" s="214">
        <f>基本資料!M8</f>
        <v>10</v>
      </c>
      <c r="F13" s="215"/>
      <c r="G13" s="216">
        <f>_xlfn.XLOOKUP(J2,填寫!A:A,填寫!R:R)</f>
        <v>5</v>
      </c>
      <c r="H13" s="217"/>
      <c r="I13" s="267">
        <f>_xlfn.XLOOKUP(J2,填寫!A:A,填寫!S:S)</f>
        <v>10</v>
      </c>
      <c r="J13" s="268"/>
      <c r="K13" s="218"/>
      <c r="L13" s="219"/>
    </row>
    <row r="14" spans="1:12">
      <c r="A14" s="211" t="str">
        <f>基本資料!K9</f>
        <v>職業安全衛生管理費(壹*1%)</v>
      </c>
      <c r="B14" s="212"/>
      <c r="C14" s="213"/>
      <c r="D14" s="138" t="str">
        <f>基本資料!L9</f>
        <v>式</v>
      </c>
      <c r="E14" s="214">
        <f>基本資料!M9</f>
        <v>1</v>
      </c>
      <c r="F14" s="215"/>
      <c r="G14" s="216">
        <f>_xlfn.XLOOKUP(J2,填寫!A:A,填寫!T:T)</f>
        <v>0.46100000000000002</v>
      </c>
      <c r="H14" s="217"/>
      <c r="I14" s="267">
        <f>_xlfn.XLOOKUP(J2,填寫!A:A,填寫!U:U)</f>
        <v>1.028</v>
      </c>
      <c r="J14" s="268"/>
      <c r="K14" s="218"/>
      <c r="L14" s="219"/>
    </row>
    <row r="15" spans="1:12">
      <c r="A15" s="211" t="str">
        <f>基本資料!K10</f>
        <v>公共工程品質管制作業費(壹*1%)</v>
      </c>
      <c r="B15" s="212"/>
      <c r="C15" s="213"/>
      <c r="D15" s="138" t="str">
        <f>基本資料!L10</f>
        <v>式</v>
      </c>
      <c r="E15" s="214">
        <f>基本資料!M10</f>
        <v>1</v>
      </c>
      <c r="F15" s="215"/>
      <c r="G15" s="216">
        <f>_xlfn.XLOOKUP(J2,填寫!A:A,填寫!V:V)</f>
        <v>0.46100000000000002</v>
      </c>
      <c r="H15" s="217"/>
      <c r="I15" s="267">
        <f>_xlfn.XLOOKUP(J2,填寫!A:A,填寫!W:W)</f>
        <v>1.028</v>
      </c>
      <c r="J15" s="268"/>
      <c r="K15" s="218"/>
      <c r="L15" s="219"/>
    </row>
    <row r="16" spans="1:12">
      <c r="A16" s="211" t="str">
        <f>基本資料!K11</f>
        <v>包商利潤及管理費(約壹*7%)</v>
      </c>
      <c r="B16" s="212"/>
      <c r="C16" s="213"/>
      <c r="D16" s="138" t="str">
        <f>基本資料!L11</f>
        <v>式</v>
      </c>
      <c r="E16" s="214">
        <f>基本資料!M11</f>
        <v>1</v>
      </c>
      <c r="F16" s="215"/>
      <c r="G16" s="216">
        <f>_xlfn.XLOOKUP(J2,填寫!A:A,填寫!X:X)</f>
        <v>0.46100000000000002</v>
      </c>
      <c r="H16" s="217"/>
      <c r="I16" s="267">
        <f>_xlfn.XLOOKUP(J2,填寫!A:A,填寫!Y:Y)</f>
        <v>1.028</v>
      </c>
      <c r="J16" s="268"/>
      <c r="K16" s="218"/>
      <c r="L16" s="219"/>
    </row>
    <row r="17" spans="1:12">
      <c r="A17" s="211" t="str">
        <f>基本資料!K12</f>
        <v>營造綜合保險費</v>
      </c>
      <c r="B17" s="212"/>
      <c r="C17" s="213"/>
      <c r="D17" s="138" t="str">
        <f>基本資料!L12</f>
        <v>式</v>
      </c>
      <c r="E17" s="214">
        <f>基本資料!M12</f>
        <v>1</v>
      </c>
      <c r="F17" s="215"/>
      <c r="G17" s="216">
        <f>_xlfn.XLOOKUP(J2,填寫!A:A,填寫!Z:Z)</f>
        <v>0.46100000000000002</v>
      </c>
      <c r="H17" s="217"/>
      <c r="I17" s="267">
        <f>_xlfn.XLOOKUP(J2,填寫!A:A,填寫!AA:AA)</f>
        <v>1.028</v>
      </c>
      <c r="J17" s="268"/>
      <c r="K17" s="218"/>
      <c r="L17" s="219"/>
    </row>
    <row r="18" spans="1:12">
      <c r="A18" s="211" t="str">
        <f>基本資料!K13</f>
        <v>營業稅((壹~伍)*5%)</v>
      </c>
      <c r="B18" s="212"/>
      <c r="C18" s="213"/>
      <c r="D18" s="138" t="str">
        <f>基本資料!L13</f>
        <v>式</v>
      </c>
      <c r="E18" s="214">
        <f>基本資料!M13</f>
        <v>1</v>
      </c>
      <c r="F18" s="215"/>
      <c r="G18" s="216">
        <f>_xlfn.XLOOKUP(J2,填寫!A:A,填寫!AB:AB)</f>
        <v>0.46100000000000002</v>
      </c>
      <c r="H18" s="217"/>
      <c r="I18" s="267">
        <f>_xlfn.XLOOKUP(J2,填寫!A:A,填寫!AC:AC)</f>
        <v>1.028</v>
      </c>
      <c r="J18" s="268"/>
      <c r="K18" s="218"/>
      <c r="L18" s="219"/>
    </row>
    <row r="19" spans="1:12">
      <c r="A19" s="222"/>
      <c r="B19" s="223"/>
      <c r="C19" s="224"/>
      <c r="D19" s="138"/>
      <c r="E19" s="225"/>
      <c r="F19" s="226"/>
      <c r="G19" s="227"/>
      <c r="H19" s="228"/>
      <c r="I19" s="227"/>
      <c r="J19" s="228"/>
      <c r="K19" s="218"/>
      <c r="L19" s="219"/>
    </row>
    <row r="20" spans="1:12">
      <c r="A20" s="222"/>
      <c r="B20" s="223"/>
      <c r="C20" s="224"/>
      <c r="D20" s="138"/>
      <c r="E20" s="225"/>
      <c r="F20" s="226"/>
      <c r="G20" s="227"/>
      <c r="H20" s="228"/>
      <c r="I20" s="227"/>
      <c r="J20" s="228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34">
        <f>_xlfn.XLOOKUP(J2,填寫!A:A,填寫!AF:AF)</f>
        <v>4</v>
      </c>
      <c r="D26" s="234"/>
      <c r="E26" s="234">
        <f>_xlfn.XLOOKUP(J2,填寫!A:A,填寫!AG:AG)</f>
        <v>8</v>
      </c>
      <c r="F26" s="234"/>
      <c r="G26" s="234" t="str">
        <f>填寫!AH2</f>
        <v>高空作業車</v>
      </c>
      <c r="H26" s="234"/>
      <c r="I26" s="234">
        <f>_xlfn.XLOOKUP(J2,填寫!A:A,填寫!AH:AH)</f>
        <v>2</v>
      </c>
      <c r="J26" s="234"/>
      <c r="K26" s="234">
        <f>_xlfn.XLOOKUP(J2,填寫!A:A,填寫!AI:AI)</f>
        <v>4</v>
      </c>
      <c r="L26" s="235"/>
    </row>
    <row r="27" spans="1:12">
      <c r="A27" s="232"/>
      <c r="B27" s="233"/>
      <c r="C27" s="234"/>
      <c r="D27" s="234"/>
      <c r="E27" s="234"/>
      <c r="F27" s="234"/>
      <c r="G27" s="234" t="str">
        <f>填寫!AJ2</f>
        <v>貨車</v>
      </c>
      <c r="H27" s="234"/>
      <c r="I27" s="234">
        <f>_xlfn.XLOOKUP(J2,填寫!A:A,填寫!AJ:AJ)</f>
        <v>2</v>
      </c>
      <c r="J27" s="234"/>
      <c r="K27" s="234">
        <f>_xlfn.XLOOKUP(J2,填寫!A:A,填寫!AK:AK)</f>
        <v>4</v>
      </c>
      <c r="L27" s="235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45"/>
      <c r="B32" s="246"/>
      <c r="C32" s="246"/>
      <c r="D32" s="247"/>
      <c r="E32" s="247"/>
      <c r="F32" s="139"/>
      <c r="G32" s="234"/>
      <c r="H32" s="234"/>
      <c r="I32" s="234"/>
      <c r="J32" s="247"/>
      <c r="K32" s="247"/>
      <c r="L32" s="140"/>
    </row>
    <row r="33" spans="1:12">
      <c r="A33" s="245"/>
      <c r="B33" s="246"/>
      <c r="C33" s="246"/>
      <c r="D33" s="247"/>
      <c r="E33" s="247"/>
      <c r="F33" s="139"/>
      <c r="G33" s="234"/>
      <c r="H33" s="234"/>
      <c r="I33" s="234"/>
      <c r="J33" s="247"/>
      <c r="K33" s="247"/>
      <c r="L33" s="140"/>
    </row>
    <row r="34" spans="1:12">
      <c r="A34" s="245"/>
      <c r="B34" s="246"/>
      <c r="C34" s="246"/>
      <c r="D34" s="247"/>
      <c r="E34" s="247"/>
      <c r="F34" s="139"/>
      <c r="G34" s="234"/>
      <c r="H34" s="234"/>
      <c r="I34" s="234"/>
      <c r="J34" s="247"/>
      <c r="K34" s="247"/>
      <c r="L34" s="140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54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6"/>
    </row>
    <row r="39" spans="1:12">
      <c r="A39" s="254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6"/>
    </row>
    <row r="40" spans="1:12">
      <c r="A40" s="254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6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B749-E3B1-4009-A783-CD38D796B0E7}">
  <dimension ref="A1:L49"/>
  <sheetViews>
    <sheetView topLeftCell="A7" zoomScale="110" zoomScaleNormal="110" workbookViewId="0">
      <selection activeCell="E11" sqref="E11:F11"/>
    </sheetView>
  </sheetViews>
  <sheetFormatPr defaultRowHeight="16.2"/>
  <cols>
    <col min="1" max="1" width="9.8984375" bestFit="1" customWidth="1"/>
    <col min="2" max="2" width="7.3984375" bestFit="1" customWidth="1"/>
    <col min="3" max="3" width="6.296875" bestFit="1" customWidth="1"/>
    <col min="4" max="4" width="7.8984375" customWidth="1"/>
    <col min="5" max="5" width="7.296875" customWidth="1"/>
    <col min="6" max="6" width="8.296875" customWidth="1"/>
    <col min="7" max="7" width="6.8984375" customWidth="1"/>
    <col min="8" max="8" width="8.19921875" customWidth="1"/>
    <col min="9" max="9" width="9.796875" customWidth="1"/>
    <col min="10" max="10" width="6.8984375" customWidth="1"/>
    <col min="11" max="11" width="6.69921875" customWidth="1"/>
    <col min="12" max="12" width="8.09765625" customWidth="1"/>
  </cols>
  <sheetData>
    <row r="1" spans="1:12" ht="21.6">
      <c r="A1" s="199" t="s">
        <v>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>
      <c r="A2" s="27" t="s">
        <v>96</v>
      </c>
      <c r="B2" s="50">
        <f>基本資料!D7</f>
        <v>11419</v>
      </c>
      <c r="C2" s="44" t="s">
        <v>50</v>
      </c>
      <c r="D2" s="43">
        <f>J2</f>
        <v>45891</v>
      </c>
      <c r="G2" s="40"/>
      <c r="I2" s="41" t="s">
        <v>51</v>
      </c>
      <c r="J2" s="296">
        <v>45891</v>
      </c>
      <c r="K2" s="296"/>
      <c r="L2" s="45">
        <f>J2</f>
        <v>45891</v>
      </c>
    </row>
    <row r="3" spans="1:12" ht="16.8" thickBot="1">
      <c r="A3" s="27" t="s">
        <v>52</v>
      </c>
      <c r="B3" s="38" t="s">
        <v>53</v>
      </c>
      <c r="C3" s="49" t="str">
        <f>_xlfn.XLOOKUP(J2,填寫!A:A,填寫!C:C)</f>
        <v>晴</v>
      </c>
      <c r="D3" s="39" t="s">
        <v>54</v>
      </c>
      <c r="E3" s="49" t="str">
        <f>_xlfn.XLOOKUP(J2,填寫!A:A,填寫!D:D)</f>
        <v>晴</v>
      </c>
      <c r="G3" s="42"/>
      <c r="H3" s="29"/>
      <c r="I3" s="30"/>
      <c r="J3" s="30"/>
      <c r="K3" s="31"/>
      <c r="L3" s="28"/>
    </row>
    <row r="4" spans="1:12">
      <c r="A4" s="186" t="s">
        <v>55</v>
      </c>
      <c r="B4" s="187"/>
      <c r="C4" s="297" t="str">
        <f>基本資料!D3</f>
        <v>114年度修整建運動場地</v>
      </c>
      <c r="D4" s="298"/>
      <c r="E4" s="298"/>
      <c r="F4" s="299"/>
      <c r="G4" s="191" t="s">
        <v>56</v>
      </c>
      <c r="H4" s="192"/>
      <c r="I4" s="300" t="str">
        <f>基本資料!D14</f>
        <v>以勒綠能光電有限公司</v>
      </c>
      <c r="J4" s="301"/>
      <c r="K4" s="301"/>
      <c r="L4" s="302"/>
    </row>
    <row r="5" spans="1:12">
      <c r="A5" s="196" t="s">
        <v>57</v>
      </c>
      <c r="B5" s="197"/>
      <c r="C5" s="46">
        <f>基本資料!D4</f>
        <v>30</v>
      </c>
      <c r="D5" s="198" t="s">
        <v>58</v>
      </c>
      <c r="E5" s="198"/>
      <c r="F5" s="46"/>
      <c r="G5" s="198" t="s">
        <v>59</v>
      </c>
      <c r="H5" s="198"/>
      <c r="I5" s="46">
        <f>C5-F5</f>
        <v>30</v>
      </c>
      <c r="J5" s="198" t="s">
        <v>60</v>
      </c>
      <c r="K5" s="198"/>
      <c r="L5" s="33"/>
    </row>
    <row r="6" spans="1:12">
      <c r="A6" s="204" t="s">
        <v>61</v>
      </c>
      <c r="B6" s="198"/>
      <c r="C6" s="198"/>
      <c r="D6" s="294">
        <f>基本資料!D5</f>
        <v>45880</v>
      </c>
      <c r="E6" s="294"/>
      <c r="F6" s="294"/>
      <c r="G6" s="198" t="s">
        <v>62</v>
      </c>
      <c r="H6" s="198"/>
      <c r="I6" s="198"/>
      <c r="J6" s="294">
        <f>D6+C5-1</f>
        <v>45909</v>
      </c>
      <c r="K6" s="294"/>
      <c r="L6" s="295"/>
    </row>
    <row r="7" spans="1:12">
      <c r="A7" s="289" t="s">
        <v>63</v>
      </c>
      <c r="B7" s="290"/>
      <c r="C7" s="290"/>
      <c r="D7" s="291">
        <f>_xlfn.XLOOKUP(J2,填寫!A:A,填寫!G:G,)</f>
        <v>0.39960000000000001</v>
      </c>
      <c r="E7" s="291"/>
      <c r="F7" s="291"/>
      <c r="G7" s="290" t="s">
        <v>64</v>
      </c>
      <c r="H7" s="290"/>
      <c r="I7" s="290"/>
      <c r="J7" s="292">
        <f>_xlfn.XLOOKUP(J2,填寫!A:A,填寫!H:H)</f>
        <v>1</v>
      </c>
      <c r="K7" s="292"/>
      <c r="L7" s="293"/>
    </row>
    <row r="8" spans="1:12">
      <c r="A8" s="201" t="s">
        <v>65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3"/>
    </row>
    <row r="9" spans="1:12">
      <c r="A9" s="204" t="s">
        <v>66</v>
      </c>
      <c r="B9" s="198"/>
      <c r="C9" s="198"/>
      <c r="D9" s="32" t="s">
        <v>67</v>
      </c>
      <c r="E9" s="198" t="s">
        <v>68</v>
      </c>
      <c r="F9" s="198"/>
      <c r="G9" s="198" t="s">
        <v>69</v>
      </c>
      <c r="H9" s="198"/>
      <c r="I9" s="205" t="s">
        <v>70</v>
      </c>
      <c r="J9" s="205"/>
      <c r="K9" s="198" t="s">
        <v>71</v>
      </c>
      <c r="L9" s="206"/>
    </row>
    <row r="10" spans="1:12">
      <c r="A10" s="284" t="str">
        <f>基本資料!K5</f>
        <v>工程告示牌與職安衛告示牌(租用)</v>
      </c>
      <c r="B10" s="285"/>
      <c r="C10" s="286"/>
      <c r="D10" s="47" t="str">
        <f>基本資料!L5</f>
        <v>式</v>
      </c>
      <c r="E10" s="280">
        <f>基本資料!M5</f>
        <v>1</v>
      </c>
      <c r="F10" s="281"/>
      <c r="G10" s="287">
        <f>_xlfn.XLOOKUP(J2,填寫!A:A,填寫!L:L)</f>
        <v>0</v>
      </c>
      <c r="H10" s="288"/>
      <c r="I10" s="287">
        <f>_xlfn.XLOOKUP(J2,填寫!A:A,填寫!M:M)</f>
        <v>1</v>
      </c>
      <c r="J10" s="288"/>
      <c r="K10" s="218"/>
      <c r="L10" s="219"/>
    </row>
    <row r="11" spans="1:12" ht="25.2" customHeight="1">
      <c r="A11" s="284" t="str">
        <f>基本資料!K6</f>
        <v>工區管制措施，施工環境保護與清潔</v>
      </c>
      <c r="B11" s="285"/>
      <c r="C11" s="286"/>
      <c r="D11" s="47" t="str">
        <f>基本資料!L6</f>
        <v>式</v>
      </c>
      <c r="E11" s="280">
        <f>基本資料!M6</f>
        <v>1</v>
      </c>
      <c r="F11" s="281"/>
      <c r="G11" s="287">
        <f>_xlfn.XLOOKUP(J2,填寫!A:A,填寫!N:N)</f>
        <v>0</v>
      </c>
      <c r="H11" s="288"/>
      <c r="I11" s="287">
        <f>_xlfn.XLOOKUP(J2,填寫!A:A,填寫!O:O)</f>
        <v>1</v>
      </c>
      <c r="J11" s="288"/>
      <c r="K11" s="218"/>
      <c r="L11" s="219"/>
    </row>
    <row r="12" spans="1:12" ht="25.8" customHeight="1">
      <c r="A12" s="284" t="str">
        <f>基本資料!K7</f>
        <v>查修天花板所有天井燈具(30盞)與迴路</v>
      </c>
      <c r="B12" s="285"/>
      <c r="C12" s="286"/>
      <c r="D12" s="47" t="str">
        <f>基本資料!L7</f>
        <v>式</v>
      </c>
      <c r="E12" s="280">
        <f>基本資料!M7</f>
        <v>1</v>
      </c>
      <c r="F12" s="281"/>
      <c r="G12" s="287">
        <f>_xlfn.XLOOKUP(J2,填寫!A:A,填寫!P:P)</f>
        <v>0.5</v>
      </c>
      <c r="H12" s="288"/>
      <c r="I12" s="287">
        <f>_xlfn.XLOOKUP(J2,填寫!A:A,填寫!Q:Q)</f>
        <v>1</v>
      </c>
      <c r="J12" s="288"/>
      <c r="K12" s="218"/>
      <c r="L12" s="219"/>
    </row>
    <row r="13" spans="1:12" ht="55.2" customHeight="1">
      <c r="A13" s="284" t="str">
        <f>基本資料!K8</f>
        <v>拆除清運既有天井燈具，安裝LED天井燈具 (200W以上，含防眩鏡片與安全防墜配件)(含施工機具，連工帶料</v>
      </c>
      <c r="B13" s="285"/>
      <c r="C13" s="286"/>
      <c r="D13" s="47" t="str">
        <f>基本資料!L8</f>
        <v>盞</v>
      </c>
      <c r="E13" s="280">
        <f>基本資料!M8</f>
        <v>10</v>
      </c>
      <c r="F13" s="281"/>
      <c r="G13" s="287">
        <f>_xlfn.XLOOKUP(J2,填寫!A:A,填寫!R:R)</f>
        <v>5</v>
      </c>
      <c r="H13" s="288"/>
      <c r="I13" s="287">
        <f>_xlfn.XLOOKUP(J2,填寫!A:A,填寫!S:S)</f>
        <v>10</v>
      </c>
      <c r="J13" s="288"/>
      <c r="K13" s="218"/>
      <c r="L13" s="219"/>
    </row>
    <row r="14" spans="1:12">
      <c r="A14" s="284" t="str">
        <f>基本資料!K9</f>
        <v>職業安全衛生管理費(壹*1%)</v>
      </c>
      <c r="B14" s="285"/>
      <c r="C14" s="286"/>
      <c r="D14" s="47" t="str">
        <f>基本資料!L9</f>
        <v>式</v>
      </c>
      <c r="E14" s="280">
        <f>基本資料!M9</f>
        <v>1</v>
      </c>
      <c r="F14" s="281"/>
      <c r="G14" s="287">
        <f>_xlfn.XLOOKUP(J2,填寫!A:A,填寫!T:T)</f>
        <v>0.46100000000000002</v>
      </c>
      <c r="H14" s="288"/>
      <c r="I14" s="287">
        <f>_xlfn.XLOOKUP(J2,填寫!A:A,填寫!U:U)</f>
        <v>1.028</v>
      </c>
      <c r="J14" s="288"/>
      <c r="K14" s="218"/>
      <c r="L14" s="219"/>
    </row>
    <row r="15" spans="1:12">
      <c r="A15" s="284" t="str">
        <f>基本資料!K10</f>
        <v>公共工程品質管制作業費(壹*1%)</v>
      </c>
      <c r="B15" s="285"/>
      <c r="C15" s="286"/>
      <c r="D15" s="47" t="str">
        <f>基本資料!L10</f>
        <v>式</v>
      </c>
      <c r="E15" s="280">
        <f>基本資料!M10</f>
        <v>1</v>
      </c>
      <c r="F15" s="281"/>
      <c r="G15" s="287">
        <f>_xlfn.XLOOKUP(J2,填寫!A:A,填寫!V:V)</f>
        <v>0.46100000000000002</v>
      </c>
      <c r="H15" s="288"/>
      <c r="I15" s="287">
        <f>_xlfn.XLOOKUP(J2,填寫!A:A,填寫!W:W)</f>
        <v>1.028</v>
      </c>
      <c r="J15" s="288"/>
      <c r="K15" s="218"/>
      <c r="L15" s="219"/>
    </row>
    <row r="16" spans="1:12">
      <c r="A16" s="284" t="str">
        <f>基本資料!K11</f>
        <v>包商利潤及管理費(約壹*7%)</v>
      </c>
      <c r="B16" s="285"/>
      <c r="C16" s="286"/>
      <c r="D16" s="47" t="str">
        <f>基本資料!L11</f>
        <v>式</v>
      </c>
      <c r="E16" s="280">
        <f>基本資料!M11</f>
        <v>1</v>
      </c>
      <c r="F16" s="281"/>
      <c r="G16" s="287">
        <f>_xlfn.XLOOKUP(J2,填寫!A:A,填寫!X:X)</f>
        <v>0.46100000000000002</v>
      </c>
      <c r="H16" s="288"/>
      <c r="I16" s="287">
        <f>_xlfn.XLOOKUP(J2,填寫!A:A,填寫!Y:Y)</f>
        <v>1.028</v>
      </c>
      <c r="J16" s="288"/>
      <c r="K16" s="218"/>
      <c r="L16" s="219"/>
    </row>
    <row r="17" spans="1:12">
      <c r="A17" s="284" t="str">
        <f>基本資料!K12</f>
        <v>營造綜合保險費</v>
      </c>
      <c r="B17" s="285"/>
      <c r="C17" s="286"/>
      <c r="D17" s="47" t="str">
        <f>基本資料!L12</f>
        <v>式</v>
      </c>
      <c r="E17" s="280">
        <f>基本資料!M12</f>
        <v>1</v>
      </c>
      <c r="F17" s="281"/>
      <c r="G17" s="287">
        <f>_xlfn.XLOOKUP(J2,填寫!A:A,填寫!Z:Z)</f>
        <v>0.46100000000000002</v>
      </c>
      <c r="H17" s="288"/>
      <c r="I17" s="287">
        <f>_xlfn.XLOOKUP(J2,填寫!A:A,填寫!AA:AA)</f>
        <v>1.028</v>
      </c>
      <c r="J17" s="288"/>
      <c r="K17" s="218"/>
      <c r="L17" s="219"/>
    </row>
    <row r="18" spans="1:12">
      <c r="A18" s="284" t="str">
        <f>基本資料!K13</f>
        <v>營業稅((壹~伍)*5%)</v>
      </c>
      <c r="B18" s="285"/>
      <c r="C18" s="286"/>
      <c r="D18" s="47" t="str">
        <f>基本資料!L13</f>
        <v>式</v>
      </c>
      <c r="E18" s="280">
        <f>基本資料!M13</f>
        <v>1</v>
      </c>
      <c r="F18" s="281"/>
      <c r="G18" s="287">
        <f>_xlfn.XLOOKUP(J2,填寫!A:A,填寫!AB:AB)</f>
        <v>0.46100000000000002</v>
      </c>
      <c r="H18" s="288"/>
      <c r="I18" s="287">
        <f>_xlfn.XLOOKUP(J2,填寫!A:A,填寫!AC:AC)</f>
        <v>1.028</v>
      </c>
      <c r="J18" s="288"/>
      <c r="K18" s="218"/>
      <c r="L18" s="219"/>
    </row>
    <row r="19" spans="1:12">
      <c r="A19" s="277"/>
      <c r="B19" s="278"/>
      <c r="C19" s="279"/>
      <c r="D19" s="47"/>
      <c r="E19" s="280"/>
      <c r="F19" s="281"/>
      <c r="G19" s="282"/>
      <c r="H19" s="283"/>
      <c r="I19" s="282"/>
      <c r="J19" s="283"/>
      <c r="K19" s="218"/>
      <c r="L19" s="219"/>
    </row>
    <row r="20" spans="1:12">
      <c r="A20" s="277"/>
      <c r="B20" s="278"/>
      <c r="C20" s="279"/>
      <c r="D20" s="47"/>
      <c r="E20" s="280"/>
      <c r="F20" s="281"/>
      <c r="G20" s="282"/>
      <c r="H20" s="283"/>
      <c r="I20" s="282"/>
      <c r="J20" s="283"/>
      <c r="K20" s="218"/>
      <c r="L20" s="219"/>
    </row>
    <row r="21" spans="1:12">
      <c r="A21" s="201" t="s">
        <v>72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20"/>
      <c r="L21" s="221"/>
    </row>
    <row r="22" spans="1:12">
      <c r="A22" s="196" t="s">
        <v>73</v>
      </c>
      <c r="B22" s="229"/>
      <c r="C22" s="197"/>
      <c r="D22" s="32" t="s">
        <v>67</v>
      </c>
      <c r="E22" s="218" t="s">
        <v>74</v>
      </c>
      <c r="F22" s="197"/>
      <c r="G22" s="218" t="s">
        <v>75</v>
      </c>
      <c r="H22" s="197"/>
      <c r="I22" s="218" t="s">
        <v>76</v>
      </c>
      <c r="J22" s="197"/>
      <c r="K22" s="218" t="s">
        <v>71</v>
      </c>
      <c r="L22" s="219"/>
    </row>
    <row r="23" spans="1:12">
      <c r="A23" s="196"/>
      <c r="B23" s="229"/>
      <c r="C23" s="197"/>
      <c r="D23" s="34"/>
      <c r="E23" s="218"/>
      <c r="F23" s="197"/>
      <c r="G23" s="218"/>
      <c r="H23" s="197"/>
      <c r="I23" s="218"/>
      <c r="J23" s="197"/>
      <c r="K23" s="230"/>
      <c r="L23" s="231"/>
    </row>
    <row r="24" spans="1:12">
      <c r="A24" s="201" t="s">
        <v>77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/>
    </row>
    <row r="25" spans="1:12">
      <c r="A25" s="196" t="s">
        <v>78</v>
      </c>
      <c r="B25" s="197"/>
      <c r="C25" s="198" t="s">
        <v>79</v>
      </c>
      <c r="D25" s="198"/>
      <c r="E25" s="198" t="s">
        <v>80</v>
      </c>
      <c r="F25" s="198"/>
      <c r="G25" s="198" t="s">
        <v>81</v>
      </c>
      <c r="H25" s="198"/>
      <c r="I25" s="198" t="s">
        <v>82</v>
      </c>
      <c r="J25" s="198"/>
      <c r="K25" s="198" t="s">
        <v>83</v>
      </c>
      <c r="L25" s="206"/>
    </row>
    <row r="26" spans="1:12">
      <c r="A26" s="232" t="str">
        <f>填寫!AF2</f>
        <v>水電工</v>
      </c>
      <c r="B26" s="233"/>
      <c r="C26" s="275">
        <f>_xlfn.XLOOKUP(J2,填寫!A:A,填寫!AF:AF)</f>
        <v>4</v>
      </c>
      <c r="D26" s="275"/>
      <c r="E26" s="275">
        <f>_xlfn.XLOOKUP(J2,填寫!A:A,填寫!AG:AG)</f>
        <v>8</v>
      </c>
      <c r="F26" s="275"/>
      <c r="G26" s="275" t="str">
        <f>填寫!AH2</f>
        <v>高空作業車</v>
      </c>
      <c r="H26" s="275"/>
      <c r="I26" s="275">
        <f>_xlfn.XLOOKUP(J2,填寫!A:A,填寫!AH:AH)</f>
        <v>2</v>
      </c>
      <c r="J26" s="275"/>
      <c r="K26" s="275">
        <f>_xlfn.XLOOKUP(J2,填寫!A:A,填寫!AI:AI)</f>
        <v>4</v>
      </c>
      <c r="L26" s="276"/>
    </row>
    <row r="27" spans="1:12">
      <c r="A27" s="232"/>
      <c r="B27" s="233"/>
      <c r="C27" s="275"/>
      <c r="D27" s="275"/>
      <c r="E27" s="275"/>
      <c r="F27" s="275"/>
      <c r="G27" s="275" t="str">
        <f>填寫!AJ2</f>
        <v>貨車</v>
      </c>
      <c r="H27" s="275"/>
      <c r="I27" s="275">
        <f>_xlfn.XLOOKUP(J2,填寫!A:A,填寫!AJ:AJ)</f>
        <v>2</v>
      </c>
      <c r="J27" s="275"/>
      <c r="K27" s="275">
        <f>_xlfn.XLOOKUP(J2,填寫!A:A,填寫!AK:AK)</f>
        <v>4</v>
      </c>
      <c r="L27" s="276"/>
    </row>
    <row r="28" spans="1:12" ht="33" customHeight="1">
      <c r="A28" s="236" t="s">
        <v>84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>
      <c r="A29" s="239" t="s">
        <v>85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1"/>
    </row>
    <row r="30" spans="1:12" ht="49.8" customHeight="1">
      <c r="A30" s="242" t="str">
        <f>VLOOKUP(J2,'[1]2.總表'!$A$7:$GT$499,196)</f>
        <v xml:space="preserve">  (ㄧ)施工前檢查事項：
   1.實施勤前教育(含工地預防災變及危害告知)：█有 □無
   2.確認新進勞工是否提報勞工保險(或其他商業保險)資料及安全衛生教育訓練紀錄：□有 □無 █無新進勞工
   3.檢查勞工個人防護具：█有 □無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4"/>
    </row>
    <row r="31" spans="1:12">
      <c r="A31" s="201" t="s">
        <v>86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3"/>
    </row>
    <row r="32" spans="1:12">
      <c r="A32" s="272"/>
      <c r="B32" s="273"/>
      <c r="C32" s="273"/>
      <c r="D32" s="274"/>
      <c r="E32" s="274"/>
      <c r="F32" s="35"/>
      <c r="G32" s="275"/>
      <c r="H32" s="275"/>
      <c r="I32" s="275"/>
      <c r="J32" s="274"/>
      <c r="K32" s="274"/>
      <c r="L32" s="36"/>
    </row>
    <row r="33" spans="1:12">
      <c r="A33" s="272"/>
      <c r="B33" s="273"/>
      <c r="C33" s="273"/>
      <c r="D33" s="274"/>
      <c r="E33" s="274"/>
      <c r="F33" s="35"/>
      <c r="G33" s="275"/>
      <c r="H33" s="275"/>
      <c r="I33" s="275"/>
      <c r="J33" s="274"/>
      <c r="K33" s="274"/>
      <c r="L33" s="36"/>
    </row>
    <row r="34" spans="1:12">
      <c r="A34" s="272"/>
      <c r="B34" s="273"/>
      <c r="C34" s="273"/>
      <c r="D34" s="274"/>
      <c r="E34" s="274"/>
      <c r="F34" s="35"/>
      <c r="G34" s="275"/>
      <c r="H34" s="275"/>
      <c r="I34" s="275"/>
      <c r="J34" s="274"/>
      <c r="K34" s="274"/>
      <c r="L34" s="36"/>
    </row>
    <row r="35" spans="1:12">
      <c r="A35" s="239" t="s">
        <v>87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1"/>
    </row>
    <row r="36" spans="1:12">
      <c r="A36" s="248">
        <f>VLOOKUP(J2,'[1]2.總表'!$A$7:$GW$499,193)</f>
        <v>0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50"/>
    </row>
    <row r="37" spans="1:12">
      <c r="A37" s="251" t="s">
        <v>88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</row>
    <row r="38" spans="1:12">
      <c r="A38" s="269"/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1"/>
    </row>
    <row r="39" spans="1:12">
      <c r="A39" s="269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1"/>
    </row>
    <row r="40" spans="1:12">
      <c r="A40" s="269"/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1"/>
    </row>
    <row r="41" spans="1:12">
      <c r="A41" s="258">
        <f>VLOOKUP(J2,'[1]2.總表'!$A$7:$GY$499,194)</f>
        <v>0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/>
    </row>
    <row r="42" spans="1:12">
      <c r="A42" s="261" t="s">
        <v>95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1:12" ht="16.8" thickBot="1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6"/>
    </row>
    <row r="44" spans="1:12" s="37" customFormat="1" ht="11.4">
      <c r="A44" s="257" t="s">
        <v>89</v>
      </c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</row>
    <row r="45" spans="1:12" s="37" customFormat="1" ht="11.4">
      <c r="A45" s="257" t="s">
        <v>90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</row>
    <row r="46" spans="1:12" s="37" customFormat="1" ht="22.2" customHeight="1">
      <c r="A46" s="257" t="s">
        <v>91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</row>
    <row r="47" spans="1:12" s="37" customFormat="1" ht="11.4">
      <c r="A47" s="257" t="s">
        <v>92</v>
      </c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</row>
    <row r="48" spans="1:12" s="37" customFormat="1" ht="11.4">
      <c r="A48" s="257" t="s">
        <v>93</v>
      </c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</row>
    <row r="49" spans="1:12" s="37" customFormat="1" ht="11.4">
      <c r="A49" s="257" t="s">
        <v>94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</row>
  </sheetData>
  <mergeCells count="140">
    <mergeCell ref="A5:B5"/>
    <mergeCell ref="D5:E5"/>
    <mergeCell ref="G5:H5"/>
    <mergeCell ref="J5:K5"/>
    <mergeCell ref="A6:C6"/>
    <mergeCell ref="D6:F6"/>
    <mergeCell ref="G6:I6"/>
    <mergeCell ref="J6:L6"/>
    <mergeCell ref="A1:L1"/>
    <mergeCell ref="J2:K2"/>
    <mergeCell ref="A4:B4"/>
    <mergeCell ref="C4:F4"/>
    <mergeCell ref="G4:H4"/>
    <mergeCell ref="I4:L4"/>
    <mergeCell ref="A7:C7"/>
    <mergeCell ref="D7:F7"/>
    <mergeCell ref="G7:I7"/>
    <mergeCell ref="J7:L7"/>
    <mergeCell ref="A8:L8"/>
    <mergeCell ref="A9:C9"/>
    <mergeCell ref="E9:F9"/>
    <mergeCell ref="G9:H9"/>
    <mergeCell ref="I9:J9"/>
    <mergeCell ref="K9:L9"/>
    <mergeCell ref="A10:C10"/>
    <mergeCell ref="E10:F10"/>
    <mergeCell ref="G10:H10"/>
    <mergeCell ref="I10:J10"/>
    <mergeCell ref="K10:L10"/>
    <mergeCell ref="A11:C11"/>
    <mergeCell ref="E11:F11"/>
    <mergeCell ref="G11:H11"/>
    <mergeCell ref="I11:J11"/>
    <mergeCell ref="K11:L11"/>
    <mergeCell ref="A12:C12"/>
    <mergeCell ref="E12:F12"/>
    <mergeCell ref="G12:H12"/>
    <mergeCell ref="I12:J12"/>
    <mergeCell ref="K12:L12"/>
    <mergeCell ref="A13:C13"/>
    <mergeCell ref="E13:F13"/>
    <mergeCell ref="G13:H13"/>
    <mergeCell ref="I13:J13"/>
    <mergeCell ref="K13:L13"/>
    <mergeCell ref="A14:C14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A16:C16"/>
    <mergeCell ref="E16:F16"/>
    <mergeCell ref="G16:H16"/>
    <mergeCell ref="I16:J16"/>
    <mergeCell ref="K16:L16"/>
    <mergeCell ref="A17:C17"/>
    <mergeCell ref="E17:F17"/>
    <mergeCell ref="G17:H17"/>
    <mergeCell ref="I17:J17"/>
    <mergeCell ref="K17:L17"/>
    <mergeCell ref="A20:C20"/>
    <mergeCell ref="E20:F20"/>
    <mergeCell ref="G20:H20"/>
    <mergeCell ref="I20:J20"/>
    <mergeCell ref="K20:L20"/>
    <mergeCell ref="A21:L21"/>
    <mergeCell ref="A18:C18"/>
    <mergeCell ref="E18:F18"/>
    <mergeCell ref="G18:H18"/>
    <mergeCell ref="I18:J18"/>
    <mergeCell ref="K18:L18"/>
    <mergeCell ref="A19:C19"/>
    <mergeCell ref="E19:F19"/>
    <mergeCell ref="G19:H19"/>
    <mergeCell ref="I19:J19"/>
    <mergeCell ref="K19:L19"/>
    <mergeCell ref="A22:C22"/>
    <mergeCell ref="E22:F22"/>
    <mergeCell ref="G22:H22"/>
    <mergeCell ref="I22:J22"/>
    <mergeCell ref="K22:L22"/>
    <mergeCell ref="A23:C23"/>
    <mergeCell ref="E23:F23"/>
    <mergeCell ref="G23:H23"/>
    <mergeCell ref="I23:J23"/>
    <mergeCell ref="K23:L23"/>
    <mergeCell ref="A26:B26"/>
    <mergeCell ref="C26:D26"/>
    <mergeCell ref="E26:F26"/>
    <mergeCell ref="G26:H26"/>
    <mergeCell ref="I26:J26"/>
    <mergeCell ref="K26:L26"/>
    <mergeCell ref="A24:L24"/>
    <mergeCell ref="A25:B25"/>
    <mergeCell ref="C25:D25"/>
    <mergeCell ref="E25:F25"/>
    <mergeCell ref="G25:H25"/>
    <mergeCell ref="I25:J25"/>
    <mergeCell ref="K25:L25"/>
    <mergeCell ref="A28:L28"/>
    <mergeCell ref="A29:L29"/>
    <mergeCell ref="A30:L30"/>
    <mergeCell ref="A31:L31"/>
    <mergeCell ref="A32:C32"/>
    <mergeCell ref="D32:E32"/>
    <mergeCell ref="G32:I32"/>
    <mergeCell ref="J32:K32"/>
    <mergeCell ref="A27:B27"/>
    <mergeCell ref="C27:D27"/>
    <mergeCell ref="E27:F27"/>
    <mergeCell ref="G27:H27"/>
    <mergeCell ref="I27:J27"/>
    <mergeCell ref="K27:L27"/>
    <mergeCell ref="A35:L35"/>
    <mergeCell ref="A36:L36"/>
    <mergeCell ref="A37:C37"/>
    <mergeCell ref="D37:L37"/>
    <mergeCell ref="A38:L38"/>
    <mergeCell ref="A39:L39"/>
    <mergeCell ref="A33:C33"/>
    <mergeCell ref="D33:E33"/>
    <mergeCell ref="G33:I33"/>
    <mergeCell ref="J33:K33"/>
    <mergeCell ref="A34:C34"/>
    <mergeCell ref="D34:E34"/>
    <mergeCell ref="G34:I34"/>
    <mergeCell ref="J34:K34"/>
    <mergeCell ref="A47:L47"/>
    <mergeCell ref="A48:L48"/>
    <mergeCell ref="A49:L49"/>
    <mergeCell ref="A40:L40"/>
    <mergeCell ref="A41:L41"/>
    <mergeCell ref="A42:L43"/>
    <mergeCell ref="A44:L44"/>
    <mergeCell ref="A45:L45"/>
    <mergeCell ref="A46:L46"/>
  </mergeCells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基本資料</vt:lpstr>
      <vt:lpstr>填寫</vt:lpstr>
      <vt:lpstr>0811</vt:lpstr>
      <vt:lpstr>0812</vt:lpstr>
      <vt:lpstr>0813</vt:lpstr>
      <vt:lpstr>0814</vt:lpstr>
      <vt:lpstr>0815</vt:lpstr>
      <vt:lpstr>0816</vt:lpstr>
      <vt:lpstr>0817</vt:lpstr>
      <vt:lpstr>0818</vt:lpstr>
      <vt:lpstr>0819</vt:lpstr>
      <vt:lpstr>0820</vt:lpstr>
      <vt:lpstr>0821</vt:lpstr>
      <vt:lpstr>0822</vt:lpstr>
      <vt:lpstr>可改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EL-Lee</dc:creator>
  <cp:lastModifiedBy>EL-Lee</cp:lastModifiedBy>
  <dcterms:created xsi:type="dcterms:W3CDTF">2025-08-21T08:17:06Z</dcterms:created>
  <dcterms:modified xsi:type="dcterms:W3CDTF">2025-08-25T04:03:05Z</dcterms:modified>
</cp:coreProperties>
</file>