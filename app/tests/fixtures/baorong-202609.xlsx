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3.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20" yWindow="-120" windowWidth="29040" windowHeight="16440" activeTab="3"/>
  </bookViews>
  <sheets>
    <sheet name="工程資料表" sheetId="1" r:id="rId1"/>
    <sheet name="原契約" sheetId="3" r:id="rId2"/>
    <sheet name="工程進度表" sheetId="2" r:id="rId3"/>
    <sheet name="施工日誌" sheetId="4" r:id="rId4"/>
    <sheet name="監造報表" sheetId="6" state="hidden" r:id="rId5"/>
    <sheet name="進度百分比" sheetId="7" r:id="rId6"/>
  </sheets>
  <externalReferences>
    <externalReference r:id="rId7"/>
  </externalReferences>
  <definedNames>
    <definedName name="_xlnm.Print_Area" localSheetId="3">施工日誌!$A$1:$O$76</definedName>
    <definedName name="_xlnm.Print_Area" localSheetId="4">監造報表!$A$1:$M$37</definedName>
  </definedNames>
  <calcPr calcId="144525"/>
</workbook>
</file>

<file path=xl/calcChain.xml><?xml version="1.0" encoding="utf-8"?>
<calcChain xmlns="http://schemas.openxmlformats.org/spreadsheetml/2006/main">
  <c r="B29" i="2" l="1"/>
  <c r="B30" i="2"/>
  <c r="B31" i="2"/>
  <c r="B32" i="2"/>
  <c r="B33" i="2"/>
  <c r="B34" i="2"/>
  <c r="B35" i="2"/>
  <c r="B36" i="2"/>
  <c r="B37" i="2"/>
  <c r="B38" i="2"/>
  <c r="B39" i="2"/>
  <c r="B40" i="2"/>
  <c r="DP6" i="2" l="1"/>
  <c r="DQ6" i="2"/>
  <c r="DR6" i="2"/>
  <c r="DS6" i="2"/>
  <c r="DT6" i="2"/>
  <c r="DU6" i="2"/>
  <c r="DV6" i="2"/>
  <c r="DW6" i="2"/>
  <c r="DX6" i="2"/>
  <c r="DY6" i="2"/>
  <c r="DZ6" i="2"/>
  <c r="EA6" i="2"/>
  <c r="EB6" i="2"/>
  <c r="EC6" i="2"/>
  <c r="ED6" i="2"/>
  <c r="EE6" i="2"/>
  <c r="EF6" i="2"/>
  <c r="EG6" i="2"/>
  <c r="EH6" i="2"/>
  <c r="EI6" i="2"/>
  <c r="EJ6" i="2"/>
  <c r="EK6" i="2"/>
  <c r="EL6" i="2"/>
  <c r="EM6" i="2"/>
  <c r="EN6" i="2"/>
  <c r="EO6" i="2"/>
  <c r="EP6" i="2"/>
  <c r="EQ6" i="2"/>
  <c r="ER6" i="2"/>
  <c r="ES6" i="2"/>
  <c r="ET6" i="2"/>
  <c r="EU6" i="2"/>
  <c r="EV6" i="2"/>
  <c r="EW6" i="2"/>
  <c r="EX6" i="2"/>
  <c r="EY6" i="2"/>
  <c r="EZ6" i="2"/>
  <c r="FA6" i="2"/>
  <c r="FB6" i="2"/>
  <c r="FC6" i="2"/>
  <c r="FD6" i="2"/>
  <c r="FE6" i="2"/>
  <c r="FF6" i="2"/>
  <c r="FG6" i="2"/>
  <c r="FH6" i="2"/>
  <c r="FI6" i="2"/>
  <c r="FJ6" i="2"/>
  <c r="FK6" i="2"/>
  <c r="FL6" i="2"/>
  <c r="FM6" i="2"/>
  <c r="FN6" i="2"/>
  <c r="FO6" i="2"/>
  <c r="FP6" i="2"/>
  <c r="FQ6" i="2"/>
  <c r="FR6" i="2"/>
  <c r="FS6" i="2"/>
  <c r="FT6" i="2"/>
  <c r="FU6" i="2"/>
  <c r="FV6" i="2"/>
  <c r="FW6" i="2"/>
  <c r="FX6" i="2"/>
  <c r="FY6" i="2"/>
  <c r="FZ6" i="2"/>
  <c r="GA6" i="2"/>
  <c r="GB6" i="2"/>
  <c r="GC6" i="2"/>
  <c r="GD6" i="2"/>
  <c r="GE6" i="2"/>
  <c r="GF6" i="2"/>
  <c r="GG6" i="2"/>
  <c r="GH6" i="2"/>
  <c r="GI6" i="2"/>
  <c r="GJ6" i="2"/>
  <c r="DN6" i="2"/>
  <c r="DO6" i="2"/>
  <c r="DR9" i="2"/>
  <c r="DS9" i="2"/>
  <c r="DT9" i="2"/>
  <c r="DU9" i="2"/>
  <c r="DV9" i="2"/>
  <c r="DW9" i="2"/>
  <c r="DX9" i="2"/>
  <c r="DY9" i="2"/>
  <c r="DZ9" i="2"/>
  <c r="EA9" i="2"/>
  <c r="EB9" i="2"/>
  <c r="EC9" i="2"/>
  <c r="ED9" i="2"/>
  <c r="EE9" i="2"/>
  <c r="EF9" i="2"/>
  <c r="EG9" i="2"/>
  <c r="EH9" i="2"/>
  <c r="EI9" i="2"/>
  <c r="EJ9" i="2"/>
  <c r="EK9" i="2"/>
  <c r="EL9" i="2"/>
  <c r="EM9" i="2"/>
  <c r="EN9" i="2"/>
  <c r="EO9" i="2"/>
  <c r="EP9" i="2"/>
  <c r="EQ9" i="2"/>
  <c r="ER9" i="2"/>
  <c r="ES9" i="2"/>
  <c r="ET9" i="2"/>
  <c r="EU9" i="2"/>
  <c r="EV9" i="2"/>
  <c r="EW9" i="2"/>
  <c r="EX9" i="2"/>
  <c r="EY9" i="2"/>
  <c r="EZ9" i="2"/>
  <c r="FA9" i="2"/>
  <c r="FB9" i="2"/>
  <c r="FC9" i="2"/>
  <c r="FD9" i="2"/>
  <c r="FE9" i="2"/>
  <c r="FF9" i="2"/>
  <c r="FG9" i="2"/>
  <c r="FH9" i="2"/>
  <c r="FI9" i="2"/>
  <c r="FJ9" i="2"/>
  <c r="FK9" i="2"/>
  <c r="FL9" i="2"/>
  <c r="FM9" i="2"/>
  <c r="FN9" i="2"/>
  <c r="FO9" i="2"/>
  <c r="FP9" i="2"/>
  <c r="DN9" i="2"/>
  <c r="DO9" i="2"/>
  <c r="DP9" i="2"/>
  <c r="DQ9" i="2"/>
  <c r="I48" i="4" l="1"/>
  <c r="I49" i="4"/>
  <c r="I50" i="4"/>
  <c r="I51" i="4"/>
  <c r="I52" i="4"/>
  <c r="H13" i="4"/>
  <c r="H14" i="4"/>
  <c r="I13" i="4"/>
  <c r="I14" i="4"/>
  <c r="B14" i="2" l="1"/>
  <c r="B15" i="2"/>
  <c r="B16" i="2"/>
  <c r="B17" i="2"/>
  <c r="B46" i="2"/>
  <c r="M47" i="4" s="1"/>
  <c r="B45" i="2"/>
  <c r="M46" i="4" s="1"/>
  <c r="A35" i="2"/>
  <c r="A36" i="2"/>
  <c r="A37" i="2"/>
  <c r="A38" i="2"/>
  <c r="A39" i="2"/>
  <c r="A40" i="2"/>
  <c r="A41" i="2"/>
  <c r="A42" i="2"/>
  <c r="A43" i="2"/>
  <c r="A44" i="2"/>
  <c r="A45" i="2"/>
  <c r="A46" i="2"/>
  <c r="A15" i="2"/>
  <c r="A16" i="2"/>
  <c r="A17" i="2"/>
  <c r="A18" i="2"/>
  <c r="A19" i="2"/>
  <c r="A20" i="2"/>
  <c r="A21" i="2"/>
  <c r="A22" i="2"/>
  <c r="A23" i="2"/>
  <c r="A24" i="2"/>
  <c r="A25" i="2"/>
  <c r="A26" i="2"/>
  <c r="A27" i="2"/>
  <c r="A28" i="2"/>
  <c r="A29" i="2"/>
  <c r="A30" i="2"/>
  <c r="A31" i="2"/>
  <c r="A32" i="2"/>
  <c r="A33" i="2"/>
  <c r="A34" i="2"/>
  <c r="B18" i="2"/>
  <c r="B19" i="2"/>
  <c r="B20" i="2"/>
  <c r="B21" i="2"/>
  <c r="B22" i="2"/>
  <c r="B23" i="2"/>
  <c r="B24" i="2"/>
  <c r="B25" i="2"/>
  <c r="B26" i="2"/>
  <c r="B27" i="2"/>
  <c r="B28" i="2"/>
  <c r="M30" i="4"/>
  <c r="E27" i="2"/>
  <c r="H28" i="4" s="1"/>
  <c r="E28" i="2"/>
  <c r="H29" i="4" s="1"/>
  <c r="E29" i="2"/>
  <c r="H30" i="4" s="1"/>
  <c r="E30" i="2"/>
  <c r="H31" i="4" s="1"/>
  <c r="E31" i="2"/>
  <c r="H32" i="4" s="1"/>
  <c r="E32" i="2"/>
  <c r="H33" i="4" s="1"/>
  <c r="E33" i="2"/>
  <c r="H34" i="4" s="1"/>
  <c r="E34" i="2"/>
  <c r="H35" i="4" s="1"/>
  <c r="E35" i="2"/>
  <c r="H36" i="4" s="1"/>
  <c r="E36" i="2"/>
  <c r="H37" i="4" s="1"/>
  <c r="E37" i="2"/>
  <c r="H38" i="4" s="1"/>
  <c r="E38" i="2"/>
  <c r="H39" i="4" s="1"/>
  <c r="E39" i="2"/>
  <c r="H40" i="4" s="1"/>
  <c r="E15" i="2"/>
  <c r="E16" i="2"/>
  <c r="E17" i="2"/>
  <c r="E18" i="2"/>
  <c r="H19" i="4" s="1"/>
  <c r="E19" i="2"/>
  <c r="H20" i="4" s="1"/>
  <c r="E20" i="2"/>
  <c r="H21" i="4" s="1"/>
  <c r="E21" i="2"/>
  <c r="H22" i="4" s="1"/>
  <c r="E22" i="2"/>
  <c r="H23" i="4" s="1"/>
  <c r="E23" i="2"/>
  <c r="H24" i="4" s="1"/>
  <c r="E24" i="2"/>
  <c r="H25" i="4" s="1"/>
  <c r="E25" i="2"/>
  <c r="H26" i="4" s="1"/>
  <c r="E26" i="2"/>
  <c r="H27" i="4" s="1"/>
  <c r="FQ5" i="7"/>
  <c r="GB9" i="2" s="1"/>
  <c r="FR5" i="7"/>
  <c r="GC9" i="2" s="1"/>
  <c r="FS5" i="7"/>
  <c r="GD9" i="2" s="1"/>
  <c r="FT5" i="7"/>
  <c r="GE9" i="2" s="1"/>
  <c r="FU5" i="7"/>
  <c r="GF9" i="2" s="1"/>
  <c r="FV5" i="7"/>
  <c r="GG9" i="2" s="1"/>
  <c r="FW5" i="7"/>
  <c r="GH9" i="2" s="1"/>
  <c r="FX5" i="7"/>
  <c r="GI9" i="2" s="1"/>
  <c r="FY5" i="7"/>
  <c r="GJ9" i="2" s="1"/>
  <c r="FP5" i="7"/>
  <c r="GA9" i="2" s="1"/>
  <c r="EW5" i="7"/>
  <c r="EX5" i="7"/>
  <c r="EY5" i="7"/>
  <c r="EZ5" i="7"/>
  <c r="FA5" i="7"/>
  <c r="FB5" i="7"/>
  <c r="FC5" i="7"/>
  <c r="FD5" i="7"/>
  <c r="FE5" i="7"/>
  <c r="EV5" i="7"/>
  <c r="EM5" i="7"/>
  <c r="EN5" i="7"/>
  <c r="EO5" i="7"/>
  <c r="EP5" i="7"/>
  <c r="EQ5" i="7"/>
  <c r="ER5" i="7"/>
  <c r="ES5" i="7"/>
  <c r="ET5" i="7"/>
  <c r="EU5" i="7"/>
  <c r="C6" i="7"/>
  <c r="D6" i="7"/>
  <c r="E6" i="7"/>
  <c r="F6" i="7"/>
  <c r="G6" i="7"/>
  <c r="H6" i="7" s="1"/>
  <c r="I6" i="7" s="1"/>
  <c r="J6" i="7" s="1"/>
  <c r="K6" i="7" s="1"/>
  <c r="FG5" i="7"/>
  <c r="FR9" i="2" s="1"/>
  <c r="FH5" i="7"/>
  <c r="FS9" i="2" s="1"/>
  <c r="FI5" i="7"/>
  <c r="FT9" i="2" s="1"/>
  <c r="FJ5" i="7"/>
  <c r="FU9" i="2" s="1"/>
  <c r="FK5" i="7"/>
  <c r="FV9" i="2" s="1"/>
  <c r="FL5" i="7"/>
  <c r="FW9" i="2" s="1"/>
  <c r="FM5" i="7"/>
  <c r="FX9" i="2" s="1"/>
  <c r="FN5" i="7"/>
  <c r="FY9" i="2" s="1"/>
  <c r="FO5" i="7"/>
  <c r="FZ9" i="2" s="1"/>
  <c r="FF5" i="7"/>
  <c r="FQ9" i="2" s="1"/>
  <c r="EL5" i="7"/>
  <c r="EC5" i="7"/>
  <c r="ED5" i="7"/>
  <c r="EE5" i="7"/>
  <c r="EF5" i="7"/>
  <c r="EG5" i="7"/>
  <c r="EH5" i="7"/>
  <c r="EI5" i="7"/>
  <c r="EJ5" i="7"/>
  <c r="EK5" i="7"/>
  <c r="EB5" i="7"/>
  <c r="DS5" i="7"/>
  <c r="DT5" i="7"/>
  <c r="DU5" i="7"/>
  <c r="DV5" i="7"/>
  <c r="DW5" i="7"/>
  <c r="DX5" i="7"/>
  <c r="DY5" i="7"/>
  <c r="DZ5" i="7"/>
  <c r="EA5" i="7"/>
  <c r="DR5" i="7"/>
  <c r="DI5" i="7"/>
  <c r="DJ5" i="7"/>
  <c r="DK5" i="7"/>
  <c r="DL5" i="7"/>
  <c r="DM5" i="7"/>
  <c r="DN5" i="7"/>
  <c r="DO5" i="7"/>
  <c r="DP5" i="7"/>
  <c r="DQ5" i="7"/>
  <c r="DH5" i="7"/>
  <c r="DC5" i="7"/>
  <c r="DD5" i="7"/>
  <c r="DE5" i="7"/>
  <c r="DF5" i="7"/>
  <c r="DG5" i="7"/>
  <c r="E7" i="4"/>
  <c r="C6" i="4"/>
  <c r="B8" i="1"/>
  <c r="G44" i="2"/>
  <c r="G45" i="2"/>
  <c r="G46" i="2"/>
  <c r="G35" i="2"/>
  <c r="G36" i="2"/>
  <c r="G37" i="2"/>
  <c r="G38" i="2"/>
  <c r="G39" i="2"/>
  <c r="G40" i="2"/>
  <c r="G41" i="2"/>
  <c r="G42" i="2"/>
  <c r="G43" i="2"/>
  <c r="G25" i="2"/>
  <c r="G26" i="2"/>
  <c r="G27" i="2"/>
  <c r="G28" i="2"/>
  <c r="G29" i="2"/>
  <c r="G30" i="2"/>
  <c r="G31" i="2"/>
  <c r="G32" i="2"/>
  <c r="G33" i="2"/>
  <c r="G34" i="2"/>
  <c r="G16" i="2"/>
  <c r="G17" i="2"/>
  <c r="G18" i="2"/>
  <c r="G19" i="2"/>
  <c r="G20" i="2"/>
  <c r="G21" i="2"/>
  <c r="G22" i="2"/>
  <c r="G23" i="2"/>
  <c r="G24" i="2"/>
  <c r="G14" i="2"/>
  <c r="F34" i="2"/>
  <c r="I35" i="4" s="1"/>
  <c r="F35" i="2"/>
  <c r="I36" i="4" s="1"/>
  <c r="F36" i="2"/>
  <c r="I37" i="4" s="1"/>
  <c r="F37" i="2"/>
  <c r="I38" i="4" s="1"/>
  <c r="F38" i="2"/>
  <c r="I39" i="4" s="1"/>
  <c r="F39" i="2"/>
  <c r="I40" i="4" s="1"/>
  <c r="F40" i="2"/>
  <c r="I41" i="4" s="1"/>
  <c r="F41" i="2"/>
  <c r="I42" i="4" s="1"/>
  <c r="F42" i="2"/>
  <c r="I43" i="4" s="1"/>
  <c r="F43" i="2"/>
  <c r="I44" i="4" s="1"/>
  <c r="F44" i="2"/>
  <c r="I45" i="4" s="1"/>
  <c r="F45" i="2"/>
  <c r="I46" i="4" s="1"/>
  <c r="F46" i="2"/>
  <c r="I47" i="4" s="1"/>
  <c r="F25" i="2"/>
  <c r="I26" i="4" s="1"/>
  <c r="F26" i="2"/>
  <c r="I27" i="4" s="1"/>
  <c r="F27" i="2"/>
  <c r="I28" i="4" s="1"/>
  <c r="F28" i="2"/>
  <c r="I29" i="4" s="1"/>
  <c r="F29" i="2"/>
  <c r="I30" i="4" s="1"/>
  <c r="F30" i="2"/>
  <c r="I31" i="4" s="1"/>
  <c r="F31" i="2"/>
  <c r="I32" i="4" s="1"/>
  <c r="F32" i="2"/>
  <c r="I33" i="4" s="1"/>
  <c r="F33" i="2"/>
  <c r="I34" i="4" s="1"/>
  <c r="F16" i="2"/>
  <c r="I17" i="4" s="1"/>
  <c r="F17" i="2"/>
  <c r="I18" i="4" s="1"/>
  <c r="F18" i="2"/>
  <c r="I19" i="4" s="1"/>
  <c r="F19" i="2"/>
  <c r="I20" i="4" s="1"/>
  <c r="F20" i="2"/>
  <c r="I21" i="4" s="1"/>
  <c r="F21" i="2"/>
  <c r="I22" i="4" s="1"/>
  <c r="F22" i="2"/>
  <c r="I23" i="4" s="1"/>
  <c r="F23" i="2"/>
  <c r="I24" i="4" s="1"/>
  <c r="F24" i="2"/>
  <c r="I25" i="4" s="1"/>
  <c r="F14" i="2"/>
  <c r="I15" i="4" s="1"/>
  <c r="E40" i="2"/>
  <c r="H41" i="4" s="1"/>
  <c r="E41" i="2"/>
  <c r="H42" i="4" s="1"/>
  <c r="E42" i="2"/>
  <c r="H43" i="4" s="1"/>
  <c r="E43" i="2"/>
  <c r="H44" i="4" s="1"/>
  <c r="E44" i="2"/>
  <c r="H45" i="4" s="1"/>
  <c r="E45" i="2"/>
  <c r="H46" i="4" s="1"/>
  <c r="E46" i="2"/>
  <c r="H47" i="4" s="1"/>
  <c r="E14" i="2"/>
  <c r="H15" i="4" s="1"/>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F34" i="3"/>
  <c r="H42" i="2" s="1"/>
  <c r="F35" i="3"/>
  <c r="H43" i="2" s="1"/>
  <c r="F36" i="3"/>
  <c r="H44" i="2" s="1"/>
  <c r="F37" i="3"/>
  <c r="H45" i="2" s="1"/>
  <c r="F38" i="3"/>
  <c r="F20" i="3"/>
  <c r="F21" i="3"/>
  <c r="F22" i="3"/>
  <c r="F23" i="3"/>
  <c r="F24" i="3"/>
  <c r="F25" i="3"/>
  <c r="F26" i="3"/>
  <c r="F27" i="3"/>
  <c r="H35" i="2" s="1"/>
  <c r="F28" i="3"/>
  <c r="H36" i="2" s="1"/>
  <c r="F29" i="3"/>
  <c r="H37" i="2" s="1"/>
  <c r="F30" i="3"/>
  <c r="F31" i="3"/>
  <c r="F32" i="3"/>
  <c r="F33" i="3"/>
  <c r="H41" i="2" s="1"/>
  <c r="F8" i="3"/>
  <c r="H16" i="2" s="1"/>
  <c r="F9" i="3"/>
  <c r="H17" i="2" s="1"/>
  <c r="F10" i="3"/>
  <c r="H18" i="2" s="1"/>
  <c r="F11" i="3"/>
  <c r="H19" i="2" s="1"/>
  <c r="F12" i="3"/>
  <c r="H20" i="2" s="1"/>
  <c r="F13" i="3"/>
  <c r="H21" i="2" s="1"/>
  <c r="F14" i="3"/>
  <c r="H22" i="2" s="1"/>
  <c r="F15" i="3"/>
  <c r="H23" i="2" s="1"/>
  <c r="F16" i="3"/>
  <c r="H24" i="2" s="1"/>
  <c r="F17" i="3"/>
  <c r="H25" i="2" s="1"/>
  <c r="F18" i="3"/>
  <c r="F19" i="3"/>
  <c r="F6" i="3"/>
  <c r="H14" i="2" s="1"/>
  <c r="A2" i="3"/>
  <c r="M27" i="4" l="1"/>
  <c r="M21" i="4"/>
  <c r="M26" i="4"/>
  <c r="M20" i="4"/>
  <c r="M18" i="4"/>
  <c r="M25" i="4"/>
  <c r="M19" i="4"/>
  <c r="M17" i="4"/>
  <c r="M24" i="4"/>
  <c r="M16" i="4"/>
  <c r="M23" i="4"/>
  <c r="M29" i="4"/>
  <c r="M28" i="4"/>
  <c r="M22" i="4"/>
  <c r="K46" i="4"/>
  <c r="K47" i="4"/>
  <c r="D47" i="2"/>
  <c r="G15" i="2" l="1"/>
  <c r="F15" i="2"/>
  <c r="H16" i="4"/>
  <c r="H17" i="4"/>
  <c r="H18" i="4"/>
  <c r="C38" i="2"/>
  <c r="A39" i="4" s="1"/>
  <c r="C39" i="2"/>
  <c r="A40" i="4" s="1"/>
  <c r="C40" i="2"/>
  <c r="A41" i="4" s="1"/>
  <c r="C41" i="2"/>
  <c r="A42" i="4" s="1"/>
  <c r="C42" i="2"/>
  <c r="A43" i="4" s="1"/>
  <c r="C43" i="2"/>
  <c r="A44" i="4" s="1"/>
  <c r="C44" i="2"/>
  <c r="A45" i="4" s="1"/>
  <c r="C45" i="2"/>
  <c r="A46" i="4" s="1"/>
  <c r="C46" i="2"/>
  <c r="A47" i="4" s="1"/>
  <c r="C13" i="2"/>
  <c r="A14" i="4" s="1"/>
  <c r="C14" i="2"/>
  <c r="A15" i="4" s="1"/>
  <c r="C15" i="2"/>
  <c r="A16" i="4" s="1"/>
  <c r="C16" i="2"/>
  <c r="A17" i="4" s="1"/>
  <c r="C17" i="2"/>
  <c r="A18" i="4" s="1"/>
  <c r="C18" i="2"/>
  <c r="A19" i="4" s="1"/>
  <c r="C19" i="2"/>
  <c r="A20" i="4" s="1"/>
  <c r="C20" i="2"/>
  <c r="A21" i="4" s="1"/>
  <c r="C21" i="2"/>
  <c r="A22" i="4" s="1"/>
  <c r="C22" i="2"/>
  <c r="A23" i="4" s="1"/>
  <c r="C23" i="2"/>
  <c r="A24" i="4" s="1"/>
  <c r="C24" i="2"/>
  <c r="A25" i="4" s="1"/>
  <c r="C25" i="2"/>
  <c r="A26" i="4" s="1"/>
  <c r="C26" i="2"/>
  <c r="A27" i="4" s="1"/>
  <c r="C27" i="2"/>
  <c r="A28" i="4" s="1"/>
  <c r="C28" i="2"/>
  <c r="A29" i="4" s="1"/>
  <c r="C29" i="2"/>
  <c r="A30" i="4" s="1"/>
  <c r="C30" i="2"/>
  <c r="A31" i="4" s="1"/>
  <c r="C31" i="2"/>
  <c r="A32" i="4" s="1"/>
  <c r="C32" i="2"/>
  <c r="A33" i="4" s="1"/>
  <c r="C33" i="2"/>
  <c r="A34" i="4" s="1"/>
  <c r="C34" i="2"/>
  <c r="A35" i="4" s="1"/>
  <c r="C35" i="2"/>
  <c r="A36" i="4" s="1"/>
  <c r="C36" i="2"/>
  <c r="A37" i="4" s="1"/>
  <c r="C37" i="2"/>
  <c r="A38" i="4" s="1"/>
  <c r="C12" i="2"/>
  <c r="D13" i="2"/>
  <c r="B14" i="4" s="1"/>
  <c r="D14" i="2"/>
  <c r="B15" i="4" s="1"/>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D12" i="2"/>
  <c r="H28" i="2"/>
  <c r="H46" i="2"/>
  <c r="B48" i="4" l="1"/>
  <c r="B52" i="4"/>
  <c r="B51" i="4"/>
  <c r="B50" i="4"/>
  <c r="B49" i="4"/>
  <c r="M31" i="4"/>
  <c r="M32" i="4"/>
  <c r="M33" i="4"/>
  <c r="M34" i="4"/>
  <c r="M35" i="4"/>
  <c r="M36" i="4"/>
  <c r="M37" i="4"/>
  <c r="M38" i="4"/>
  <c r="M39" i="4"/>
  <c r="M40" i="4"/>
  <c r="M41" i="4"/>
  <c r="B41" i="2"/>
  <c r="M42" i="4" s="1"/>
  <c r="B42" i="2"/>
  <c r="M43" i="4" s="1"/>
  <c r="B43" i="2"/>
  <c r="M44" i="4" s="1"/>
  <c r="B44" i="2"/>
  <c r="M45" i="4" s="1"/>
  <c r="B13" i="2"/>
  <c r="M14" i="4" s="1"/>
  <c r="A12" i="2"/>
  <c r="A13" i="2"/>
  <c r="A14" i="2"/>
  <c r="K27" i="4"/>
  <c r="K28" i="4"/>
  <c r="M15" i="4" l="1"/>
  <c r="K35" i="4"/>
  <c r="K40" i="4"/>
  <c r="K23" i="4"/>
  <c r="K22" i="4"/>
  <c r="K39" i="4"/>
  <c r="K33" i="4"/>
  <c r="K21" i="4"/>
  <c r="K44" i="4"/>
  <c r="K38" i="4"/>
  <c r="K32" i="4"/>
  <c r="K26" i="4"/>
  <c r="K20" i="4"/>
  <c r="K41" i="4"/>
  <c r="K17" i="4"/>
  <c r="K45" i="4"/>
  <c r="K43" i="4"/>
  <c r="K37" i="4"/>
  <c r="K31" i="4"/>
  <c r="K25" i="4"/>
  <c r="K19" i="4"/>
  <c r="K29" i="4"/>
  <c r="K34" i="4"/>
  <c r="K42" i="4"/>
  <c r="K36" i="4"/>
  <c r="K30" i="4"/>
  <c r="K24" i="4"/>
  <c r="K18" i="4"/>
  <c r="U43" i="4"/>
  <c r="U40" i="4"/>
  <c r="U38" i="4"/>
  <c r="I38" i="2" l="1"/>
  <c r="I16" i="4"/>
  <c r="H38" i="2"/>
  <c r="H39" i="2"/>
  <c r="H40" i="2"/>
  <c r="H34" i="2"/>
  <c r="H33" i="2"/>
  <c r="H32" i="2"/>
  <c r="H31" i="2"/>
  <c r="H30" i="2"/>
  <c r="H29" i="2"/>
  <c r="K48" i="4" l="1"/>
  <c r="K49" i="4"/>
  <c r="K50" i="4"/>
  <c r="K51" i="4"/>
  <c r="K52" i="4"/>
  <c r="K16" i="4" l="1"/>
  <c r="H26" i="2"/>
  <c r="U29" i="4" l="1"/>
  <c r="U26" i="4"/>
  <c r="U24" i="4"/>
  <c r="U21" i="4"/>
  <c r="U18" i="4"/>
  <c r="U32" i="4"/>
  <c r="CO5" i="7"/>
  <c r="CZ9" i="2" s="1"/>
  <c r="CP5" i="7"/>
  <c r="DA9" i="2" s="1"/>
  <c r="CQ5" i="7"/>
  <c r="DB9" i="2" s="1"/>
  <c r="CR5" i="7"/>
  <c r="DC9" i="2" s="1"/>
  <c r="CS5" i="7"/>
  <c r="DD9" i="2" s="1"/>
  <c r="CT5" i="7"/>
  <c r="DE9" i="2" s="1"/>
  <c r="CU5" i="7"/>
  <c r="DF9" i="2" s="1"/>
  <c r="CV5" i="7"/>
  <c r="DG9" i="2" s="1"/>
  <c r="CW5" i="7"/>
  <c r="DH9" i="2" s="1"/>
  <c r="CN5" i="7"/>
  <c r="CY9" i="2" s="1"/>
  <c r="BK5" i="7"/>
  <c r="BV9" i="2" s="1"/>
  <c r="BL5" i="7"/>
  <c r="BW9" i="2" s="1"/>
  <c r="BM5" i="7"/>
  <c r="BX9" i="2" s="1"/>
  <c r="BN5" i="7"/>
  <c r="BY9" i="2" s="1"/>
  <c r="BO5" i="7"/>
  <c r="BZ9" i="2" s="1"/>
  <c r="BP5" i="7"/>
  <c r="CA9" i="2" s="1"/>
  <c r="BQ5" i="7"/>
  <c r="CB9" i="2" s="1"/>
  <c r="BR5" i="7"/>
  <c r="CC9" i="2" s="1"/>
  <c r="BS5" i="7"/>
  <c r="CD9" i="2" s="1"/>
  <c r="BJ5" i="7"/>
  <c r="BU9" i="2" s="1"/>
  <c r="W5" i="7"/>
  <c r="AH9" i="2" s="1"/>
  <c r="X5" i="7"/>
  <c r="AI9" i="2" s="1"/>
  <c r="Y5" i="7"/>
  <c r="AJ9" i="2" s="1"/>
  <c r="Z5" i="7"/>
  <c r="AK9" i="2" s="1"/>
  <c r="AA5" i="7"/>
  <c r="AL9" i="2" s="1"/>
  <c r="AB5" i="7"/>
  <c r="AM9" i="2" s="1"/>
  <c r="AC5" i="7"/>
  <c r="AN9" i="2" s="1"/>
  <c r="AD5" i="7"/>
  <c r="AO9" i="2" s="1"/>
  <c r="AE5" i="7"/>
  <c r="AP9" i="2" s="1"/>
  <c r="V5" i="7"/>
  <c r="AG9" i="2" s="1"/>
  <c r="AG5" i="7"/>
  <c r="AR9" i="2" s="1"/>
  <c r="AH5" i="7"/>
  <c r="AS9" i="2" s="1"/>
  <c r="AI5" i="7"/>
  <c r="AT9" i="2" s="1"/>
  <c r="AJ5" i="7"/>
  <c r="AU9" i="2" s="1"/>
  <c r="AK5" i="7"/>
  <c r="AV9" i="2" s="1"/>
  <c r="AL5" i="7"/>
  <c r="AW9" i="2" s="1"/>
  <c r="AM5" i="7"/>
  <c r="AX9" i="2" s="1"/>
  <c r="AN5" i="7"/>
  <c r="AY9" i="2" s="1"/>
  <c r="AO5" i="7"/>
  <c r="AZ9" i="2" s="1"/>
  <c r="AF5" i="7"/>
  <c r="AQ9" i="2" s="1"/>
  <c r="AQ5" i="7"/>
  <c r="BB9" i="2" s="1"/>
  <c r="AR5" i="7"/>
  <c r="BC9" i="2" s="1"/>
  <c r="AS5" i="7"/>
  <c r="BD9" i="2" s="1"/>
  <c r="AT5" i="7"/>
  <c r="BE9" i="2" s="1"/>
  <c r="AU5" i="7"/>
  <c r="BF9" i="2" s="1"/>
  <c r="AV5" i="7"/>
  <c r="BG9" i="2" s="1"/>
  <c r="AW5" i="7"/>
  <c r="BH9" i="2" s="1"/>
  <c r="AX5" i="7"/>
  <c r="BI9" i="2" s="1"/>
  <c r="AY5" i="7"/>
  <c r="BJ9" i="2" s="1"/>
  <c r="AP5" i="7"/>
  <c r="BA9" i="2" s="1"/>
  <c r="BA5" i="7"/>
  <c r="BL9" i="2" s="1"/>
  <c r="BB5" i="7"/>
  <c r="BM9" i="2" s="1"/>
  <c r="BC5" i="7"/>
  <c r="BN9" i="2" s="1"/>
  <c r="BD5" i="7"/>
  <c r="BO9" i="2" s="1"/>
  <c r="BE5" i="7"/>
  <c r="BP9" i="2" s="1"/>
  <c r="BF5" i="7"/>
  <c r="BQ9" i="2" s="1"/>
  <c r="BG5" i="7"/>
  <c r="BR9" i="2" s="1"/>
  <c r="BH5" i="7"/>
  <c r="BS9" i="2" s="1"/>
  <c r="BI5" i="7"/>
  <c r="BT9" i="2" s="1"/>
  <c r="AZ5" i="7"/>
  <c r="BK9" i="2" s="1"/>
  <c r="BU5" i="7"/>
  <c r="CF9" i="2" s="1"/>
  <c r="BV5" i="7"/>
  <c r="CG9" i="2" s="1"/>
  <c r="BW5" i="7"/>
  <c r="CH9" i="2" s="1"/>
  <c r="BX5" i="7"/>
  <c r="CI9" i="2" s="1"/>
  <c r="BY5" i="7"/>
  <c r="CJ9" i="2" s="1"/>
  <c r="BZ5" i="7"/>
  <c r="CK9" i="2" s="1"/>
  <c r="CA5" i="7"/>
  <c r="CL9" i="2" s="1"/>
  <c r="CB5" i="7"/>
  <c r="CM9" i="2" s="1"/>
  <c r="CC5" i="7"/>
  <c r="CN9" i="2" s="1"/>
  <c r="BT5" i="7"/>
  <c r="CE9" i="2" s="1"/>
  <c r="CE5" i="7"/>
  <c r="CP9" i="2" s="1"/>
  <c r="CF5" i="7"/>
  <c r="CQ9" i="2" s="1"/>
  <c r="CG5" i="7"/>
  <c r="CR9" i="2" s="1"/>
  <c r="CH5" i="7"/>
  <c r="CS9" i="2" s="1"/>
  <c r="CI5" i="7"/>
  <c r="CT9" i="2" s="1"/>
  <c r="CJ5" i="7"/>
  <c r="CU9" i="2" s="1"/>
  <c r="CK5" i="7"/>
  <c r="CV9" i="2" s="1"/>
  <c r="CL5" i="7"/>
  <c r="CW9" i="2" s="1"/>
  <c r="CM5" i="7"/>
  <c r="CX9" i="2" s="1"/>
  <c r="CD5" i="7"/>
  <c r="CO9" i="2" s="1"/>
  <c r="CY5" i="7"/>
  <c r="DJ9" i="2" s="1"/>
  <c r="CZ5" i="7"/>
  <c r="DK9" i="2" s="1"/>
  <c r="DA5" i="7"/>
  <c r="DL9" i="2" s="1"/>
  <c r="DB5" i="7"/>
  <c r="DM9" i="2" s="1"/>
  <c r="CX5" i="7"/>
  <c r="DI9" i="2" s="1"/>
  <c r="M5" i="7"/>
  <c r="X9" i="2" s="1"/>
  <c r="N5" i="7"/>
  <c r="Y9" i="2" s="1"/>
  <c r="O5" i="7"/>
  <c r="Z9" i="2" s="1"/>
  <c r="P5" i="7"/>
  <c r="AA9" i="2" s="1"/>
  <c r="Q5" i="7"/>
  <c r="AB9" i="2" s="1"/>
  <c r="R5" i="7"/>
  <c r="AC9" i="2" s="1"/>
  <c r="S5" i="7"/>
  <c r="AD9" i="2" s="1"/>
  <c r="T5" i="7"/>
  <c r="AE9" i="2" s="1"/>
  <c r="U5" i="7"/>
  <c r="AF9" i="2" s="1"/>
  <c r="L5" i="7"/>
  <c r="W9" i="2" s="1"/>
  <c r="C5" i="7"/>
  <c r="N9" i="2" s="1"/>
  <c r="D5" i="7"/>
  <c r="O9" i="2" s="1"/>
  <c r="E5" i="7"/>
  <c r="P9" i="2" s="1"/>
  <c r="F5" i="7"/>
  <c r="Q9" i="2" s="1"/>
  <c r="G5" i="7"/>
  <c r="R9" i="2" s="1"/>
  <c r="H5" i="7"/>
  <c r="S9" i="2" s="1"/>
  <c r="I5" i="7"/>
  <c r="T9" i="2" s="1"/>
  <c r="J5" i="7"/>
  <c r="U9" i="2" s="1"/>
  <c r="K5" i="7"/>
  <c r="V9" i="2" s="1"/>
  <c r="B5" i="7"/>
  <c r="M9" i="2" s="1"/>
  <c r="L9" i="2" s="1"/>
  <c r="AX6" i="2" l="1"/>
  <c r="AY6" i="2"/>
  <c r="AZ6" i="2"/>
  <c r="BA6" i="2"/>
  <c r="BB6" i="2"/>
  <c r="BC6" i="2"/>
  <c r="BD6" i="2"/>
  <c r="BE6" i="2"/>
  <c r="BF6" i="2"/>
  <c r="BG6" i="2"/>
  <c r="BH6" i="2"/>
  <c r="BI6" i="2"/>
  <c r="BJ6" i="2"/>
  <c r="BK6" i="2"/>
  <c r="BL6" i="2"/>
  <c r="BM6" i="2"/>
  <c r="BN6" i="2"/>
  <c r="BO6" i="2"/>
  <c r="BP6" i="2"/>
  <c r="BQ6" i="2"/>
  <c r="BR6" i="2"/>
  <c r="BS6" i="2"/>
  <c r="BT6" i="2"/>
  <c r="BU6" i="2"/>
  <c r="BV6" i="2"/>
  <c r="BW6" i="2"/>
  <c r="BX6" i="2"/>
  <c r="BY6" i="2"/>
  <c r="BZ6" i="2"/>
  <c r="CA6" i="2"/>
  <c r="CB6" i="2"/>
  <c r="CC6" i="2"/>
  <c r="CD6" i="2"/>
  <c r="CE6" i="2"/>
  <c r="CF6" i="2"/>
  <c r="CG6" i="2"/>
  <c r="CH6" i="2"/>
  <c r="CI6" i="2"/>
  <c r="CJ6" i="2"/>
  <c r="CK6" i="2"/>
  <c r="CL6" i="2"/>
  <c r="CM6" i="2"/>
  <c r="CN6" i="2"/>
  <c r="CO6" i="2"/>
  <c r="CP6" i="2"/>
  <c r="CQ6" i="2"/>
  <c r="CR6" i="2"/>
  <c r="CS6" i="2"/>
  <c r="CT6" i="2"/>
  <c r="CU6" i="2"/>
  <c r="CV6" i="2"/>
  <c r="CW6" i="2"/>
  <c r="CX6" i="2"/>
  <c r="CY6" i="2"/>
  <c r="CZ6" i="2"/>
  <c r="DA6" i="2"/>
  <c r="DB6" i="2"/>
  <c r="DC6" i="2"/>
  <c r="DD6" i="2"/>
  <c r="DE6" i="2"/>
  <c r="DF6" i="2"/>
  <c r="DG6" i="2"/>
  <c r="DH6" i="2"/>
  <c r="DI6" i="2"/>
  <c r="DJ6" i="2"/>
  <c r="DK6" i="2"/>
  <c r="DL6" i="2"/>
  <c r="DM6" i="2"/>
  <c r="B13" i="4" l="1"/>
  <c r="I28" i="2" l="1"/>
  <c r="I29" i="2"/>
  <c r="I31" i="2"/>
  <c r="I34" i="2"/>
  <c r="I33" i="2"/>
  <c r="I32" i="2"/>
  <c r="I26" i="2"/>
  <c r="I30" i="2"/>
  <c r="I27" i="2"/>
  <c r="I25" i="2"/>
  <c r="I19" i="2"/>
  <c r="I17" i="2"/>
  <c r="H27" i="2"/>
  <c r="F7" i="3"/>
  <c r="H15" i="2" l="1"/>
  <c r="F5" i="3"/>
  <c r="F39" i="3" s="1"/>
  <c r="H47" i="2"/>
  <c r="L26" i="2" l="1"/>
  <c r="L19" i="2"/>
  <c r="L18" i="2"/>
  <c r="L27" i="2"/>
  <c r="L20" i="2"/>
  <c r="L17" i="2"/>
  <c r="L16" i="2"/>
  <c r="L22" i="2"/>
  <c r="L21" i="2"/>
  <c r="L25" i="2"/>
  <c r="L24" i="2"/>
  <c r="L23" i="2"/>
  <c r="L28" i="2"/>
  <c r="L15" i="2"/>
  <c r="J36" i="2"/>
  <c r="J21" i="2"/>
  <c r="J19" i="2"/>
  <c r="J14" i="2"/>
  <c r="J41" i="2"/>
  <c r="J25" i="2"/>
  <c r="J17" i="2"/>
  <c r="J45" i="2"/>
  <c r="J20" i="2"/>
  <c r="J22" i="2"/>
  <c r="J44" i="2"/>
  <c r="J35" i="2"/>
  <c r="J16" i="2"/>
  <c r="J43" i="2"/>
  <c r="J24" i="2"/>
  <c r="J37" i="2"/>
  <c r="J18" i="2"/>
  <c r="K45" i="2"/>
  <c r="J23" i="2"/>
  <c r="J42" i="2"/>
  <c r="J28" i="2"/>
  <c r="J46" i="2"/>
  <c r="K14" i="2"/>
  <c r="K42" i="2"/>
  <c r="K24" i="2"/>
  <c r="L36" i="2"/>
  <c r="K41" i="2"/>
  <c r="K23" i="2"/>
  <c r="L14" i="2"/>
  <c r="K39" i="2"/>
  <c r="K21" i="2"/>
  <c r="K20" i="2"/>
  <c r="K31" i="2"/>
  <c r="K16" i="2"/>
  <c r="L43" i="2"/>
  <c r="L40" i="2"/>
  <c r="K36" i="2"/>
  <c r="K18" i="2"/>
  <c r="K28" i="2"/>
  <c r="K35" i="2"/>
  <c r="K17" i="2"/>
  <c r="L39" i="2"/>
  <c r="K38" i="2"/>
  <c r="K43" i="2"/>
  <c r="K25" i="2"/>
  <c r="L37" i="2"/>
  <c r="K34" i="2"/>
  <c r="L44" i="2"/>
  <c r="K44" i="2"/>
  <c r="K30" i="2"/>
  <c r="K33" i="2"/>
  <c r="K29" i="2"/>
  <c r="L41" i="2"/>
  <c r="K22" i="2"/>
  <c r="K32" i="2"/>
  <c r="L38" i="2"/>
  <c r="K37" i="2"/>
  <c r="K19" i="2"/>
  <c r="K40" i="2"/>
  <c r="L42" i="2"/>
  <c r="L35" i="2"/>
  <c r="J31" i="2"/>
  <c r="J34" i="2"/>
  <c r="J38" i="2"/>
  <c r="J29" i="2"/>
  <c r="J32" i="2"/>
  <c r="J40" i="2"/>
  <c r="J33" i="2"/>
  <c r="J30" i="2"/>
  <c r="J39" i="2"/>
  <c r="J26" i="2"/>
  <c r="J27" i="2"/>
  <c r="J15" i="2"/>
  <c r="J47" i="2"/>
  <c r="L45" i="2"/>
  <c r="K15" i="2"/>
  <c r="K46" i="2"/>
  <c r="L46" i="2"/>
  <c r="L34" i="2"/>
  <c r="L33" i="2"/>
  <c r="L31" i="2"/>
  <c r="L29" i="2"/>
  <c r="K27" i="2"/>
  <c r="L30" i="2"/>
  <c r="K26" i="2"/>
  <c r="L32" i="2"/>
  <c r="K47" i="2" l="1"/>
  <c r="L47" i="2"/>
  <c r="L48" i="2" s="1"/>
  <c r="J8" i="4" s="1"/>
  <c r="I64" i="4"/>
  <c r="B64" i="2"/>
  <c r="L64" i="4" s="1"/>
  <c r="A64" i="2"/>
  <c r="J64" i="4" s="1"/>
  <c r="I63" i="4" l="1"/>
  <c r="I62" i="4"/>
  <c r="L2" i="2" l="1"/>
  <c r="B12" i="2" l="1"/>
  <c r="K14" i="4"/>
  <c r="K15" i="4"/>
  <c r="A58" i="2" l="1"/>
  <c r="B6" i="7" l="1"/>
  <c r="L6" i="7" s="1"/>
  <c r="M6" i="7" s="1"/>
  <c r="N6" i="7" s="1"/>
  <c r="O6" i="7" s="1"/>
  <c r="P6" i="7" s="1"/>
  <c r="Q6" i="7" s="1"/>
  <c r="R6" i="7" s="1"/>
  <c r="S6" i="7" s="1"/>
  <c r="T6" i="7" s="1"/>
  <c r="U6" i="7" s="1"/>
  <c r="V6" i="7" s="1"/>
  <c r="W6" i="7" s="1"/>
  <c r="X6" i="7" s="1"/>
  <c r="Y6" i="7" s="1"/>
  <c r="Z6" i="7" s="1"/>
  <c r="AA6" i="7" s="1"/>
  <c r="AB6" i="7" s="1"/>
  <c r="AC6" i="7" s="1"/>
  <c r="AD6" i="7" s="1"/>
  <c r="AE6" i="7" s="1"/>
  <c r="AF6" i="7" s="1"/>
  <c r="AG6" i="7" s="1"/>
  <c r="AH6" i="7" s="1"/>
  <c r="AI6" i="7" s="1"/>
  <c r="AJ6" i="7" s="1"/>
  <c r="AK6" i="7" s="1"/>
  <c r="AL6" i="7" s="1"/>
  <c r="AM6" i="7" s="1"/>
  <c r="AN6" i="7" s="1"/>
  <c r="AO6" i="7" s="1"/>
  <c r="AP6" i="7" s="1"/>
  <c r="AQ6" i="7" s="1"/>
  <c r="AR6" i="7" s="1"/>
  <c r="AS6" i="7" s="1"/>
  <c r="AT6" i="7" s="1"/>
  <c r="AU6" i="7" s="1"/>
  <c r="AV6" i="7" s="1"/>
  <c r="AW6" i="7" s="1"/>
  <c r="AX6" i="7" s="1"/>
  <c r="AY6" i="7" s="1"/>
  <c r="AZ6" i="7" s="1"/>
  <c r="BA6" i="7" s="1"/>
  <c r="BB6" i="7" s="1"/>
  <c r="BC6" i="7" s="1"/>
  <c r="BD6" i="7" s="1"/>
  <c r="BE6" i="7" s="1"/>
  <c r="BF6" i="7" s="1"/>
  <c r="BG6" i="7" s="1"/>
  <c r="BH6" i="7" s="1"/>
  <c r="BI6" i="7" s="1"/>
  <c r="BJ6" i="7" s="1"/>
  <c r="BK6" i="7" s="1"/>
  <c r="BL6" i="7" s="1"/>
  <c r="BM6" i="7" s="1"/>
  <c r="BN6" i="7" s="1"/>
  <c r="BO6" i="7" s="1"/>
  <c r="BP6" i="7" s="1"/>
  <c r="BQ6" i="7" s="1"/>
  <c r="BR6" i="7" s="1"/>
  <c r="BS6" i="7" s="1"/>
  <c r="BT6" i="7" s="1"/>
  <c r="BU6" i="7" s="1"/>
  <c r="BV6" i="7" s="1"/>
  <c r="BW6" i="7" s="1"/>
  <c r="BX6" i="7" s="1"/>
  <c r="BY6" i="7" s="1"/>
  <c r="BZ6" i="7" s="1"/>
  <c r="CA6" i="7" s="1"/>
  <c r="CB6" i="7" s="1"/>
  <c r="CC6" i="7" s="1"/>
  <c r="CD6" i="7" s="1"/>
  <c r="CE6" i="7" s="1"/>
  <c r="CF6" i="7" s="1"/>
  <c r="CG6" i="7" s="1"/>
  <c r="CH6" i="7" s="1"/>
  <c r="CI6" i="7" s="1"/>
  <c r="CJ6" i="7" s="1"/>
  <c r="CK6" i="7" s="1"/>
  <c r="CL6" i="7" s="1"/>
  <c r="CM6" i="7" s="1"/>
  <c r="CN6" i="7" s="1"/>
  <c r="CO6" i="7" s="1"/>
  <c r="CP6" i="7" s="1"/>
  <c r="CQ6" i="7" s="1"/>
  <c r="CR6" i="7" s="1"/>
  <c r="CS6" i="7" s="1"/>
  <c r="CT6" i="7" s="1"/>
  <c r="CU6" i="7" s="1"/>
  <c r="CV6" i="7" s="1"/>
  <c r="CW6" i="7" s="1"/>
  <c r="CX6" i="7" s="1"/>
  <c r="CY6" i="7" s="1"/>
  <c r="CZ6" i="7" s="1"/>
  <c r="DA6" i="7" s="1"/>
  <c r="DB6" i="7" s="1"/>
  <c r="DC6" i="7" s="1"/>
  <c r="DD6" i="7" s="1"/>
  <c r="DE6" i="7" s="1"/>
  <c r="DF6" i="7" s="1"/>
  <c r="DG6" i="7" s="1"/>
  <c r="DH6" i="7" s="1"/>
  <c r="DI6" i="7" s="1"/>
  <c r="DJ6" i="7" s="1"/>
  <c r="DK6" i="7" s="1"/>
  <c r="DL6" i="7" s="1"/>
  <c r="DM6" i="7" s="1"/>
  <c r="DN6" i="7" s="1"/>
  <c r="DO6" i="7" s="1"/>
  <c r="DP6" i="7" s="1"/>
  <c r="DQ6" i="7" s="1"/>
  <c r="DR6" i="7" s="1"/>
  <c r="DS6" i="7" s="1"/>
  <c r="DT6" i="7" s="1"/>
  <c r="DU6" i="7" s="1"/>
  <c r="DV6" i="7" s="1"/>
  <c r="DW6" i="7" s="1"/>
  <c r="DX6" i="7" s="1"/>
  <c r="DY6" i="7" s="1"/>
  <c r="DZ6" i="7" s="1"/>
  <c r="EA6" i="7" s="1"/>
  <c r="EB6" i="7" s="1"/>
  <c r="EC6" i="7" s="1"/>
  <c r="ED6" i="7" s="1"/>
  <c r="EE6" i="7" s="1"/>
  <c r="EF6" i="7" s="1"/>
  <c r="EG6" i="7" s="1"/>
  <c r="EH6" i="7" s="1"/>
  <c r="EI6" i="7" s="1"/>
  <c r="EJ6" i="7" s="1"/>
  <c r="EK6" i="7" s="1"/>
  <c r="EL6" i="7" s="1"/>
  <c r="EM6" i="7" s="1"/>
  <c r="EN6" i="7" s="1"/>
  <c r="EO6" i="7" s="1"/>
  <c r="EP6" i="7" s="1"/>
  <c r="EQ6" i="7" s="1"/>
  <c r="ER6" i="7" s="1"/>
  <c r="ES6" i="7" s="1"/>
  <c r="ET6" i="7" s="1"/>
  <c r="EU6" i="7" s="1"/>
  <c r="EV6" i="7" s="1"/>
  <c r="EW6" i="7" s="1"/>
  <c r="EX6" i="7" s="1"/>
  <c r="EY6" i="7" s="1"/>
  <c r="EZ6" i="7" s="1"/>
  <c r="FA6" i="7" s="1"/>
  <c r="FB6" i="7" s="1"/>
  <c r="FC6" i="7" s="1"/>
  <c r="FD6" i="7" s="1"/>
  <c r="FE6" i="7" s="1"/>
  <c r="FF6" i="7" s="1"/>
  <c r="FG6" i="7" s="1"/>
  <c r="FH6" i="7" s="1"/>
  <c r="FI6" i="7" s="1"/>
  <c r="FJ6" i="7" s="1"/>
  <c r="FK6" i="7" s="1"/>
  <c r="FL6" i="7" s="1"/>
  <c r="FM6" i="7" s="1"/>
  <c r="FN6" i="7" s="1"/>
  <c r="FO6" i="7" s="1"/>
  <c r="FP6" i="7" s="1"/>
  <c r="FQ6" i="7" s="1"/>
  <c r="FR6" i="7" s="1"/>
  <c r="FS6" i="7" s="1"/>
  <c r="FT6" i="7" s="1"/>
  <c r="FU6" i="7" s="1"/>
  <c r="FV6" i="7" s="1"/>
  <c r="FW6" i="7" s="1"/>
  <c r="FX6" i="7" s="1"/>
  <c r="FY6" i="7" s="1"/>
  <c r="B58" i="2" l="1"/>
  <c r="A65" i="4" l="1"/>
  <c r="C65" i="4"/>
  <c r="E65" i="4"/>
  <c r="A64" i="4" l="1"/>
  <c r="I61" i="4" l="1"/>
  <c r="L7" i="4" l="1"/>
  <c r="U35" i="4" s="1"/>
  <c r="J5" i="4"/>
  <c r="A51" i="2"/>
  <c r="B51" i="2"/>
  <c r="L4" i="2"/>
  <c r="A48" i="4"/>
  <c r="A49" i="4"/>
  <c r="A50" i="4"/>
  <c r="A51" i="4"/>
  <c r="A52" i="4"/>
  <c r="H50" i="4" l="1"/>
  <c r="H48" i="4"/>
  <c r="H52" i="4"/>
  <c r="H49" i="4"/>
  <c r="H51" i="4"/>
  <c r="C8" i="4"/>
  <c r="A79" i="2" l="1"/>
  <c r="A73" i="4" s="1"/>
  <c r="A77" i="2"/>
  <c r="A75" i="2"/>
  <c r="A73" i="2"/>
  <c r="A71" i="2"/>
  <c r="A63" i="4" l="1"/>
  <c r="A56" i="2" l="1"/>
  <c r="C63" i="4" s="1"/>
  <c r="A57" i="2"/>
  <c r="C64" i="4" s="1"/>
  <c r="B56" i="2"/>
  <c r="E63" i="4" s="1"/>
  <c r="B57" i="2"/>
  <c r="E64" i="4" s="1"/>
  <c r="B50" i="2" l="1"/>
  <c r="A63" i="2" l="1"/>
  <c r="J63" i="4" s="1"/>
  <c r="B63" i="2"/>
  <c r="L63" i="4" s="1"/>
  <c r="A10" i="4" l="1"/>
  <c r="L8" i="2" l="1"/>
  <c r="L7" i="2"/>
  <c r="U46" i="4" l="1"/>
  <c r="U14" i="4"/>
  <c r="K8" i="6" l="1"/>
  <c r="A62" i="4" l="1"/>
  <c r="A61" i="4"/>
  <c r="A71" i="4"/>
  <c r="A69" i="4"/>
  <c r="B62" i="2"/>
  <c r="L62" i="4" s="1"/>
  <c r="A62" i="2"/>
  <c r="J62" i="4" s="1"/>
  <c r="B61" i="2"/>
  <c r="L61" i="4" s="1"/>
  <c r="A61" i="2"/>
  <c r="J61" i="4" s="1"/>
  <c r="B55" i="2"/>
  <c r="E62" i="4" s="1"/>
  <c r="A55" i="2"/>
  <c r="C62" i="4" s="1"/>
  <c r="B54" i="2"/>
  <c r="E61" i="4" s="1"/>
  <c r="A54" i="2"/>
  <c r="C61" i="4" s="1"/>
  <c r="A50" i="2"/>
  <c r="C5" i="4"/>
  <c r="C3" i="4"/>
  <c r="G6" i="4"/>
  <c r="J6" i="4" s="1"/>
  <c r="K13" i="4"/>
  <c r="G4" i="4"/>
  <c r="D4" i="4"/>
  <c r="M51" i="4" l="1"/>
  <c r="M52" i="4"/>
  <c r="M50" i="4"/>
  <c r="M49" i="4"/>
  <c r="M48" i="4"/>
  <c r="A67" i="2"/>
  <c r="A68" i="2"/>
  <c r="M13" i="4"/>
  <c r="B68" i="2"/>
  <c r="B67" i="2"/>
  <c r="I21" i="2"/>
  <c r="A13" i="4"/>
  <c r="A1" i="3" l="1"/>
  <c r="M6" i="2" l="1"/>
  <c r="N6" i="2" l="1"/>
  <c r="O6" i="2" l="1"/>
  <c r="P6" i="2" l="1"/>
  <c r="Q6" i="2" l="1"/>
  <c r="R6" i="2" l="1"/>
  <c r="S6" i="2" l="1"/>
  <c r="T6" i="2" l="1"/>
  <c r="L5" i="2" l="1"/>
  <c r="U6" i="2"/>
  <c r="V6" i="2" l="1"/>
  <c r="W6" i="2" l="1"/>
  <c r="X6" i="2" l="1"/>
  <c r="Y6" i="2" l="1"/>
  <c r="Z6" i="2" l="1"/>
  <c r="AA6" i="2" l="1"/>
  <c r="AB6" i="2" l="1"/>
  <c r="AC6" i="2" l="1"/>
  <c r="AD6" i="2" l="1"/>
  <c r="AE6" i="2" l="1"/>
  <c r="AF6" i="2" l="1"/>
  <c r="AG6" i="2" l="1"/>
  <c r="AH6" i="2" l="1"/>
  <c r="AI6" i="2" l="1"/>
  <c r="AJ6" i="2" l="1"/>
  <c r="AK6" i="2" l="1"/>
  <c r="AL6" i="2" l="1"/>
  <c r="AM6" i="2" l="1"/>
  <c r="AN6" i="2" l="1"/>
  <c r="AO6" i="2" l="1"/>
  <c r="AP6" i="2" l="1"/>
  <c r="AQ6" i="2" l="1"/>
  <c r="AR6" i="2" l="1"/>
  <c r="AS6" i="2" l="1"/>
  <c r="AT6" i="2" l="1"/>
  <c r="AU6" i="2" l="1"/>
  <c r="AV6" i="2" l="1"/>
  <c r="AW6" i="2" l="1"/>
  <c r="L6" i="2" l="1"/>
  <c r="K4" i="4" l="1"/>
  <c r="N4" i="4" s="1"/>
  <c r="K3" i="6"/>
</calcChain>
</file>

<file path=xl/sharedStrings.xml><?xml version="1.0" encoding="utf-8"?>
<sst xmlns="http://schemas.openxmlformats.org/spreadsheetml/2006/main" count="800" uniqueCount="412">
  <si>
    <t>業主名稱</t>
    <phoneticPr fontId="1" type="noConversion"/>
  </si>
  <si>
    <t>監造單位</t>
    <phoneticPr fontId="1" type="noConversion"/>
  </si>
  <si>
    <t>承包廠商</t>
    <phoneticPr fontId="1" type="noConversion"/>
  </si>
  <si>
    <t>工程編號</t>
    <phoneticPr fontId="1" type="noConversion"/>
  </si>
  <si>
    <t>契約編號</t>
    <phoneticPr fontId="1" type="noConversion"/>
  </si>
  <si>
    <t>開工日期</t>
    <phoneticPr fontId="1" type="noConversion"/>
  </si>
  <si>
    <t>預定完工日期</t>
    <phoneticPr fontId="1" type="noConversion"/>
  </si>
  <si>
    <t>契約期限</t>
    <phoneticPr fontId="1" type="noConversion"/>
  </si>
  <si>
    <t>契約金額</t>
    <phoneticPr fontId="1" type="noConversion"/>
  </si>
  <si>
    <t xml:space="preserve"> 工程地點</t>
    <phoneticPr fontId="1" type="noConversion"/>
  </si>
  <si>
    <t>項</t>
    <phoneticPr fontId="1" type="noConversion"/>
  </si>
  <si>
    <t>次</t>
    <phoneticPr fontId="1" type="noConversion"/>
  </si>
  <si>
    <t>單位</t>
    <phoneticPr fontId="1" type="noConversion"/>
  </si>
  <si>
    <t>數量</t>
    <phoneticPr fontId="1" type="noConversion"/>
  </si>
  <si>
    <t>單價</t>
    <phoneticPr fontId="1" type="noConversion"/>
  </si>
  <si>
    <t>合計</t>
    <phoneticPr fontId="1" type="noConversion"/>
  </si>
  <si>
    <t>權重</t>
    <phoneticPr fontId="1" type="noConversion"/>
  </si>
  <si>
    <t>總計天數</t>
    <phoneticPr fontId="1" type="noConversion"/>
  </si>
  <si>
    <t>施工累計天數</t>
    <phoneticPr fontId="1" type="noConversion"/>
  </si>
  <si>
    <t>不計工期</t>
    <phoneticPr fontId="1" type="noConversion"/>
  </si>
  <si>
    <t>日期</t>
    <phoneticPr fontId="1" type="noConversion"/>
  </si>
  <si>
    <t>星期</t>
    <phoneticPr fontId="1" type="noConversion"/>
  </si>
  <si>
    <t>下午天氣</t>
    <phoneticPr fontId="1" type="noConversion"/>
  </si>
  <si>
    <t>上午天氣</t>
    <phoneticPr fontId="1" type="noConversion"/>
  </si>
  <si>
    <t>工程項目</t>
    <phoneticPr fontId="1" type="noConversion"/>
  </si>
  <si>
    <t>項次</t>
    <phoneticPr fontId="3" type="noConversion"/>
  </si>
  <si>
    <t>項目及說明</t>
    <phoneticPr fontId="3" type="noConversion"/>
  </si>
  <si>
    <t>單位</t>
    <phoneticPr fontId="3" type="noConversion"/>
  </si>
  <si>
    <t>數量</t>
    <phoneticPr fontId="3" type="noConversion"/>
  </si>
  <si>
    <t>單價</t>
    <phoneticPr fontId="3" type="noConversion"/>
  </si>
  <si>
    <t>複價</t>
    <phoneticPr fontId="3" type="noConversion"/>
  </si>
  <si>
    <t>壹</t>
  </si>
  <si>
    <t>式</t>
  </si>
  <si>
    <t>備註</t>
    <phoneticPr fontId="3" type="noConversion"/>
  </si>
  <si>
    <t>晴</t>
  </si>
  <si>
    <t>預定進度</t>
    <phoneticPr fontId="1" type="noConversion"/>
  </si>
  <si>
    <t>累計完成
數量</t>
    <phoneticPr fontId="1" type="noConversion"/>
  </si>
  <si>
    <t>本日完成
數量</t>
    <phoneticPr fontId="1" type="noConversion"/>
  </si>
  <si>
    <t>今日完成
進度</t>
    <phoneticPr fontId="1" type="noConversion"/>
  </si>
  <si>
    <t>累計完成
進度</t>
    <phoneticPr fontId="1" type="noConversion"/>
  </si>
  <si>
    <t>營造業專業工程特定施工項目</t>
    <phoneticPr fontId="1" type="noConversion"/>
  </si>
  <si>
    <t xml:space="preserve">  本日天氣：</t>
    <phoneticPr fontId="3" type="noConversion"/>
  </si>
  <si>
    <t>上午：</t>
  </si>
  <si>
    <t>下午：</t>
  </si>
  <si>
    <t>填表日期：</t>
    <phoneticPr fontId="3" type="noConversion"/>
  </si>
  <si>
    <t xml:space="preserve">  工程名稱：</t>
    <phoneticPr fontId="3" type="noConversion"/>
  </si>
  <si>
    <t xml:space="preserve">  核定工期：</t>
    <phoneticPr fontId="3" type="noConversion"/>
  </si>
  <si>
    <t>累計工期</t>
    <phoneticPr fontId="3" type="noConversion"/>
  </si>
  <si>
    <t>天</t>
    <phoneticPr fontId="3" type="noConversion"/>
  </si>
  <si>
    <t xml:space="preserve"> 剩餘工期 </t>
    <phoneticPr fontId="3" type="noConversion"/>
  </si>
  <si>
    <t>天</t>
    <phoneticPr fontId="3" type="noConversion"/>
  </si>
  <si>
    <t>開工日期：</t>
    <phoneticPr fontId="3" type="noConversion"/>
  </si>
  <si>
    <t>完工日期：</t>
    <phoneticPr fontId="3" type="noConversion"/>
  </si>
  <si>
    <t xml:space="preserve">  預定進度(%)</t>
    <phoneticPr fontId="3" type="noConversion"/>
  </si>
  <si>
    <t xml:space="preserve">  實際進度(%)</t>
    <phoneticPr fontId="3" type="noConversion"/>
  </si>
  <si>
    <t>項次</t>
    <phoneticPr fontId="3" type="noConversion"/>
  </si>
  <si>
    <t>施工項目</t>
  </si>
  <si>
    <t>單位</t>
    <phoneticPr fontId="3" type="noConversion"/>
  </si>
  <si>
    <t>契約數量</t>
    <phoneticPr fontId="3" type="noConversion"/>
  </si>
  <si>
    <t>備註</t>
    <phoneticPr fontId="3" type="noConversion"/>
  </si>
  <si>
    <t>營造業專業工程特定施工項目</t>
    <phoneticPr fontId="3" type="noConversion"/>
  </si>
  <si>
    <t>A.</t>
    <phoneticPr fontId="3" type="noConversion"/>
  </si>
  <si>
    <t>B.</t>
    <phoneticPr fontId="3" type="noConversion"/>
  </si>
  <si>
    <t>二、工地材料管理概況(含約定之重要材料使用狀況及數量等)：</t>
    <phoneticPr fontId="3" type="noConversion"/>
  </si>
  <si>
    <t>材料名稱</t>
    <phoneticPr fontId="3" type="noConversion"/>
  </si>
  <si>
    <t>設計數量</t>
    <phoneticPr fontId="3" type="noConversion"/>
  </si>
  <si>
    <t>本日使用數量</t>
    <phoneticPr fontId="3" type="noConversion"/>
  </si>
  <si>
    <t>累計使用數量</t>
    <phoneticPr fontId="3" type="noConversion"/>
  </si>
  <si>
    <t>三、工地人員及機具管理（含約定之出工人數及機具使用情形及數量）：</t>
    <phoneticPr fontId="3" type="noConversion"/>
  </si>
  <si>
    <t>工別</t>
  </si>
  <si>
    <t>本日人數</t>
    <phoneticPr fontId="3" type="noConversion"/>
  </si>
  <si>
    <t>累計人數</t>
    <phoneticPr fontId="3" type="noConversion"/>
  </si>
  <si>
    <t>機具名稱</t>
    <phoneticPr fontId="3" type="noConversion"/>
  </si>
  <si>
    <t>六、施工取樣試驗紀錄：</t>
    <phoneticPr fontId="3" type="noConversion"/>
  </si>
  <si>
    <t>七、通知協力廠商辦理事項：</t>
    <phoneticPr fontId="3" type="noConversion"/>
  </si>
  <si>
    <t>八、重要事項紀錄：</t>
    <phoneticPr fontId="3" type="noConversion"/>
  </si>
  <si>
    <t>簽章：【工地主任】（註3）：</t>
    <phoneticPr fontId="3" type="noConversion"/>
  </si>
  <si>
    <t xml:space="preserve"> 本日完成數量</t>
    <phoneticPr fontId="3" type="noConversion"/>
  </si>
  <si>
    <t xml:space="preserve"> 累計完成數量</t>
    <phoneticPr fontId="3" type="noConversion"/>
  </si>
  <si>
    <t>報表編號：</t>
    <phoneticPr fontId="3" type="noConversion"/>
  </si>
  <si>
    <t>出工人數</t>
    <phoneticPr fontId="1" type="noConversion"/>
  </si>
  <si>
    <t>施工機具</t>
    <phoneticPr fontId="1" type="noConversion"/>
  </si>
  <si>
    <t>施工材料</t>
    <phoneticPr fontId="1" type="noConversion"/>
  </si>
  <si>
    <t>一、依施工計畫書執行按圖施工概況（含約定之重要施工、材料項目及完成數量等）：</t>
    <phoneticPr fontId="1" type="noConversion"/>
  </si>
  <si>
    <t>五、工地勞工安全衛生事項之督導、公共環境與安全之維護及其他工地行政事務：</t>
    <phoneticPr fontId="1" type="noConversion"/>
  </si>
  <si>
    <t>六、施工取樣試驗紀錄：</t>
    <phoneticPr fontId="1" type="noConversion"/>
  </si>
  <si>
    <t>七、通知分包商辦理事項：</t>
    <phoneticPr fontId="1" type="noConversion"/>
  </si>
  <si>
    <t>八、重要事項紀錄（含（1）主辦機關及監造單位指示（2）工地遇緊急異常狀況之通報處理情形（3）本日是否由專任工程人員督察按圖施工、解決施工技術問題等。）：</t>
    <phoneticPr fontId="1" type="noConversion"/>
  </si>
  <si>
    <t>數值輸入</t>
    <phoneticPr fontId="1" type="noConversion"/>
  </si>
  <si>
    <t>公共工程監造報表</t>
  </si>
  <si>
    <t>表報編號：</t>
    <phoneticPr fontId="3" type="noConversion"/>
  </si>
  <si>
    <t>本日天氣：</t>
    <phoneticPr fontId="3" type="noConversion"/>
  </si>
  <si>
    <t>上午:</t>
    <phoneticPr fontId="3" type="noConversion"/>
  </si>
  <si>
    <t>下午:</t>
    <phoneticPr fontId="3" type="noConversion"/>
  </si>
  <si>
    <t>填報日期：</t>
    <phoneticPr fontId="3" type="noConversion"/>
  </si>
  <si>
    <t>工程名稱</t>
    <phoneticPr fontId="3" type="noConversion"/>
  </si>
  <si>
    <t>契約工期</t>
    <phoneticPr fontId="3" type="noConversion"/>
  </si>
  <si>
    <t>開工日期</t>
    <phoneticPr fontId="3" type="noConversion"/>
  </si>
  <si>
    <t>預定完工
日期</t>
    <phoneticPr fontId="3" type="noConversion"/>
  </si>
  <si>
    <t>實際完工日期</t>
    <phoneticPr fontId="3" type="noConversion"/>
  </si>
  <si>
    <t>契約變更次數</t>
    <phoneticPr fontId="3" type="noConversion"/>
  </si>
  <si>
    <t>次</t>
    <phoneticPr fontId="3" type="noConversion"/>
  </si>
  <si>
    <t>工期展延天數</t>
    <phoneticPr fontId="3" type="noConversion"/>
  </si>
  <si>
    <t>契約金額</t>
    <phoneticPr fontId="3" type="noConversion"/>
  </si>
  <si>
    <t>原契約：  228,349,097元整</t>
    <phoneticPr fontId="3" type="noConversion"/>
  </si>
  <si>
    <t>預定進度(%)</t>
    <phoneticPr fontId="3" type="noConversion"/>
  </si>
  <si>
    <t>實際進度(%)</t>
    <phoneticPr fontId="3" type="noConversion"/>
  </si>
  <si>
    <t>一、工程進行情況（含約定之重要施工項目及數量）：</t>
    <phoneticPr fontId="3" type="noConversion"/>
  </si>
  <si>
    <t>二、監督依照設計圖說及核定施工圖說施工（含約定之檢驗停留點及施工抽查等情形）：</t>
    <phoneticPr fontId="3" type="noConversion"/>
  </si>
  <si>
    <t>三、查核材料規格及品質（含約定之檢驗停留點、材料設備管制及檢（試）驗等抽驗情形）：</t>
    <phoneticPr fontId="3" type="noConversion"/>
  </si>
  <si>
    <t>四、督導工地職業安全衛生事項：</t>
    <phoneticPr fontId="3" type="noConversion"/>
  </si>
  <si>
    <t>（一）施工廠商施工前檢查事項辦理情形﹕□完成□未完成
(二)其他工地安全衛生督導事項﹕</t>
    <phoneticPr fontId="3" type="noConversion"/>
  </si>
  <si>
    <t>（二）其他工地安全衛生督導事項：</t>
    <phoneticPr fontId="3" type="noConversion"/>
  </si>
  <si>
    <t>五、其他約定監造事項(含重要事項記錄、主辦機關指示及通知廠商辦理事項等)：</t>
    <phoneticPr fontId="3" type="noConversion"/>
  </si>
  <si>
    <t>監造單位簽章：</t>
    <phoneticPr fontId="3" type="noConversion"/>
  </si>
  <si>
    <t xml:space="preserve">註：1.監造報告表原則應包含上述欄位；惟若上述欄位之內容業詳載於廠商填報之施工日誌，並按時陳報監造單位核備者，則監造報表之該等欄位
      可載明參詳施工日誌。
    2.本表原則應按日填寫，機關另有規定者，從其規定；若屬委外監造之工程，則一律按日填寫。未達查核金額或工期為九十日曆天以下之工程
      ，得由機關統一訂定內部稽查程序及監造報告表之填報方式與周期。
    3.本監造報告表格式僅供參考，各機關亦得依契約約定事項，自行增訂之。
    4.契約工期如有修正，應填修正後之契約工期，含展延工期及不計工期天數；如有依契約變更設計，預定進度及實際進度應填變更設計後計算
      之進度。
    5.公共工程屬建築物者，仍應依本表辦理。惟該工程之監造人（建築師），應另依內政部九十六年六月六日台內營字第○九六○八○二九五○
      號令頒之「建築物（監督、查核）報告表」填報（頻率按該表註2辦理）。
</t>
    <phoneticPr fontId="3" type="noConversion"/>
  </si>
  <si>
    <t>施作金額</t>
    <phoneticPr fontId="1" type="noConversion"/>
  </si>
  <si>
    <t>展延工期</t>
    <phoneticPr fontId="1" type="noConversion"/>
  </si>
  <si>
    <t>工程名稱</t>
    <phoneticPr fontId="1" type="noConversion"/>
  </si>
  <si>
    <t>現場工程師</t>
    <phoneticPr fontId="1" type="noConversion"/>
  </si>
  <si>
    <t>工期展延(第1次)</t>
    <phoneticPr fontId="1" type="noConversion"/>
  </si>
  <si>
    <t xml:space="preserve"> </t>
    <phoneticPr fontId="1" type="noConversion"/>
  </si>
  <si>
    <t>技術工</t>
    <phoneticPr fontId="1" type="noConversion"/>
  </si>
  <si>
    <t>一</t>
    <phoneticPr fontId="1" type="noConversion"/>
  </si>
  <si>
    <t>當日權重</t>
    <phoneticPr fontId="3" type="noConversion"/>
  </si>
  <si>
    <t>累積預計</t>
    <phoneticPr fontId="3" type="noConversion"/>
  </si>
  <si>
    <t>建築物施工日誌</t>
    <phoneticPr fontId="3" type="noConversion"/>
  </si>
  <si>
    <t>施工廠商</t>
    <phoneticPr fontId="3" type="noConversion"/>
  </si>
  <si>
    <t>雨</t>
  </si>
  <si>
    <t>陰</t>
  </si>
  <si>
    <t>泥水工</t>
    <phoneticPr fontId="1" type="noConversion"/>
  </si>
  <si>
    <t>修正後</t>
    <phoneticPr fontId="1" type="noConversion"/>
  </si>
  <si>
    <t>註：1.依營造業法第32條第1項第2款規定，工地主任應按日填報施工日誌
    2.本施工日誌格式僅供參考，惟原則應包含上開欄位，各機關亦得依工程性質及契約約定事項自行增訂之。
    3.本工程依營造業法第30條規定須置工地主任者，由工地主任簽章；依上開規定免置工地主任者，則由營造業法第32條第2項所定之人員簽章。廠商非屬營造業者，由工地負責人簽章。
    4.契約工期如有修正，應填修正後之契約工期，含展延工期及不計工期天數；如有依契約變更設計，預定進度及實際進度應填變更設計後計算之進度。
    5.上開重要事項記錄包含（1）主辦機關及監造單位指示（2）工地遇緊急異常狀況之通報處理情形（3）本日是否由專任工程人員督察按圖施工、解決施工技術問題等。
    6.上開施工前檢查事項所列工作應由職業安全衛生管理辦法第3條規定所置職業安全衛生人員於每日施工前辦理(檢查紀錄參考範例如附工地職業安全衛生施工前檢查紀錄表)，
      工地主任負責督導及確認該事項完成後於施工日誌填載。
    7.公共工程屬建築物者，請依內政部最新訂頒之「建築物施工日誌」填寫。</t>
    <phoneticPr fontId="3" type="noConversion"/>
  </si>
  <si>
    <t>累積預計</t>
    <phoneticPr fontId="3" type="noConversion"/>
  </si>
  <si>
    <t>4</t>
  </si>
  <si>
    <t>2</t>
  </si>
  <si>
    <t>3</t>
  </si>
  <si>
    <t>寶嶸營造有限公司</t>
    <phoneticPr fontId="1" type="noConversion"/>
  </si>
  <si>
    <t>日曆天</t>
    <phoneticPr fontId="1" type="noConversion"/>
  </si>
  <si>
    <t>打除工</t>
    <phoneticPr fontId="1" type="noConversion"/>
  </si>
  <si>
    <t>小工</t>
    <phoneticPr fontId="1" type="noConversion"/>
  </si>
  <si>
    <t>打除機</t>
    <phoneticPr fontId="1" type="noConversion"/>
  </si>
  <si>
    <t>其他</t>
    <phoneticPr fontId="1" type="noConversion"/>
  </si>
  <si>
    <t>磨地機</t>
    <phoneticPr fontId="1" type="noConversion"/>
  </si>
  <si>
    <t>四、本日施工項目是否有須依「營造業專業工程特定施工項目應置之技術士種類、比率或人數標準表」規定應設置技術士之專業工程：□有▇無 （此項如勾選”有”，則應填寫後附「公共工程施工日誌之技術士簽章表」）</t>
    <phoneticPr fontId="3" type="noConversion"/>
  </si>
  <si>
    <r>
      <rPr>
        <sz val="18"/>
        <rFont val="標楷體"/>
        <family val="4"/>
        <charset val="136"/>
      </rPr>
      <t>五、工地勞工安全衛生事項之督導、公共環境與安全之維護及其他工地行政事務：</t>
    </r>
    <r>
      <rPr>
        <sz val="16"/>
        <rFont val="標楷體"/>
        <family val="4"/>
        <charset val="136"/>
      </rPr>
      <t xml:space="preserve">
  (一)施工前檢查事項:
   1.實施勤前教育(含工地預防災變及危害告知):▇有□無
   2.確認新進勞工是否提報勞工保險(或其他商業保險)資料及安全衛生教育訓練記錄:▇有□無□無新進勞工
   3.檢查勞工個人防護具:▇有□無
  (二)其他事項:</t>
    </r>
    <phoneticPr fontId="3" type="noConversion"/>
  </si>
  <si>
    <t>吊車</t>
    <phoneticPr fontId="1" type="noConversion"/>
  </si>
  <si>
    <t>不計工期(第2次)</t>
    <phoneticPr fontId="1" type="noConversion"/>
  </si>
  <si>
    <t>不計工期天數</t>
    <phoneticPr fontId="3" type="noConversion"/>
  </si>
  <si>
    <t>5</t>
  </si>
  <si>
    <t>6</t>
  </si>
  <si>
    <t>7</t>
  </si>
  <si>
    <t>8</t>
  </si>
  <si>
    <t>9</t>
  </si>
  <si>
    <t>10</t>
  </si>
  <si>
    <t>11</t>
  </si>
  <si>
    <t>12</t>
  </si>
  <si>
    <t>115/9/23</t>
  </si>
  <si>
    <t>115/9/24</t>
  </si>
  <si>
    <t>115/9/25</t>
  </si>
  <si>
    <t>115/9/26</t>
  </si>
  <si>
    <t>115/9/27</t>
  </si>
  <si>
    <t>115/9/28</t>
  </si>
  <si>
    <t>115/9/29</t>
  </si>
  <si>
    <t>115/9/30</t>
  </si>
  <si>
    <t>115/10/2</t>
  </si>
  <si>
    <t>115/10/3</t>
  </si>
  <si>
    <t>115/10/4</t>
  </si>
  <si>
    <t>115/10/5</t>
  </si>
  <si>
    <t>115/10/6</t>
  </si>
  <si>
    <t>115/10/7</t>
  </si>
  <si>
    <t>115/10/8</t>
  </si>
  <si>
    <t>115/10/9</t>
  </si>
  <si>
    <t>115/10/10</t>
  </si>
  <si>
    <t>115/10/11</t>
  </si>
  <si>
    <t>115/10/12</t>
  </si>
  <si>
    <t>115/10/13</t>
  </si>
  <si>
    <t>115/10/14</t>
  </si>
  <si>
    <t>115/10/15</t>
  </si>
  <si>
    <t>115/10/16</t>
  </si>
  <si>
    <t>115/10/17</t>
  </si>
  <si>
    <t>115/10/18</t>
  </si>
  <si>
    <t>115/10/19</t>
  </si>
  <si>
    <t>115/10/20</t>
  </si>
  <si>
    <t>115/10/21</t>
  </si>
  <si>
    <t>115/10/22</t>
  </si>
  <si>
    <t>115/10/23</t>
  </si>
  <si>
    <t>115/10/24</t>
  </si>
  <si>
    <t>115/10/25</t>
  </si>
  <si>
    <t>115/10/26</t>
  </si>
  <si>
    <t>115/10/27</t>
  </si>
  <si>
    <t>115/10/28</t>
  </si>
  <si>
    <t>115/10/29</t>
  </si>
  <si>
    <t>115/10/30</t>
  </si>
  <si>
    <t>115/10/31</t>
  </si>
  <si>
    <t>115/11/2</t>
  </si>
  <si>
    <t>115/11/3</t>
  </si>
  <si>
    <t>115/11/4</t>
  </si>
  <si>
    <t>115/11/5</t>
  </si>
  <si>
    <t>115/11/6</t>
  </si>
  <si>
    <t>115/11/7</t>
  </si>
  <si>
    <t>115/11/8</t>
  </si>
  <si>
    <t>115/11/9</t>
  </si>
  <si>
    <t>115/11/10</t>
  </si>
  <si>
    <t>115/11/11</t>
  </si>
  <si>
    <t>115/11/12</t>
  </si>
  <si>
    <t>115/11/13</t>
  </si>
  <si>
    <t>115/11/14</t>
  </si>
  <si>
    <t>115/11/15</t>
  </si>
  <si>
    <t>115/11/16</t>
  </si>
  <si>
    <t>115/11/17</t>
  </si>
  <si>
    <t>115/11/18</t>
  </si>
  <si>
    <t>115/11/19</t>
  </si>
  <si>
    <t>115/11/20</t>
  </si>
  <si>
    <t>115/11/21</t>
  </si>
  <si>
    <t>115/11/22</t>
  </si>
  <si>
    <t>115/11/23</t>
  </si>
  <si>
    <t>115/11/24</t>
  </si>
  <si>
    <t>115/11/25</t>
  </si>
  <si>
    <t>115/11/26</t>
  </si>
  <si>
    <t>115/11/27</t>
  </si>
  <si>
    <t>115/11/28</t>
  </si>
  <si>
    <t>115/11/29</t>
  </si>
  <si>
    <t>115/11/30</t>
  </si>
  <si>
    <t>115/12/2</t>
  </si>
  <si>
    <t>115/12/3</t>
  </si>
  <si>
    <t>115/12/4</t>
  </si>
  <si>
    <t>115/12/5</t>
  </si>
  <si>
    <t>115/12/6</t>
  </si>
  <si>
    <t>115/12/7</t>
  </si>
  <si>
    <t>115/12/8</t>
  </si>
  <si>
    <t>115/12/9</t>
  </si>
  <si>
    <t>115/12/10</t>
  </si>
  <si>
    <t>115/12/11</t>
  </si>
  <si>
    <t>115/12/12</t>
  </si>
  <si>
    <t>115/12/13</t>
  </si>
  <si>
    <t>115/12/14</t>
  </si>
  <si>
    <t>115/12/15</t>
  </si>
  <si>
    <t>115/12/16</t>
  </si>
  <si>
    <t>115/12/17</t>
  </si>
  <si>
    <t>115/12/18</t>
  </si>
  <si>
    <t>115/12/19</t>
  </si>
  <si>
    <t>115/12/20</t>
  </si>
  <si>
    <t>115/12/21</t>
  </si>
  <si>
    <t>115/12/22</t>
  </si>
  <si>
    <t>115/12/23</t>
  </si>
  <si>
    <t>115/12/24</t>
  </si>
  <si>
    <t>115/12/25</t>
  </si>
  <si>
    <t>115/12/26</t>
  </si>
  <si>
    <t>115/12/27</t>
  </si>
  <si>
    <t>115/12/28</t>
  </si>
  <si>
    <t>115/12/29</t>
  </si>
  <si>
    <t>115/12/30</t>
  </si>
  <si>
    <t>115/12/31</t>
  </si>
  <si>
    <t>直接工程費</t>
    <phoneticPr fontId="1" type="noConversion"/>
  </si>
  <si>
    <t>分項工程</t>
    <phoneticPr fontId="1" type="noConversion"/>
  </si>
  <si>
    <t>合計</t>
  </si>
  <si>
    <t>組</t>
  </si>
  <si>
    <t>M2</t>
  </si>
  <si>
    <t>M</t>
  </si>
  <si>
    <t>橋頭國小暨許厝分校114-116年公立國民中小學老舊廁所整修工程</t>
  </si>
  <si>
    <t>雲林縣麥寮鄉橋頭國民小學</t>
    <phoneticPr fontId="1" type="noConversion"/>
  </si>
  <si>
    <t>呂罡銘建築師事務所</t>
    <phoneticPr fontId="1" type="noConversion"/>
  </si>
  <si>
    <t xml:space="preserve">A1150507
</t>
    <phoneticPr fontId="1" type="noConversion"/>
  </si>
  <si>
    <t>雲林縣麥寮鄉</t>
  </si>
  <si>
    <t>工程告示牌與職安衛告示牌(租用)、施工圍籬、警示帶、安全警示燈等安全措施(租用)</t>
    <phoneticPr fontId="1" type="noConversion"/>
  </si>
  <si>
    <t>施工動線開闢與損壞復原，既有設備管線遷移與復原；測量與放樣</t>
    <phoneticPr fontId="1" type="noConversion"/>
  </si>
  <si>
    <t>拆除(含切割)集中廁所既有牆面、地坪、磁磚、牆面小便斗與隔板、所有衛生設備、給排水設施、導擺及天花板等;廢棄物清運處理(含合法證明)與環境清潔</t>
    <phoneticPr fontId="1" type="noConversion"/>
  </si>
  <si>
    <t>既有污水處理設施抽水肥(含清潔孔開挖與復原)</t>
    <phoneticPr fontId="1" type="noConversion"/>
  </si>
  <si>
    <t>地坪與台階增築</t>
    <phoneticPr fontId="1" type="noConversion"/>
  </si>
  <si>
    <t>砌1/2B磚牆</t>
    <phoneticPr fontId="1" type="noConversion"/>
  </si>
  <si>
    <t>施工範圍內樓板穿管處與既有無用穿管及孔洞需以水泥砂漿封閉並刷彈性防水材；樓板防水層試水</t>
    <phoneticPr fontId="1" type="noConversion"/>
  </si>
  <si>
    <t>地坪、牆面1:3水泥砂漿粉刷</t>
    <phoneticPr fontId="1" type="noConversion"/>
  </si>
  <si>
    <t>地坪及牆面(H=1.5m)防水層粉刷</t>
    <phoneticPr fontId="3" type="noConversion"/>
  </si>
  <si>
    <t>不銹鋼方形地板落水頭(10*10cm,連工帶料)</t>
    <phoneticPr fontId="3" type="noConversion"/>
  </si>
  <si>
    <t>地坪貼止滑石英磚30*30cm，本色水泥抹縫(連工帶料)</t>
    <phoneticPr fontId="3" type="noConversion"/>
  </si>
  <si>
    <t>地坪貼止滑石英磚60*60cm，本色水泥抹縫(連工帶料)</t>
    <phoneticPr fontId="3" type="noConversion"/>
  </si>
  <si>
    <t>13</t>
  </si>
  <si>
    <t>牆面貼石英磚30*60cm，白色水泥抹縫(連工帶料)</t>
    <phoneticPr fontId="3" type="noConversion"/>
  </si>
  <si>
    <t>14</t>
  </si>
  <si>
    <t>安裝鋁合金陽角收邊條</t>
    <phoneticPr fontId="3" type="noConversion"/>
  </si>
  <si>
    <t>15</t>
  </si>
  <si>
    <t>施做抿石子(1~2分霓虹石，抿石子專用泥)</t>
    <phoneticPr fontId="3" type="noConversion"/>
  </si>
  <si>
    <t>16</t>
  </si>
  <si>
    <t>17</t>
  </si>
  <si>
    <t>18</t>
  </si>
  <si>
    <t>才</t>
  </si>
  <si>
    <t>19</t>
  </si>
  <si>
    <t>20</t>
  </si>
  <si>
    <t>22</t>
  </si>
  <si>
    <t>23</t>
  </si>
  <si>
    <t>24</t>
  </si>
  <si>
    <t>25</t>
  </si>
  <si>
    <t>26</t>
  </si>
  <si>
    <t>27</t>
  </si>
  <si>
    <t>28</t>
  </si>
  <si>
    <t>115/7/15</t>
    <phoneticPr fontId="1" type="noConversion"/>
  </si>
  <si>
    <t>115/7/16</t>
  </si>
  <si>
    <t>115/7/17</t>
  </si>
  <si>
    <t>115/7/18</t>
  </si>
  <si>
    <t>115/7/19</t>
  </si>
  <si>
    <t>115/7/20</t>
  </si>
  <si>
    <t>115/7/21</t>
  </si>
  <si>
    <t>115/7/22</t>
  </si>
  <si>
    <t>115/7/23</t>
  </si>
  <si>
    <t>115/7/24</t>
  </si>
  <si>
    <t>115/7/25</t>
  </si>
  <si>
    <t>115/7/26</t>
  </si>
  <si>
    <t>115/7/27</t>
  </si>
  <si>
    <t>115/7/28</t>
  </si>
  <si>
    <t>115/7/29</t>
  </si>
  <si>
    <t>115/7/30</t>
  </si>
  <si>
    <t>115/7/31</t>
  </si>
  <si>
    <t>115/8/1</t>
    <phoneticPr fontId="1" type="noConversion"/>
  </si>
  <si>
    <t>116/1/1</t>
    <phoneticPr fontId="1" type="noConversion"/>
  </si>
  <si>
    <t>116/1/2</t>
  </si>
  <si>
    <t>116/1/3</t>
  </si>
  <si>
    <t>116/1/4</t>
  </si>
  <si>
    <t>116/1/5</t>
  </si>
  <si>
    <t>116/1/6</t>
  </si>
  <si>
    <t>116/1/7</t>
  </si>
  <si>
    <t>116/1/8</t>
  </si>
  <si>
    <t>116/1/9</t>
  </si>
  <si>
    <t>116/1/10</t>
  </si>
  <si>
    <t>115/8/2</t>
  </si>
  <si>
    <t>115/8/3</t>
  </si>
  <si>
    <t>115/8/4</t>
  </si>
  <si>
    <t>115/8/5</t>
  </si>
  <si>
    <t>115/8/6</t>
  </si>
  <si>
    <t>115/8/7</t>
  </si>
  <si>
    <t>115/8/8</t>
  </si>
  <si>
    <t>115/8/9</t>
  </si>
  <si>
    <t>115/8/10</t>
  </si>
  <si>
    <t>115/8/11</t>
  </si>
  <si>
    <t>115/8/12</t>
  </si>
  <si>
    <t>115/8/13</t>
  </si>
  <si>
    <t>115/8/14</t>
  </si>
  <si>
    <t>115/8/15</t>
  </si>
  <si>
    <t>115/8/16</t>
  </si>
  <si>
    <t>115/8/17</t>
  </si>
  <si>
    <t>115/8/18</t>
  </si>
  <si>
    <t>115/8/19</t>
  </si>
  <si>
    <t>115/8/20</t>
  </si>
  <si>
    <t>115/8/21</t>
  </si>
  <si>
    <t>115/8/22</t>
  </si>
  <si>
    <t>115/8/23</t>
  </si>
  <si>
    <t>115/8/24</t>
  </si>
  <si>
    <t>115/8/25</t>
  </si>
  <si>
    <t>115/8/26</t>
  </si>
  <si>
    <t>115/8/27</t>
  </si>
  <si>
    <t>115/8/28</t>
  </si>
  <si>
    <t>115/8/29</t>
  </si>
  <si>
    <t>115/8/30</t>
  </si>
  <si>
    <t>115/8/31</t>
  </si>
  <si>
    <t>115/9/1</t>
    <phoneticPr fontId="1" type="noConversion"/>
  </si>
  <si>
    <t>115/9/2</t>
  </si>
  <si>
    <t>115/9/3</t>
  </si>
  <si>
    <t>115/9/4</t>
  </si>
  <si>
    <t>115/9/5</t>
  </si>
  <si>
    <t>115/9/6</t>
  </si>
  <si>
    <t>115/9/7</t>
  </si>
  <si>
    <t>115/9/8</t>
  </si>
  <si>
    <t>115/9/9</t>
  </si>
  <si>
    <t>115/9/10</t>
  </si>
  <si>
    <t>115/9/11</t>
  </si>
  <si>
    <t>115/9/12</t>
  </si>
  <si>
    <t>115/9/13</t>
  </si>
  <si>
    <t>115/9/14</t>
  </si>
  <si>
    <t>115/9/15</t>
  </si>
  <si>
    <t>115/9/16</t>
  </si>
  <si>
    <t>115/9/17</t>
  </si>
  <si>
    <t>115/9/18</t>
  </si>
  <si>
    <t>115/9/19</t>
  </si>
  <si>
    <t>115/9/20</t>
  </si>
  <si>
    <t>115/9/21</t>
  </si>
  <si>
    <t>115/9/22</t>
  </si>
  <si>
    <t>115/10/1</t>
    <phoneticPr fontId="1" type="noConversion"/>
  </si>
  <si>
    <t>115/11/1</t>
    <phoneticPr fontId="1" type="noConversion"/>
  </si>
  <si>
    <t>115/12/1</t>
    <phoneticPr fontId="1" type="noConversion"/>
  </si>
  <si>
    <t>開工</t>
    <phoneticPr fontId="1" type="noConversion"/>
  </si>
  <si>
    <t>實際進度</t>
    <phoneticPr fontId="1" type="noConversion"/>
  </si>
  <si>
    <t>一式一份</t>
    <phoneticPr fontId="1" type="noConversion"/>
  </si>
  <si>
    <t>1</t>
    <phoneticPr fontId="1" type="noConversion"/>
  </si>
  <si>
    <t>M2</t>
    <phoneticPr fontId="37" type="noConversion"/>
  </si>
  <si>
    <t>牆面與平頂塗刷水泥漆(含清潔，批土整平，一底漆二度面漆)</t>
    <phoneticPr fontId="3" type="noConversion"/>
  </si>
  <si>
    <t>新建砌磚洗手台與拖布盆、既有洗手台拉皮工程(連工帶料，責任施工)</t>
    <phoneticPr fontId="3" type="noConversion"/>
  </si>
  <si>
    <t>貼深色石材檯面(石材t=2cm，倒圓角)</t>
    <phoneticPr fontId="3" type="noConversion"/>
  </si>
  <si>
    <t>安裝13mm熱固性樹脂板隔間含門片(頂面H=200cm以上)</t>
    <phoneticPr fontId="3" type="noConversion"/>
  </si>
  <si>
    <t>廁間安裝不鏽鋼掛鈎與13mm熱固性樹脂板置物板</t>
    <phoneticPr fontId="3" type="noConversion"/>
  </si>
  <si>
    <t>間</t>
    <phoneticPr fontId="37" type="noConversion"/>
  </si>
  <si>
    <t>21</t>
  </si>
  <si>
    <t>安裝輕鋼架、金屬烤漆透空網與耐燃一級貼皮天花板(含必要之側封板與窗簾盒批土刷漆)</t>
    <phoneticPr fontId="3" type="noConversion"/>
  </si>
  <si>
    <t>廁所安裝衛生設備(連工帶料)</t>
    <phoneticPr fontId="3" type="noConversion"/>
  </si>
  <si>
    <t>安裝開關、插座與燈具(連工帶料)</t>
    <phoneticPr fontId="3" type="noConversion"/>
  </si>
  <si>
    <t>給排水系統配管與安裝(連工帶料)</t>
    <phoneticPr fontId="3" type="noConversion"/>
  </si>
  <si>
    <t>施做緊急求救按鈕(含閃光與蜂嗚警報器、線材、五金配件, 各層樓每間廁所皆有求救鈕，連工帶料，責任施工)</t>
    <phoneticPr fontId="3" type="noConversion"/>
  </si>
  <si>
    <t>安裝廁所指標系統、拖把夾(連工帶料，責任施工)</t>
    <phoneticPr fontId="3" type="noConversion"/>
  </si>
  <si>
    <t>牆面貼彩色花磚磁磚20*20cm，白色水泥勾縫(連工帶料)</t>
    <phoneticPr fontId="3" type="noConversion"/>
  </si>
  <si>
    <t>片</t>
    <phoneticPr fontId="3" type="noConversion"/>
  </si>
  <si>
    <t>門窗工程與雜項工程</t>
    <phoneticPr fontId="3" type="noConversion"/>
  </si>
  <si>
    <t>式</t>
    <phoneticPr fontId="37" type="noConversion"/>
  </si>
  <si>
    <t>二</t>
    <phoneticPr fontId="1" type="noConversion"/>
  </si>
  <si>
    <t>職業安全衛生管理費(壹*1%)</t>
    <phoneticPr fontId="1" type="noConversion"/>
  </si>
  <si>
    <t>式</t>
    <phoneticPr fontId="1" type="noConversion"/>
  </si>
  <si>
    <t>三</t>
    <phoneticPr fontId="1" type="noConversion"/>
  </si>
  <si>
    <t>公共工程品質管制作業費(壹*1%)</t>
    <phoneticPr fontId="1" type="noConversion"/>
  </si>
  <si>
    <t>四</t>
    <phoneticPr fontId="1" type="noConversion"/>
  </si>
  <si>
    <t>包商利潤及管理費(約壹*7%)</t>
    <phoneticPr fontId="1" type="noConversion"/>
  </si>
  <si>
    <t>五</t>
    <phoneticPr fontId="1" type="noConversion"/>
  </si>
  <si>
    <t xml:space="preserve">營造綜合保險費 </t>
    <phoneticPr fontId="1" type="noConversion"/>
  </si>
  <si>
    <t>六</t>
    <phoneticPr fontId="1" type="noConversion"/>
  </si>
  <si>
    <t>營業稅((壹~伍)*5%)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</si>
</sst>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6" formatCode="&quot;$&quot;#,##0;[Red]\-&quot;$&quot;#,##0"/>
    <numFmt numFmtId="41" formatCode="_-* #,##0_-;\-* #,##0_-;_-* &quot;-&quot;_-;_-@_-"/>
    <numFmt numFmtId="43" formatCode="_-* #,##0.00_-;\-* #,##0.00_-;_-* &quot;-&quot;??_-;_-@_-"/>
    <numFmt numFmtId="176" formatCode="#,##0_ "/>
    <numFmt numFmtId="177" formatCode="#,##0.00_ "/>
    <numFmt numFmtId="178" formatCode="#,##0.00_);[Red]\(#,##0.00\)"/>
    <numFmt numFmtId="179" formatCode="[$-404]aaaa;@"/>
    <numFmt numFmtId="180" formatCode="[$-404]e/m/d;@"/>
    <numFmt numFmtId="181" formatCode="000"/>
    <numFmt numFmtId="182" formatCode="[$-404]e&quot;年&quot;m&quot;月&quot;d&quot;日&quot;;@"/>
    <numFmt numFmtId="183" formatCode="_-* #,##0_-;\-* #,##0_-;_-* &quot;-&quot;??_-;_-@_-"/>
    <numFmt numFmtId="184" formatCode="0.000;[Red]0.000"/>
    <numFmt numFmtId="185" formatCode="General&quot;天&quot;"/>
    <numFmt numFmtId="186" formatCode="#,###"/>
    <numFmt numFmtId="187" formatCode="0.0000%"/>
    <numFmt numFmtId="188" formatCode="#,##0.0_);[Red]\(#,##0.0\)"/>
    <numFmt numFmtId="189" formatCode="#.0&quot;天&quot;"/>
    <numFmt numFmtId="190" formatCode="_-* #,##0.0_-;\-* #,##0.0_-;_-* &quot;-&quot;??_-;_-@_-"/>
    <numFmt numFmtId="191" formatCode="[$-800404]e&quot;年&quot;m&quot;月&quot;d&quot;日  &quot;h&quot;時&quot;;@"/>
    <numFmt numFmtId="192" formatCode="0.0_ "/>
    <numFmt numFmtId="193" formatCode="0.00_);[Red]\(0.00\)"/>
    <numFmt numFmtId="194" formatCode="#,##0_);[Red]\(#,##0\)"/>
    <numFmt numFmtId="195" formatCode="#,##0.0_);\(#,##0.0\)"/>
    <numFmt numFmtId="196" formatCode="_-* #,##0.00_-;\-* #,##0.00_-;_-* &quot;-&quot;_-;_-@_-"/>
  </numFmts>
  <fonts count="78">
    <font>
      <sz val="12"/>
      <color theme="1"/>
      <name val="新細明體"/>
      <family val="2"/>
      <charset val="136"/>
      <scheme val="minor"/>
    </font>
    <font>
      <sz val="9"/>
      <name val="新細明體"/>
      <family val="2"/>
      <charset val="136"/>
      <scheme val="minor"/>
    </font>
    <font>
      <sz val="14"/>
      <name val="標楷體"/>
      <family val="4"/>
      <charset val="136"/>
    </font>
    <font>
      <sz val="9"/>
      <name val="新細明體"/>
      <family val="1"/>
      <charset val="136"/>
    </font>
    <font>
      <sz val="12"/>
      <name val="標楷體"/>
      <family val="4"/>
      <charset val="136"/>
    </font>
    <font>
      <b/>
      <sz val="12"/>
      <name val="標楷體"/>
      <family val="4"/>
      <charset val="136"/>
    </font>
    <font>
      <sz val="12"/>
      <color indexed="8"/>
      <name val="新細明體"/>
      <family val="1"/>
      <charset val="136"/>
    </font>
    <font>
      <sz val="10"/>
      <name val="Arial"/>
      <family val="2"/>
    </font>
    <font>
      <sz val="12"/>
      <color theme="1"/>
      <name val="新細明體"/>
      <family val="2"/>
      <charset val="136"/>
      <scheme val="minor"/>
    </font>
    <font>
      <sz val="10"/>
      <color theme="1"/>
      <name val="新細明體"/>
      <family val="2"/>
      <charset val="136"/>
      <scheme val="minor"/>
    </font>
    <font>
      <sz val="10"/>
      <color theme="1"/>
      <name val="新細明體"/>
      <family val="1"/>
      <charset val="136"/>
      <scheme val="minor"/>
    </font>
    <font>
      <sz val="10"/>
      <color rgb="FFFF0000"/>
      <name val="新細明體"/>
      <family val="1"/>
      <charset val="136"/>
      <scheme val="minor"/>
    </font>
    <font>
      <sz val="10"/>
      <color rgb="FF0000FF"/>
      <name val="新細明體"/>
      <family val="1"/>
      <charset val="136"/>
      <scheme val="minor"/>
    </font>
    <font>
      <b/>
      <sz val="12"/>
      <color rgb="FF0000FF"/>
      <name val="新細明體"/>
      <family val="1"/>
      <charset val="136"/>
      <scheme val="minor"/>
    </font>
    <font>
      <b/>
      <sz val="12"/>
      <color rgb="FFFF0000"/>
      <name val="新細明體"/>
      <family val="1"/>
      <charset val="136"/>
      <scheme val="minor"/>
    </font>
    <font>
      <b/>
      <sz val="10"/>
      <color theme="1"/>
      <name val="新細明體"/>
      <family val="1"/>
      <charset val="136"/>
      <scheme val="minor"/>
    </font>
    <font>
      <b/>
      <sz val="10"/>
      <color rgb="FFC00000"/>
      <name val="新細明體"/>
      <family val="1"/>
      <charset val="136"/>
      <scheme val="minor"/>
    </font>
    <font>
      <b/>
      <sz val="18"/>
      <name val="標楷體"/>
      <family val="4"/>
      <charset val="136"/>
    </font>
    <font>
      <b/>
      <sz val="20"/>
      <name val="標楷體"/>
      <family val="4"/>
      <charset val="136"/>
    </font>
    <font>
      <sz val="18"/>
      <name val="標楷體"/>
      <family val="4"/>
      <charset val="136"/>
    </font>
    <font>
      <b/>
      <sz val="18"/>
      <name val="Times New Roman"/>
      <family val="1"/>
    </font>
    <font>
      <sz val="18"/>
      <name val="新細明體"/>
      <family val="1"/>
      <charset val="136"/>
    </font>
    <font>
      <sz val="16"/>
      <name val="標楷體"/>
      <family val="4"/>
      <charset val="136"/>
    </font>
    <font>
      <b/>
      <sz val="16"/>
      <name val="Times New Roman"/>
      <family val="1"/>
    </font>
    <font>
      <b/>
      <sz val="12"/>
      <name val="Times New Roman"/>
      <family val="1"/>
    </font>
    <font>
      <sz val="14"/>
      <name val="Times New Roman"/>
      <family val="1"/>
    </font>
    <font>
      <b/>
      <sz val="18"/>
      <color rgb="FF000000"/>
      <name val="標楷體"/>
      <family val="4"/>
      <charset val="136"/>
    </font>
    <font>
      <b/>
      <sz val="16"/>
      <color rgb="FF0000FF"/>
      <name val="新細明體"/>
      <family val="1"/>
      <charset val="136"/>
      <scheme val="minor"/>
    </font>
    <font>
      <sz val="10"/>
      <name val="Helv"/>
      <family val="2"/>
    </font>
    <font>
      <sz val="12"/>
      <name val="新細明體"/>
      <family val="1"/>
      <charset val="136"/>
    </font>
    <font>
      <sz val="12"/>
      <name val="Helv"/>
      <family val="2"/>
    </font>
    <font>
      <sz val="12"/>
      <name val="Times New Roman"/>
      <family val="1"/>
    </font>
    <font>
      <sz val="10"/>
      <name val="標楷體"/>
      <family val="4"/>
      <charset val="136"/>
    </font>
    <font>
      <sz val="9"/>
      <name val="標楷體"/>
      <family val="4"/>
      <charset val="136"/>
    </font>
    <font>
      <b/>
      <sz val="12"/>
      <color theme="1"/>
      <name val="新細明體"/>
      <family val="1"/>
      <charset val="136"/>
      <scheme val="minor"/>
    </font>
    <font>
      <sz val="12"/>
      <color theme="1"/>
      <name val="新細明體"/>
      <family val="1"/>
      <charset val="136"/>
      <scheme val="minor"/>
    </font>
    <font>
      <sz val="10"/>
      <name val="細明體"/>
      <family val="3"/>
      <charset val="136"/>
    </font>
    <font>
      <sz val="9"/>
      <name val="細明體"/>
      <family val="3"/>
      <charset val="136"/>
    </font>
    <font>
      <sz val="12"/>
      <color rgb="FFFF0000"/>
      <name val="新細明體"/>
      <family val="1"/>
      <charset val="136"/>
      <scheme val="minor"/>
    </font>
    <font>
      <b/>
      <sz val="14"/>
      <name val="Times New Roman"/>
      <family val="1"/>
    </font>
    <font>
      <sz val="12"/>
      <color theme="1"/>
      <name val="標楷體"/>
      <family val="4"/>
      <charset val="136"/>
    </font>
    <font>
      <sz val="11"/>
      <name val="標楷體"/>
      <family val="4"/>
      <charset val="136"/>
    </font>
    <font>
      <sz val="10"/>
      <color theme="1"/>
      <name val="新細明體"/>
      <family val="1"/>
      <charset val="134"/>
      <scheme val="minor"/>
    </font>
    <font>
      <sz val="8"/>
      <color theme="1"/>
      <name val="新細明體"/>
      <family val="2"/>
      <charset val="136"/>
      <scheme val="minor"/>
    </font>
    <font>
      <sz val="8"/>
      <color theme="1"/>
      <name val="新細明體"/>
      <family val="1"/>
      <charset val="136"/>
      <scheme val="minor"/>
    </font>
    <font>
      <sz val="12"/>
      <color indexed="9"/>
      <name val="新細明體"/>
      <family val="1"/>
      <charset val="136"/>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2"/>
      <color indexed="10"/>
      <name val="新細明體"/>
      <family val="1"/>
      <charset val="136"/>
    </font>
    <font>
      <sz val="8"/>
      <name val="Times"/>
      <family val="1"/>
    </font>
    <font>
      <b/>
      <sz val="8.3000000000000007"/>
      <name val="Helv"/>
      <family val="2"/>
    </font>
    <font>
      <sz val="8"/>
      <name val="Arial"/>
      <family val="2"/>
    </font>
    <font>
      <b/>
      <sz val="10"/>
      <name val="Times"/>
      <family val="1"/>
    </font>
    <font>
      <i/>
      <sz val="8"/>
      <name val="Times"/>
      <family val="1"/>
    </font>
    <font>
      <sz val="12"/>
      <name val="Courier"/>
      <family val="3"/>
    </font>
    <font>
      <sz val="10"/>
      <name val="ＭＳ 明朝"/>
      <family val="3"/>
    </font>
    <font>
      <u/>
      <sz val="12"/>
      <color indexed="36"/>
      <name val="Times New Roman"/>
      <family val="1"/>
    </font>
    <font>
      <sz val="12"/>
      <color indexed="19"/>
      <name val="新細明體"/>
      <family val="1"/>
      <charset val="136"/>
    </font>
    <font>
      <b/>
      <sz val="12"/>
      <color indexed="10"/>
      <name val="新細明體"/>
      <family val="1"/>
      <charset val="136"/>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sz val="12"/>
      <name val="細明體"/>
      <family val="3"/>
      <charset val="136"/>
    </font>
    <font>
      <sz val="12"/>
      <color indexed="8"/>
      <name val="標楷體"/>
      <family val="4"/>
      <charset val="136"/>
    </font>
    <font>
      <sz val="10"/>
      <color rgb="FFFF0000"/>
      <name val="新細明體"/>
      <family val="1"/>
      <charset val="134"/>
      <scheme val="minor"/>
    </font>
  </fonts>
  <fills count="43">
    <fill>
      <patternFill patternType="none"/>
    </fill>
    <fill>
      <patternFill patternType="gray125"/>
    </fill>
    <fill>
      <patternFill patternType="solid">
        <fgColor indexed="9"/>
        <bgColor indexed="64"/>
      </patternFill>
    </fill>
    <fill>
      <patternFill patternType="solid">
        <fgColor rgb="FFFFC000"/>
        <bgColor indexed="64"/>
      </patternFill>
    </fill>
    <fill>
      <patternFill patternType="solid">
        <fgColor rgb="FFFFFF99"/>
        <bgColor indexed="64"/>
      </patternFill>
    </fill>
    <fill>
      <patternFill patternType="solid">
        <fgColor rgb="FF92D050"/>
        <bgColor indexed="64"/>
      </patternFill>
    </fill>
    <fill>
      <patternFill patternType="solid">
        <fgColor rgb="FF00B0F0"/>
        <bgColor indexed="64"/>
      </patternFill>
    </fill>
    <fill>
      <patternFill patternType="solid">
        <fgColor rgb="FFFFCCCC"/>
        <bgColor indexed="64"/>
      </patternFill>
    </fill>
    <fill>
      <patternFill patternType="solid">
        <fgColor rgb="FF00FFFF"/>
        <bgColor indexed="64"/>
      </patternFill>
    </fill>
    <fill>
      <patternFill patternType="solid">
        <fgColor theme="7" tint="0.79998168889431442"/>
        <bgColor indexed="64"/>
      </patternFill>
    </fill>
    <fill>
      <patternFill patternType="solid">
        <fgColor rgb="FFFFCC00"/>
        <bgColor indexed="64"/>
      </patternFill>
    </fill>
    <fill>
      <patternFill patternType="solid">
        <fgColor rgb="FFFFFF00"/>
        <bgColor indexed="64"/>
      </patternFill>
    </fill>
    <fill>
      <patternFill patternType="solid">
        <fgColor theme="7"/>
        <bgColor indexed="64"/>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gray0625">
        <fgColor indexed="12"/>
        <bgColor indexed="9"/>
      </patternFill>
    </fill>
    <fill>
      <patternFill patternType="solid">
        <fgColor indexed="42"/>
        <bgColor indexed="64"/>
      </patternFill>
    </fill>
    <fill>
      <patternFill patternType="solid">
        <fgColor indexed="22"/>
      </patternFill>
    </fill>
    <fill>
      <patternFill patternType="solid">
        <fgColor indexed="9"/>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55"/>
      </patternFill>
    </fill>
    <fill>
      <patternFill patternType="solid">
        <fgColor indexed="45"/>
        <bgColor indexed="64"/>
      </patternFill>
    </fill>
    <fill>
      <patternFill patternType="solid">
        <fgColor indexed="51"/>
        <bgColor indexed="64"/>
      </patternFill>
    </fill>
    <fill>
      <patternFill patternType="solid">
        <fgColor theme="0"/>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12"/>
      </left>
      <right style="medium">
        <color indexed="12"/>
      </right>
      <top style="medium">
        <color indexed="12"/>
      </top>
      <bottom style="medium">
        <color indexed="12"/>
      </bottom>
      <diagonal/>
    </border>
    <border>
      <left/>
      <right/>
      <top style="thin">
        <color indexed="62"/>
      </top>
      <bottom style="double">
        <color indexed="62"/>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top style="thin">
        <color auto="1"/>
      </top>
      <bottom/>
      <diagonal/>
    </border>
    <border>
      <left/>
      <right style="thin">
        <color auto="1"/>
      </right>
      <top style="thin">
        <color auto="1"/>
      </top>
      <bottom style="thin">
        <color indexed="64"/>
      </bottom>
      <diagonal/>
    </border>
    <border>
      <left style="thin">
        <color indexed="64"/>
      </left>
      <right/>
      <top style="thin">
        <color auto="1"/>
      </top>
      <bottom style="thin">
        <color indexed="64"/>
      </bottom>
      <diagonal/>
    </border>
  </borders>
  <cellStyleXfs count="140">
    <xf numFmtId="0" fontId="0" fillId="0" borderId="0">
      <alignment vertical="center"/>
    </xf>
    <xf numFmtId="0" fontId="6" fillId="0" borderId="0">
      <alignment vertical="center"/>
    </xf>
    <xf numFmtId="0" fontId="7" fillId="0" borderId="0"/>
    <xf numFmtId="0" fontId="7" fillId="0" borderId="0"/>
    <xf numFmtId="9" fontId="8" fillId="0" borderId="0" applyFont="0" applyFill="0" applyBorder="0" applyAlignment="0" applyProtection="0">
      <alignment vertical="center"/>
    </xf>
    <xf numFmtId="0" fontId="28" fillId="0" borderId="0"/>
    <xf numFmtId="43" fontId="29" fillId="0" borderId="0" applyFont="0" applyFill="0" applyBorder="0" applyAlignment="0" applyProtection="0"/>
    <xf numFmtId="0" fontId="29" fillId="0" borderId="0"/>
    <xf numFmtId="0" fontId="28" fillId="0" borderId="0"/>
    <xf numFmtId="0" fontId="28" fillId="0" borderId="0"/>
    <xf numFmtId="0" fontId="28" fillId="0" borderId="0"/>
    <xf numFmtId="0" fontId="28" fillId="0" borderId="0"/>
    <xf numFmtId="0" fontId="31" fillId="0" borderId="0"/>
    <xf numFmtId="0" fontId="28" fillId="0" borderId="0"/>
    <xf numFmtId="0" fontId="31" fillId="0" borderId="0"/>
    <xf numFmtId="0" fontId="31" fillId="0" borderId="0"/>
    <xf numFmtId="0" fontId="28" fillId="0" borderId="0"/>
    <xf numFmtId="0" fontId="28" fillId="0" borderId="0"/>
    <xf numFmtId="0" fontId="31" fillId="0" borderId="0"/>
    <xf numFmtId="0" fontId="28" fillId="0" borderId="0"/>
    <xf numFmtId="0" fontId="29" fillId="0" borderId="0"/>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20" borderId="0" applyNumberFormat="0" applyBorder="0" applyAlignment="0" applyProtection="0">
      <alignment vertical="center"/>
    </xf>
    <xf numFmtId="0" fontId="6" fillId="18" borderId="0" applyNumberFormat="0" applyBorder="0" applyAlignment="0" applyProtection="0">
      <alignment vertical="center"/>
    </xf>
    <xf numFmtId="0" fontId="6" fillId="14" borderId="0" applyNumberFormat="0" applyBorder="0" applyAlignment="0" applyProtection="0">
      <alignment vertical="center"/>
    </xf>
    <xf numFmtId="0" fontId="6" fillId="21" borderId="0" applyNumberFormat="0" applyBorder="0" applyAlignment="0" applyProtection="0">
      <alignment vertical="center"/>
    </xf>
    <xf numFmtId="0" fontId="6" fillId="16"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19" borderId="0" applyNumberFormat="0" applyBorder="0" applyAlignment="0" applyProtection="0">
      <alignment vertical="center"/>
    </xf>
    <xf numFmtId="0" fontId="6" fillId="15" borderId="0" applyNumberFormat="0" applyBorder="0" applyAlignment="0" applyProtection="0">
      <alignment vertical="center"/>
    </xf>
    <xf numFmtId="0" fontId="6" fillId="14" borderId="0" applyNumberFormat="0" applyBorder="0" applyAlignment="0" applyProtection="0">
      <alignment vertical="center"/>
    </xf>
    <xf numFmtId="0" fontId="6" fillId="21" borderId="0" applyNumberFormat="0" applyBorder="0" applyAlignment="0" applyProtection="0">
      <alignment vertical="center"/>
    </xf>
    <xf numFmtId="0" fontId="6" fillId="24" borderId="0" applyNumberFormat="0" applyBorder="0" applyAlignment="0" applyProtection="0">
      <alignment vertical="center"/>
    </xf>
    <xf numFmtId="0" fontId="6" fillId="18" borderId="0" applyNumberFormat="0" applyBorder="0" applyAlignment="0" applyProtection="0">
      <alignment vertical="center"/>
    </xf>
    <xf numFmtId="0" fontId="45" fillId="25" borderId="0" applyNumberFormat="0" applyBorder="0" applyAlignment="0" applyProtection="0">
      <alignment vertical="center"/>
    </xf>
    <xf numFmtId="0" fontId="45" fillId="21" borderId="0" applyNumberFormat="0" applyBorder="0" applyAlignment="0" applyProtection="0">
      <alignment vertical="center"/>
    </xf>
    <xf numFmtId="0" fontId="45" fillId="16" borderId="0" applyNumberFormat="0" applyBorder="0" applyAlignment="0" applyProtection="0">
      <alignment vertical="center"/>
    </xf>
    <xf numFmtId="0" fontId="45" fillId="26" borderId="0" applyNumberFormat="0" applyBorder="0" applyAlignment="0" applyProtection="0">
      <alignment vertical="center"/>
    </xf>
    <xf numFmtId="0" fontId="45" fillId="22"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15" borderId="0" applyNumberFormat="0" applyBorder="0" applyAlignment="0" applyProtection="0">
      <alignment vertical="center"/>
    </xf>
    <xf numFmtId="0" fontId="45" fillId="28" borderId="0" applyNumberFormat="0" applyBorder="0" applyAlignment="0" applyProtection="0">
      <alignment vertical="center"/>
    </xf>
    <xf numFmtId="0" fontId="45" fillId="21" borderId="0" applyNumberFormat="0" applyBorder="0" applyAlignment="0" applyProtection="0">
      <alignment vertical="center"/>
    </xf>
    <xf numFmtId="0" fontId="45" fillId="29" borderId="0" applyNumberFormat="0" applyBorder="0" applyAlignment="0" applyProtection="0">
      <alignment vertical="center"/>
    </xf>
    <xf numFmtId="0" fontId="45" fillId="16" borderId="0" applyNumberFormat="0" applyBorder="0" applyAlignment="0" applyProtection="0">
      <alignment vertical="center"/>
    </xf>
    <xf numFmtId="0" fontId="61" fillId="0" borderId="0"/>
    <xf numFmtId="0" fontId="62" fillId="30" borderId="51" applyNumberFormat="0" applyAlignment="0"/>
    <xf numFmtId="37" fontId="63" fillId="0" borderId="0" applyFill="0" applyBorder="0" applyAlignment="0" applyProtection="0"/>
    <xf numFmtId="195" fontId="63" fillId="0" borderId="0" applyFill="0" applyBorder="0" applyAlignment="0" applyProtection="0"/>
    <xf numFmtId="0" fontId="64" fillId="0" borderId="0"/>
    <xf numFmtId="0" fontId="65" fillId="0" borderId="0"/>
    <xf numFmtId="0" fontId="7" fillId="0" borderId="0"/>
    <xf numFmtId="4" fontId="63" fillId="0" borderId="0"/>
    <xf numFmtId="3" fontId="63" fillId="0" borderId="0" applyNumberFormat="0" applyFont="0" applyAlignment="0"/>
    <xf numFmtId="0" fontId="29" fillId="0" borderId="0"/>
    <xf numFmtId="0" fontId="29" fillId="0" borderId="0"/>
    <xf numFmtId="0" fontId="7" fillId="0" borderId="0"/>
    <xf numFmtId="0" fontId="35" fillId="0" borderId="0">
      <alignment vertical="center"/>
    </xf>
    <xf numFmtId="0" fontId="29" fillId="0" borderId="0"/>
    <xf numFmtId="0" fontId="6" fillId="0" borderId="0">
      <alignment vertical="center"/>
    </xf>
    <xf numFmtId="0" fontId="29" fillId="0" borderId="0">
      <alignment vertical="center"/>
    </xf>
    <xf numFmtId="43" fontId="29" fillId="0" borderId="0" applyFont="0" applyFill="0" applyBorder="0" applyAlignment="0" applyProtection="0"/>
    <xf numFmtId="43" fontId="29" fillId="0" borderId="0" applyFont="0" applyFill="0" applyBorder="0" applyAlignment="0" applyProtection="0"/>
    <xf numFmtId="0" fontId="7" fillId="0" borderId="0"/>
    <xf numFmtId="43" fontId="29" fillId="0" borderId="0" applyFont="0" applyFill="0" applyBorder="0" applyAlignment="0" applyProtection="0"/>
    <xf numFmtId="43" fontId="29" fillId="0" borderId="0" applyFont="0" applyFill="0" applyBorder="0" applyAlignment="0" applyProtection="0"/>
    <xf numFmtId="0" fontId="46" fillId="23" borderId="0" applyNumberFormat="0" applyBorder="0" applyAlignment="0" applyProtection="0">
      <alignment vertical="center"/>
    </xf>
    <xf numFmtId="0" fontId="69" fillId="23" borderId="0" applyNumberFormat="0" applyBorder="0" applyAlignment="0" applyProtection="0">
      <alignment vertical="center"/>
    </xf>
    <xf numFmtId="0" fontId="47" fillId="0" borderId="52" applyNumberFormat="0" applyFill="0" applyAlignment="0" applyProtection="0">
      <alignment vertical="center"/>
    </xf>
    <xf numFmtId="0" fontId="47" fillId="0" borderId="53" applyNumberFormat="0" applyFill="0" applyAlignment="0" applyProtection="0">
      <alignment vertical="center"/>
    </xf>
    <xf numFmtId="0" fontId="48" fillId="17" borderId="0" applyNumberFormat="0" applyBorder="0" applyAlignment="0" applyProtection="0">
      <alignment vertical="center"/>
    </xf>
    <xf numFmtId="0" fontId="48" fillId="21" borderId="0" applyNumberFormat="0" applyBorder="0" applyAlignment="0" applyProtection="0">
      <alignment vertical="center"/>
    </xf>
    <xf numFmtId="0" fontId="48" fillId="17" borderId="0" applyNumberFormat="0" applyBorder="0" applyAlignment="0" applyProtection="0">
      <alignment vertical="center"/>
    </xf>
    <xf numFmtId="0" fontId="48" fillId="31" borderId="0" applyNumberFormat="0" applyBorder="0" applyAlignment="0" applyProtection="0">
      <alignment vertical="center"/>
    </xf>
    <xf numFmtId="0" fontId="48" fillId="17" borderId="0" applyNumberFormat="0" applyBorder="0" applyAlignment="0" applyProtection="0">
      <alignment vertical="center"/>
    </xf>
    <xf numFmtId="0" fontId="48" fillId="17" borderId="0" applyNumberFormat="0" applyBorder="0" applyAlignment="0" applyProtection="0">
      <alignment vertical="center"/>
    </xf>
    <xf numFmtId="0" fontId="48" fillId="21" borderId="0" applyNumberFormat="0" applyBorder="0" applyAlignment="0" applyProtection="0">
      <alignment vertical="center"/>
    </xf>
    <xf numFmtId="0" fontId="49" fillId="32" borderId="54" applyNumberFormat="0" applyAlignment="0" applyProtection="0">
      <alignment vertical="center"/>
    </xf>
    <xf numFmtId="0" fontId="70" fillId="33" borderId="54" applyNumberFormat="0" applyAlignment="0" applyProtection="0">
      <alignment vertical="center"/>
    </xf>
    <xf numFmtId="6" fontId="66" fillId="0" borderId="0" applyFont="0" applyFill="0" applyBorder="0" applyAlignment="0" applyProtection="0"/>
    <xf numFmtId="0" fontId="50" fillId="0" borderId="55" applyNumberFormat="0" applyFill="0" applyAlignment="0" applyProtection="0">
      <alignment vertical="center"/>
    </xf>
    <xf numFmtId="0" fontId="60" fillId="0" borderId="56" applyNumberFormat="0" applyFill="0" applyAlignment="0" applyProtection="0">
      <alignment vertical="center"/>
    </xf>
    <xf numFmtId="0" fontId="29" fillId="18" borderId="57" applyNumberFormat="0" applyFont="0" applyAlignment="0" applyProtection="0">
      <alignment vertical="center"/>
    </xf>
    <xf numFmtId="0" fontId="51" fillId="0" borderId="0" applyNumberFormat="0" applyFill="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5" fillId="26" borderId="0" applyNumberFormat="0" applyBorder="0" applyAlignment="0" applyProtection="0">
      <alignment vertical="center"/>
    </xf>
    <xf numFmtId="0" fontId="45" fillId="37"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38" borderId="0" applyNumberFormat="0" applyBorder="0" applyAlignment="0" applyProtection="0">
      <alignment vertical="center"/>
    </xf>
    <xf numFmtId="0" fontId="45" fillId="28" borderId="0" applyNumberFormat="0" applyBorder="0" applyAlignment="0" applyProtection="0">
      <alignment vertical="center"/>
    </xf>
    <xf numFmtId="0" fontId="45" fillId="26" borderId="0" applyNumberFormat="0" applyBorder="0" applyAlignment="0" applyProtection="0">
      <alignment vertical="center"/>
    </xf>
    <xf numFmtId="0" fontId="45" fillId="36" borderId="0" applyNumberFormat="0" applyBorder="0" applyAlignment="0" applyProtection="0">
      <alignment vertical="center"/>
    </xf>
    <xf numFmtId="0" fontId="67" fillId="0" borderId="0"/>
    <xf numFmtId="0" fontId="52" fillId="0" borderId="0" applyNumberFormat="0" applyFill="0" applyBorder="0" applyAlignment="0" applyProtection="0">
      <alignment vertical="center"/>
    </xf>
    <xf numFmtId="0" fontId="53" fillId="0" borderId="58" applyNumberFormat="0" applyFill="0" applyAlignment="0" applyProtection="0">
      <alignment vertical="center"/>
    </xf>
    <xf numFmtId="0" fontId="72" fillId="0" borderId="59" applyNumberFormat="0" applyFill="0" applyAlignment="0" applyProtection="0">
      <alignment vertical="center"/>
    </xf>
    <xf numFmtId="0" fontId="54" fillId="0" borderId="60" applyNumberFormat="0" applyFill="0" applyAlignment="0" applyProtection="0">
      <alignment vertical="center"/>
    </xf>
    <xf numFmtId="0" fontId="73" fillId="0" borderId="61" applyNumberFormat="0" applyFill="0" applyAlignment="0" applyProtection="0">
      <alignment vertical="center"/>
    </xf>
    <xf numFmtId="0" fontId="55" fillId="0" borderId="62" applyNumberFormat="0" applyFill="0" applyAlignment="0" applyProtection="0">
      <alignment vertical="center"/>
    </xf>
    <xf numFmtId="0" fontId="74" fillId="0" borderId="63" applyNumberFormat="0" applyFill="0" applyAlignment="0" applyProtection="0">
      <alignment vertical="center"/>
    </xf>
    <xf numFmtId="0" fontId="55"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28" fillId="0" borderId="0"/>
    <xf numFmtId="0" fontId="56" fillId="20" borderId="54" applyNumberFormat="0" applyAlignment="0" applyProtection="0">
      <alignment vertical="center"/>
    </xf>
    <xf numFmtId="0" fontId="56" fillId="23" borderId="54" applyNumberFormat="0" applyAlignment="0" applyProtection="0">
      <alignment vertical="center"/>
    </xf>
    <xf numFmtId="0" fontId="57" fillId="32" borderId="64" applyNumberFormat="0" applyAlignment="0" applyProtection="0">
      <alignment vertical="center"/>
    </xf>
    <xf numFmtId="0" fontId="57" fillId="33" borderId="64" applyNumberFormat="0" applyAlignment="0" applyProtection="0">
      <alignment vertical="center"/>
    </xf>
    <xf numFmtId="0" fontId="68" fillId="0" borderId="0" applyNumberFormat="0" applyFill="0" applyBorder="0" applyAlignment="0" applyProtection="0">
      <alignment vertical="top"/>
      <protection locked="0"/>
    </xf>
    <xf numFmtId="0" fontId="58" fillId="39" borderId="65" applyNumberFormat="0" applyAlignment="0" applyProtection="0">
      <alignment vertical="center"/>
    </xf>
    <xf numFmtId="0" fontId="59" fillId="15" borderId="0" applyNumberFormat="0" applyBorder="0" applyAlignment="0" applyProtection="0">
      <alignment vertical="center"/>
    </xf>
    <xf numFmtId="0" fontId="59" fillId="19" borderId="0" applyNumberFormat="0" applyBorder="0" applyAlignment="0" applyProtection="0">
      <alignment vertical="center"/>
    </xf>
    <xf numFmtId="0" fontId="59" fillId="15" borderId="0" applyNumberFormat="0" applyBorder="0" applyAlignment="0" applyProtection="0">
      <alignment vertical="center"/>
    </xf>
    <xf numFmtId="0" fontId="59" fillId="40" borderId="0" applyNumberFormat="0" applyBorder="0" applyAlignment="0" applyProtection="0">
      <alignment vertical="center"/>
    </xf>
    <xf numFmtId="0" fontId="59" fillId="15" borderId="0" applyNumberFormat="0" applyBorder="0" applyAlignment="0" applyProtection="0">
      <alignment vertical="center"/>
    </xf>
    <xf numFmtId="0" fontId="59" fillId="15" borderId="0" applyNumberFormat="0" applyBorder="0" applyAlignment="0" applyProtection="0">
      <alignment vertical="center"/>
    </xf>
    <xf numFmtId="0" fontId="59" fillId="19" borderId="0" applyNumberFormat="0" applyBorder="0" applyAlignment="0" applyProtection="0">
      <alignment vertical="center"/>
    </xf>
    <xf numFmtId="0" fontId="60" fillId="0" borderId="0" applyNumberFormat="0" applyFill="0" applyBorder="0" applyAlignment="0" applyProtection="0">
      <alignment vertical="center"/>
    </xf>
    <xf numFmtId="0" fontId="47" fillId="0" borderId="66" applyNumberFormat="0" applyFill="0" applyAlignment="0" applyProtection="0">
      <alignment vertical="center"/>
    </xf>
    <xf numFmtId="0" fontId="47" fillId="0" borderId="67" applyNumberFormat="0" applyFill="0" applyAlignment="0" applyProtection="0">
      <alignment vertical="center"/>
    </xf>
    <xf numFmtId="0" fontId="49" fillId="32" borderId="68" applyNumberFormat="0" applyAlignment="0" applyProtection="0">
      <alignment vertical="center"/>
    </xf>
    <xf numFmtId="0" fontId="70" fillId="33" borderId="68" applyNumberFormat="0" applyAlignment="0" applyProtection="0">
      <alignment vertical="center"/>
    </xf>
    <xf numFmtId="0" fontId="29" fillId="18" borderId="69" applyNumberFormat="0" applyFont="0" applyAlignment="0" applyProtection="0">
      <alignment vertical="center"/>
    </xf>
    <xf numFmtId="0" fontId="56" fillId="20" borderId="68" applyNumberFormat="0" applyAlignment="0" applyProtection="0">
      <alignment vertical="center"/>
    </xf>
    <xf numFmtId="0" fontId="56" fillId="23" borderId="68" applyNumberFormat="0" applyAlignment="0" applyProtection="0">
      <alignment vertical="center"/>
    </xf>
    <xf numFmtId="0" fontId="57" fillId="32" borderId="70" applyNumberFormat="0" applyAlignment="0" applyProtection="0">
      <alignment vertical="center"/>
    </xf>
    <xf numFmtId="0" fontId="57" fillId="33" borderId="70" applyNumberFormat="0" applyAlignment="0" applyProtection="0">
      <alignment vertical="center"/>
    </xf>
  </cellStyleXfs>
  <cellXfs count="463">
    <xf numFmtId="0" fontId="0" fillId="0" borderId="0" xfId="0">
      <alignment vertical="center"/>
    </xf>
    <xf numFmtId="0" fontId="0" fillId="0" borderId="0" xfId="0" applyAlignment="1">
      <alignment horizontal="center" vertical="center"/>
    </xf>
    <xf numFmtId="0" fontId="4" fillId="0" borderId="0" xfId="0" applyFont="1" applyAlignment="1">
      <alignment horizontal="center" vertical="center"/>
    </xf>
    <xf numFmtId="0" fontId="4" fillId="0" borderId="0" xfId="0" applyFont="1">
      <alignment vertical="center"/>
    </xf>
    <xf numFmtId="177" fontId="4" fillId="0" borderId="0" xfId="0" applyNumberFormat="1" applyFont="1" applyAlignment="1">
      <alignment horizontal="center" vertical="center"/>
    </xf>
    <xf numFmtId="0" fontId="0" fillId="0" borderId="1" xfId="0" applyBorder="1">
      <alignment vertical="center"/>
    </xf>
    <xf numFmtId="0" fontId="0" fillId="4" borderId="1" xfId="0" applyFill="1" applyBorder="1">
      <alignment vertical="center"/>
    </xf>
    <xf numFmtId="0" fontId="5" fillId="5" borderId="1" xfId="0" applyFont="1" applyFill="1" applyBorder="1" applyAlignment="1">
      <alignment horizontal="center" vertical="center" shrinkToFit="1"/>
    </xf>
    <xf numFmtId="177" fontId="5" fillId="5" borderId="1" xfId="0" applyNumberFormat="1" applyFont="1" applyFill="1" applyBorder="1" applyAlignment="1">
      <alignment horizontal="center" vertical="center" shrinkToFit="1"/>
    </xf>
    <xf numFmtId="49" fontId="4" fillId="6" borderId="1" xfId="1" applyNumberFormat="1" applyFont="1" applyFill="1" applyBorder="1" applyAlignment="1">
      <alignment horizontal="center" vertical="center" shrinkToFit="1"/>
    </xf>
    <xf numFmtId="0" fontId="0" fillId="6" borderId="1" xfId="0" applyFill="1" applyBorder="1">
      <alignment vertical="center"/>
    </xf>
    <xf numFmtId="0" fontId="4" fillId="6" borderId="1" xfId="1" applyFont="1" applyFill="1" applyBorder="1" applyAlignment="1">
      <alignment horizontal="center" vertical="center" shrinkToFit="1"/>
    </xf>
    <xf numFmtId="0" fontId="4" fillId="6" borderId="1" xfId="1" applyFont="1" applyFill="1" applyBorder="1" applyAlignment="1">
      <alignment horizontal="left" wrapText="1" indent="1" shrinkToFit="1"/>
    </xf>
    <xf numFmtId="0" fontId="0" fillId="0" borderId="1" xfId="0" applyBorder="1" applyAlignment="1">
      <alignment horizontal="center"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10" fillId="4" borderId="1" xfId="0" applyFont="1" applyFill="1" applyBorder="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57" fontId="0" fillId="0" borderId="0" xfId="0" applyNumberFormat="1">
      <alignment vertical="center"/>
    </xf>
    <xf numFmtId="43" fontId="10" fillId="0" borderId="1" xfId="0" applyNumberFormat="1" applyFont="1" applyBorder="1">
      <alignment vertical="center"/>
    </xf>
    <xf numFmtId="43" fontId="10" fillId="4" borderId="1" xfId="0" applyNumberFormat="1" applyFont="1" applyFill="1" applyBorder="1">
      <alignment vertical="center"/>
    </xf>
    <xf numFmtId="0" fontId="0" fillId="5" borderId="16" xfId="0" applyFill="1" applyBorder="1">
      <alignment vertical="center"/>
    </xf>
    <xf numFmtId="0" fontId="0" fillId="5" borderId="0" xfId="0" applyFill="1">
      <alignment vertical="center"/>
    </xf>
    <xf numFmtId="43" fontId="10" fillId="0" borderId="18" xfId="0" applyNumberFormat="1" applyFont="1" applyBorder="1">
      <alignment vertical="center"/>
    </xf>
    <xf numFmtId="43" fontId="10" fillId="4" borderId="18" xfId="0" applyNumberFormat="1" applyFont="1" applyFill="1" applyBorder="1">
      <alignment vertical="center"/>
    </xf>
    <xf numFmtId="0" fontId="15" fillId="5" borderId="15" xfId="0" applyFont="1" applyFill="1" applyBorder="1" applyAlignment="1">
      <alignment horizontal="center" vertical="center"/>
    </xf>
    <xf numFmtId="0" fontId="15" fillId="5" borderId="13" xfId="0" applyFont="1" applyFill="1" applyBorder="1" applyAlignment="1">
      <alignment horizontal="center" vertical="center"/>
    </xf>
    <xf numFmtId="0" fontId="2" fillId="0" borderId="1" xfId="0" applyFont="1" applyBorder="1" applyAlignment="1">
      <alignment horizontal="center" vertical="center"/>
    </xf>
    <xf numFmtId="0" fontId="2" fillId="0" borderId="16" xfId="0" applyFont="1" applyBorder="1">
      <alignment vertical="center"/>
    </xf>
    <xf numFmtId="0" fontId="2" fillId="0" borderId="0" xfId="0" applyFont="1">
      <alignment vertical="center"/>
    </xf>
    <xf numFmtId="0" fontId="22" fillId="0" borderId="0" xfId="0" applyFont="1">
      <alignment vertical="center"/>
    </xf>
    <xf numFmtId="43" fontId="24" fillId="0" borderId="30" xfId="0" applyNumberFormat="1" applyFont="1" applyBorder="1" applyAlignment="1">
      <alignment vertical="center" shrinkToFit="1"/>
    </xf>
    <xf numFmtId="0" fontId="4" fillId="0" borderId="24" xfId="0" applyFont="1" applyBorder="1" applyAlignment="1">
      <alignment horizontal="center" vertical="center"/>
    </xf>
    <xf numFmtId="43" fontId="24" fillId="0" borderId="36" xfId="0" applyNumberFormat="1" applyFont="1" applyBorder="1" applyAlignment="1">
      <alignment vertical="center" shrinkToFit="1"/>
    </xf>
    <xf numFmtId="49" fontId="2" fillId="0" borderId="29" xfId="0" applyNumberFormat="1" applyFont="1" applyBorder="1" applyAlignment="1">
      <alignment horizontal="center" vertical="center" shrinkToFit="1"/>
    </xf>
    <xf numFmtId="0" fontId="4" fillId="0" borderId="1" xfId="0" applyFont="1" applyBorder="1" applyAlignment="1">
      <alignment horizontal="center" vertical="center"/>
    </xf>
    <xf numFmtId="49" fontId="2" fillId="0" borderId="37" xfId="0" applyNumberFormat="1" applyFont="1" applyBorder="1" applyAlignment="1">
      <alignment horizontal="center" vertical="center" shrinkToFit="1"/>
    </xf>
    <xf numFmtId="0" fontId="4" fillId="0" borderId="22" xfId="0" applyFont="1" applyBorder="1" applyAlignment="1">
      <alignment horizontal="center" vertical="center"/>
    </xf>
    <xf numFmtId="43" fontId="24" fillId="0" borderId="40" xfId="0" applyNumberFormat="1" applyFont="1" applyBorder="1" applyAlignment="1">
      <alignment vertical="center" shrinkToFit="1"/>
    </xf>
    <xf numFmtId="0" fontId="2" fillId="0" borderId="41" xfId="0" applyFont="1" applyBorder="1">
      <alignment vertical="center"/>
    </xf>
    <xf numFmtId="0" fontId="2" fillId="0" borderId="0" xfId="0" applyFont="1" applyAlignment="1">
      <alignment vertical="center" wrapText="1"/>
    </xf>
    <xf numFmtId="43" fontId="23" fillId="0" borderId="30" xfId="0" applyNumberFormat="1" applyFont="1" applyBorder="1" applyAlignment="1">
      <alignment vertical="center" shrinkToFit="1"/>
    </xf>
    <xf numFmtId="0" fontId="0" fillId="3" borderId="23" xfId="0" applyFill="1" applyBorder="1">
      <alignment vertical="center"/>
    </xf>
    <xf numFmtId="0" fontId="0" fillId="3" borderId="24" xfId="0" applyFill="1" applyBorder="1">
      <alignment vertical="center"/>
    </xf>
    <xf numFmtId="0" fontId="9" fillId="0" borderId="0" xfId="0" applyFont="1" applyAlignment="1">
      <alignment horizontal="center" vertical="center"/>
    </xf>
    <xf numFmtId="0" fontId="9" fillId="0" borderId="0" xfId="0" applyFont="1">
      <alignment vertical="center"/>
    </xf>
    <xf numFmtId="0" fontId="0" fillId="4" borderId="1" xfId="0" applyFill="1" applyBorder="1" applyAlignment="1">
      <alignment horizontal="center" vertical="center"/>
    </xf>
    <xf numFmtId="43" fontId="10" fillId="4" borderId="22" xfId="0" applyNumberFormat="1" applyFont="1" applyFill="1" applyBorder="1">
      <alignment vertical="center"/>
    </xf>
    <xf numFmtId="0" fontId="0" fillId="4" borderId="22" xfId="0" applyFill="1" applyBorder="1" applyAlignment="1">
      <alignment horizontal="center" vertical="center"/>
    </xf>
    <xf numFmtId="0" fontId="0" fillId="4" borderId="38" xfId="0" applyFill="1" applyBorder="1">
      <alignment vertical="center"/>
    </xf>
    <xf numFmtId="0" fontId="0" fillId="4" borderId="22" xfId="0" applyFill="1" applyBorder="1">
      <alignment vertical="center"/>
    </xf>
    <xf numFmtId="0" fontId="9" fillId="3" borderId="24" xfId="0" applyFont="1" applyFill="1" applyBorder="1" applyAlignment="1">
      <alignment horizontal="center" vertical="center"/>
    </xf>
    <xf numFmtId="0" fontId="9" fillId="3" borderId="24" xfId="0" applyFont="1" applyFill="1" applyBorder="1">
      <alignment vertical="center"/>
    </xf>
    <xf numFmtId="0" fontId="9" fillId="4" borderId="1" xfId="0" applyFont="1" applyFill="1" applyBorder="1" applyAlignment="1">
      <alignment horizontal="center" vertical="center"/>
    </xf>
    <xf numFmtId="0" fontId="9" fillId="4" borderId="1" xfId="0" applyFont="1" applyFill="1" applyBorder="1">
      <alignment vertical="center"/>
    </xf>
    <xf numFmtId="0" fontId="9" fillId="4" borderId="22" xfId="0" applyFont="1" applyFill="1" applyBorder="1" applyAlignment="1">
      <alignment horizontal="center" vertical="center"/>
    </xf>
    <xf numFmtId="0" fontId="9" fillId="4" borderId="22" xfId="0" applyFont="1" applyFill="1" applyBorder="1">
      <alignment vertical="center"/>
    </xf>
    <xf numFmtId="49" fontId="2" fillId="0" borderId="18" xfId="0" applyNumberFormat="1" applyFont="1" applyBorder="1" applyAlignment="1">
      <alignment horizontal="center" vertical="center" shrinkToFit="1"/>
    </xf>
    <xf numFmtId="43" fontId="9" fillId="4" borderId="1" xfId="0" applyNumberFormat="1" applyFont="1" applyFill="1" applyBorder="1">
      <alignment vertical="center"/>
    </xf>
    <xf numFmtId="41" fontId="10" fillId="4" borderId="18" xfId="0" applyNumberFormat="1" applyFont="1" applyFill="1" applyBorder="1">
      <alignment vertical="center"/>
    </xf>
    <xf numFmtId="41" fontId="10" fillId="4" borderId="1" xfId="0" applyNumberFormat="1" applyFont="1" applyFill="1" applyBorder="1">
      <alignment vertical="center"/>
    </xf>
    <xf numFmtId="0" fontId="29" fillId="0" borderId="0" xfId="5" applyFont="1" applyAlignment="1">
      <alignment vertical="center"/>
    </xf>
    <xf numFmtId="0" fontId="4" fillId="0" borderId="0" xfId="5" applyFont="1"/>
    <xf numFmtId="181" fontId="24" fillId="0" borderId="0" xfId="5" applyNumberFormat="1" applyFont="1" applyAlignment="1">
      <alignment horizontal="right"/>
    </xf>
    <xf numFmtId="181" fontId="24" fillId="0" borderId="0" xfId="5" applyNumberFormat="1" applyFont="1" applyAlignment="1">
      <alignment horizontal="left"/>
    </xf>
    <xf numFmtId="0" fontId="30" fillId="0" borderId="0" xfId="5" applyFont="1"/>
    <xf numFmtId="0" fontId="4" fillId="0" borderId="0" xfId="5" applyFont="1" applyAlignment="1">
      <alignment horizontal="center"/>
    </xf>
    <xf numFmtId="0" fontId="4" fillId="0" borderId="0" xfId="5" applyFont="1" applyAlignment="1">
      <alignment horizontal="right"/>
    </xf>
    <xf numFmtId="179" fontId="4" fillId="0" borderId="0" xfId="0" applyNumberFormat="1" applyFont="1" applyAlignment="1">
      <alignment horizontal="center" vertical="center"/>
    </xf>
    <xf numFmtId="179" fontId="4" fillId="0" borderId="0" xfId="0" applyNumberFormat="1" applyFont="1">
      <alignment vertical="center"/>
    </xf>
    <xf numFmtId="0" fontId="4" fillId="0" borderId="1" xfId="5" applyFont="1" applyBorder="1" applyAlignment="1">
      <alignment horizontal="center" vertical="center"/>
    </xf>
    <xf numFmtId="0" fontId="4" fillId="0" borderId="12" xfId="5" applyFont="1" applyBorder="1" applyAlignment="1">
      <alignment vertical="center"/>
    </xf>
    <xf numFmtId="0" fontId="4" fillId="0" borderId="10" xfId="5" applyFont="1" applyBorder="1" applyAlignment="1">
      <alignment vertical="center"/>
    </xf>
    <xf numFmtId="0" fontId="0" fillId="0" borderId="0" xfId="5" applyFont="1" applyAlignment="1">
      <alignment vertical="center"/>
    </xf>
    <xf numFmtId="187" fontId="10" fillId="0" borderId="1" xfId="0" applyNumberFormat="1" applyFont="1" applyBorder="1">
      <alignment vertical="center"/>
    </xf>
    <xf numFmtId="187" fontId="15" fillId="0" borderId="0" xfId="0" applyNumberFormat="1" applyFont="1">
      <alignment vertical="center"/>
    </xf>
    <xf numFmtId="0" fontId="0" fillId="4" borderId="47" xfId="0" applyFill="1" applyBorder="1">
      <alignment vertical="center"/>
    </xf>
    <xf numFmtId="0" fontId="9" fillId="4" borderId="47" xfId="0" applyFont="1" applyFill="1" applyBorder="1" applyAlignment="1">
      <alignment horizontal="center" vertical="center"/>
    </xf>
    <xf numFmtId="0" fontId="9" fillId="4" borderId="47" xfId="0" applyFont="1" applyFill="1" applyBorder="1">
      <alignment vertical="center"/>
    </xf>
    <xf numFmtId="41" fontId="0" fillId="4" borderId="4" xfId="0" applyNumberFormat="1" applyFill="1" applyBorder="1">
      <alignment vertical="center"/>
    </xf>
    <xf numFmtId="0" fontId="19" fillId="0" borderId="24" xfId="0" applyFont="1" applyBorder="1">
      <alignment vertical="center"/>
    </xf>
    <xf numFmtId="183" fontId="20" fillId="0" borderId="1" xfId="0" applyNumberFormat="1" applyFont="1" applyBorder="1" applyAlignment="1">
      <alignment horizontal="right" vertical="center"/>
    </xf>
    <xf numFmtId="43" fontId="19" fillId="0" borderId="1" xfId="0" applyNumberFormat="1" applyFont="1" applyBorder="1" applyAlignment="1">
      <alignment horizontal="left" vertical="center" wrapText="1" readingOrder="1"/>
    </xf>
    <xf numFmtId="0" fontId="19" fillId="0" borderId="1" xfId="0" applyFont="1" applyBorder="1">
      <alignment vertical="center"/>
    </xf>
    <xf numFmtId="0" fontId="19" fillId="0" borderId="1" xfId="0" applyFont="1" applyBorder="1" applyAlignment="1">
      <alignment horizontal="left" vertical="center"/>
    </xf>
    <xf numFmtId="177" fontId="0" fillId="0" borderId="0" xfId="0" applyNumberFormat="1">
      <alignment vertical="center"/>
    </xf>
    <xf numFmtId="176" fontId="0" fillId="0" borderId="0" xfId="0" applyNumberFormat="1">
      <alignment vertical="center"/>
    </xf>
    <xf numFmtId="176" fontId="0" fillId="0" borderId="0" xfId="0" applyNumberFormat="1" applyAlignment="1">
      <alignment horizontal="center" vertical="center"/>
    </xf>
    <xf numFmtId="188" fontId="0" fillId="0" borderId="0" xfId="0" applyNumberFormat="1">
      <alignment vertical="center"/>
    </xf>
    <xf numFmtId="188" fontId="0" fillId="0" borderId="0" xfId="0" applyNumberFormat="1" applyAlignment="1">
      <alignment horizontal="center" vertical="center"/>
    </xf>
    <xf numFmtId="0" fontId="34" fillId="0" borderId="0" xfId="0" applyFont="1" applyAlignment="1">
      <alignment horizontal="center" vertical="center"/>
    </xf>
    <xf numFmtId="180" fontId="34" fillId="0" borderId="0" xfId="0" applyNumberFormat="1" applyFont="1" applyAlignment="1">
      <alignment horizontal="center" vertical="center" shrinkToFit="1"/>
    </xf>
    <xf numFmtId="179" fontId="34" fillId="0" borderId="0" xfId="0" applyNumberFormat="1" applyFont="1" applyAlignment="1">
      <alignment horizontal="center" vertical="center"/>
    </xf>
    <xf numFmtId="49" fontId="0" fillId="0" borderId="1" xfId="0" applyNumberFormat="1" applyBorder="1" applyAlignment="1">
      <alignment vertical="center" wrapText="1"/>
    </xf>
    <xf numFmtId="49" fontId="0" fillId="0" borderId="1" xfId="0" applyNumberFormat="1" applyBorder="1">
      <alignment vertical="center"/>
    </xf>
    <xf numFmtId="49" fontId="0" fillId="8" borderId="1" xfId="0" applyNumberFormat="1" applyFill="1" applyBorder="1" applyAlignment="1">
      <alignment vertical="center" wrapText="1"/>
    </xf>
    <xf numFmtId="49" fontId="0" fillId="8" borderId="1" xfId="0" applyNumberFormat="1" applyFill="1" applyBorder="1">
      <alignment vertical="center"/>
    </xf>
    <xf numFmtId="49" fontId="10" fillId="8" borderId="1" xfId="0" applyNumberFormat="1" applyFont="1" applyFill="1" applyBorder="1" applyAlignment="1">
      <alignment vertical="center" wrapText="1"/>
    </xf>
    <xf numFmtId="49" fontId="10" fillId="8" borderId="1" xfId="0" applyNumberFormat="1" applyFont="1" applyFill="1" applyBorder="1">
      <alignment vertical="center"/>
    </xf>
    <xf numFmtId="49" fontId="0" fillId="8" borderId="2" xfId="0" applyNumberFormat="1" applyFill="1" applyBorder="1">
      <alignment vertical="center"/>
    </xf>
    <xf numFmtId="49" fontId="0" fillId="8" borderId="3" xfId="0" applyNumberFormat="1" applyFill="1" applyBorder="1">
      <alignment vertical="center"/>
    </xf>
    <xf numFmtId="49" fontId="0" fillId="8" borderId="4" xfId="0" applyNumberFormat="1" applyFill="1" applyBorder="1">
      <alignment vertical="center"/>
    </xf>
    <xf numFmtId="49" fontId="0" fillId="0" borderId="5" xfId="0" applyNumberFormat="1" applyBorder="1">
      <alignment vertical="center"/>
    </xf>
    <xf numFmtId="49" fontId="0" fillId="0" borderId="0" xfId="0" applyNumberFormat="1">
      <alignment vertical="center"/>
    </xf>
    <xf numFmtId="49" fontId="0" fillId="0" borderId="6" xfId="0" applyNumberFormat="1" applyBorder="1">
      <alignment vertical="center"/>
    </xf>
    <xf numFmtId="49" fontId="0" fillId="8" borderId="5" xfId="0" applyNumberFormat="1" applyFill="1" applyBorder="1">
      <alignment vertical="center"/>
    </xf>
    <xf numFmtId="49" fontId="0" fillId="8" borderId="0" xfId="0" applyNumberFormat="1" applyFill="1">
      <alignment vertical="center"/>
    </xf>
    <xf numFmtId="49" fontId="0" fillId="8" borderId="6" xfId="0" applyNumberFormat="1" applyFill="1" applyBorder="1">
      <alignment vertical="center"/>
    </xf>
    <xf numFmtId="49" fontId="10" fillId="8" borderId="5" xfId="0" applyNumberFormat="1" applyFont="1" applyFill="1" applyBorder="1">
      <alignment vertical="center"/>
    </xf>
    <xf numFmtId="49" fontId="10" fillId="8" borderId="0" xfId="0" applyNumberFormat="1" applyFont="1" applyFill="1">
      <alignment vertical="center"/>
    </xf>
    <xf numFmtId="49" fontId="10" fillId="8" borderId="6" xfId="0" applyNumberFormat="1" applyFont="1" applyFill="1" applyBorder="1">
      <alignment vertical="center"/>
    </xf>
    <xf numFmtId="49" fontId="0" fillId="0" borderId="7" xfId="0" applyNumberFormat="1" applyBorder="1">
      <alignment vertical="center"/>
    </xf>
    <xf numFmtId="49" fontId="0" fillId="0" borderId="8" xfId="0" applyNumberFormat="1" applyBorder="1">
      <alignment vertical="center"/>
    </xf>
    <xf numFmtId="49" fontId="0" fillId="0" borderId="9" xfId="0" applyNumberFormat="1" applyBorder="1">
      <alignment vertical="center"/>
    </xf>
    <xf numFmtId="41" fontId="2" fillId="0" borderId="0" xfId="0" applyNumberFormat="1" applyFont="1">
      <alignment vertical="center"/>
    </xf>
    <xf numFmtId="0" fontId="35" fillId="0" borderId="0" xfId="0" applyFont="1">
      <alignment vertical="center"/>
    </xf>
    <xf numFmtId="182" fontId="2" fillId="0" borderId="0" xfId="0" applyNumberFormat="1" applyFont="1">
      <alignment vertical="center"/>
    </xf>
    <xf numFmtId="190" fontId="20" fillId="0" borderId="1" xfId="0" applyNumberFormat="1" applyFont="1" applyBorder="1" applyAlignment="1">
      <alignment horizontal="center" vertical="center"/>
    </xf>
    <xf numFmtId="0" fontId="19" fillId="0" borderId="0" xfId="0" applyFont="1" applyAlignment="1">
      <alignment horizontal="center" vertical="center"/>
    </xf>
    <xf numFmtId="0" fontId="19" fillId="0" borderId="43" xfId="0" applyFont="1" applyBorder="1" applyAlignment="1">
      <alignment horizontal="left" vertical="center"/>
    </xf>
    <xf numFmtId="41" fontId="19" fillId="0" borderId="0" xfId="0" applyNumberFormat="1" applyFont="1" applyAlignment="1">
      <alignment horizontal="center" vertical="center" wrapText="1" readingOrder="2"/>
    </xf>
    <xf numFmtId="0" fontId="19" fillId="0" borderId="0" xfId="0" applyFont="1">
      <alignment vertical="center"/>
    </xf>
    <xf numFmtId="189" fontId="17" fillId="0" borderId="30" xfId="0" applyNumberFormat="1" applyFont="1" applyBorder="1">
      <alignment vertical="center"/>
    </xf>
    <xf numFmtId="191" fontId="2" fillId="0" borderId="0" xfId="0" applyNumberFormat="1" applyFont="1">
      <alignment vertical="center"/>
    </xf>
    <xf numFmtId="192" fontId="2" fillId="0" borderId="0" xfId="0" applyNumberFormat="1" applyFont="1">
      <alignment vertical="center"/>
    </xf>
    <xf numFmtId="49" fontId="0" fillId="0" borderId="1" xfId="0" applyNumberFormat="1" applyBorder="1" applyAlignment="1">
      <alignment horizontal="left" vertical="top" wrapText="1"/>
    </xf>
    <xf numFmtId="49" fontId="36" fillId="0" borderId="1" xfId="0" applyNumberFormat="1" applyFont="1" applyBorder="1" applyAlignment="1">
      <alignment horizontal="center" vertical="center" shrinkToFit="1"/>
    </xf>
    <xf numFmtId="0" fontId="4" fillId="0" borderId="0" xfId="0" applyFont="1" applyAlignment="1">
      <alignment horizontal="left" vertical="center"/>
    </xf>
    <xf numFmtId="176" fontId="5" fillId="5" borderId="1" xfId="0" applyNumberFormat="1" applyFont="1" applyFill="1" applyBorder="1" applyAlignment="1">
      <alignment horizontal="center" vertical="center" shrinkToFit="1"/>
    </xf>
    <xf numFmtId="176" fontId="4" fillId="6" borderId="1" xfId="1" applyNumberFormat="1" applyFont="1" applyFill="1" applyBorder="1" applyAlignment="1">
      <alignment horizontal="center" vertical="center" shrinkToFit="1"/>
    </xf>
    <xf numFmtId="176" fontId="4" fillId="0" borderId="0" xfId="0" applyNumberFormat="1" applyFont="1" applyAlignment="1">
      <alignment horizontal="center" vertical="center"/>
    </xf>
    <xf numFmtId="0" fontId="0" fillId="0" borderId="0" xfId="0" applyAlignment="1" applyProtection="1">
      <alignment vertical="top"/>
      <protection locked="0"/>
    </xf>
    <xf numFmtId="0" fontId="0" fillId="0" borderId="0" xfId="0" applyAlignment="1" applyProtection="1">
      <alignment horizontal="center" vertical="top"/>
      <protection locked="0"/>
    </xf>
    <xf numFmtId="193" fontId="0" fillId="0" borderId="0" xfId="0" applyNumberFormat="1" applyAlignment="1" applyProtection="1">
      <alignment vertical="top"/>
      <protection locked="0"/>
    </xf>
    <xf numFmtId="10" fontId="0" fillId="0" borderId="0" xfId="0" applyNumberFormat="1" applyAlignment="1" applyProtection="1">
      <alignment vertical="top"/>
      <protection locked="0"/>
    </xf>
    <xf numFmtId="0" fontId="13" fillId="0" borderId="0" xfId="0" applyFont="1" applyAlignment="1">
      <alignment horizontal="left" vertical="center"/>
    </xf>
    <xf numFmtId="0" fontId="14" fillId="0" borderId="0" xfId="0" applyFont="1" applyAlignment="1">
      <alignment horizontal="left" vertical="center"/>
    </xf>
    <xf numFmtId="0" fontId="0" fillId="0" borderId="0" xfId="0" applyAlignment="1">
      <alignment horizontal="left" vertical="center"/>
    </xf>
    <xf numFmtId="0" fontId="35" fillId="0" borderId="0" xfId="0" applyFont="1" applyAlignment="1">
      <alignment horizontal="left" vertical="center"/>
    </xf>
    <xf numFmtId="0" fontId="15" fillId="3" borderId="27" xfId="0" applyFont="1" applyFill="1" applyBorder="1" applyAlignment="1">
      <alignment horizontal="left" vertical="center"/>
    </xf>
    <xf numFmtId="49" fontId="2" fillId="9" borderId="18" xfId="0" applyNumberFormat="1" applyFont="1" applyFill="1" applyBorder="1" applyAlignment="1">
      <alignment horizontal="center" vertical="center" shrinkToFit="1"/>
    </xf>
    <xf numFmtId="43" fontId="23" fillId="9" borderId="30" xfId="0" applyNumberFormat="1" applyFont="1" applyFill="1" applyBorder="1" applyAlignment="1">
      <alignment vertical="center" shrinkToFit="1"/>
    </xf>
    <xf numFmtId="0" fontId="22" fillId="0" borderId="12" xfId="0" applyFont="1" applyBorder="1" applyAlignment="1">
      <alignment horizontal="center" vertical="center"/>
    </xf>
    <xf numFmtId="0" fontId="2" fillId="0" borderId="12" xfId="0" applyFont="1" applyBorder="1" applyAlignment="1">
      <alignment horizontal="center" vertical="center"/>
    </xf>
    <xf numFmtId="41" fontId="10" fillId="4" borderId="50" xfId="0" applyNumberFormat="1" applyFont="1" applyFill="1" applyBorder="1">
      <alignment vertical="center"/>
    </xf>
    <xf numFmtId="41" fontId="10" fillId="4" borderId="47" xfId="0" applyNumberFormat="1" applyFont="1" applyFill="1" applyBorder="1">
      <alignment vertical="center"/>
    </xf>
    <xf numFmtId="0" fontId="40" fillId="0" borderId="1" xfId="0" applyFont="1" applyBorder="1">
      <alignment vertical="center"/>
    </xf>
    <xf numFmtId="10" fontId="0" fillId="0" borderId="0" xfId="0" applyNumberFormat="1" applyAlignment="1" applyProtection="1">
      <alignment horizontal="center" vertical="top"/>
      <protection locked="0"/>
    </xf>
    <xf numFmtId="0" fontId="13" fillId="11" borderId="0" xfId="0" applyFont="1" applyFill="1" applyAlignment="1">
      <alignment horizontal="center" vertical="center"/>
    </xf>
    <xf numFmtId="0" fontId="14" fillId="11" borderId="0" xfId="0" applyFont="1" applyFill="1" applyAlignment="1">
      <alignment horizontal="center" vertical="center"/>
    </xf>
    <xf numFmtId="0" fontId="0" fillId="11" borderId="0" xfId="0" applyFill="1">
      <alignment vertical="center"/>
    </xf>
    <xf numFmtId="179" fontId="0" fillId="11" borderId="0" xfId="0" applyNumberFormat="1" applyFill="1" applyAlignment="1">
      <alignment horizontal="center" vertical="center"/>
    </xf>
    <xf numFmtId="0" fontId="0" fillId="11" borderId="0" xfId="0" applyFill="1" applyAlignment="1">
      <alignment horizontal="center" vertical="center"/>
    </xf>
    <xf numFmtId="187" fontId="15" fillId="11" borderId="0" xfId="0" applyNumberFormat="1" applyFont="1" applyFill="1">
      <alignment vertical="center"/>
    </xf>
    <xf numFmtId="0" fontId="9" fillId="4" borderId="1" xfId="0" applyFont="1" applyFill="1" applyBorder="1" applyAlignment="1">
      <alignment horizontal="left" vertical="center"/>
    </xf>
    <xf numFmtId="0" fontId="10" fillId="4" borderId="22" xfId="0" applyFont="1" applyFill="1" applyBorder="1" applyAlignment="1">
      <alignment horizontal="left" vertical="center"/>
    </xf>
    <xf numFmtId="0" fontId="10" fillId="4" borderId="10" xfId="0" applyFont="1" applyFill="1" applyBorder="1" applyAlignment="1">
      <alignment horizontal="left" vertical="center"/>
    </xf>
    <xf numFmtId="0" fontId="10" fillId="4" borderId="2" xfId="0" applyFont="1" applyFill="1" applyBorder="1" applyAlignment="1">
      <alignment horizontal="left" vertical="center"/>
    </xf>
    <xf numFmtId="0" fontId="10" fillId="4" borderId="1" xfId="0" applyFont="1" applyFill="1" applyBorder="1" applyAlignment="1">
      <alignment horizontal="left" vertical="center"/>
    </xf>
    <xf numFmtId="0" fontId="10" fillId="0" borderId="0" xfId="0" applyFont="1" applyAlignment="1">
      <alignment horizontal="left" vertical="center"/>
    </xf>
    <xf numFmtId="0" fontId="42" fillId="0" borderId="1" xfId="0" applyFont="1" applyBorder="1" applyAlignment="1">
      <alignment horizontal="left" vertical="center"/>
    </xf>
    <xf numFmtId="0" fontId="2" fillId="0" borderId="12" xfId="0" applyFont="1" applyBorder="1" applyAlignment="1">
      <alignment horizontal="center" vertical="center"/>
    </xf>
    <xf numFmtId="0" fontId="0" fillId="0" borderId="0" xfId="0" applyFill="1">
      <alignment vertical="center"/>
    </xf>
    <xf numFmtId="43" fontId="10" fillId="0" borderId="1" xfId="0" applyNumberFormat="1" applyFont="1" applyFill="1" applyBorder="1">
      <alignment vertical="center"/>
    </xf>
    <xf numFmtId="43" fontId="10" fillId="12" borderId="1" xfId="0" applyNumberFormat="1" applyFont="1" applyFill="1" applyBorder="1">
      <alignment vertical="center"/>
    </xf>
    <xf numFmtId="49" fontId="43" fillId="0" borderId="1" xfId="0" applyNumberFormat="1" applyFont="1" applyBorder="1" applyAlignment="1">
      <alignment horizontal="left" vertical="top" wrapText="1"/>
    </xf>
    <xf numFmtId="49" fontId="44" fillId="0" borderId="1" xfId="0" applyNumberFormat="1" applyFont="1" applyBorder="1" applyAlignment="1">
      <alignment horizontal="left" vertical="top" wrapText="1"/>
    </xf>
    <xf numFmtId="0" fontId="2" fillId="0" borderId="12" xfId="0" applyFont="1" applyBorder="1" applyAlignment="1">
      <alignment horizontal="center" vertical="center"/>
    </xf>
    <xf numFmtId="194" fontId="40" fillId="0" borderId="1" xfId="0" applyNumberFormat="1" applyFont="1" applyFill="1" applyBorder="1" applyAlignment="1">
      <alignment horizontal="center" vertical="center" wrapText="1"/>
    </xf>
    <xf numFmtId="194" fontId="4" fillId="0" borderId="1" xfId="0" applyNumberFormat="1" applyFont="1" applyFill="1" applyBorder="1" applyAlignment="1">
      <alignment horizontal="center" vertical="center" wrapText="1"/>
    </xf>
    <xf numFmtId="177" fontId="4" fillId="6" borderId="1" xfId="0" applyNumberFormat="1" applyFont="1" applyFill="1" applyBorder="1" applyAlignment="1">
      <alignment horizontal="center" vertical="center"/>
    </xf>
    <xf numFmtId="10" fontId="0" fillId="0" borderId="0" xfId="0" applyNumberFormat="1" applyAlignment="1" applyProtection="1">
      <alignment horizontal="center" vertical="top"/>
      <protection locked="0"/>
    </xf>
    <xf numFmtId="0" fontId="0" fillId="0" borderId="0" xfId="0" applyFill="1" applyAlignment="1" applyProtection="1">
      <alignment vertical="top"/>
      <protection locked="0"/>
    </xf>
    <xf numFmtId="180" fontId="0" fillId="0" borderId="0" xfId="0" applyNumberFormat="1" applyFill="1" applyAlignment="1" applyProtection="1">
      <alignment vertical="top"/>
      <protection locked="0"/>
    </xf>
    <xf numFmtId="43" fontId="23" fillId="0" borderId="30" xfId="0" applyNumberFormat="1" applyFont="1" applyFill="1" applyBorder="1" applyAlignment="1">
      <alignment vertical="center" shrinkToFit="1"/>
    </xf>
    <xf numFmtId="0" fontId="2" fillId="0" borderId="0" xfId="0" applyFont="1" applyFill="1">
      <alignment vertical="center"/>
    </xf>
    <xf numFmtId="194" fontId="4" fillId="0" borderId="1" xfId="7" applyNumberFormat="1" applyFont="1" applyFill="1" applyBorder="1" applyAlignment="1">
      <alignment vertical="center" wrapText="1" shrinkToFit="1"/>
    </xf>
    <xf numFmtId="0" fontId="0" fillId="10" borderId="1" xfId="0" applyFill="1" applyBorder="1">
      <alignment vertical="center"/>
    </xf>
    <xf numFmtId="49" fontId="4" fillId="10" borderId="1" xfId="1" applyNumberFormat="1" applyFont="1" applyFill="1" applyBorder="1" applyAlignment="1">
      <alignment horizontal="center" vertical="center" shrinkToFit="1"/>
    </xf>
    <xf numFmtId="0" fontId="4" fillId="10" borderId="1" xfId="1" applyFont="1" applyFill="1" applyBorder="1" applyAlignment="1">
      <alignment wrapText="1" shrinkToFit="1"/>
    </xf>
    <xf numFmtId="0" fontId="4" fillId="10" borderId="1" xfId="1" applyFont="1" applyFill="1" applyBorder="1" applyAlignment="1">
      <alignment horizontal="center" vertical="center" shrinkToFit="1"/>
    </xf>
    <xf numFmtId="176" fontId="4" fillId="10" borderId="1" xfId="1" applyNumberFormat="1" applyFont="1" applyFill="1" applyBorder="1" applyAlignment="1">
      <alignment horizontal="center" vertical="center" shrinkToFit="1"/>
    </xf>
    <xf numFmtId="177" fontId="4" fillId="10" borderId="1" xfId="0" applyNumberFormat="1" applyFont="1" applyFill="1" applyBorder="1" applyAlignment="1">
      <alignment horizontal="center" vertical="center"/>
    </xf>
    <xf numFmtId="180" fontId="38" fillId="11" borderId="0" xfId="0" applyNumberFormat="1" applyFont="1" applyFill="1" applyAlignment="1">
      <alignment horizontal="center" vertical="center" shrinkToFit="1"/>
    </xf>
    <xf numFmtId="0" fontId="0" fillId="0" borderId="1" xfId="0" applyFill="1" applyBorder="1">
      <alignment vertical="center"/>
    </xf>
    <xf numFmtId="0" fontId="40" fillId="0" borderId="1" xfId="0" applyFont="1" applyFill="1" applyBorder="1">
      <alignment vertical="center"/>
    </xf>
    <xf numFmtId="0" fontId="36" fillId="0" borderId="1" xfId="0" applyFont="1" applyFill="1" applyBorder="1" applyAlignment="1">
      <alignment horizontal="left" indent="1" shrinkToFit="1"/>
    </xf>
    <xf numFmtId="176" fontId="4" fillId="0" borderId="1" xfId="2" applyNumberFormat="1" applyFont="1" applyBorder="1" applyAlignment="1">
      <alignment horizontal="right" vertical="center" shrinkToFit="1"/>
    </xf>
    <xf numFmtId="176" fontId="4" fillId="10" borderId="1" xfId="2" applyNumberFormat="1" applyFont="1" applyFill="1" applyBorder="1" applyAlignment="1">
      <alignment horizontal="right" vertical="center" shrinkToFit="1"/>
    </xf>
    <xf numFmtId="49" fontId="36" fillId="0" borderId="1" xfId="0" applyNumberFormat="1" applyFont="1" applyFill="1" applyBorder="1" applyAlignment="1">
      <alignment horizontal="center" shrinkToFit="1"/>
    </xf>
    <xf numFmtId="0" fontId="36" fillId="0" borderId="1" xfId="0" applyFont="1" applyBorder="1" applyAlignment="1">
      <alignment horizontal="center" shrinkToFit="1"/>
    </xf>
    <xf numFmtId="196" fontId="75" fillId="0" borderId="1" xfId="0" applyNumberFormat="1" applyFont="1" applyBorder="1" applyAlignment="1">
      <alignment shrinkToFit="1"/>
    </xf>
    <xf numFmtId="41" fontId="75" fillId="0" borderId="1" xfId="0" applyNumberFormat="1" applyFont="1" applyBorder="1" applyAlignment="1">
      <alignment shrinkToFit="1"/>
    </xf>
    <xf numFmtId="176" fontId="4" fillId="0" borderId="0" xfId="0" applyNumberFormat="1" applyFont="1" applyAlignment="1">
      <alignment horizontal="right" vertical="center"/>
    </xf>
    <xf numFmtId="0" fontId="0" fillId="3" borderId="13" xfId="0" applyFill="1" applyBorder="1">
      <alignment vertical="center"/>
    </xf>
    <xf numFmtId="1" fontId="42" fillId="0" borderId="1" xfId="0" applyNumberFormat="1" applyFont="1" applyBorder="1" applyAlignment="1">
      <alignment horizontal="left" vertical="center"/>
    </xf>
    <xf numFmtId="43" fontId="10" fillId="3" borderId="18" xfId="0" applyNumberFormat="1" applyFont="1" applyFill="1" applyBorder="1">
      <alignment vertical="center"/>
    </xf>
    <xf numFmtId="43" fontId="10" fillId="3" borderId="1" xfId="0" applyNumberFormat="1" applyFont="1" applyFill="1" applyBorder="1">
      <alignment vertical="center"/>
    </xf>
    <xf numFmtId="0" fontId="42" fillId="3" borderId="1" xfId="0" applyFont="1" applyFill="1" applyBorder="1" applyAlignment="1">
      <alignment horizontal="left" vertical="center"/>
    </xf>
    <xf numFmtId="187" fontId="10" fillId="3" borderId="1" xfId="0" applyNumberFormat="1" applyFont="1" applyFill="1" applyBorder="1">
      <alignment vertical="center"/>
    </xf>
    <xf numFmtId="0" fontId="0" fillId="3" borderId="0" xfId="0" applyFill="1">
      <alignment vertical="center"/>
    </xf>
    <xf numFmtId="0" fontId="2" fillId="0" borderId="72" xfId="0" applyFont="1" applyBorder="1" applyAlignment="1">
      <alignment horizontal="center" vertical="center"/>
    </xf>
    <xf numFmtId="10" fontId="0" fillId="11" borderId="0" xfId="0" applyNumberFormat="1" applyFill="1" applyAlignment="1" applyProtection="1">
      <alignment horizontal="center" vertical="top"/>
      <protection locked="0"/>
    </xf>
    <xf numFmtId="10" fontId="0" fillId="0" borderId="0" xfId="0" applyNumberFormat="1" applyAlignment="1" applyProtection="1">
      <alignment horizontal="center" vertical="top"/>
      <protection locked="0"/>
    </xf>
    <xf numFmtId="0" fontId="0" fillId="0" borderId="73" xfId="0" applyBorder="1">
      <alignment vertical="center"/>
    </xf>
    <xf numFmtId="0" fontId="0" fillId="0" borderId="73" xfId="0" applyBorder="1" applyAlignment="1">
      <alignment vertical="center" wrapText="1"/>
    </xf>
    <xf numFmtId="57" fontId="0" fillId="0" borderId="73" xfId="0" applyNumberFormat="1" applyBorder="1">
      <alignment vertical="center"/>
    </xf>
    <xf numFmtId="176" fontId="0" fillId="0" borderId="73" xfId="0" applyNumberFormat="1" applyBorder="1">
      <alignment vertical="center"/>
    </xf>
    <xf numFmtId="0" fontId="4" fillId="0" borderId="1" xfId="0" applyFont="1" applyBorder="1" applyAlignment="1">
      <alignment vertical="top" wrapText="1" shrinkToFit="1"/>
    </xf>
    <xf numFmtId="0" fontId="4" fillId="0" borderId="1" xfId="0" applyFont="1" applyFill="1" applyBorder="1" applyAlignment="1">
      <alignment horizontal="center" vertical="center" wrapText="1"/>
    </xf>
    <xf numFmtId="0" fontId="40" fillId="0" borderId="1" xfId="0" applyFont="1" applyFill="1" applyBorder="1" applyAlignment="1">
      <alignment horizontal="center" vertical="center" wrapText="1"/>
    </xf>
    <xf numFmtId="0" fontId="76" fillId="0" borderId="1" xfId="0" applyFont="1" applyBorder="1" applyAlignment="1">
      <alignment vertical="center" shrinkToFit="1"/>
    </xf>
    <xf numFmtId="194" fontId="4" fillId="0" borderId="1" xfId="7" applyNumberFormat="1" applyFont="1" applyFill="1" applyBorder="1" applyAlignment="1">
      <alignment horizontal="left" vertical="center" wrapText="1"/>
    </xf>
    <xf numFmtId="194" fontId="40" fillId="0" borderId="1" xfId="7" applyNumberFormat="1" applyFont="1" applyFill="1" applyBorder="1" applyAlignment="1">
      <alignment horizontal="left" vertical="center" wrapText="1"/>
    </xf>
    <xf numFmtId="0" fontId="4" fillId="0" borderId="1" xfId="7" applyFont="1" applyFill="1" applyBorder="1" applyAlignment="1">
      <alignment horizontal="left" vertical="center" wrapText="1"/>
    </xf>
    <xf numFmtId="0" fontId="40" fillId="0" borderId="1" xfId="7" applyFont="1" applyFill="1" applyBorder="1" applyAlignment="1">
      <alignment horizontal="left" vertical="center" wrapText="1"/>
    </xf>
    <xf numFmtId="49" fontId="4" fillId="41" borderId="1" xfId="0" applyNumberFormat="1" applyFont="1" applyFill="1" applyBorder="1" applyAlignment="1">
      <alignment horizontal="center" vertical="center" shrinkToFit="1"/>
    </xf>
    <xf numFmtId="49" fontId="4" fillId="41" borderId="1" xfId="0" applyNumberFormat="1" applyFont="1" applyFill="1" applyBorder="1" applyAlignment="1">
      <alignment horizontal="left" vertical="center" shrinkToFit="1"/>
    </xf>
    <xf numFmtId="176" fontId="4" fillId="41" borderId="1" xfId="0" applyNumberFormat="1" applyFont="1" applyFill="1" applyBorder="1" applyAlignment="1">
      <alignment horizontal="center" vertical="center" shrinkToFit="1"/>
    </xf>
    <xf numFmtId="176" fontId="5" fillId="5" borderId="1" xfId="0" applyNumberFormat="1" applyFont="1" applyFill="1" applyBorder="1" applyAlignment="1">
      <alignment horizontal="right" vertical="center" shrinkToFit="1"/>
    </xf>
    <xf numFmtId="176" fontId="4" fillId="6" borderId="1" xfId="2" applyNumberFormat="1" applyFont="1" applyFill="1" applyBorder="1" applyAlignment="1">
      <alignment horizontal="right" shrinkToFit="1"/>
    </xf>
    <xf numFmtId="49" fontId="43" fillId="0" borderId="1" xfId="0" applyNumberFormat="1" applyFont="1" applyBorder="1" applyAlignment="1">
      <alignment vertical="top" wrapText="1"/>
    </xf>
    <xf numFmtId="0" fontId="0" fillId="4" borderId="4" xfId="0" applyFill="1" applyBorder="1">
      <alignment vertical="center"/>
    </xf>
    <xf numFmtId="0" fontId="42" fillId="0" borderId="1" xfId="0" applyFont="1" applyFill="1" applyBorder="1" applyAlignment="1">
      <alignment horizontal="left" vertical="center"/>
    </xf>
    <xf numFmtId="0" fontId="0" fillId="3" borderId="17" xfId="0" applyFill="1" applyBorder="1">
      <alignment vertical="center"/>
    </xf>
    <xf numFmtId="0" fontId="15" fillId="3" borderId="13" xfId="0" applyFont="1" applyFill="1" applyBorder="1" applyAlignment="1">
      <alignment horizontal="left" vertical="center"/>
    </xf>
    <xf numFmtId="0" fontId="9" fillId="3" borderId="13" xfId="0" applyFont="1" applyFill="1" applyBorder="1" applyAlignment="1">
      <alignment horizontal="center" vertical="center"/>
    </xf>
    <xf numFmtId="0" fontId="9" fillId="3" borderId="13" xfId="0" applyFont="1" applyFill="1" applyBorder="1">
      <alignment vertical="center"/>
    </xf>
    <xf numFmtId="0" fontId="4" fillId="0" borderId="47" xfId="0" applyFont="1" applyBorder="1" applyAlignment="1">
      <alignment vertical="center" wrapText="1" shrinkToFit="1"/>
    </xf>
    <xf numFmtId="194" fontId="4" fillId="42" borderId="1" xfId="7" applyNumberFormat="1" applyFont="1" applyFill="1" applyBorder="1" applyAlignment="1">
      <alignment horizontal="left" vertical="center" wrapText="1"/>
    </xf>
    <xf numFmtId="194" fontId="40" fillId="0" borderId="1" xfId="0" applyNumberFormat="1" applyFont="1" applyBorder="1" applyAlignment="1">
      <alignment horizontal="center" vertical="center" wrapText="1"/>
    </xf>
    <xf numFmtId="194" fontId="4" fillId="0" borderId="1" xfId="7" applyNumberFormat="1" applyFont="1" applyFill="1" applyBorder="1" applyAlignment="1">
      <alignment horizontal="right" vertical="center" wrapText="1"/>
    </xf>
    <xf numFmtId="2" fontId="0" fillId="0" borderId="0" xfId="0" applyNumberFormat="1">
      <alignment vertical="center"/>
    </xf>
    <xf numFmtId="0" fontId="0" fillId="4" borderId="12" xfId="0" applyFill="1" applyBorder="1">
      <alignment vertical="center"/>
    </xf>
    <xf numFmtId="0" fontId="2" fillId="0" borderId="0" xfId="0" applyFont="1" applyAlignment="1">
      <alignment horizontal="center" vertical="center"/>
    </xf>
    <xf numFmtId="0" fontId="4" fillId="0" borderId="0" xfId="0" applyFont="1" applyAlignment="1">
      <alignment horizontal="center" vertical="center"/>
    </xf>
    <xf numFmtId="0" fontId="27" fillId="0" borderId="0" xfId="0" applyFont="1" applyAlignment="1">
      <alignment horizontal="center" vertical="center"/>
    </xf>
    <xf numFmtId="0" fontId="0" fillId="0" borderId="1" xfId="0" applyBorder="1" applyAlignment="1">
      <alignment horizontal="left" vertical="center" wrapText="1"/>
    </xf>
    <xf numFmtId="49" fontId="9" fillId="8" borderId="1" xfId="0" applyNumberFormat="1" applyFont="1" applyFill="1" applyBorder="1">
      <alignment vertical="center"/>
    </xf>
    <xf numFmtId="0" fontId="0" fillId="0" borderId="1" xfId="0" applyBorder="1" applyAlignment="1">
      <alignment horizontal="left" vertical="center"/>
    </xf>
    <xf numFmtId="49" fontId="9" fillId="8" borderId="1" xfId="0" applyNumberFormat="1" applyFont="1" applyFill="1" applyBorder="1" applyAlignment="1">
      <alignment horizontal="left" vertical="center"/>
    </xf>
    <xf numFmtId="49" fontId="10" fillId="8" borderId="1" xfId="0" applyNumberFormat="1" applyFont="1" applyFill="1" applyBorder="1">
      <alignment vertical="center"/>
    </xf>
    <xf numFmtId="0" fontId="15" fillId="5" borderId="15" xfId="0" applyFont="1" applyFill="1" applyBorder="1" applyAlignment="1">
      <alignment horizontal="center" vertical="center" wrapText="1"/>
    </xf>
    <xf numFmtId="0" fontId="15" fillId="5" borderId="13" xfId="0" applyFont="1" applyFill="1" applyBorder="1" applyAlignment="1">
      <alignment horizontal="center" vertical="center" wrapText="1"/>
    </xf>
    <xf numFmtId="0" fontId="15" fillId="5" borderId="14" xfId="0" applyFont="1" applyFill="1" applyBorder="1" applyAlignment="1">
      <alignment horizontal="center" vertical="center" wrapText="1"/>
    </xf>
    <xf numFmtId="0" fontId="15" fillId="5" borderId="17" xfId="0" applyFont="1" applyFill="1" applyBorder="1" applyAlignment="1">
      <alignment horizontal="center" vertical="center"/>
    </xf>
    <xf numFmtId="0" fontId="77" fillId="0" borderId="8" xfId="0" applyFont="1" applyBorder="1" applyAlignment="1">
      <alignment horizontal="right" vertical="center"/>
    </xf>
    <xf numFmtId="0" fontId="11" fillId="0" borderId="8" xfId="0" applyFont="1" applyBorder="1" applyAlignment="1">
      <alignment horizontal="right" vertical="center"/>
    </xf>
    <xf numFmtId="0" fontId="11" fillId="0" borderId="9" xfId="0" applyFont="1" applyBorder="1" applyAlignment="1">
      <alignment horizontal="right" vertical="center"/>
    </xf>
    <xf numFmtId="0" fontId="15" fillId="5" borderId="15" xfId="0" applyFont="1" applyFill="1" applyBorder="1" applyAlignment="1">
      <alignment horizontal="center" vertical="center"/>
    </xf>
    <xf numFmtId="0" fontId="15" fillId="5" borderId="13" xfId="0" applyFont="1" applyFill="1" applyBorder="1" applyAlignment="1">
      <alignment horizontal="center" vertical="center"/>
    </xf>
    <xf numFmtId="0" fontId="15" fillId="5" borderId="24" xfId="0" applyFont="1" applyFill="1" applyBorder="1" applyAlignment="1">
      <alignment horizontal="left" vertical="center"/>
    </xf>
    <xf numFmtId="0" fontId="15" fillId="5" borderId="1" xfId="0" applyFont="1" applyFill="1" applyBorder="1" applyAlignment="1">
      <alignment horizontal="left" vertical="center"/>
    </xf>
    <xf numFmtId="0" fontId="15" fillId="5" borderId="24" xfId="0" applyFont="1" applyFill="1" applyBorder="1" applyAlignment="1">
      <alignment horizontal="center" vertical="center"/>
    </xf>
    <xf numFmtId="0" fontId="15" fillId="5" borderId="1" xfId="0" applyFont="1" applyFill="1" applyBorder="1" applyAlignment="1">
      <alignment horizontal="center" vertical="center"/>
    </xf>
    <xf numFmtId="0" fontId="16" fillId="0" borderId="0" xfId="0" applyFont="1" applyAlignment="1">
      <alignment horizontal="right" vertical="center"/>
    </xf>
    <xf numFmtId="0" fontId="10" fillId="7" borderId="0" xfId="0" applyFont="1" applyFill="1" applyAlignment="1">
      <alignment horizontal="center" vertical="center"/>
    </xf>
    <xf numFmtId="0" fontId="12" fillId="7" borderId="0" xfId="0" applyFont="1" applyFill="1" applyAlignment="1">
      <alignment horizontal="center" vertical="center"/>
    </xf>
    <xf numFmtId="0" fontId="11" fillId="7" borderId="0" xfId="0" applyFont="1" applyFill="1" applyAlignment="1">
      <alignment horizontal="center" vertical="center"/>
    </xf>
    <xf numFmtId="43" fontId="22" fillId="0" borderId="10" xfId="0" applyNumberFormat="1" applyFont="1" applyBorder="1" applyAlignment="1">
      <alignment horizontal="center" vertical="center"/>
    </xf>
    <xf numFmtId="43" fontId="22" fillId="0" borderId="31" xfId="0" applyNumberFormat="1" applyFont="1" applyBorder="1" applyAlignment="1">
      <alignment horizontal="center" vertical="center"/>
    </xf>
    <xf numFmtId="0" fontId="22" fillId="0" borderId="29" xfId="0" applyFont="1" applyBorder="1" applyAlignment="1">
      <alignment horizontal="center" vertical="center" shrinkToFit="1"/>
    </xf>
    <xf numFmtId="0" fontId="22" fillId="0" borderId="11" xfId="0" applyFont="1" applyBorder="1" applyAlignment="1">
      <alignment horizontal="center" vertical="center" shrinkToFit="1"/>
    </xf>
    <xf numFmtId="0" fontId="22" fillId="0" borderId="12" xfId="0" applyFont="1" applyBorder="1" applyAlignment="1">
      <alignment horizontal="center" vertical="center" shrinkToFit="1"/>
    </xf>
    <xf numFmtId="0" fontId="22" fillId="0" borderId="10" xfId="0" applyFont="1" applyBorder="1" applyAlignment="1">
      <alignment horizontal="center" vertical="center"/>
    </xf>
    <xf numFmtId="0" fontId="22" fillId="0" borderId="12" xfId="0" applyFont="1" applyBorder="1" applyAlignment="1">
      <alignment horizontal="center" vertical="center"/>
    </xf>
    <xf numFmtId="43" fontId="22" fillId="0" borderId="10" xfId="0" applyNumberFormat="1" applyFont="1" applyBorder="1" applyAlignment="1">
      <alignment horizontal="center" vertical="center" shrinkToFit="1"/>
    </xf>
    <xf numFmtId="43" fontId="22" fillId="0" borderId="12" xfId="0" applyNumberFormat="1" applyFont="1" applyBorder="1" applyAlignment="1">
      <alignment horizontal="center" vertical="center" shrinkToFit="1"/>
    </xf>
    <xf numFmtId="43" fontId="22" fillId="0" borderId="10" xfId="0" applyNumberFormat="1" applyFont="1" applyBorder="1" applyAlignment="1">
      <alignment horizontal="right" vertical="center" shrinkToFit="1"/>
    </xf>
    <xf numFmtId="43" fontId="22" fillId="0" borderId="11" xfId="0" applyNumberFormat="1" applyFont="1" applyBorder="1" applyAlignment="1">
      <alignment horizontal="right" vertical="center" shrinkToFit="1"/>
    </xf>
    <xf numFmtId="43" fontId="22" fillId="0" borderId="12" xfId="0" applyNumberFormat="1" applyFont="1" applyBorder="1" applyAlignment="1">
      <alignment horizontal="right" vertical="center" shrinkToFit="1"/>
    </xf>
    <xf numFmtId="43" fontId="22" fillId="0" borderId="12" xfId="0" applyNumberFormat="1" applyFont="1" applyBorder="1" applyAlignment="1">
      <alignment horizontal="center" vertical="center"/>
    </xf>
    <xf numFmtId="43" fontId="22" fillId="0" borderId="31" xfId="0" applyNumberFormat="1" applyFont="1" applyBorder="1" applyAlignment="1">
      <alignment horizontal="center" vertical="center" shrinkToFit="1"/>
    </xf>
    <xf numFmtId="49" fontId="22" fillId="0" borderId="29" xfId="0" applyNumberFormat="1" applyFont="1" applyBorder="1" applyAlignment="1">
      <alignment horizontal="center" vertical="center"/>
    </xf>
    <xf numFmtId="49" fontId="22" fillId="0" borderId="11" xfId="0" applyNumberFormat="1" applyFont="1" applyBorder="1" applyAlignment="1">
      <alignment horizontal="center" vertical="center"/>
    </xf>
    <xf numFmtId="49" fontId="22" fillId="0" borderId="12" xfId="0" applyNumberFormat="1" applyFont="1" applyBorder="1" applyAlignment="1">
      <alignment horizontal="center" vertical="center"/>
    </xf>
    <xf numFmtId="0" fontId="22" fillId="0" borderId="11" xfId="0" applyFont="1" applyBorder="1" applyAlignment="1">
      <alignment horizontal="center" vertical="center"/>
    </xf>
    <xf numFmtId="0" fontId="19" fillId="0" borderId="29" xfId="0" applyFont="1" applyBorder="1">
      <alignment vertical="center"/>
    </xf>
    <xf numFmtId="0" fontId="19" fillId="0" borderId="11" xfId="0" applyFont="1" applyBorder="1">
      <alignment vertical="center"/>
    </xf>
    <xf numFmtId="0" fontId="19" fillId="0" borderId="31" xfId="0" applyFont="1" applyBorder="1">
      <alignment vertical="center"/>
    </xf>
    <xf numFmtId="0" fontId="22" fillId="0" borderId="29" xfId="0" applyFont="1" applyBorder="1" applyAlignment="1">
      <alignment horizontal="center" vertical="center"/>
    </xf>
    <xf numFmtId="0" fontId="22" fillId="0" borderId="31" xfId="0" applyFont="1" applyBorder="1" applyAlignment="1">
      <alignment horizontal="center" vertical="center"/>
    </xf>
    <xf numFmtId="43" fontId="23" fillId="0" borderId="10" xfId="0" applyNumberFormat="1" applyFont="1" applyBorder="1" applyAlignment="1">
      <alignment horizontal="center" vertical="center"/>
    </xf>
    <xf numFmtId="0" fontId="23" fillId="0" borderId="11" xfId="0" applyFont="1" applyBorder="1" applyAlignment="1">
      <alignment horizontal="center" vertical="center"/>
    </xf>
    <xf numFmtId="0" fontId="23" fillId="0" borderId="31" xfId="0" applyFont="1" applyBorder="1" applyAlignment="1">
      <alignment horizontal="center" vertical="center"/>
    </xf>
    <xf numFmtId="0" fontId="2" fillId="0" borderId="29" xfId="0" applyFont="1" applyBorder="1" applyAlignment="1">
      <alignment horizontal="center" vertical="center"/>
    </xf>
    <xf numFmtId="0" fontId="2" fillId="0" borderId="12" xfId="0" applyFont="1" applyBorder="1" applyAlignment="1">
      <alignment horizontal="center" vertical="center"/>
    </xf>
    <xf numFmtId="43" fontId="39" fillId="0" borderId="10" xfId="0" applyNumberFormat="1" applyFont="1" applyBorder="1" applyAlignment="1">
      <alignment horizontal="center" vertical="center"/>
    </xf>
    <xf numFmtId="0" fontId="39" fillId="0" borderId="12" xfId="0" applyFont="1" applyBorder="1" applyAlignment="1">
      <alignment horizontal="center" vertical="center"/>
    </xf>
    <xf numFmtId="0" fontId="39" fillId="0" borderId="11" xfId="0" applyFont="1" applyBorder="1" applyAlignment="1">
      <alignment horizontal="center" vertical="center"/>
    </xf>
    <xf numFmtId="0" fontId="39" fillId="0" borderId="31" xfId="0" applyFont="1" applyBorder="1" applyAlignment="1">
      <alignment horizontal="center" vertical="center"/>
    </xf>
    <xf numFmtId="0" fontId="41" fillId="0" borderId="44" xfId="0" applyFont="1" applyBorder="1" applyAlignment="1">
      <alignment horizontal="left" vertical="center" wrapText="1"/>
    </xf>
    <xf numFmtId="0" fontId="41" fillId="0" borderId="45" xfId="0" applyFont="1" applyBorder="1" applyAlignment="1">
      <alignment horizontal="left" vertical="center" wrapText="1"/>
    </xf>
    <xf numFmtId="0" fontId="41" fillId="0" borderId="46" xfId="0" applyFont="1" applyBorder="1" applyAlignment="1">
      <alignment horizontal="left" vertical="center" wrapText="1"/>
    </xf>
    <xf numFmtId="0" fontId="19" fillId="0" borderId="44" xfId="0" applyFont="1" applyBorder="1" applyAlignment="1">
      <alignment horizontal="left" vertical="center" wrapText="1"/>
    </xf>
    <xf numFmtId="0" fontId="19" fillId="0" borderId="45" xfId="0" applyFont="1" applyBorder="1" applyAlignment="1">
      <alignment horizontal="left" vertical="center" wrapText="1"/>
    </xf>
    <xf numFmtId="0" fontId="19" fillId="0" borderId="46" xfId="0" applyFont="1" applyBorder="1" applyAlignment="1">
      <alignment horizontal="left" vertical="center" wrapText="1"/>
    </xf>
    <xf numFmtId="0" fontId="22" fillId="0" borderId="44" xfId="0" applyFont="1" applyBorder="1" applyAlignment="1">
      <alignment horizontal="left" vertical="center" wrapText="1"/>
    </xf>
    <xf numFmtId="0" fontId="22" fillId="0" borderId="45" xfId="0" applyFont="1" applyBorder="1" applyAlignment="1">
      <alignment horizontal="left" vertical="center" wrapText="1"/>
    </xf>
    <xf numFmtId="0" fontId="22" fillId="0" borderId="46" xfId="0" applyFont="1" applyBorder="1" applyAlignment="1">
      <alignment horizontal="left" vertical="center" wrapText="1"/>
    </xf>
    <xf numFmtId="0" fontId="19" fillId="0" borderId="32" xfId="0" applyFont="1" applyBorder="1" applyAlignment="1">
      <alignment horizontal="left" vertical="center"/>
    </xf>
    <xf numFmtId="0" fontId="19" fillId="0" borderId="3" xfId="0" applyFont="1" applyBorder="1" applyAlignment="1">
      <alignment horizontal="left" vertical="center"/>
    </xf>
    <xf numFmtId="0" fontId="19" fillId="0" borderId="33" xfId="0" applyFont="1" applyBorder="1" applyAlignment="1">
      <alignment horizontal="left" vertical="center"/>
    </xf>
    <xf numFmtId="41" fontId="22" fillId="0" borderId="34" xfId="0" applyNumberFormat="1" applyFont="1" applyBorder="1" applyAlignment="1">
      <alignment vertical="top" wrapText="1"/>
    </xf>
    <xf numFmtId="41" fontId="22" fillId="0" borderId="8" xfId="0" applyNumberFormat="1" applyFont="1" applyBorder="1" applyAlignment="1">
      <alignment vertical="top" wrapText="1"/>
    </xf>
    <xf numFmtId="41" fontId="22" fillId="0" borderId="35" xfId="0" applyNumberFormat="1" applyFont="1" applyBorder="1" applyAlignment="1">
      <alignment vertical="top" wrapText="1"/>
    </xf>
    <xf numFmtId="0" fontId="19" fillId="0" borderId="32" xfId="0" applyFont="1" applyBorder="1" applyAlignment="1">
      <alignment horizontal="left" vertical="center" wrapText="1"/>
    </xf>
    <xf numFmtId="0" fontId="19" fillId="0" borderId="3" xfId="0" applyFont="1" applyBorder="1" applyAlignment="1">
      <alignment horizontal="left" vertical="center" wrapText="1"/>
    </xf>
    <xf numFmtId="0" fontId="19" fillId="0" borderId="33" xfId="0" applyFont="1" applyBorder="1" applyAlignment="1">
      <alignment horizontal="left" vertical="center" wrapText="1"/>
    </xf>
    <xf numFmtId="0" fontId="19" fillId="0" borderId="32" xfId="0" applyFont="1" applyBorder="1" applyAlignment="1">
      <alignment horizontal="left" vertical="center" shrinkToFit="1"/>
    </xf>
    <xf numFmtId="0" fontId="19" fillId="0" borderId="3" xfId="0" applyFont="1" applyBorder="1" applyAlignment="1">
      <alignment horizontal="left" vertical="center" shrinkToFit="1"/>
    </xf>
    <xf numFmtId="0" fontId="19" fillId="0" borderId="33" xfId="0" applyFont="1" applyBorder="1" applyAlignment="1">
      <alignment horizontal="left" vertical="center" shrinkToFit="1"/>
    </xf>
    <xf numFmtId="41" fontId="22" fillId="0" borderId="34" xfId="0" applyNumberFormat="1" applyFont="1" applyBorder="1" applyAlignment="1">
      <alignment horizontal="left" vertical="top" wrapText="1"/>
    </xf>
    <xf numFmtId="41" fontId="22" fillId="0" borderId="8" xfId="0" applyNumberFormat="1" applyFont="1" applyBorder="1" applyAlignment="1">
      <alignment horizontal="left" vertical="top" wrapText="1"/>
    </xf>
    <xf numFmtId="41" fontId="22" fillId="0" borderId="35" xfId="0" applyNumberFormat="1" applyFont="1" applyBorder="1" applyAlignment="1">
      <alignment horizontal="left" vertical="top" wrapText="1"/>
    </xf>
    <xf numFmtId="0" fontId="22" fillId="0" borderId="32" xfId="0" applyFont="1" applyBorder="1" applyAlignment="1">
      <alignment horizontal="left" vertical="center"/>
    </xf>
    <xf numFmtId="0" fontId="22" fillId="0" borderId="3" xfId="0" applyFont="1" applyBorder="1" applyAlignment="1">
      <alignment horizontal="left" vertical="center"/>
    </xf>
    <xf numFmtId="0" fontId="22" fillId="0" borderId="33" xfId="0" applyFont="1" applyBorder="1" applyAlignment="1">
      <alignment horizontal="left" vertical="center"/>
    </xf>
    <xf numFmtId="0" fontId="22" fillId="0" borderId="19" xfId="0" applyFont="1" applyBorder="1" applyAlignment="1">
      <alignment horizontal="left" vertical="center"/>
    </xf>
    <xf numFmtId="0" fontId="22" fillId="0" borderId="20" xfId="0" applyFont="1" applyBorder="1" applyAlignment="1">
      <alignment horizontal="left" vertical="center"/>
    </xf>
    <xf numFmtId="0" fontId="22" fillId="0" borderId="42" xfId="0" applyFont="1" applyBorder="1" applyAlignment="1">
      <alignment horizontal="left" vertical="center"/>
    </xf>
    <xf numFmtId="0" fontId="23" fillId="0" borderId="12" xfId="0" applyFont="1" applyBorder="1" applyAlignment="1">
      <alignment horizontal="center" vertical="center"/>
    </xf>
    <xf numFmtId="43" fontId="24" fillId="0" borderId="27" xfId="0" applyNumberFormat="1" applyFont="1" applyBorder="1" applyAlignment="1">
      <alignment horizontal="center" vertical="center" shrinkToFit="1"/>
    </xf>
    <xf numFmtId="43" fontId="24" fillId="0" borderId="26" xfId="0" applyNumberFormat="1" applyFont="1" applyBorder="1" applyAlignment="1">
      <alignment horizontal="center" vertical="center" shrinkToFi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178" fontId="24" fillId="0" borderId="10" xfId="0" applyNumberFormat="1" applyFont="1" applyBorder="1" applyAlignment="1">
      <alignment horizontal="center" vertical="center" shrinkToFit="1"/>
    </xf>
    <xf numFmtId="178" fontId="24" fillId="0" borderId="12" xfId="0" applyNumberFormat="1" applyFont="1" applyBorder="1" applyAlignment="1">
      <alignment horizontal="center" vertical="center" shrinkToFit="1"/>
    </xf>
    <xf numFmtId="43" fontId="24" fillId="0" borderId="10" xfId="0" applyNumberFormat="1" applyFont="1" applyBorder="1" applyAlignment="1">
      <alignment horizontal="center" vertical="center" shrinkToFit="1"/>
    </xf>
    <xf numFmtId="43" fontId="24" fillId="0" borderId="12" xfId="0" applyNumberFormat="1" applyFont="1" applyBorder="1" applyAlignment="1">
      <alignment horizontal="center" vertical="center" shrinkToFit="1"/>
    </xf>
    <xf numFmtId="0" fontId="2" fillId="0" borderId="21" xfId="0" applyFont="1" applyBorder="1" applyAlignment="1">
      <alignment horizontal="center" vertical="center" wrapText="1"/>
    </xf>
    <xf numFmtId="0" fontId="2" fillId="0" borderId="38" xfId="0" applyFont="1" applyBorder="1" applyAlignment="1">
      <alignment horizontal="center" vertical="center" wrapText="1"/>
    </xf>
    <xf numFmtId="178" fontId="24" fillId="0" borderId="39" xfId="0" applyNumberFormat="1" applyFont="1" applyBorder="1" applyAlignment="1">
      <alignment horizontal="center" vertical="center" shrinkToFit="1"/>
    </xf>
    <xf numFmtId="178" fontId="24" fillId="0" borderId="38" xfId="0" applyNumberFormat="1" applyFont="1" applyBorder="1" applyAlignment="1">
      <alignment horizontal="center" vertical="center" shrinkToFit="1"/>
    </xf>
    <xf numFmtId="43" fontId="24" fillId="0" borderId="39" xfId="0" applyNumberFormat="1" applyFont="1" applyBorder="1" applyAlignment="1">
      <alignment horizontal="center" vertical="center" shrinkToFit="1"/>
    </xf>
    <xf numFmtId="43" fontId="24" fillId="0" borderId="38" xfId="0" applyNumberFormat="1" applyFont="1" applyBorder="1" applyAlignment="1">
      <alignment horizontal="center" vertical="center" shrinkToFit="1"/>
    </xf>
    <xf numFmtId="49" fontId="19" fillId="0" borderId="34" xfId="0" applyNumberFormat="1" applyFont="1" applyBorder="1" applyAlignment="1">
      <alignment horizontal="left" vertical="center"/>
    </xf>
    <xf numFmtId="49" fontId="19" fillId="0" borderId="8" xfId="0" applyNumberFormat="1" applyFont="1" applyBorder="1" applyAlignment="1">
      <alignment horizontal="left" vertical="center"/>
    </xf>
    <xf numFmtId="49" fontId="19" fillId="0" borderId="35" xfId="0" applyNumberFormat="1" applyFont="1" applyBorder="1" applyAlignment="1">
      <alignment horizontal="left" vertical="center"/>
    </xf>
    <xf numFmtId="0" fontId="4" fillId="11" borderId="10" xfId="0" applyFont="1" applyFill="1" applyBorder="1" applyAlignment="1">
      <alignment horizontal="left" vertical="center" wrapText="1" shrinkToFit="1"/>
    </xf>
    <xf numFmtId="0" fontId="4" fillId="11" borderId="11" xfId="0" applyFont="1" applyFill="1" applyBorder="1" applyAlignment="1">
      <alignment horizontal="left" vertical="center" wrapText="1" shrinkToFit="1"/>
    </xf>
    <xf numFmtId="0" fontId="4" fillId="11" borderId="12" xfId="0" applyFont="1" applyFill="1" applyBorder="1" applyAlignment="1">
      <alignment horizontal="left" vertical="center" wrapText="1" shrinkToFit="1"/>
    </xf>
    <xf numFmtId="178" fontId="25" fillId="0" borderId="1" xfId="0" applyNumberFormat="1" applyFont="1" applyBorder="1" applyAlignment="1">
      <alignment horizontal="right" vertical="center" shrinkToFit="1"/>
    </xf>
    <xf numFmtId="43" fontId="25" fillId="0" borderId="10" xfId="0" applyNumberFormat="1" applyFont="1" applyBorder="1" applyAlignment="1">
      <alignment horizontal="center" vertical="center" shrinkToFit="1"/>
    </xf>
    <xf numFmtId="43" fontId="25" fillId="0" borderId="12" xfId="0" applyNumberFormat="1" applyFont="1" applyBorder="1" applyAlignment="1">
      <alignment horizontal="center" vertical="center" shrinkToFit="1"/>
    </xf>
    <xf numFmtId="43" fontId="25" fillId="0" borderId="1" xfId="0" applyNumberFormat="1" applyFont="1" applyBorder="1" applyAlignment="1">
      <alignment horizontal="center" vertical="center" shrinkToFit="1"/>
    </xf>
    <xf numFmtId="43" fontId="25" fillId="0" borderId="39" xfId="0" applyNumberFormat="1" applyFont="1" applyBorder="1" applyAlignment="1">
      <alignment horizontal="center" vertical="center" shrinkToFit="1"/>
    </xf>
    <xf numFmtId="43" fontId="25" fillId="0" borderId="38" xfId="0" applyNumberFormat="1" applyFont="1" applyBorder="1" applyAlignment="1">
      <alignment horizontal="center" vertical="center" shrinkToFit="1"/>
    </xf>
    <xf numFmtId="49" fontId="19" fillId="0" borderId="25" xfId="0" applyNumberFormat="1" applyFont="1" applyBorder="1" applyAlignment="1">
      <alignment horizontal="center" vertical="center" shrinkToFit="1"/>
    </xf>
    <xf numFmtId="49" fontId="19" fillId="0" borderId="28" xfId="0" applyNumberFormat="1" applyFont="1" applyBorder="1" applyAlignment="1">
      <alignment horizontal="center" vertical="center" shrinkToFit="1"/>
    </xf>
    <xf numFmtId="49" fontId="19" fillId="0" borderId="26" xfId="0" applyNumberFormat="1" applyFont="1" applyBorder="1" applyAlignment="1">
      <alignment horizontal="center" vertical="center" shrinkToFit="1"/>
    </xf>
    <xf numFmtId="178" fontId="24" fillId="0" borderId="27" xfId="0" applyNumberFormat="1" applyFont="1" applyBorder="1" applyAlignment="1">
      <alignment horizontal="center" vertical="center" shrinkToFit="1"/>
    </xf>
    <xf numFmtId="178" fontId="24" fillId="0" borderId="26" xfId="0" applyNumberFormat="1" applyFont="1" applyBorder="1" applyAlignment="1">
      <alignment horizontal="center" vertical="center" shrinkToFit="1"/>
    </xf>
    <xf numFmtId="0" fontId="4" fillId="0" borderId="1" xfId="0" applyFont="1" applyFill="1" applyBorder="1" applyAlignment="1">
      <alignment horizontal="left" vertical="center" wrapText="1" shrinkToFit="1"/>
    </xf>
    <xf numFmtId="0" fontId="4" fillId="0" borderId="10" xfId="0" applyFont="1" applyFill="1" applyBorder="1" applyAlignment="1">
      <alignment horizontal="left" vertical="center" wrapText="1" shrinkToFit="1"/>
    </xf>
    <xf numFmtId="0" fontId="4" fillId="0" borderId="11" xfId="0" applyFont="1" applyFill="1" applyBorder="1" applyAlignment="1">
      <alignment horizontal="left" vertical="center" wrapText="1" shrinkToFit="1"/>
    </xf>
    <xf numFmtId="0" fontId="4" fillId="0" borderId="12" xfId="0" applyFont="1" applyFill="1" applyBorder="1" applyAlignment="1">
      <alignment horizontal="left" vertical="center" wrapText="1" shrinkToFit="1"/>
    </xf>
    <xf numFmtId="0" fontId="18" fillId="0" borderId="48" xfId="0" applyFont="1" applyBorder="1" applyAlignment="1">
      <alignment horizontal="center" vertical="center"/>
    </xf>
    <xf numFmtId="0" fontId="18" fillId="0" borderId="16" xfId="0" applyFont="1" applyBorder="1" applyAlignment="1">
      <alignment horizontal="center" vertical="center"/>
    </xf>
    <xf numFmtId="0" fontId="18" fillId="0" borderId="49" xfId="0" applyFont="1" applyBorder="1" applyAlignment="1">
      <alignment horizontal="center" vertical="center"/>
    </xf>
    <xf numFmtId="0" fontId="18" fillId="0" borderId="41" xfId="0" applyFont="1" applyBorder="1" applyAlignment="1">
      <alignment horizontal="center" vertical="center"/>
    </xf>
    <xf numFmtId="0" fontId="18" fillId="0" borderId="0" xfId="0" applyFont="1" applyAlignment="1">
      <alignment horizontal="center" vertical="center"/>
    </xf>
    <xf numFmtId="0" fontId="18" fillId="0" borderId="43" xfId="0" applyFont="1" applyBorder="1" applyAlignment="1">
      <alignment horizontal="center" vertical="center"/>
    </xf>
    <xf numFmtId="0" fontId="19" fillId="0" borderId="41" xfId="0" applyFont="1" applyBorder="1" applyAlignment="1">
      <alignment horizontal="right" vertical="center"/>
    </xf>
    <xf numFmtId="0" fontId="19" fillId="0" borderId="0" xfId="0" applyFont="1" applyAlignment="1">
      <alignment horizontal="right" vertical="center"/>
    </xf>
    <xf numFmtId="0" fontId="19" fillId="0" borderId="19" xfId="0" applyFont="1" applyBorder="1" applyAlignment="1">
      <alignment horizontal="right" vertical="center"/>
    </xf>
    <xf numFmtId="0" fontId="19" fillId="0" borderId="20" xfId="0" applyFont="1" applyBorder="1" applyAlignment="1">
      <alignment horizontal="right" vertical="center"/>
    </xf>
    <xf numFmtId="182" fontId="19" fillId="0" borderId="20" xfId="0" applyNumberFormat="1" applyFont="1" applyBorder="1" applyAlignment="1">
      <alignment horizontal="center" vertical="center"/>
    </xf>
    <xf numFmtId="179" fontId="19" fillId="0" borderId="20" xfId="0" applyNumberFormat="1" applyFont="1" applyBorder="1" applyAlignment="1">
      <alignment horizontal="left" vertical="center"/>
    </xf>
    <xf numFmtId="179" fontId="19" fillId="0" borderId="42" xfId="0" applyNumberFormat="1" applyFont="1" applyBorder="1" applyAlignment="1">
      <alignment horizontal="left" vertical="center"/>
    </xf>
    <xf numFmtId="182" fontId="17" fillId="0" borderId="1" xfId="0" applyNumberFormat="1" applyFont="1" applyBorder="1" applyAlignment="1">
      <alignment horizontal="center" vertical="center"/>
    </xf>
    <xf numFmtId="183" fontId="19" fillId="0" borderId="1" xfId="0" applyNumberFormat="1"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181" fontId="23" fillId="0" borderId="0" xfId="0" applyNumberFormat="1" applyFont="1" applyAlignment="1">
      <alignment horizontal="center" vertical="center"/>
    </xf>
    <xf numFmtId="0" fontId="19" fillId="0" borderId="23" xfId="0" applyFont="1" applyBorder="1">
      <alignment vertical="center"/>
    </xf>
    <xf numFmtId="0" fontId="19" fillId="0" borderId="24" xfId="0" applyFont="1" applyBorder="1">
      <alignment vertical="center"/>
    </xf>
    <xf numFmtId="0" fontId="22" fillId="0" borderId="24" xfId="0" applyFont="1" applyBorder="1" applyAlignment="1">
      <alignment horizontal="left" vertical="center" wrapText="1"/>
    </xf>
    <xf numFmtId="0" fontId="19" fillId="0" borderId="36" xfId="0" applyFont="1" applyBorder="1">
      <alignment vertical="center"/>
    </xf>
    <xf numFmtId="0" fontId="19" fillId="0" borderId="18" xfId="0" applyFont="1" applyBorder="1">
      <alignment vertical="center"/>
    </xf>
    <xf numFmtId="0" fontId="19" fillId="0" borderId="1" xfId="0" applyFont="1" applyBorder="1">
      <alignment vertical="center"/>
    </xf>
    <xf numFmtId="189" fontId="17" fillId="0" borderId="1" xfId="0" applyNumberFormat="1" applyFont="1" applyBorder="1" applyAlignment="1">
      <alignment horizontal="center" vertical="center"/>
    </xf>
    <xf numFmtId="0" fontId="21" fillId="0" borderId="1" xfId="0" applyFont="1" applyBorder="1">
      <alignment vertical="center"/>
    </xf>
    <xf numFmtId="10" fontId="20" fillId="0" borderId="1" xfId="0" applyNumberFormat="1" applyFont="1" applyBorder="1" applyAlignment="1">
      <alignment horizontal="center" vertical="center"/>
    </xf>
    <xf numFmtId="10" fontId="19" fillId="0" borderId="1" xfId="0" applyNumberFormat="1" applyFont="1" applyBorder="1" applyAlignment="1">
      <alignment horizontal="center" vertical="center"/>
    </xf>
    <xf numFmtId="10" fontId="20" fillId="0" borderId="30" xfId="0" applyNumberFormat="1" applyFont="1" applyBorder="1" applyAlignment="1">
      <alignment horizontal="center" vertical="center"/>
    </xf>
    <xf numFmtId="0" fontId="4" fillId="0" borderId="71" xfId="0" applyFont="1" applyFill="1" applyBorder="1" applyAlignment="1">
      <alignment horizontal="left" vertical="center" wrapText="1" shrinkToFit="1"/>
    </xf>
    <xf numFmtId="0" fontId="4" fillId="0" borderId="3" xfId="0" applyFont="1" applyFill="1" applyBorder="1" applyAlignment="1">
      <alignment horizontal="left" vertical="center" wrapText="1" shrinkToFit="1"/>
    </xf>
    <xf numFmtId="0" fontId="4" fillId="0" borderId="4" xfId="0" applyFont="1" applyFill="1" applyBorder="1" applyAlignment="1">
      <alignment horizontal="left" vertical="center" wrapText="1" shrinkToFit="1"/>
    </xf>
    <xf numFmtId="0" fontId="22" fillId="0" borderId="1" xfId="0" applyFont="1" applyBorder="1" applyAlignment="1">
      <alignment horizontal="center" vertical="center" wrapText="1"/>
    </xf>
    <xf numFmtId="0" fontId="22" fillId="0" borderId="30" xfId="0" applyFont="1" applyBorder="1" applyAlignment="1">
      <alignment horizontal="center" vertical="center" wrapText="1"/>
    </xf>
    <xf numFmtId="184" fontId="19" fillId="0" borderId="18" xfId="0" applyNumberFormat="1" applyFont="1" applyBorder="1" applyAlignment="1">
      <alignment vertical="center" shrinkToFit="1"/>
    </xf>
    <xf numFmtId="184" fontId="19" fillId="0" borderId="1" xfId="0" applyNumberFormat="1" applyFont="1" applyBorder="1" applyAlignment="1">
      <alignment vertical="center" shrinkToFit="1"/>
    </xf>
    <xf numFmtId="184" fontId="19" fillId="0" borderId="30" xfId="0" applyNumberFormat="1" applyFont="1" applyBorder="1" applyAlignment="1">
      <alignment vertical="center" shrinkToFit="1"/>
    </xf>
    <xf numFmtId="0" fontId="22" fillId="0" borderId="18" xfId="0" applyFont="1" applyBorder="1" applyAlignment="1">
      <alignment horizontal="center" vertical="center" wrapText="1"/>
    </xf>
    <xf numFmtId="0" fontId="22" fillId="0" borderId="1" xfId="0" applyFont="1" applyBorder="1" applyAlignment="1">
      <alignment horizontal="center" vertical="center"/>
    </xf>
    <xf numFmtId="0" fontId="4" fillId="0" borderId="7" xfId="0" applyFont="1" applyFill="1" applyBorder="1" applyAlignment="1">
      <alignment horizontal="left" vertical="center" wrapText="1" shrinkToFit="1"/>
    </xf>
    <xf numFmtId="0" fontId="4" fillId="0" borderId="8" xfId="0" applyFont="1" applyFill="1" applyBorder="1" applyAlignment="1">
      <alignment horizontal="left" vertical="center" wrapText="1" shrinkToFit="1"/>
    </xf>
    <xf numFmtId="0" fontId="4" fillId="0" borderId="9" xfId="0" applyFont="1" applyFill="1" applyBorder="1" applyAlignment="1">
      <alignment horizontal="left" vertical="center" wrapText="1" shrinkToFit="1"/>
    </xf>
    <xf numFmtId="0" fontId="18" fillId="0" borderId="0" xfId="5" applyFont="1" applyAlignment="1">
      <alignment horizontal="center" vertical="center"/>
    </xf>
    <xf numFmtId="182" fontId="4" fillId="0" borderId="0" xfId="5" applyNumberFormat="1" applyFont="1" applyAlignment="1">
      <alignment horizontal="center"/>
    </xf>
    <xf numFmtId="0" fontId="4" fillId="0" borderId="1" xfId="5" applyFont="1" applyBorder="1" applyAlignment="1">
      <alignment horizontal="left" vertical="center"/>
    </xf>
    <xf numFmtId="0" fontId="4" fillId="0" borderId="47" xfId="5" applyFont="1" applyBorder="1" applyAlignment="1">
      <alignment horizontal="left" vertical="center"/>
    </xf>
    <xf numFmtId="0" fontId="4" fillId="0" borderId="47" xfId="5" applyFont="1" applyBorder="1" applyAlignment="1">
      <alignment horizontal="center" vertical="center"/>
    </xf>
    <xf numFmtId="0" fontId="4" fillId="0" borderId="13" xfId="5" applyFont="1" applyBorder="1" applyAlignment="1">
      <alignment horizontal="center" vertical="center"/>
    </xf>
    <xf numFmtId="0" fontId="4" fillId="0" borderId="2" xfId="5" applyFont="1" applyBorder="1" applyAlignment="1">
      <alignment horizontal="center" vertical="center"/>
    </xf>
    <xf numFmtId="0" fontId="4" fillId="0" borderId="7" xfId="5" applyFont="1" applyBorder="1" applyAlignment="1">
      <alignment horizontal="center" vertical="center"/>
    </xf>
    <xf numFmtId="0" fontId="4" fillId="0" borderId="4" xfId="5" applyFont="1" applyBorder="1" applyAlignment="1">
      <alignment horizontal="center" vertical="center"/>
    </xf>
    <xf numFmtId="0" fontId="4" fillId="0" borderId="9" xfId="5" applyFont="1" applyBorder="1" applyAlignment="1">
      <alignment horizontal="center" vertical="center"/>
    </xf>
    <xf numFmtId="182" fontId="4" fillId="2" borderId="2" xfId="5" applyNumberFormat="1" applyFont="1" applyFill="1" applyBorder="1" applyAlignment="1">
      <alignment horizontal="center" vertical="center"/>
    </xf>
    <xf numFmtId="182" fontId="4" fillId="2" borderId="4" xfId="5" applyNumberFormat="1" applyFont="1" applyFill="1" applyBorder="1" applyAlignment="1">
      <alignment horizontal="center" vertical="center"/>
    </xf>
    <xf numFmtId="182" fontId="4" fillId="2" borderId="7" xfId="5" applyNumberFormat="1" applyFont="1" applyFill="1" applyBorder="1" applyAlignment="1">
      <alignment horizontal="center" vertical="center"/>
    </xf>
    <xf numFmtId="182" fontId="4" fillId="2" borderId="9" xfId="5" applyNumberFormat="1" applyFont="1" applyFill="1" applyBorder="1" applyAlignment="1">
      <alignment horizontal="center" vertical="center"/>
    </xf>
    <xf numFmtId="0" fontId="4" fillId="0" borderId="2" xfId="5" applyFont="1" applyBorder="1" applyAlignment="1">
      <alignment horizontal="center" vertical="center" wrapText="1"/>
    </xf>
    <xf numFmtId="0" fontId="4" fillId="0" borderId="47" xfId="5" applyFont="1" applyBorder="1" applyAlignment="1">
      <alignment horizontal="center" vertical="center" wrapText="1"/>
    </xf>
    <xf numFmtId="0" fontId="4" fillId="0" borderId="13" xfId="5" applyFont="1" applyBorder="1" applyAlignment="1">
      <alignment horizontal="center" vertical="center" wrapText="1"/>
    </xf>
    <xf numFmtId="0" fontId="4" fillId="0" borderId="1" xfId="5" applyFont="1" applyBorder="1" applyAlignment="1">
      <alignment horizontal="left"/>
    </xf>
    <xf numFmtId="185" fontId="4" fillId="0" borderId="2" xfId="5" applyNumberFormat="1" applyFont="1" applyBorder="1" applyAlignment="1">
      <alignment horizontal="center" vertical="center"/>
    </xf>
    <xf numFmtId="185" fontId="4" fillId="0" borderId="4" xfId="5" applyNumberFormat="1" applyFont="1" applyBorder="1" applyAlignment="1">
      <alignment horizontal="center" vertical="center"/>
    </xf>
    <xf numFmtId="185" fontId="4" fillId="0" borderId="7" xfId="5" applyNumberFormat="1" applyFont="1" applyBorder="1" applyAlignment="1">
      <alignment horizontal="center" vertical="center"/>
    </xf>
    <xf numFmtId="185" fontId="4" fillId="0" borderId="9" xfId="5" applyNumberFormat="1" applyFont="1" applyBorder="1" applyAlignment="1">
      <alignment horizontal="center" vertical="center"/>
    </xf>
    <xf numFmtId="0" fontId="4" fillId="0" borderId="1" xfId="5" applyFont="1" applyBorder="1" applyAlignment="1">
      <alignment horizontal="center" vertical="center"/>
    </xf>
    <xf numFmtId="0" fontId="31" fillId="0" borderId="10" xfId="5" applyFont="1" applyBorder="1" applyAlignment="1">
      <alignment horizontal="right" vertical="center"/>
    </xf>
    <xf numFmtId="0" fontId="31" fillId="0" borderId="11" xfId="5" applyFont="1" applyBorder="1" applyAlignment="1">
      <alignment horizontal="right" vertical="center"/>
    </xf>
    <xf numFmtId="0" fontId="4" fillId="0" borderId="10" xfId="5" applyFont="1" applyBorder="1" applyAlignment="1">
      <alignment horizontal="center" vertical="center"/>
    </xf>
    <xf numFmtId="0" fontId="4" fillId="0" borderId="12" xfId="5" applyFont="1" applyBorder="1" applyAlignment="1">
      <alignment horizontal="center" vertical="center"/>
    </xf>
    <xf numFmtId="0" fontId="4" fillId="0" borderId="1" xfId="5" applyFont="1" applyBorder="1" applyAlignment="1">
      <alignment horizontal="left" vertical="center" shrinkToFit="1"/>
    </xf>
    <xf numFmtId="0" fontId="31" fillId="0" borderId="13" xfId="5" applyFont="1" applyBorder="1" applyAlignment="1">
      <alignment horizontal="left" vertical="center" shrinkToFit="1"/>
    </xf>
    <xf numFmtId="10" fontId="4" fillId="0" borderId="10" xfId="4" applyNumberFormat="1" applyFont="1" applyFill="1" applyBorder="1" applyAlignment="1">
      <alignment horizontal="center" vertical="center"/>
    </xf>
    <xf numFmtId="10" fontId="4" fillId="0" borderId="11" xfId="4" applyNumberFormat="1" applyFont="1" applyFill="1" applyBorder="1" applyAlignment="1">
      <alignment horizontal="center" vertical="center"/>
    </xf>
    <xf numFmtId="10" fontId="4" fillId="0" borderId="12" xfId="4" applyNumberFormat="1" applyFont="1" applyFill="1" applyBorder="1" applyAlignment="1">
      <alignment horizontal="center" vertical="center"/>
    </xf>
    <xf numFmtId="10" fontId="4" fillId="0" borderId="1" xfId="5" applyNumberFormat="1" applyFont="1" applyBorder="1" applyAlignment="1">
      <alignment horizontal="center" vertical="center"/>
    </xf>
    <xf numFmtId="0" fontId="31" fillId="0" borderId="1" xfId="5" applyFont="1" applyBorder="1" applyAlignment="1">
      <alignment horizontal="left" vertical="center" shrinkToFit="1"/>
    </xf>
    <xf numFmtId="186" fontId="4" fillId="0" borderId="2" xfId="5" applyNumberFormat="1" applyFont="1" applyBorder="1" applyAlignment="1">
      <alignment horizontal="left" vertical="top" wrapText="1"/>
    </xf>
    <xf numFmtId="186" fontId="4" fillId="0" borderId="3" xfId="5" applyNumberFormat="1" applyFont="1" applyBorder="1" applyAlignment="1">
      <alignment horizontal="left" vertical="top" wrapText="1"/>
    </xf>
    <xf numFmtId="186" fontId="4" fillId="0" borderId="4" xfId="5" applyNumberFormat="1" applyFont="1" applyBorder="1" applyAlignment="1">
      <alignment horizontal="left" vertical="top" wrapText="1"/>
    </xf>
    <xf numFmtId="186" fontId="4" fillId="0" borderId="5" xfId="5" applyNumberFormat="1" applyFont="1" applyBorder="1" applyAlignment="1">
      <alignment horizontal="left" vertical="top" wrapText="1"/>
    </xf>
    <xf numFmtId="186" fontId="4" fillId="0" borderId="0" xfId="5" applyNumberFormat="1" applyFont="1" applyAlignment="1">
      <alignment horizontal="left" vertical="top" wrapText="1"/>
    </xf>
    <xf numFmtId="186" fontId="4" fillId="0" borderId="6" xfId="5" applyNumberFormat="1" applyFont="1" applyBorder="1" applyAlignment="1">
      <alignment horizontal="left" vertical="top" wrapText="1"/>
    </xf>
    <xf numFmtId="186" fontId="4" fillId="0" borderId="7" xfId="5" applyNumberFormat="1" applyFont="1" applyBorder="1" applyAlignment="1">
      <alignment horizontal="left" vertical="top" wrapText="1"/>
    </xf>
    <xf numFmtId="186" fontId="4" fillId="0" borderId="8" xfId="5" applyNumberFormat="1" applyFont="1" applyBorder="1" applyAlignment="1">
      <alignment horizontal="left" vertical="top" wrapText="1"/>
    </xf>
    <xf numFmtId="186" fontId="4" fillId="0" borderId="9" xfId="5" applyNumberFormat="1" applyFont="1" applyBorder="1" applyAlignment="1">
      <alignment horizontal="left" vertical="top" wrapText="1"/>
    </xf>
    <xf numFmtId="186" fontId="4" fillId="0" borderId="10" xfId="5" applyNumberFormat="1" applyFont="1" applyBorder="1" applyAlignment="1">
      <alignment horizontal="left" vertical="top" wrapText="1"/>
    </xf>
    <xf numFmtId="186" fontId="4" fillId="0" borderId="11" xfId="5" applyNumberFormat="1" applyFont="1" applyBorder="1" applyAlignment="1">
      <alignment horizontal="left" vertical="top" wrapText="1"/>
    </xf>
    <xf numFmtId="186" fontId="4" fillId="0" borderId="12" xfId="5" applyNumberFormat="1" applyFont="1" applyBorder="1" applyAlignment="1">
      <alignment horizontal="left" vertical="top" wrapText="1"/>
    </xf>
    <xf numFmtId="0" fontId="33" fillId="0" borderId="3" xfId="5" applyFont="1" applyBorder="1" applyAlignment="1">
      <alignment horizontal="left" vertical="top" wrapText="1"/>
    </xf>
    <xf numFmtId="186" fontId="32" fillId="0" borderId="2" xfId="5" applyNumberFormat="1" applyFont="1" applyBorder="1" applyAlignment="1">
      <alignment horizontal="left" vertical="top" wrapText="1"/>
    </xf>
    <xf numFmtId="186" fontId="32" fillId="0" borderId="3" xfId="5" applyNumberFormat="1" applyFont="1" applyBorder="1" applyAlignment="1">
      <alignment horizontal="left" vertical="top" wrapText="1"/>
    </xf>
    <xf numFmtId="186" fontId="32" fillId="0" borderId="4" xfId="5" applyNumberFormat="1" applyFont="1" applyBorder="1" applyAlignment="1">
      <alignment horizontal="left" vertical="top" wrapText="1"/>
    </xf>
    <xf numFmtId="186" fontId="32" fillId="0" borderId="5" xfId="5" applyNumberFormat="1" applyFont="1" applyBorder="1" applyAlignment="1">
      <alignment horizontal="left" vertical="top" wrapText="1"/>
    </xf>
    <xf numFmtId="186" fontId="32" fillId="0" borderId="0" xfId="5" applyNumberFormat="1" applyFont="1" applyAlignment="1">
      <alignment horizontal="left" vertical="top" wrapText="1"/>
    </xf>
    <xf numFmtId="186" fontId="32" fillId="0" borderId="6" xfId="5" applyNumberFormat="1" applyFont="1" applyBorder="1" applyAlignment="1">
      <alignment horizontal="left" vertical="top" wrapText="1"/>
    </xf>
    <xf numFmtId="186" fontId="32" fillId="0" borderId="7" xfId="5" applyNumberFormat="1" applyFont="1" applyBorder="1" applyAlignment="1">
      <alignment horizontal="left" vertical="top" wrapText="1"/>
    </xf>
    <xf numFmtId="186" fontId="32" fillId="0" borderId="8" xfId="5" applyNumberFormat="1" applyFont="1" applyBorder="1" applyAlignment="1">
      <alignment horizontal="left" vertical="top" wrapText="1"/>
    </xf>
    <xf numFmtId="186" fontId="32" fillId="0" borderId="9" xfId="5" applyNumberFormat="1" applyFont="1" applyBorder="1" applyAlignment="1">
      <alignment horizontal="left" vertical="top" wrapText="1"/>
    </xf>
    <xf numFmtId="186" fontId="4" fillId="0" borderId="7" xfId="5" applyNumberFormat="1" applyFont="1" applyBorder="1" applyAlignment="1">
      <alignment vertical="top" wrapText="1"/>
    </xf>
    <xf numFmtId="186" fontId="4" fillId="0" borderId="8" xfId="5" applyNumberFormat="1" applyFont="1" applyBorder="1" applyAlignment="1">
      <alignment vertical="top" wrapText="1"/>
    </xf>
    <xf numFmtId="186" fontId="4" fillId="0" borderId="1" xfId="5" applyNumberFormat="1" applyFont="1" applyBorder="1" applyAlignment="1">
      <alignment horizontal="left" vertical="top" wrapText="1"/>
    </xf>
    <xf numFmtId="0" fontId="0" fillId="0" borderId="0" xfId="0" applyAlignment="1" applyProtection="1">
      <alignment horizontal="center" vertical="top"/>
      <protection locked="0"/>
    </xf>
    <xf numFmtId="10" fontId="0" fillId="0" borderId="0" xfId="0" applyNumberFormat="1" applyAlignment="1" applyProtection="1">
      <alignment horizontal="center" vertical="top"/>
      <protection locked="0"/>
    </xf>
    <xf numFmtId="10" fontId="0" fillId="11" borderId="0" xfId="0" applyNumberFormat="1" applyFill="1" applyAlignment="1" applyProtection="1">
      <alignment horizontal="center" vertical="top"/>
      <protection locked="0"/>
    </xf>
  </cellXfs>
  <cellStyles count="140">
    <cellStyle name="_970129田徑跑道及周邊環境預算(二次發包金額)-1" xfId="8"/>
    <cellStyle name="_970421規劃預算-修正" xfId="9"/>
    <cellStyle name="_970521內部預算" xfId="10"/>
    <cellStyle name="_970811知行樓門窗更新工程預算+" xfId="11"/>
    <cellStyle name="_970912植櫻計畫" xfId="12"/>
    <cellStyle name="_991210預算" xfId="13"/>
    <cellStyle name="_大業國小風雨教室新建工程刪一層0504" xfId="14"/>
    <cellStyle name="_伸港國民中學零星整修工程-預算" xfId="15"/>
    <cellStyle name="_和仁預算" xfId="16"/>
    <cellStyle name="_和美國小行動不便者廁所預算" xfId="17"/>
    <cellStyle name="_和美國小教室及走廊油漆-預算" xfId="18"/>
    <cellStyle name="_僑美國小跑道整修暨跳遠場地整建工程預算_5" xfId="19"/>
    <cellStyle name="0,0_x000d__x000a_NA_x000d__x000a_" xfId="20"/>
    <cellStyle name="20% - 輔色1 2" xfId="22"/>
    <cellStyle name="20% - 輔色1 3" xfId="21"/>
    <cellStyle name="20% - 輔色2 2" xfId="24"/>
    <cellStyle name="20% - 輔色2 3" xfId="23"/>
    <cellStyle name="20% - 輔色3 2" xfId="26"/>
    <cellStyle name="20% - 輔色3 3" xfId="25"/>
    <cellStyle name="20% - 輔色4 2" xfId="28"/>
    <cellStyle name="20% - 輔色4 3" xfId="27"/>
    <cellStyle name="20% - 輔色5 2" xfId="29"/>
    <cellStyle name="20% - 輔色6 2" xfId="31"/>
    <cellStyle name="20% - 輔色6 3" xfId="30"/>
    <cellStyle name="40% - 輔色1 2" xfId="33"/>
    <cellStyle name="40% - 輔色1 3" xfId="32"/>
    <cellStyle name="40% - 輔色2 2" xfId="34"/>
    <cellStyle name="40% - 輔色3 2" xfId="36"/>
    <cellStyle name="40% - 輔色3 3" xfId="35"/>
    <cellStyle name="40% - 輔色4 2" xfId="38"/>
    <cellStyle name="40% - 輔色4 3" xfId="37"/>
    <cellStyle name="40% - 輔色5 2" xfId="40"/>
    <cellStyle name="40% - 輔色5 3" xfId="39"/>
    <cellStyle name="40% - 輔色6 2" xfId="42"/>
    <cellStyle name="40% - 輔色6 3" xfId="41"/>
    <cellStyle name="60% - 輔色1 2" xfId="44"/>
    <cellStyle name="60% - 輔色1 3" xfId="43"/>
    <cellStyle name="60% - 輔色2 2" xfId="46"/>
    <cellStyle name="60% - 輔色2 3" xfId="45"/>
    <cellStyle name="60% - 輔色3 2" xfId="48"/>
    <cellStyle name="60% - 輔色3 3" xfId="47"/>
    <cellStyle name="60% - 輔色4 2" xfId="50"/>
    <cellStyle name="60% - 輔色4 3" xfId="49"/>
    <cellStyle name="60% - 輔色5 2" xfId="52"/>
    <cellStyle name="60% - 輔色5 3" xfId="51"/>
    <cellStyle name="60% - 輔色6 2" xfId="54"/>
    <cellStyle name="60% - 輔色6 3" xfId="53"/>
    <cellStyle name="BROAD SCOPE" xfId="55"/>
    <cellStyle name="BROAD_SCOPE" xfId="56"/>
    <cellStyle name="Comma(0)" xfId="57"/>
    <cellStyle name="Comma(1)" xfId="58"/>
    <cellStyle name="MEDIUM SCOPE" xfId="59"/>
    <cellStyle name="NARROW SCOPE" xfId="60"/>
    <cellStyle name="Normal_BY0809SV-BAU-Short Form_V1.0" xfId="61"/>
    <cellStyle name="Rate_1" xfId="62"/>
    <cellStyle name="Schedule" xfId="63"/>
    <cellStyle name="一般" xfId="0" builtinId="0"/>
    <cellStyle name="一般 2" xfId="3"/>
    <cellStyle name="一般 2 2" xfId="64"/>
    <cellStyle name="一般 3" xfId="65"/>
    <cellStyle name="一般 3 2" xfId="66"/>
    <cellStyle name="一般 4" xfId="67"/>
    <cellStyle name="一般 4 2" xfId="68"/>
    <cellStyle name="一般 4_大勇國小廁所案預算書_1080223" xfId="69"/>
    <cellStyle name="一般 7" xfId="70"/>
    <cellStyle name="一般_太平藝文清單總表(1)" xfId="7"/>
    <cellStyle name="一般_原契約" xfId="1"/>
    <cellStyle name="一般_進度表-1" xfId="2"/>
    <cellStyle name="一般_監造日報格式" xfId="5"/>
    <cellStyle name="千分位 10" xfId="71"/>
    <cellStyle name="千分位 10 2" xfId="72"/>
    <cellStyle name="千分位 2" xfId="6"/>
    <cellStyle name="千分位 2 2" xfId="73"/>
    <cellStyle name="千分位 4" xfId="74"/>
    <cellStyle name="千分位 4 2" xfId="75"/>
    <cellStyle name="中等 2" xfId="77"/>
    <cellStyle name="中等 3" xfId="76"/>
    <cellStyle name="合計 2" xfId="79"/>
    <cellStyle name="合計 2 2" xfId="132"/>
    <cellStyle name="合計 3" xfId="78"/>
    <cellStyle name="合計 4" xfId="131"/>
    <cellStyle name="好 2" xfId="81"/>
    <cellStyle name="好 3" xfId="80"/>
    <cellStyle name="好_台中教育大學預算書3" xfId="82"/>
    <cellStyle name="好_空勤人員求生訓練中心廠房新建工程(預算書)A1000329_ap_bdgt(有公式)" xfId="83"/>
    <cellStyle name="好_僑美國小跑道整修暨跳遠場地整建工程預算_5" xfId="84"/>
    <cellStyle name="好_興大誠軒樓水電預算980216" xfId="85"/>
    <cellStyle name="好_體育館預算書" xfId="86"/>
    <cellStyle name="百分比" xfId="4" builtinId="5"/>
    <cellStyle name="計算方式 2" xfId="88"/>
    <cellStyle name="計算方式 2 2" xfId="134"/>
    <cellStyle name="計算方式 3" xfId="87"/>
    <cellStyle name="計算方式 4" xfId="133"/>
    <cellStyle name="貨幣[0]_8610q000" xfId="89"/>
    <cellStyle name="連結的儲存格 2" xfId="91"/>
    <cellStyle name="連結的儲存格 3" xfId="90"/>
    <cellStyle name="備註 2" xfId="92"/>
    <cellStyle name="備註 3" xfId="135"/>
    <cellStyle name="說明文字 2" xfId="93"/>
    <cellStyle name="輔色1 2" xfId="95"/>
    <cellStyle name="輔色1 3" xfId="94"/>
    <cellStyle name="輔色2 2" xfId="97"/>
    <cellStyle name="輔色2 3" xfId="96"/>
    <cellStyle name="輔色3 2" xfId="99"/>
    <cellStyle name="輔色3 3" xfId="98"/>
    <cellStyle name="輔色4 2" xfId="101"/>
    <cellStyle name="輔色4 3" xfId="100"/>
    <cellStyle name="輔色5 2" xfId="102"/>
    <cellStyle name="輔色6 2" xfId="104"/>
    <cellStyle name="輔色6 3" xfId="103"/>
    <cellStyle name="標準_建設省設計計算書" xfId="105"/>
    <cellStyle name="標題 1 2" xfId="108"/>
    <cellStyle name="標題 1 3" xfId="107"/>
    <cellStyle name="標題 2 2" xfId="110"/>
    <cellStyle name="標題 2 3" xfId="109"/>
    <cellStyle name="標題 3 2" xfId="112"/>
    <cellStyle name="標題 3 3" xfId="111"/>
    <cellStyle name="標題 4 2" xfId="114"/>
    <cellStyle name="標題 4 3" xfId="113"/>
    <cellStyle name="標題 5" xfId="115"/>
    <cellStyle name="標題 6" xfId="106"/>
    <cellStyle name="樣式 1" xfId="116"/>
    <cellStyle name="輸入 2" xfId="118"/>
    <cellStyle name="輸入 2 2" xfId="137"/>
    <cellStyle name="輸入 3" xfId="117"/>
    <cellStyle name="輸入 4" xfId="136"/>
    <cellStyle name="輸出 2" xfId="120"/>
    <cellStyle name="輸出 2 2" xfId="139"/>
    <cellStyle name="輸出 3" xfId="119"/>
    <cellStyle name="輸出 4" xfId="138"/>
    <cellStyle name="隨後的超連結" xfId="121"/>
    <cellStyle name="檢查儲存格 2" xfId="122"/>
    <cellStyle name="壞 2" xfId="124"/>
    <cellStyle name="壞 3" xfId="123"/>
    <cellStyle name="壞_台中教育大學預算書3" xfId="125"/>
    <cellStyle name="壞_空勤人員求生訓練中心廠房新建工程(預算書)A1000329_ap_bdgt(有公式)" xfId="126"/>
    <cellStyle name="壞_僑美國小跑道整修暨跳遠場地整建工程預算_5" xfId="127"/>
    <cellStyle name="壞_興大誠軒樓水電預算980216" xfId="128"/>
    <cellStyle name="壞_體育館預算書" xfId="129"/>
    <cellStyle name="警告文字 2" xfId="130"/>
  </cellStyles>
  <dxfs count="0"/>
  <tableStyles count="0" defaultTableStyle="TableStyleMedium2" defaultPivotStyle="PivotStyleLight16"/>
  <colors>
    <mruColors>
      <color rgb="FFFFFF99"/>
      <color rgb="FFFFCCFF"/>
      <color rgb="FFFFCC00"/>
      <color rgb="FF00FFFF"/>
      <color rgb="FFFFCCCC"/>
      <color rgb="FFFF99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Spin" dx="16" fmlaLink="工程進度表!$L$1" max="30000" min="1" page="10" val="78"/>
</file>

<file path=xl/ctrlProps/ctrlProp2.xml><?xml version="1.0" encoding="utf-8"?>
<formControlPr xmlns="http://schemas.microsoft.com/office/spreadsheetml/2009/9/main" objectType="Drop" dropLines="20" dropStyle="combo" dx="22" fmlaLink="工程進度表!$L$1" fmlaRange="$Z:$Z" noThreeD="1" sel="78" val="42"/>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Spin" dx="16" max="30000" min="1" page="10" val="1139"/>
</file>

<file path=xl/drawings/drawing1.xml><?xml version="1.0" encoding="utf-8"?>
<xdr:wsDr xmlns:xdr="http://schemas.openxmlformats.org/drawingml/2006/spreadsheetDrawing" xmlns:a="http://schemas.openxmlformats.org/drawingml/2006/main">
  <xdr:twoCellAnchor>
    <xdr:from>
      <xdr:col>6</xdr:col>
      <xdr:colOff>56030</xdr:colOff>
      <xdr:row>0</xdr:row>
      <xdr:rowOff>0</xdr:rowOff>
    </xdr:from>
    <xdr:to>
      <xdr:col>9</xdr:col>
      <xdr:colOff>224118</xdr:colOff>
      <xdr:row>1</xdr:row>
      <xdr:rowOff>44823</xdr:rowOff>
    </xdr:to>
    <xdr:sp macro="" textlink="">
      <xdr:nvSpPr>
        <xdr:cNvPr id="2" name="向右箭號 1">
          <a:extLst>
            <a:ext uri="{FF2B5EF4-FFF2-40B4-BE49-F238E27FC236}">
              <a16:creationId xmlns="" xmlns:a16="http://schemas.microsoft.com/office/drawing/2014/main" id="{00000000-0008-0000-0200-000002000000}"/>
            </a:ext>
          </a:extLst>
        </xdr:cNvPr>
        <xdr:cNvSpPr/>
      </xdr:nvSpPr>
      <xdr:spPr>
        <a:xfrm>
          <a:off x="6656295" y="0"/>
          <a:ext cx="1893794" cy="26894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15</xdr:col>
          <xdr:colOff>304800</xdr:colOff>
          <xdr:row>2</xdr:row>
          <xdr:rowOff>257175</xdr:rowOff>
        </xdr:from>
        <xdr:to>
          <xdr:col>16</xdr:col>
          <xdr:colOff>409575</xdr:colOff>
          <xdr:row>5</xdr:row>
          <xdr:rowOff>314325</xdr:rowOff>
        </xdr:to>
        <xdr:sp macro="" textlink="">
          <xdr:nvSpPr>
            <xdr:cNvPr id="5121" name="Spinner 1" hidden="1">
              <a:extLst>
                <a:ext uri="{63B3BB69-23CF-44E3-9099-C40C66FF867C}">
                  <a14:compatExt spid="_x0000_s5121"/>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15</xdr:col>
          <xdr:colOff>361950</xdr:colOff>
          <xdr:row>7</xdr:row>
          <xdr:rowOff>104775</xdr:rowOff>
        </xdr:from>
        <xdr:to>
          <xdr:col>18</xdr:col>
          <xdr:colOff>447675</xdr:colOff>
          <xdr:row>9</xdr:row>
          <xdr:rowOff>209550</xdr:rowOff>
        </xdr:to>
        <xdr:sp macro="" textlink="">
          <xdr:nvSpPr>
            <xdr:cNvPr id="5122" name="Drop Down 2" hidden="1">
              <a:extLst>
                <a:ext uri="{63B3BB69-23CF-44E3-9099-C40C66FF867C}">
                  <a14:compatExt spid="_x0000_s5122"/>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18</xdr:col>
          <xdr:colOff>504825</xdr:colOff>
          <xdr:row>3</xdr:row>
          <xdr:rowOff>57150</xdr:rowOff>
        </xdr:from>
        <xdr:to>
          <xdr:col>20</xdr:col>
          <xdr:colOff>485775</xdr:colOff>
          <xdr:row>5</xdr:row>
          <xdr:rowOff>66675</xdr:rowOff>
        </xdr:to>
        <xdr:sp macro="" textlink="">
          <xdr:nvSpPr>
            <xdr:cNvPr id="5123" name="Button 3" hidden="1">
              <a:extLst>
                <a:ext uri="{63B3BB69-23CF-44E3-9099-C40C66FF867C}">
                  <a14:compatExt spid="_x0000_s5123"/>
                </a:ext>
              </a:extLst>
            </xdr:cNvPr>
            <xdr:cNvSpPr/>
          </xdr:nvSpPr>
          <xdr:spPr>
            <a:xfrm>
              <a:off x="0" y="0"/>
              <a:ext cx="0" cy="0"/>
            </a:xfrm>
            <a:prstGeom prst="rect">
              <a:avLst/>
            </a:prstGeom>
          </xdr:spPr>
          <xdr:txBody>
            <a:bodyPr vertOverflow="clip" wrap="square" lIns="45720" tIns="41148" rIns="45720" bIns="41148" anchor="ctr" upright="1"/>
            <a:lstStyle/>
            <a:p>
              <a:pPr algn="ctr" rtl="0">
                <a:defRPr sz="1000"/>
              </a:pPr>
              <a:r>
                <a:rPr lang="zh-TW" altLang="en-US" sz="1800" b="1" i="0" u="none" strike="noStrike" baseline="0">
                  <a:solidFill>
                    <a:srgbClr val="000000"/>
                  </a:solidFill>
                  <a:latin typeface="標楷體"/>
                  <a:ea typeface="標楷體"/>
                </a:rPr>
                <a:t>列印</a:t>
              </a:r>
              <a:r>
                <a:rPr lang="en-US" altLang="zh-TW" sz="1800" b="1" i="0" u="none" strike="noStrike" baseline="0">
                  <a:solidFill>
                    <a:srgbClr val="000000"/>
                  </a:solidFill>
                  <a:latin typeface="標楷體"/>
                  <a:ea typeface="標楷體"/>
                </a:rPr>
                <a:t>1</a:t>
              </a:r>
              <a:r>
                <a:rPr lang="zh-TW" altLang="en-US" sz="1800" b="1" i="0" u="none" strike="noStrike" baseline="0">
                  <a:solidFill>
                    <a:srgbClr val="000000"/>
                  </a:solidFill>
                  <a:latin typeface="標楷體"/>
                  <a:ea typeface="標楷體"/>
                </a:rPr>
                <a:t>份</a:t>
              </a:r>
              <a:r>
                <a:rPr lang="en-US" altLang="zh-TW" sz="1800" b="1" i="0" u="none" strike="noStrike" baseline="0">
                  <a:solidFill>
                    <a:srgbClr val="000000"/>
                  </a:solidFill>
                  <a:latin typeface="標楷體"/>
                  <a:ea typeface="標楷體"/>
                </a:rPr>
                <a:t>(</a:t>
              </a:r>
              <a:r>
                <a:rPr lang="zh-TW" altLang="en-US" sz="1800" b="1" i="0" u="none" strike="noStrike" baseline="0">
                  <a:solidFill>
                    <a:srgbClr val="000000"/>
                  </a:solidFill>
                  <a:latin typeface="標楷體"/>
                  <a:ea typeface="標楷體"/>
                </a:rPr>
                <a:t>雙</a:t>
              </a:r>
              <a:r>
                <a:rPr lang="en-US" altLang="zh-TW" sz="1800" b="1" i="0" u="none" strike="noStrike" baseline="0">
                  <a:solidFill>
                    <a:srgbClr val="000000"/>
                  </a:solidFill>
                  <a:latin typeface="標楷體"/>
                  <a:ea typeface="標楷體"/>
                </a:rPr>
                <a: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18</xdr:col>
          <xdr:colOff>504825</xdr:colOff>
          <xdr:row>5</xdr:row>
          <xdr:rowOff>57150</xdr:rowOff>
        </xdr:from>
        <xdr:to>
          <xdr:col>20</xdr:col>
          <xdr:colOff>485775</xdr:colOff>
          <xdr:row>7</xdr:row>
          <xdr:rowOff>0</xdr:rowOff>
        </xdr:to>
        <xdr:sp macro="" textlink="">
          <xdr:nvSpPr>
            <xdr:cNvPr id="5124" name="Button 4" hidden="1">
              <a:extLst>
                <a:ext uri="{63B3BB69-23CF-44E3-9099-C40C66FF867C}">
                  <a14:compatExt spid="_x0000_s5124"/>
                </a:ext>
              </a:extLst>
            </xdr:cNvPr>
            <xdr:cNvSpPr/>
          </xdr:nvSpPr>
          <xdr:spPr>
            <a:xfrm>
              <a:off x="0" y="0"/>
              <a:ext cx="0" cy="0"/>
            </a:xfrm>
            <a:prstGeom prst="rect">
              <a:avLst/>
            </a:prstGeom>
          </xdr:spPr>
          <xdr:txBody>
            <a:bodyPr vertOverflow="clip" wrap="square" lIns="45720" tIns="41148" rIns="45720" bIns="41148" anchor="ctr" upright="1"/>
            <a:lstStyle/>
            <a:p>
              <a:pPr algn="ctr" rtl="0">
                <a:defRPr sz="1000"/>
              </a:pPr>
              <a:r>
                <a:rPr lang="zh-TW" altLang="en-US" sz="1800" b="1" i="0" u="none" strike="noStrike" baseline="0">
                  <a:solidFill>
                    <a:srgbClr val="000000"/>
                  </a:solidFill>
                  <a:latin typeface="標楷體"/>
                  <a:ea typeface="標楷體"/>
                </a:rPr>
                <a:t>當日報表存</a:t>
              </a:r>
              <a:r>
                <a:rPr lang="en-US" altLang="zh-TW" sz="1800" b="1" i="0" u="none" strike="noStrike" baseline="0">
                  <a:solidFill>
                    <a:srgbClr val="000000"/>
                  </a:solidFill>
                  <a:latin typeface="標楷體"/>
                  <a:ea typeface="標楷體"/>
                </a:rPr>
                <a:t>PDF</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14</xdr:col>
          <xdr:colOff>0</xdr:colOff>
          <xdr:row>5</xdr:row>
          <xdr:rowOff>123825</xdr:rowOff>
        </xdr:from>
        <xdr:to>
          <xdr:col>15</xdr:col>
          <xdr:colOff>104775</xdr:colOff>
          <xdr:row>9</xdr:row>
          <xdr:rowOff>200025</xdr:rowOff>
        </xdr:to>
        <xdr:sp macro="" textlink="">
          <xdr:nvSpPr>
            <xdr:cNvPr id="7169" name="Spinner 1" hidden="1">
              <a:extLst>
                <a:ext uri="{63B3BB69-23CF-44E3-9099-C40C66FF867C}">
                  <a14:compatExt spid="_x0000_s7169"/>
                </a:ext>
              </a:extLst>
            </xdr:cNvPr>
            <xdr:cNvSpPr/>
          </xdr:nvSpPr>
          <xdr:spPr>
            <a:xfrm>
              <a:off x="0" y="0"/>
              <a:ext cx="0" cy="0"/>
            </a:xfrm>
            <a:prstGeom prst="rect">
              <a:avLst/>
            </a:prstGeom>
          </xdr:spPr>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icroSoft/Dropbox/&#23478;&#28304;&#27211;/G&#39006;_&#36914;&#24230;&#22577;&#21578;/01%20&#26045;&#24037;&#26085;&#35468;/&#23478;&#28304;&#27211;_&#26045;&#24037;&#26085;&#22577;110.12.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引用表(不附)"/>
      <sheetName val="第1次變更"/>
      <sheetName val="第2次變更 "/>
      <sheetName val="第3次變更 "/>
      <sheetName val="原契約"/>
      <sheetName val="進度試算表"/>
      <sheetName val="預定進度(累計)"/>
      <sheetName val="進度表"/>
      <sheetName val="施工日報表"/>
      <sheetName val="監造日報"/>
      <sheetName val="相容性報表"/>
      <sheetName val="公共工程施工日誌之技術士簽章表"/>
    </sheetNames>
    <sheetDataSet>
      <sheetData sheetId="0"/>
      <sheetData sheetId="1">
        <row r="208">
          <cell r="A208" t="str">
            <v>1</v>
          </cell>
        </row>
      </sheetData>
      <sheetData sheetId="2"/>
      <sheetData sheetId="3"/>
      <sheetData sheetId="4"/>
      <sheetData sheetId="5"/>
      <sheetData sheetId="6"/>
      <sheetData sheetId="7">
        <row r="217">
          <cell r="A217">
            <v>0</v>
          </cell>
        </row>
        <row r="246">
          <cell r="A246" t="str">
            <v>一、依施工計畫書執行按圖施工概況（含約定之重要施工、材料項目及完成數量等）：</v>
          </cell>
        </row>
      </sheetData>
      <sheetData sheetId="8"/>
      <sheetData sheetId="9"/>
      <sheetData sheetId="10"/>
      <sheetData sheetId="1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trlProp" Target="../ctrlProps/ctrlProp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I22"/>
  <sheetViews>
    <sheetView workbookViewId="0">
      <selection activeCell="B9" sqref="B9"/>
    </sheetView>
  </sheetViews>
  <sheetFormatPr defaultRowHeight="16.5"/>
  <cols>
    <col min="1" max="1" width="20.625" customWidth="1"/>
    <col min="2" max="2" width="15.875" customWidth="1"/>
    <col min="3" max="3" width="16.5" customWidth="1"/>
    <col min="4" max="4" width="9" customWidth="1"/>
  </cols>
  <sheetData>
    <row r="1" spans="1:9" ht="24.95" customHeight="1">
      <c r="A1" s="13" t="s">
        <v>118</v>
      </c>
      <c r="B1" s="14" t="s">
        <v>260</v>
      </c>
      <c r="C1" s="15"/>
      <c r="D1" s="15"/>
      <c r="E1" s="15"/>
      <c r="F1" s="15"/>
      <c r="G1" s="15"/>
      <c r="H1" s="15"/>
      <c r="I1" s="16"/>
    </row>
    <row r="2" spans="1:9" ht="24.95" customHeight="1">
      <c r="A2" s="13" t="s">
        <v>0</v>
      </c>
      <c r="B2" s="206" t="s">
        <v>261</v>
      </c>
      <c r="C2" s="15"/>
      <c r="D2" s="15"/>
      <c r="E2" s="15"/>
      <c r="F2" s="15"/>
      <c r="G2" s="15"/>
      <c r="H2" s="15"/>
      <c r="I2" s="16"/>
    </row>
    <row r="3" spans="1:9" ht="24.95" customHeight="1">
      <c r="A3" s="13" t="s">
        <v>1</v>
      </c>
      <c r="B3" s="206" t="s">
        <v>262</v>
      </c>
      <c r="C3" s="15"/>
      <c r="D3" s="15"/>
      <c r="E3" s="15"/>
      <c r="F3" s="15"/>
      <c r="G3" s="15"/>
      <c r="H3" s="15"/>
      <c r="I3" s="16"/>
    </row>
    <row r="4" spans="1:9" ht="24.95" customHeight="1">
      <c r="A4" s="13" t="s">
        <v>2</v>
      </c>
      <c r="B4" s="14" t="s">
        <v>137</v>
      </c>
      <c r="C4" s="15"/>
      <c r="D4" s="15"/>
      <c r="E4" s="15"/>
      <c r="F4" s="15"/>
      <c r="G4" s="15"/>
      <c r="H4" s="15"/>
      <c r="I4" s="16"/>
    </row>
    <row r="5" spans="1:9" ht="24.95" customHeight="1">
      <c r="A5" s="13" t="s">
        <v>3</v>
      </c>
      <c r="C5" s="15"/>
      <c r="D5" s="15"/>
      <c r="E5" s="15"/>
      <c r="F5" s="15"/>
      <c r="G5" s="15"/>
      <c r="H5" s="15"/>
      <c r="I5" s="16"/>
    </row>
    <row r="6" spans="1:9" ht="24.95" customHeight="1">
      <c r="A6" s="13" t="s">
        <v>4</v>
      </c>
      <c r="B6" s="207" t="s">
        <v>263</v>
      </c>
      <c r="C6" s="15"/>
      <c r="D6" s="15"/>
      <c r="E6" s="15"/>
      <c r="F6" s="15"/>
      <c r="G6" s="15"/>
      <c r="H6" s="15"/>
      <c r="I6" s="16"/>
    </row>
    <row r="7" spans="1:9" ht="24.95" customHeight="1">
      <c r="A7" s="13" t="s">
        <v>5</v>
      </c>
      <c r="B7" s="208">
        <v>46218</v>
      </c>
      <c r="C7" s="15"/>
      <c r="D7" s="15"/>
      <c r="E7" s="15"/>
      <c r="F7" s="15"/>
      <c r="G7" s="15"/>
      <c r="H7" s="15"/>
      <c r="I7" s="16"/>
    </row>
    <row r="8" spans="1:9" ht="24.95" customHeight="1">
      <c r="A8" s="13" t="s">
        <v>6</v>
      </c>
      <c r="B8" s="208">
        <f>B7+B9-1</f>
        <v>46397</v>
      </c>
      <c r="C8" s="15"/>
      <c r="D8" s="15"/>
      <c r="E8" s="15"/>
      <c r="F8" s="15"/>
      <c r="G8" s="15"/>
      <c r="H8" s="15"/>
      <c r="I8" s="16"/>
    </row>
    <row r="9" spans="1:9" ht="24.95" customHeight="1">
      <c r="A9" s="13" t="s">
        <v>7</v>
      </c>
      <c r="B9" s="206">
        <v>180</v>
      </c>
      <c r="C9" s="15" t="s">
        <v>138</v>
      </c>
      <c r="D9" s="15"/>
      <c r="E9" s="15"/>
      <c r="F9" s="15"/>
      <c r="G9" s="15"/>
      <c r="H9" s="15"/>
      <c r="I9" s="16"/>
    </row>
    <row r="10" spans="1:9" ht="24.95" customHeight="1">
      <c r="A10" s="13" t="s">
        <v>120</v>
      </c>
      <c r="B10" s="206"/>
      <c r="C10" s="15" t="s">
        <v>138</v>
      </c>
      <c r="D10" s="15"/>
      <c r="E10" s="15"/>
      <c r="F10" s="15"/>
      <c r="G10" s="15"/>
      <c r="H10" s="15"/>
      <c r="I10" s="16"/>
    </row>
    <row r="11" spans="1:9" ht="24.95" customHeight="1">
      <c r="A11" s="13" t="s">
        <v>147</v>
      </c>
      <c r="C11" s="15" t="s">
        <v>138</v>
      </c>
      <c r="D11" s="15"/>
      <c r="E11" s="15"/>
      <c r="F11" s="15"/>
      <c r="G11" s="15"/>
      <c r="H11" s="15"/>
      <c r="I11" s="16"/>
    </row>
    <row r="12" spans="1:9" ht="24.95" customHeight="1">
      <c r="A12" s="13" t="s">
        <v>8</v>
      </c>
      <c r="B12" s="209">
        <v>4349520</v>
      </c>
      <c r="C12" s="15"/>
      <c r="D12" s="15"/>
      <c r="E12" s="15"/>
      <c r="F12" s="15"/>
      <c r="G12" s="15"/>
      <c r="H12" s="15"/>
      <c r="I12" s="16"/>
    </row>
    <row r="13" spans="1:9" ht="24.95" customHeight="1">
      <c r="A13" s="13" t="s">
        <v>9</v>
      </c>
      <c r="B13" s="206" t="s">
        <v>264</v>
      </c>
      <c r="C13" s="15"/>
      <c r="D13" s="15"/>
      <c r="E13" s="15"/>
      <c r="F13" s="15"/>
      <c r="G13" s="15"/>
      <c r="H13" s="15"/>
      <c r="I13" s="16"/>
    </row>
    <row r="14" spans="1:9" ht="24.95" customHeight="1"/>
    <row r="15" spans="1:9" ht="24.95" customHeight="1"/>
    <row r="16" spans="1:9" ht="24.95" customHeight="1"/>
    <row r="17" ht="24.95" customHeight="1"/>
    <row r="18" ht="24.95" customHeight="1"/>
    <row r="19" ht="24.95" customHeight="1"/>
    <row r="20" ht="24.95" customHeight="1"/>
    <row r="21" ht="24.95" customHeight="1"/>
    <row r="22" ht="24.95" customHeight="1"/>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tabColor rgb="FF7030A0"/>
    <pageSetUpPr fitToPage="1"/>
  </sheetPr>
  <dimension ref="A1:O40"/>
  <sheetViews>
    <sheetView zoomScale="130" zoomScaleNormal="130" workbookViewId="0">
      <pane xSplit="1" ySplit="4" topLeftCell="B5" activePane="bottomRight" state="frozen"/>
      <selection pane="topRight" activeCell="B1" sqref="B1"/>
      <selection pane="bottomLeft" activeCell="A5" sqref="A5"/>
      <selection pane="bottomRight" activeCell="B20" sqref="B20"/>
    </sheetView>
  </sheetViews>
  <sheetFormatPr defaultRowHeight="16.5" outlineLevelRow="1"/>
  <cols>
    <col min="1" max="1" width="16.625" style="2" customWidth="1"/>
    <col min="2" max="2" width="61.375" style="3" customWidth="1"/>
    <col min="3" max="3" width="5" style="4" customWidth="1"/>
    <col min="4" max="4" width="12.875" style="132" bestFit="1" customWidth="1"/>
    <col min="5" max="5" width="14.25" style="4" customWidth="1"/>
    <col min="6" max="6" width="17.625" style="195" customWidth="1"/>
    <col min="9" max="9" width="13.875" bestFit="1" customWidth="1"/>
    <col min="10" max="10" width="15.625" style="90" customWidth="1"/>
    <col min="11" max="11" width="15.625" style="88" customWidth="1"/>
    <col min="12" max="12" width="15.625" style="90" customWidth="1"/>
    <col min="13" max="13" width="15.625" style="88" customWidth="1"/>
    <col min="14" max="14" width="15.625" customWidth="1"/>
  </cols>
  <sheetData>
    <row r="1" spans="1:15" ht="19.5">
      <c r="A1" s="236" t="str">
        <f>工程資料表!B1</f>
        <v>橋頭國小暨許厝分校114-116年公立國民中小學老舊廁所整修工程</v>
      </c>
      <c r="B1" s="236"/>
      <c r="C1" s="236"/>
      <c r="D1" s="236"/>
      <c r="E1" s="236"/>
      <c r="F1" s="236"/>
    </row>
    <row r="2" spans="1:15">
      <c r="A2" s="237" t="str">
        <f>工程資料表!B13</f>
        <v>雲林縣麥寮鄉</v>
      </c>
      <c r="B2" s="237"/>
      <c r="C2" s="237"/>
      <c r="D2" s="237"/>
      <c r="E2" s="237"/>
      <c r="F2" s="237"/>
    </row>
    <row r="3" spans="1:15">
      <c r="A3" s="7" t="s">
        <v>25</v>
      </c>
      <c r="B3" s="7" t="s">
        <v>26</v>
      </c>
      <c r="C3" s="8" t="s">
        <v>27</v>
      </c>
      <c r="D3" s="130" t="s">
        <v>28</v>
      </c>
      <c r="E3" s="8" t="s">
        <v>29</v>
      </c>
      <c r="F3" s="221" t="s">
        <v>30</v>
      </c>
      <c r="G3" s="8" t="s">
        <v>33</v>
      </c>
    </row>
    <row r="4" spans="1:15">
      <c r="A4" s="9" t="s">
        <v>31</v>
      </c>
      <c r="B4" s="12" t="s">
        <v>254</v>
      </c>
      <c r="C4" s="11"/>
      <c r="D4" s="131"/>
      <c r="E4" s="172"/>
      <c r="F4" s="222"/>
      <c r="G4" s="10"/>
      <c r="J4" s="91"/>
      <c r="K4" s="89"/>
      <c r="L4" s="91"/>
      <c r="M4" s="89"/>
      <c r="N4" s="1"/>
    </row>
    <row r="5" spans="1:15">
      <c r="A5" s="180" t="s">
        <v>123</v>
      </c>
      <c r="B5" s="181" t="s">
        <v>255</v>
      </c>
      <c r="C5" s="182"/>
      <c r="D5" s="183"/>
      <c r="E5" s="184"/>
      <c r="F5" s="190">
        <f>SUM(F6:F33)</f>
        <v>1454389</v>
      </c>
      <c r="G5" s="179"/>
      <c r="I5" s="87"/>
      <c r="N5" s="88"/>
    </row>
    <row r="6" spans="1:15" ht="16.5" customHeight="1" outlineLevel="1">
      <c r="A6" s="128" t="s">
        <v>382</v>
      </c>
      <c r="B6" s="210" t="s">
        <v>265</v>
      </c>
      <c r="C6" s="211" t="s">
        <v>32</v>
      </c>
      <c r="D6" s="171">
        <v>1</v>
      </c>
      <c r="E6" s="178">
        <v>9750</v>
      </c>
      <c r="F6" s="189">
        <f>ROUND(D6*E6,2)</f>
        <v>9750</v>
      </c>
      <c r="G6" s="5"/>
      <c r="N6" s="88"/>
      <c r="O6" s="87"/>
    </row>
    <row r="7" spans="1:15" ht="16.5" customHeight="1" outlineLevel="1">
      <c r="A7" s="128" t="s">
        <v>135</v>
      </c>
      <c r="B7" s="213" t="s">
        <v>266</v>
      </c>
      <c r="C7" s="211" t="s">
        <v>32</v>
      </c>
      <c r="D7" s="171">
        <v>1</v>
      </c>
      <c r="E7" s="178">
        <v>9000</v>
      </c>
      <c r="F7" s="189">
        <f>ROUND(D7*E7,2)</f>
        <v>9000</v>
      </c>
      <c r="G7" s="5"/>
      <c r="N7" s="88"/>
      <c r="O7" s="87"/>
    </row>
    <row r="8" spans="1:15" ht="16.5" customHeight="1" outlineLevel="1">
      <c r="A8" s="128" t="s">
        <v>136</v>
      </c>
      <c r="B8" s="230" t="s">
        <v>267</v>
      </c>
      <c r="C8" s="212" t="s">
        <v>32</v>
      </c>
      <c r="D8" s="171">
        <v>1</v>
      </c>
      <c r="E8" s="178">
        <v>182446</v>
      </c>
      <c r="F8" s="189">
        <f t="shared" ref="F8:F19" si="0">ROUND(D8*E8,2)</f>
        <v>182446</v>
      </c>
      <c r="G8" s="5"/>
      <c r="N8" s="88"/>
      <c r="O8" s="87"/>
    </row>
    <row r="9" spans="1:15" ht="16.5" customHeight="1" outlineLevel="1">
      <c r="A9" s="128" t="s">
        <v>134</v>
      </c>
      <c r="B9" s="3" t="s">
        <v>268</v>
      </c>
      <c r="C9" s="170" t="s">
        <v>32</v>
      </c>
      <c r="D9" s="171">
        <v>1</v>
      </c>
      <c r="E9" s="178">
        <v>9500</v>
      </c>
      <c r="F9" s="189">
        <f t="shared" si="0"/>
        <v>9500</v>
      </c>
      <c r="G9" s="148"/>
      <c r="N9" s="88"/>
      <c r="O9" s="87"/>
    </row>
    <row r="10" spans="1:15" ht="16.5" customHeight="1" outlineLevel="1">
      <c r="A10" s="128" t="s">
        <v>149</v>
      </c>
      <c r="B10" s="213" t="s">
        <v>269</v>
      </c>
      <c r="C10" s="170" t="s">
        <v>32</v>
      </c>
      <c r="D10" s="171">
        <v>1</v>
      </c>
      <c r="E10" s="178">
        <v>35400</v>
      </c>
      <c r="F10" s="189">
        <f t="shared" si="0"/>
        <v>35400</v>
      </c>
      <c r="G10" s="186"/>
      <c r="N10" s="88"/>
      <c r="O10" s="87"/>
    </row>
    <row r="11" spans="1:15" ht="16.5" customHeight="1" outlineLevel="1">
      <c r="A11" s="128" t="s">
        <v>150</v>
      </c>
      <c r="B11" s="210" t="s">
        <v>270</v>
      </c>
      <c r="C11" s="170" t="s">
        <v>258</v>
      </c>
      <c r="D11" s="171">
        <v>26</v>
      </c>
      <c r="E11" s="178">
        <v>1150</v>
      </c>
      <c r="F11" s="189">
        <f t="shared" si="0"/>
        <v>29900</v>
      </c>
      <c r="G11" s="5"/>
      <c r="N11" s="88"/>
      <c r="O11" s="87"/>
    </row>
    <row r="12" spans="1:15" ht="16.5" customHeight="1" outlineLevel="1">
      <c r="A12" s="128" t="s">
        <v>151</v>
      </c>
      <c r="B12" s="210" t="s">
        <v>271</v>
      </c>
      <c r="C12" s="212" t="s">
        <v>32</v>
      </c>
      <c r="D12" s="171">
        <v>1</v>
      </c>
      <c r="E12" s="178">
        <v>6000</v>
      </c>
      <c r="F12" s="189">
        <f t="shared" si="0"/>
        <v>6000</v>
      </c>
      <c r="G12" s="5"/>
      <c r="N12" s="88"/>
      <c r="O12" s="87"/>
    </row>
    <row r="13" spans="1:15" ht="16.5" customHeight="1" outlineLevel="1">
      <c r="A13" s="128" t="s">
        <v>152</v>
      </c>
      <c r="B13" s="213" t="s">
        <v>272</v>
      </c>
      <c r="C13" s="212" t="s">
        <v>258</v>
      </c>
      <c r="D13" s="171">
        <v>230</v>
      </c>
      <c r="E13" s="178">
        <v>550</v>
      </c>
      <c r="F13" s="189">
        <f t="shared" si="0"/>
        <v>126500</v>
      </c>
      <c r="G13" s="5"/>
      <c r="N13" s="88"/>
      <c r="O13" s="87"/>
    </row>
    <row r="14" spans="1:15" ht="16.5" customHeight="1" outlineLevel="1">
      <c r="A14" s="128" t="s">
        <v>153</v>
      </c>
      <c r="B14" s="214" t="s">
        <v>273</v>
      </c>
      <c r="C14" s="170" t="s">
        <v>258</v>
      </c>
      <c r="D14" s="171">
        <v>148</v>
      </c>
      <c r="E14" s="178">
        <v>500</v>
      </c>
      <c r="F14" s="189">
        <f t="shared" si="0"/>
        <v>74000</v>
      </c>
      <c r="G14" s="187"/>
      <c r="N14" s="88"/>
      <c r="O14" s="87"/>
    </row>
    <row r="15" spans="1:15" ht="16.5" customHeight="1" outlineLevel="1">
      <c r="A15" s="128" t="s">
        <v>154</v>
      </c>
      <c r="B15" s="214" t="s">
        <v>274</v>
      </c>
      <c r="C15" s="170" t="s">
        <v>257</v>
      </c>
      <c r="D15" s="171">
        <v>13</v>
      </c>
      <c r="E15" s="178">
        <v>600</v>
      </c>
      <c r="F15" s="189">
        <f t="shared" si="0"/>
        <v>7800</v>
      </c>
      <c r="G15" s="148"/>
      <c r="N15" s="88"/>
      <c r="O15" s="87"/>
    </row>
    <row r="16" spans="1:15" ht="16.5" customHeight="1" outlineLevel="1">
      <c r="A16" s="128" t="s">
        <v>155</v>
      </c>
      <c r="B16" s="215" t="s">
        <v>275</v>
      </c>
      <c r="C16" s="170" t="s">
        <v>258</v>
      </c>
      <c r="D16" s="171">
        <v>54</v>
      </c>
      <c r="E16" s="178">
        <v>1100</v>
      </c>
      <c r="F16" s="189">
        <f t="shared" si="0"/>
        <v>59400</v>
      </c>
      <c r="G16" s="148"/>
      <c r="N16" s="88"/>
      <c r="O16" s="87"/>
    </row>
    <row r="17" spans="1:15" ht="16.5" customHeight="1" outlineLevel="1">
      <c r="A17" s="128" t="s">
        <v>156</v>
      </c>
      <c r="B17" s="215" t="s">
        <v>276</v>
      </c>
      <c r="C17" s="170" t="s">
        <v>258</v>
      </c>
      <c r="D17" s="171">
        <v>6</v>
      </c>
      <c r="E17" s="178">
        <v>1400</v>
      </c>
      <c r="F17" s="189">
        <f t="shared" si="0"/>
        <v>8400</v>
      </c>
      <c r="G17" s="5"/>
      <c r="N17" s="88"/>
      <c r="O17" s="87"/>
    </row>
    <row r="18" spans="1:15" ht="16.5" customHeight="1" outlineLevel="1">
      <c r="A18" s="128" t="s">
        <v>277</v>
      </c>
      <c r="B18" s="214" t="s">
        <v>278</v>
      </c>
      <c r="C18" s="170" t="s">
        <v>258</v>
      </c>
      <c r="D18" s="171">
        <v>138</v>
      </c>
      <c r="E18" s="178">
        <v>1300</v>
      </c>
      <c r="F18" s="189">
        <f t="shared" si="0"/>
        <v>179400</v>
      </c>
      <c r="G18" s="5"/>
      <c r="N18" s="88"/>
      <c r="O18" s="87"/>
    </row>
    <row r="19" spans="1:15" ht="16.5" customHeight="1" outlineLevel="1">
      <c r="A19" s="128" t="s">
        <v>279</v>
      </c>
      <c r="B19" s="214" t="s">
        <v>280</v>
      </c>
      <c r="C19" s="170" t="s">
        <v>259</v>
      </c>
      <c r="D19" s="171">
        <v>27</v>
      </c>
      <c r="E19" s="178">
        <v>400</v>
      </c>
      <c r="F19" s="189">
        <f t="shared" si="0"/>
        <v>10800</v>
      </c>
      <c r="G19" s="148"/>
      <c r="N19" s="88"/>
      <c r="O19" s="87"/>
    </row>
    <row r="20" spans="1:15" ht="16.5" customHeight="1" outlineLevel="1">
      <c r="A20" s="128" t="s">
        <v>281</v>
      </c>
      <c r="B20" s="214" t="s">
        <v>282</v>
      </c>
      <c r="C20" s="170" t="s">
        <v>383</v>
      </c>
      <c r="D20" s="171">
        <v>13</v>
      </c>
      <c r="E20" s="178">
        <v>1100</v>
      </c>
      <c r="F20" s="189">
        <f>ROUND(D20*E20,2)</f>
        <v>14300</v>
      </c>
      <c r="G20" s="187"/>
      <c r="N20" s="88"/>
      <c r="O20" s="87"/>
    </row>
    <row r="21" spans="1:15" ht="16.5" customHeight="1" outlineLevel="1">
      <c r="A21" s="128" t="s">
        <v>283</v>
      </c>
      <c r="B21" s="214" t="s">
        <v>384</v>
      </c>
      <c r="C21" s="170" t="s">
        <v>258</v>
      </c>
      <c r="D21" s="171">
        <v>117</v>
      </c>
      <c r="E21" s="178">
        <v>200</v>
      </c>
      <c r="F21" s="189">
        <f>ROUND(D21*E21,2)</f>
        <v>23400</v>
      </c>
      <c r="G21" s="148"/>
      <c r="N21" s="88"/>
      <c r="O21" s="87"/>
    </row>
    <row r="22" spans="1:15" ht="16.5" customHeight="1" outlineLevel="1">
      <c r="A22" s="128" t="s">
        <v>284</v>
      </c>
      <c r="B22" s="214" t="s">
        <v>385</v>
      </c>
      <c r="C22" s="171" t="s">
        <v>32</v>
      </c>
      <c r="D22" s="171">
        <v>1</v>
      </c>
      <c r="E22" s="178">
        <v>73453</v>
      </c>
      <c r="F22" s="189">
        <f t="shared" ref="F22:F33" si="1">ROUND(D22*E22,2)</f>
        <v>73453</v>
      </c>
      <c r="G22" s="5"/>
      <c r="N22" s="88"/>
      <c r="O22" s="87"/>
    </row>
    <row r="23" spans="1:15" ht="16.5" customHeight="1" outlineLevel="1">
      <c r="A23" s="128" t="s">
        <v>285</v>
      </c>
      <c r="B23" s="214" t="s">
        <v>386</v>
      </c>
      <c r="C23" s="170" t="s">
        <v>286</v>
      </c>
      <c r="D23" s="171">
        <v>19</v>
      </c>
      <c r="E23" s="178">
        <v>600</v>
      </c>
      <c r="F23" s="189">
        <f t="shared" si="1"/>
        <v>11400</v>
      </c>
      <c r="G23" s="148"/>
      <c r="N23" s="88"/>
      <c r="O23" s="87"/>
    </row>
    <row r="24" spans="1:15" ht="16.5" customHeight="1" outlineLevel="1">
      <c r="A24" s="128" t="s">
        <v>287</v>
      </c>
      <c r="B24" s="214" t="s">
        <v>387</v>
      </c>
      <c r="C24" s="170" t="s">
        <v>258</v>
      </c>
      <c r="D24" s="171">
        <v>84</v>
      </c>
      <c r="E24" s="178">
        <v>2700</v>
      </c>
      <c r="F24" s="189">
        <f t="shared" si="1"/>
        <v>226800</v>
      </c>
      <c r="G24" s="5"/>
      <c r="N24" s="88"/>
      <c r="O24" s="87"/>
    </row>
    <row r="25" spans="1:15" ht="16.5" customHeight="1" outlineLevel="1">
      <c r="A25" s="128" t="s">
        <v>288</v>
      </c>
      <c r="B25" s="214" t="s">
        <v>388</v>
      </c>
      <c r="C25" s="170" t="s">
        <v>389</v>
      </c>
      <c r="D25" s="171">
        <v>8</v>
      </c>
      <c r="E25" s="178">
        <v>800</v>
      </c>
      <c r="F25" s="189">
        <f t="shared" si="1"/>
        <v>6400</v>
      </c>
      <c r="G25" s="148"/>
      <c r="N25" s="88"/>
      <c r="O25" s="87"/>
    </row>
    <row r="26" spans="1:15" ht="16.5" customHeight="1" outlineLevel="1">
      <c r="A26" s="128" t="s">
        <v>390</v>
      </c>
      <c r="B26" s="214" t="s">
        <v>391</v>
      </c>
      <c r="C26" s="170" t="s">
        <v>32</v>
      </c>
      <c r="D26" s="171">
        <v>1</v>
      </c>
      <c r="E26" s="178">
        <v>54200</v>
      </c>
      <c r="F26" s="189">
        <f t="shared" si="1"/>
        <v>54200</v>
      </c>
      <c r="G26" s="148"/>
      <c r="N26" s="88"/>
      <c r="O26" s="87"/>
    </row>
    <row r="27" spans="1:15" ht="16.5" customHeight="1" outlineLevel="1">
      <c r="A27" s="128" t="s">
        <v>289</v>
      </c>
      <c r="B27" s="214" t="s">
        <v>392</v>
      </c>
      <c r="C27" s="170" t="s">
        <v>32</v>
      </c>
      <c r="D27" s="171">
        <v>1</v>
      </c>
      <c r="E27" s="178">
        <v>112700</v>
      </c>
      <c r="F27" s="189">
        <f t="shared" si="1"/>
        <v>112700</v>
      </c>
      <c r="G27" s="186"/>
      <c r="N27" s="88"/>
      <c r="O27" s="87"/>
    </row>
    <row r="28" spans="1:15" ht="16.5" customHeight="1" outlineLevel="1">
      <c r="A28" s="128" t="s">
        <v>290</v>
      </c>
      <c r="B28" s="214" t="s">
        <v>393</v>
      </c>
      <c r="C28" s="170" t="s">
        <v>32</v>
      </c>
      <c r="D28" s="171">
        <v>1</v>
      </c>
      <c r="E28" s="178">
        <v>27000</v>
      </c>
      <c r="F28" s="189">
        <f t="shared" si="1"/>
        <v>27000</v>
      </c>
      <c r="G28" s="148"/>
      <c r="N28" s="88"/>
      <c r="O28" s="87"/>
    </row>
    <row r="29" spans="1:15" ht="16.5" customHeight="1" outlineLevel="1">
      <c r="A29" s="128" t="s">
        <v>291</v>
      </c>
      <c r="B29" s="214" t="s">
        <v>394</v>
      </c>
      <c r="C29" s="170" t="s">
        <v>32</v>
      </c>
      <c r="D29" s="171">
        <v>1</v>
      </c>
      <c r="E29" s="178">
        <v>59100</v>
      </c>
      <c r="F29" s="189">
        <f t="shared" si="1"/>
        <v>59100</v>
      </c>
      <c r="G29" s="5"/>
      <c r="N29" s="88"/>
      <c r="O29" s="87"/>
    </row>
    <row r="30" spans="1:15" ht="16.5" customHeight="1" outlineLevel="1">
      <c r="A30" s="128" t="s">
        <v>292</v>
      </c>
      <c r="B30" s="214" t="s">
        <v>395</v>
      </c>
      <c r="C30" s="170" t="s">
        <v>32</v>
      </c>
      <c r="D30" s="171">
        <v>1</v>
      </c>
      <c r="E30" s="178">
        <v>16400</v>
      </c>
      <c r="F30" s="189">
        <f t="shared" si="1"/>
        <v>16400</v>
      </c>
      <c r="G30" s="148"/>
      <c r="N30" s="88"/>
      <c r="O30" s="87"/>
    </row>
    <row r="31" spans="1:15" ht="16.5" customHeight="1" outlineLevel="1">
      <c r="A31" s="128" t="s">
        <v>293</v>
      </c>
      <c r="B31" s="216" t="s">
        <v>396</v>
      </c>
      <c r="C31" s="170" t="s">
        <v>32</v>
      </c>
      <c r="D31" s="171">
        <v>1</v>
      </c>
      <c r="E31" s="178">
        <v>30000</v>
      </c>
      <c r="F31" s="189">
        <f t="shared" si="1"/>
        <v>30000</v>
      </c>
      <c r="G31" s="148"/>
      <c r="N31" s="88"/>
      <c r="O31" s="87"/>
    </row>
    <row r="32" spans="1:15" ht="16.5" customHeight="1" outlineLevel="1">
      <c r="A32" s="128" t="s">
        <v>294</v>
      </c>
      <c r="B32" s="231" t="s">
        <v>397</v>
      </c>
      <c r="C32" s="232" t="s">
        <v>398</v>
      </c>
      <c r="D32" s="171">
        <v>104</v>
      </c>
      <c r="E32" s="178">
        <v>110</v>
      </c>
      <c r="F32" s="189">
        <f t="shared" si="1"/>
        <v>11440</v>
      </c>
      <c r="G32" s="148"/>
      <c r="N32" s="88"/>
      <c r="O32" s="87"/>
    </row>
    <row r="33" spans="1:15" ht="16.5" customHeight="1" outlineLevel="1">
      <c r="A33" s="128" t="s">
        <v>295</v>
      </c>
      <c r="B33" s="217" t="s">
        <v>399</v>
      </c>
      <c r="C33" s="170" t="s">
        <v>400</v>
      </c>
      <c r="D33" s="171">
        <v>1</v>
      </c>
      <c r="E33" s="178">
        <v>39500</v>
      </c>
      <c r="F33" s="189">
        <f t="shared" si="1"/>
        <v>39500</v>
      </c>
      <c r="G33" s="5"/>
      <c r="N33" s="88"/>
      <c r="O33" s="87"/>
    </row>
    <row r="34" spans="1:15" ht="16.5" customHeight="1" outlineLevel="1">
      <c r="A34" s="218" t="s">
        <v>401</v>
      </c>
      <c r="B34" s="219" t="s">
        <v>402</v>
      </c>
      <c r="C34" s="218" t="s">
        <v>403</v>
      </c>
      <c r="D34" s="220">
        <v>1</v>
      </c>
      <c r="E34" s="233">
        <v>14544</v>
      </c>
      <c r="F34" s="189">
        <f>ROUND(D34*E34,2)</f>
        <v>14544</v>
      </c>
      <c r="G34" s="148"/>
      <c r="N34" s="88"/>
      <c r="O34" s="87"/>
    </row>
    <row r="35" spans="1:15" ht="16.5" customHeight="1" outlineLevel="1">
      <c r="A35" s="218" t="s">
        <v>404</v>
      </c>
      <c r="B35" s="219" t="s">
        <v>405</v>
      </c>
      <c r="C35" s="218" t="s">
        <v>403</v>
      </c>
      <c r="D35" s="220">
        <v>1</v>
      </c>
      <c r="E35" s="233">
        <v>14544</v>
      </c>
      <c r="F35" s="189">
        <f>ROUND(D35*E35,2)</f>
        <v>14544</v>
      </c>
      <c r="G35" s="5"/>
      <c r="N35" s="88"/>
      <c r="O35" s="87"/>
    </row>
    <row r="36" spans="1:15" ht="16.5" customHeight="1" outlineLevel="1">
      <c r="A36" s="218" t="s">
        <v>406</v>
      </c>
      <c r="B36" s="219" t="s">
        <v>407</v>
      </c>
      <c r="C36" s="218" t="s">
        <v>403</v>
      </c>
      <c r="D36" s="220">
        <v>1</v>
      </c>
      <c r="E36" s="233">
        <v>101807</v>
      </c>
      <c r="F36" s="189">
        <f t="shared" ref="F36:F38" si="2">ROUND(D36*E36,2)</f>
        <v>101807</v>
      </c>
      <c r="G36" s="148"/>
      <c r="N36" s="88"/>
      <c r="O36" s="87"/>
    </row>
    <row r="37" spans="1:15" ht="16.5" customHeight="1" outlineLevel="1">
      <c r="A37" s="218" t="s">
        <v>408</v>
      </c>
      <c r="B37" s="219" t="s">
        <v>409</v>
      </c>
      <c r="C37" s="218" t="s">
        <v>403</v>
      </c>
      <c r="D37" s="220">
        <v>1</v>
      </c>
      <c r="E37" s="233">
        <v>5548</v>
      </c>
      <c r="F37" s="189">
        <f t="shared" si="2"/>
        <v>5548</v>
      </c>
      <c r="G37" s="148"/>
      <c r="N37" s="88"/>
      <c r="O37" s="87"/>
    </row>
    <row r="38" spans="1:15" ht="16.5" customHeight="1" outlineLevel="1">
      <c r="A38" s="218" t="s">
        <v>410</v>
      </c>
      <c r="B38" s="219" t="s">
        <v>411</v>
      </c>
      <c r="C38" s="218" t="s">
        <v>403</v>
      </c>
      <c r="D38" s="220">
        <v>1</v>
      </c>
      <c r="E38" s="233">
        <v>79542</v>
      </c>
      <c r="F38" s="189">
        <f t="shared" si="2"/>
        <v>79542</v>
      </c>
      <c r="G38" s="5"/>
      <c r="N38" s="88"/>
      <c r="O38" s="87"/>
    </row>
    <row r="39" spans="1:15" ht="16.5" customHeight="1" outlineLevel="1">
      <c r="A39" s="191"/>
      <c r="B39" s="188" t="s">
        <v>256</v>
      </c>
      <c r="C39" s="192"/>
      <c r="D39" s="193"/>
      <c r="E39" s="194"/>
      <c r="F39" s="189">
        <f>SUM(F5+F34+F35+F36+F37+F38)</f>
        <v>1670374</v>
      </c>
      <c r="G39" s="148"/>
      <c r="N39" s="88"/>
      <c r="O39" s="87"/>
    </row>
    <row r="40" spans="1:15">
      <c r="B40" s="129"/>
    </row>
  </sheetData>
  <mergeCells count="2">
    <mergeCell ref="A1:F1"/>
    <mergeCell ref="A2:F2"/>
  </mergeCells>
  <phoneticPr fontId="1" type="noConversion"/>
  <pageMargins left="0.7" right="0.7" top="0.75" bottom="0.75" header="0.3" footer="0.3"/>
  <pageSetup paperSize="9" scale="1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tabColor rgb="FFFFFF00"/>
  </sheetPr>
  <dimension ref="A1:GJ81"/>
  <sheetViews>
    <sheetView zoomScale="85" zoomScaleNormal="85" workbookViewId="0">
      <pane xSplit="12" ySplit="11" topLeftCell="CB12" activePane="bottomRight" state="frozen"/>
      <selection pane="topRight" activeCell="L1" sqref="L1"/>
      <selection pane="bottomLeft" activeCell="A13" sqref="A13"/>
      <selection pane="bottomRight" activeCell="CK30" sqref="CK30"/>
    </sheetView>
  </sheetViews>
  <sheetFormatPr defaultRowHeight="16.5" outlineLevelRow="1"/>
  <cols>
    <col min="1" max="2" width="10.125" customWidth="1"/>
    <col min="3" max="3" width="8.125" customWidth="1"/>
    <col min="4" max="4" width="48.5" style="139" customWidth="1"/>
    <col min="5" max="5" width="6.125" customWidth="1"/>
    <col min="8" max="8" width="13.625" customWidth="1"/>
    <col min="9" max="9" width="13.625" hidden="1" customWidth="1"/>
    <col min="10" max="10" width="10.125" bestFit="1" customWidth="1"/>
    <col min="11" max="11" width="9.625" customWidth="1"/>
    <col min="12" max="12" width="11.125" customWidth="1"/>
    <col min="13" max="49" width="10.625" customWidth="1"/>
  </cols>
  <sheetData>
    <row r="1" spans="1:192" s="18" customFormat="1" ht="18" customHeight="1">
      <c r="D1" s="137"/>
      <c r="E1" s="238" t="s">
        <v>88</v>
      </c>
      <c r="F1" s="238"/>
      <c r="J1" s="259" t="s">
        <v>17</v>
      </c>
      <c r="K1" s="259"/>
      <c r="L1" s="18">
        <v>78</v>
      </c>
      <c r="M1" s="150">
        <v>1</v>
      </c>
      <c r="N1" s="150">
        <v>2</v>
      </c>
      <c r="O1" s="150">
        <v>3</v>
      </c>
      <c r="P1" s="150">
        <v>4</v>
      </c>
      <c r="Q1" s="150">
        <v>5</v>
      </c>
      <c r="R1" s="150">
        <v>6</v>
      </c>
      <c r="S1" s="150">
        <v>7</v>
      </c>
      <c r="T1" s="150">
        <v>8</v>
      </c>
      <c r="U1" s="150">
        <v>9</v>
      </c>
      <c r="V1" s="150">
        <v>10</v>
      </c>
      <c r="W1" s="150">
        <v>11</v>
      </c>
      <c r="X1" s="150">
        <v>12</v>
      </c>
      <c r="Y1" s="150">
        <v>13</v>
      </c>
      <c r="Z1" s="150">
        <v>14</v>
      </c>
      <c r="AA1" s="150">
        <v>15</v>
      </c>
      <c r="AB1" s="150">
        <v>16</v>
      </c>
      <c r="AC1" s="150">
        <v>17</v>
      </c>
      <c r="AD1" s="150">
        <v>18</v>
      </c>
      <c r="AE1" s="150">
        <v>19</v>
      </c>
      <c r="AF1" s="150">
        <v>20</v>
      </c>
      <c r="AG1" s="150">
        <v>21</v>
      </c>
      <c r="AH1" s="150">
        <v>22</v>
      </c>
      <c r="AI1" s="150">
        <v>23</v>
      </c>
      <c r="AJ1" s="150">
        <v>24</v>
      </c>
      <c r="AK1" s="150">
        <v>25</v>
      </c>
      <c r="AL1" s="150">
        <v>26</v>
      </c>
      <c r="AM1" s="150">
        <v>27</v>
      </c>
      <c r="AN1" s="150">
        <v>28</v>
      </c>
      <c r="AO1" s="150">
        <v>29</v>
      </c>
      <c r="AP1" s="150">
        <v>30</v>
      </c>
      <c r="AQ1" s="150">
        <v>31</v>
      </c>
      <c r="AR1" s="150">
        <v>32</v>
      </c>
      <c r="AS1" s="150">
        <v>33</v>
      </c>
      <c r="AT1" s="150">
        <v>34</v>
      </c>
      <c r="AU1" s="150">
        <v>35</v>
      </c>
      <c r="AV1" s="150">
        <v>36</v>
      </c>
      <c r="AW1" s="150">
        <v>37</v>
      </c>
      <c r="AX1" s="150">
        <v>38</v>
      </c>
      <c r="AY1" s="150">
        <v>39</v>
      </c>
      <c r="AZ1" s="150">
        <v>40</v>
      </c>
      <c r="BA1" s="150">
        <v>41</v>
      </c>
      <c r="BB1" s="150">
        <v>42</v>
      </c>
      <c r="BC1" s="150">
        <v>43</v>
      </c>
      <c r="BD1" s="150">
        <v>44</v>
      </c>
      <c r="BE1" s="150">
        <v>45</v>
      </c>
      <c r="BF1" s="150">
        <v>46</v>
      </c>
      <c r="BG1" s="150">
        <v>47</v>
      </c>
      <c r="BH1" s="150">
        <v>48</v>
      </c>
      <c r="BI1" s="150">
        <v>49</v>
      </c>
      <c r="BJ1" s="150">
        <v>50</v>
      </c>
      <c r="BK1" s="150">
        <v>51</v>
      </c>
      <c r="BL1" s="150">
        <v>52</v>
      </c>
      <c r="BM1" s="150">
        <v>53</v>
      </c>
      <c r="BN1" s="150">
        <v>54</v>
      </c>
      <c r="BO1" s="150">
        <v>55</v>
      </c>
      <c r="BP1" s="150">
        <v>56</v>
      </c>
      <c r="BQ1" s="150">
        <v>57</v>
      </c>
      <c r="BR1" s="150">
        <v>58</v>
      </c>
      <c r="BS1" s="150">
        <v>59</v>
      </c>
      <c r="BT1" s="150">
        <v>60</v>
      </c>
      <c r="BU1" s="150">
        <v>61</v>
      </c>
      <c r="BV1" s="150">
        <v>62</v>
      </c>
      <c r="BW1" s="150">
        <v>63</v>
      </c>
      <c r="BX1" s="150">
        <v>64</v>
      </c>
      <c r="BY1" s="150">
        <v>65</v>
      </c>
      <c r="BZ1" s="150">
        <v>66</v>
      </c>
      <c r="CA1" s="150">
        <v>67</v>
      </c>
      <c r="CB1" s="150">
        <v>68</v>
      </c>
      <c r="CC1" s="150">
        <v>69</v>
      </c>
      <c r="CD1" s="150">
        <v>70</v>
      </c>
      <c r="CE1" s="150">
        <v>71</v>
      </c>
      <c r="CF1" s="150">
        <v>72</v>
      </c>
      <c r="CG1" s="150">
        <v>73</v>
      </c>
      <c r="CH1" s="150">
        <v>74</v>
      </c>
      <c r="CI1" s="150">
        <v>75</v>
      </c>
      <c r="CJ1" s="150">
        <v>76</v>
      </c>
      <c r="CK1" s="150">
        <v>77</v>
      </c>
      <c r="CL1" s="150">
        <v>78</v>
      </c>
      <c r="CM1" s="150">
        <v>79</v>
      </c>
      <c r="CN1" s="150">
        <v>80</v>
      </c>
      <c r="CO1" s="150">
        <v>81</v>
      </c>
      <c r="CP1" s="150">
        <v>82</v>
      </c>
      <c r="CQ1" s="150">
        <v>83</v>
      </c>
      <c r="CR1" s="150">
        <v>84</v>
      </c>
      <c r="CS1" s="150">
        <v>85</v>
      </c>
      <c r="CT1" s="150">
        <v>86</v>
      </c>
      <c r="CU1" s="150">
        <v>87</v>
      </c>
      <c r="CV1" s="150">
        <v>88</v>
      </c>
      <c r="CW1" s="150">
        <v>89</v>
      </c>
      <c r="CX1" s="150">
        <v>90</v>
      </c>
      <c r="CY1" s="150">
        <v>91</v>
      </c>
      <c r="CZ1" s="150">
        <v>92</v>
      </c>
      <c r="DA1" s="150">
        <v>93</v>
      </c>
      <c r="DB1" s="150">
        <v>94</v>
      </c>
      <c r="DC1" s="150">
        <v>95</v>
      </c>
      <c r="DD1" s="150">
        <v>96</v>
      </c>
      <c r="DE1" s="150">
        <v>97</v>
      </c>
      <c r="DF1" s="150">
        <v>98</v>
      </c>
      <c r="DG1" s="150">
        <v>99</v>
      </c>
      <c r="DH1" s="150">
        <v>100</v>
      </c>
      <c r="DI1" s="150">
        <v>101</v>
      </c>
      <c r="DJ1" s="150">
        <v>102</v>
      </c>
      <c r="DK1" s="150">
        <v>103</v>
      </c>
      <c r="DL1" s="150">
        <v>104</v>
      </c>
      <c r="DM1" s="150">
        <v>105</v>
      </c>
      <c r="DN1" s="150">
        <v>106</v>
      </c>
      <c r="DO1" s="150">
        <v>107</v>
      </c>
      <c r="DP1" s="150">
        <v>108</v>
      </c>
      <c r="DQ1" s="150">
        <v>109</v>
      </c>
      <c r="DR1" s="150">
        <v>110</v>
      </c>
      <c r="DS1" s="150">
        <v>111</v>
      </c>
      <c r="DT1" s="150">
        <v>112</v>
      </c>
      <c r="DU1" s="150">
        <v>113</v>
      </c>
      <c r="DV1" s="150">
        <v>114</v>
      </c>
      <c r="DW1" s="150">
        <v>115</v>
      </c>
      <c r="DX1" s="150">
        <v>116</v>
      </c>
      <c r="DY1" s="150">
        <v>117</v>
      </c>
      <c r="DZ1" s="150">
        <v>118</v>
      </c>
      <c r="EA1" s="150">
        <v>119</v>
      </c>
      <c r="EB1" s="150">
        <v>120</v>
      </c>
      <c r="EC1" s="150">
        <v>121</v>
      </c>
      <c r="ED1" s="150">
        <v>122</v>
      </c>
      <c r="EE1" s="150">
        <v>123</v>
      </c>
      <c r="EF1" s="150">
        <v>124</v>
      </c>
      <c r="EG1" s="150">
        <v>125</v>
      </c>
      <c r="EH1" s="150">
        <v>126</v>
      </c>
      <c r="EI1" s="150">
        <v>127</v>
      </c>
      <c r="EJ1" s="150">
        <v>128</v>
      </c>
      <c r="EK1" s="150">
        <v>129</v>
      </c>
      <c r="EL1" s="150">
        <v>130</v>
      </c>
      <c r="EM1" s="150">
        <v>131</v>
      </c>
      <c r="EN1" s="150">
        <v>132</v>
      </c>
      <c r="EO1" s="150">
        <v>133</v>
      </c>
      <c r="EP1" s="150">
        <v>134</v>
      </c>
      <c r="EQ1" s="150">
        <v>135</v>
      </c>
      <c r="ER1" s="150">
        <v>136</v>
      </c>
      <c r="ES1" s="150">
        <v>137</v>
      </c>
      <c r="ET1" s="150">
        <v>138</v>
      </c>
      <c r="EU1" s="150">
        <v>139</v>
      </c>
      <c r="EV1" s="150">
        <v>140</v>
      </c>
      <c r="EW1" s="150">
        <v>141</v>
      </c>
      <c r="EX1" s="150">
        <v>142</v>
      </c>
      <c r="EY1" s="150">
        <v>143</v>
      </c>
      <c r="EZ1" s="150">
        <v>144</v>
      </c>
      <c r="FA1" s="150">
        <v>145</v>
      </c>
      <c r="FB1" s="150">
        <v>146</v>
      </c>
      <c r="FC1" s="150">
        <v>147</v>
      </c>
      <c r="FD1" s="150">
        <v>148</v>
      </c>
      <c r="FE1" s="150">
        <v>149</v>
      </c>
      <c r="FF1" s="150">
        <v>150</v>
      </c>
      <c r="FG1" s="150">
        <v>151</v>
      </c>
      <c r="FH1" s="150">
        <v>152</v>
      </c>
      <c r="FI1" s="150">
        <v>153</v>
      </c>
      <c r="FJ1" s="150">
        <v>154</v>
      </c>
      <c r="FK1" s="150">
        <v>155</v>
      </c>
      <c r="FL1" s="150">
        <v>156</v>
      </c>
      <c r="FM1" s="150">
        <v>157</v>
      </c>
      <c r="FN1" s="150">
        <v>158</v>
      </c>
      <c r="FO1" s="150">
        <v>159</v>
      </c>
      <c r="FP1" s="150">
        <v>160</v>
      </c>
      <c r="FQ1" s="150">
        <v>161</v>
      </c>
      <c r="FR1" s="150">
        <v>162</v>
      </c>
      <c r="FS1" s="150">
        <v>163</v>
      </c>
      <c r="FT1" s="150">
        <v>164</v>
      </c>
      <c r="FU1" s="150">
        <v>165</v>
      </c>
      <c r="FV1" s="150">
        <v>166</v>
      </c>
      <c r="FW1" s="150">
        <v>167</v>
      </c>
      <c r="FX1" s="150">
        <v>168</v>
      </c>
      <c r="FY1" s="150">
        <v>169</v>
      </c>
      <c r="FZ1" s="150">
        <v>170</v>
      </c>
      <c r="GA1" s="150">
        <v>171</v>
      </c>
      <c r="GB1" s="150">
        <v>172</v>
      </c>
      <c r="GC1" s="150">
        <v>173</v>
      </c>
      <c r="GD1" s="150">
        <v>174</v>
      </c>
      <c r="GE1" s="150">
        <v>175</v>
      </c>
      <c r="GF1" s="150">
        <v>176</v>
      </c>
      <c r="GG1" s="150">
        <v>177</v>
      </c>
      <c r="GH1" s="150">
        <v>178</v>
      </c>
      <c r="GI1" s="150">
        <v>179</v>
      </c>
      <c r="GJ1" s="150">
        <v>180</v>
      </c>
    </row>
    <row r="2" spans="1:192" s="19" customFormat="1" ht="18" customHeight="1">
      <c r="D2" s="138"/>
      <c r="E2" s="238"/>
      <c r="F2" s="238"/>
      <c r="J2" s="260" t="s">
        <v>18</v>
      </c>
      <c r="K2" s="260"/>
      <c r="L2" s="19">
        <f>L1-L3</f>
        <v>78</v>
      </c>
      <c r="M2" s="151">
        <v>1</v>
      </c>
      <c r="N2" s="151">
        <v>2</v>
      </c>
      <c r="O2" s="151">
        <v>3</v>
      </c>
      <c r="P2" s="151">
        <v>4</v>
      </c>
      <c r="Q2" s="151">
        <v>5</v>
      </c>
      <c r="R2" s="151">
        <v>6</v>
      </c>
      <c r="S2" s="151">
        <v>7</v>
      </c>
      <c r="T2" s="151">
        <v>8</v>
      </c>
      <c r="U2" s="151">
        <v>9</v>
      </c>
      <c r="V2" s="151">
        <v>10</v>
      </c>
      <c r="W2" s="151">
        <v>11</v>
      </c>
      <c r="X2" s="151">
        <v>12</v>
      </c>
      <c r="Y2" s="151">
        <v>13</v>
      </c>
      <c r="Z2" s="151">
        <v>14</v>
      </c>
      <c r="AA2" s="151">
        <v>15</v>
      </c>
      <c r="AB2" s="151">
        <v>16</v>
      </c>
      <c r="AC2" s="151">
        <v>17</v>
      </c>
      <c r="AD2" s="151">
        <v>18</v>
      </c>
      <c r="AE2" s="151">
        <v>19</v>
      </c>
      <c r="AF2" s="151">
        <v>20</v>
      </c>
      <c r="AG2" s="151">
        <v>21</v>
      </c>
      <c r="AH2" s="151">
        <v>22</v>
      </c>
      <c r="AI2" s="151">
        <v>23</v>
      </c>
      <c r="AJ2" s="151">
        <v>24</v>
      </c>
      <c r="AK2" s="151">
        <v>25</v>
      </c>
      <c r="AL2" s="151">
        <v>26</v>
      </c>
      <c r="AM2" s="151">
        <v>27</v>
      </c>
      <c r="AN2" s="151">
        <v>28</v>
      </c>
      <c r="AO2" s="151">
        <v>29</v>
      </c>
      <c r="AP2" s="151">
        <v>30</v>
      </c>
      <c r="AQ2" s="151">
        <v>31</v>
      </c>
      <c r="AR2" s="151">
        <v>32</v>
      </c>
      <c r="AS2" s="151">
        <v>33</v>
      </c>
      <c r="AT2" s="151">
        <v>34</v>
      </c>
      <c r="AU2" s="151">
        <v>35</v>
      </c>
      <c r="AV2" s="151">
        <v>36</v>
      </c>
      <c r="AW2" s="151">
        <v>37</v>
      </c>
      <c r="AX2" s="151">
        <v>38</v>
      </c>
      <c r="AY2" s="151">
        <v>39</v>
      </c>
      <c r="AZ2" s="151">
        <v>40</v>
      </c>
      <c r="BA2" s="151">
        <v>41</v>
      </c>
      <c r="BB2" s="151">
        <v>42</v>
      </c>
      <c r="BC2" s="151">
        <v>43</v>
      </c>
      <c r="BD2" s="151">
        <v>44</v>
      </c>
      <c r="BE2" s="151">
        <v>45</v>
      </c>
      <c r="BF2" s="151">
        <v>46</v>
      </c>
      <c r="BG2" s="151">
        <v>47</v>
      </c>
      <c r="BH2" s="151">
        <v>48</v>
      </c>
      <c r="BI2" s="151">
        <v>49</v>
      </c>
      <c r="BJ2" s="151">
        <v>50</v>
      </c>
      <c r="BK2" s="151">
        <v>51</v>
      </c>
      <c r="BL2" s="151">
        <v>52</v>
      </c>
      <c r="BM2" s="151">
        <v>53</v>
      </c>
      <c r="BN2" s="151">
        <v>54</v>
      </c>
      <c r="BO2" s="151">
        <v>55</v>
      </c>
      <c r="BP2" s="151">
        <v>56</v>
      </c>
      <c r="BQ2" s="151">
        <v>57</v>
      </c>
      <c r="BR2" s="151">
        <v>58</v>
      </c>
      <c r="BS2" s="151">
        <v>59</v>
      </c>
      <c r="BT2" s="151">
        <v>60</v>
      </c>
      <c r="BU2" s="151">
        <v>61</v>
      </c>
      <c r="BV2" s="151">
        <v>62</v>
      </c>
      <c r="BW2" s="151">
        <v>63</v>
      </c>
      <c r="BX2" s="151">
        <v>64</v>
      </c>
      <c r="BY2" s="151">
        <v>65</v>
      </c>
      <c r="BZ2" s="151">
        <v>66</v>
      </c>
      <c r="CA2" s="151">
        <v>67</v>
      </c>
      <c r="CB2" s="151">
        <v>68</v>
      </c>
      <c r="CC2" s="151">
        <v>69</v>
      </c>
      <c r="CD2" s="151">
        <v>70</v>
      </c>
      <c r="CE2" s="151">
        <v>71</v>
      </c>
      <c r="CF2" s="151">
        <v>72</v>
      </c>
      <c r="CG2" s="151">
        <v>73</v>
      </c>
      <c r="CH2" s="151">
        <v>74</v>
      </c>
      <c r="CI2" s="151">
        <v>75</v>
      </c>
      <c r="CJ2" s="151">
        <v>76</v>
      </c>
      <c r="CK2" s="151">
        <v>77</v>
      </c>
      <c r="CL2" s="151">
        <v>78</v>
      </c>
      <c r="CM2" s="151"/>
      <c r="CN2" s="151"/>
      <c r="CO2" s="151"/>
      <c r="CP2" s="151"/>
      <c r="CQ2" s="151"/>
      <c r="CR2" s="151"/>
      <c r="CS2" s="151"/>
      <c r="CT2" s="151"/>
      <c r="CU2" s="151"/>
      <c r="CV2" s="151"/>
      <c r="CW2" s="151"/>
      <c r="CX2" s="151"/>
      <c r="CY2" s="151"/>
      <c r="CZ2" s="151"/>
      <c r="DA2" s="151"/>
      <c r="DB2" s="151"/>
      <c r="DC2" s="151"/>
      <c r="DD2" s="151"/>
      <c r="DE2" s="151"/>
      <c r="DF2" s="151"/>
      <c r="DG2" s="151"/>
      <c r="DH2" s="151"/>
      <c r="DI2" s="151"/>
      <c r="DJ2" s="151"/>
      <c r="DK2" s="151"/>
      <c r="DL2" s="151"/>
      <c r="DM2" s="151"/>
    </row>
    <row r="3" spans="1:192" ht="18" customHeight="1">
      <c r="J3" s="258" t="s">
        <v>19</v>
      </c>
      <c r="K3" s="258"/>
      <c r="L3" s="92">
        <v>0</v>
      </c>
      <c r="M3" s="152"/>
      <c r="N3" s="152"/>
      <c r="O3" s="152"/>
      <c r="P3" s="152"/>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152"/>
      <c r="BC3" s="152"/>
      <c r="BD3" s="152"/>
      <c r="BE3" s="152"/>
      <c r="BF3" s="152"/>
      <c r="BG3" s="152"/>
      <c r="BH3" s="152"/>
      <c r="BI3" s="152"/>
      <c r="BJ3" s="152"/>
      <c r="BK3" s="152"/>
      <c r="BL3" s="152"/>
      <c r="BM3" s="152"/>
      <c r="BN3" s="152"/>
      <c r="BO3" s="152"/>
      <c r="BP3" s="152"/>
      <c r="BQ3" s="152"/>
      <c r="BR3" s="152"/>
      <c r="BS3" s="152"/>
      <c r="BT3" s="152"/>
      <c r="BU3" s="152"/>
      <c r="BV3" s="152"/>
      <c r="BW3" s="152"/>
      <c r="BX3" s="152"/>
      <c r="BY3" s="152"/>
      <c r="BZ3" s="152"/>
      <c r="CA3" s="152"/>
      <c r="CB3" s="152"/>
      <c r="CC3" s="152"/>
      <c r="CD3" s="152"/>
      <c r="CE3" s="152"/>
      <c r="CF3" s="152"/>
      <c r="CG3" s="152"/>
      <c r="CH3" s="152"/>
      <c r="CI3" s="152"/>
      <c r="CJ3" s="152"/>
      <c r="CK3" s="152"/>
      <c r="CL3" s="152"/>
      <c r="CM3" s="152"/>
      <c r="CN3" s="152"/>
      <c r="CO3" s="152"/>
      <c r="CP3" s="152"/>
      <c r="CQ3" s="152"/>
      <c r="CR3" s="152"/>
      <c r="CS3" s="152"/>
      <c r="CT3" s="152"/>
      <c r="CU3" s="152"/>
      <c r="CV3" s="152"/>
      <c r="CW3" s="152"/>
      <c r="CX3" s="152"/>
      <c r="CY3" s="152"/>
      <c r="CZ3" s="152"/>
      <c r="DA3" s="152"/>
      <c r="DB3" s="152"/>
      <c r="DC3" s="152"/>
      <c r="DD3" s="152"/>
      <c r="DE3" s="152"/>
      <c r="DF3" s="152"/>
      <c r="DG3" s="152"/>
      <c r="DH3" s="152"/>
      <c r="DI3" s="152"/>
      <c r="DJ3" s="152"/>
      <c r="DK3" s="152"/>
      <c r="DL3" s="152"/>
      <c r="DM3" s="152"/>
    </row>
    <row r="4" spans="1:192" ht="18" customHeight="1">
      <c r="J4" s="258" t="s">
        <v>117</v>
      </c>
      <c r="K4" s="258"/>
      <c r="L4" s="92">
        <f>SUMIF($M$1:$XFD$1,TEXT($L$1,"&lt;=0"),M4:XFD4)</f>
        <v>0</v>
      </c>
      <c r="M4" s="152"/>
      <c r="N4" s="152"/>
      <c r="O4" s="152"/>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152"/>
      <c r="BC4" s="152"/>
      <c r="BD4" s="152"/>
      <c r="BE4" s="152"/>
      <c r="BF4" s="152"/>
      <c r="BG4" s="152"/>
      <c r="BH4" s="152"/>
      <c r="BI4" s="152"/>
      <c r="BJ4" s="152"/>
      <c r="BK4" s="152"/>
      <c r="BL4" s="152"/>
      <c r="BM4" s="152"/>
      <c r="BN4" s="152"/>
      <c r="BO4" s="152"/>
      <c r="BP4" s="152"/>
      <c r="BQ4" s="152"/>
      <c r="BR4" s="152"/>
      <c r="BS4" s="152"/>
      <c r="BT4" s="152"/>
      <c r="BU4" s="152"/>
      <c r="BV4" s="152"/>
      <c r="BW4" s="152"/>
      <c r="BX4" s="152"/>
      <c r="BY4" s="152"/>
      <c r="BZ4" s="152"/>
      <c r="CA4" s="152"/>
      <c r="CB4" s="152"/>
      <c r="CC4" s="152"/>
      <c r="CD4" s="152"/>
      <c r="CE4" s="152"/>
      <c r="CF4" s="152"/>
      <c r="CG4" s="152"/>
      <c r="CH4" s="152"/>
      <c r="CI4" s="152"/>
      <c r="CJ4" s="152"/>
      <c r="CK4" s="152"/>
      <c r="CL4" s="152"/>
      <c r="CM4" s="152"/>
      <c r="CN4" s="152"/>
      <c r="CO4" s="152"/>
      <c r="CP4" s="152"/>
      <c r="CQ4" s="152"/>
      <c r="CR4" s="152"/>
      <c r="CS4" s="152"/>
      <c r="CT4" s="152"/>
      <c r="CU4" s="152"/>
      <c r="CV4" s="152"/>
      <c r="CW4" s="152"/>
      <c r="CX4" s="152"/>
      <c r="CY4" s="152"/>
      <c r="CZ4" s="152"/>
      <c r="DA4" s="152"/>
      <c r="DB4" s="152"/>
      <c r="DC4" s="152"/>
      <c r="DD4" s="152"/>
      <c r="DE4" s="152"/>
      <c r="DF4" s="152"/>
      <c r="DG4" s="152"/>
      <c r="DH4" s="152"/>
      <c r="DI4" s="152"/>
      <c r="DJ4" s="152"/>
      <c r="DK4" s="152"/>
      <c r="DL4" s="152"/>
      <c r="DM4" s="152"/>
    </row>
    <row r="5" spans="1:192" s="117" customFormat="1" ht="18" customHeight="1">
      <c r="D5" s="140"/>
      <c r="J5" s="258" t="s">
        <v>20</v>
      </c>
      <c r="K5" s="258"/>
      <c r="L5" s="93">
        <f>HLOOKUP($L$1,$M$1:$XFD$5,5)</f>
        <v>46295</v>
      </c>
      <c r="M5" s="185">
        <v>46218</v>
      </c>
      <c r="N5" s="185">
        <v>46219</v>
      </c>
      <c r="O5" s="185">
        <v>46220</v>
      </c>
      <c r="P5" s="185">
        <v>46221</v>
      </c>
      <c r="Q5" s="185">
        <v>46222</v>
      </c>
      <c r="R5" s="185">
        <v>46223</v>
      </c>
      <c r="S5" s="185">
        <v>46224</v>
      </c>
      <c r="T5" s="185">
        <v>46225</v>
      </c>
      <c r="U5" s="185">
        <v>46226</v>
      </c>
      <c r="V5" s="185">
        <v>46227</v>
      </c>
      <c r="W5" s="185">
        <v>46228</v>
      </c>
      <c r="X5" s="185">
        <v>46229</v>
      </c>
      <c r="Y5" s="185">
        <v>46230</v>
      </c>
      <c r="Z5" s="185">
        <v>46231</v>
      </c>
      <c r="AA5" s="185">
        <v>46232</v>
      </c>
      <c r="AB5" s="185">
        <v>46233</v>
      </c>
      <c r="AC5" s="185">
        <v>46234</v>
      </c>
      <c r="AD5" s="185">
        <v>46235</v>
      </c>
      <c r="AE5" s="185">
        <v>46236</v>
      </c>
      <c r="AF5" s="185">
        <v>46237</v>
      </c>
      <c r="AG5" s="185">
        <v>46238</v>
      </c>
      <c r="AH5" s="185">
        <v>46239</v>
      </c>
      <c r="AI5" s="185">
        <v>46240</v>
      </c>
      <c r="AJ5" s="185">
        <v>46241</v>
      </c>
      <c r="AK5" s="185">
        <v>46242</v>
      </c>
      <c r="AL5" s="185">
        <v>46243</v>
      </c>
      <c r="AM5" s="185">
        <v>46244</v>
      </c>
      <c r="AN5" s="185">
        <v>46245</v>
      </c>
      <c r="AO5" s="185">
        <v>46246</v>
      </c>
      <c r="AP5" s="185">
        <v>46247</v>
      </c>
      <c r="AQ5" s="185">
        <v>46248</v>
      </c>
      <c r="AR5" s="185">
        <v>46249</v>
      </c>
      <c r="AS5" s="185">
        <v>46250</v>
      </c>
      <c r="AT5" s="185">
        <v>46251</v>
      </c>
      <c r="AU5" s="185">
        <v>46252</v>
      </c>
      <c r="AV5" s="185">
        <v>46253</v>
      </c>
      <c r="AW5" s="185">
        <v>46254</v>
      </c>
      <c r="AX5" s="185">
        <v>46255</v>
      </c>
      <c r="AY5" s="185">
        <v>46256</v>
      </c>
      <c r="AZ5" s="185">
        <v>46257</v>
      </c>
      <c r="BA5" s="185">
        <v>46258</v>
      </c>
      <c r="BB5" s="185">
        <v>46259</v>
      </c>
      <c r="BC5" s="185">
        <v>46260</v>
      </c>
      <c r="BD5" s="185">
        <v>46261</v>
      </c>
      <c r="BE5" s="185">
        <v>46262</v>
      </c>
      <c r="BF5" s="185">
        <v>46263</v>
      </c>
      <c r="BG5" s="185">
        <v>46264</v>
      </c>
      <c r="BH5" s="185">
        <v>46265</v>
      </c>
      <c r="BI5" s="185">
        <v>46266</v>
      </c>
      <c r="BJ5" s="185">
        <v>46267</v>
      </c>
      <c r="BK5" s="185">
        <v>46268</v>
      </c>
      <c r="BL5" s="185">
        <v>46269</v>
      </c>
      <c r="BM5" s="185">
        <v>46270</v>
      </c>
      <c r="BN5" s="185">
        <v>46271</v>
      </c>
      <c r="BO5" s="185">
        <v>46272</v>
      </c>
      <c r="BP5" s="185">
        <v>46273</v>
      </c>
      <c r="BQ5" s="185">
        <v>46274</v>
      </c>
      <c r="BR5" s="185">
        <v>46275</v>
      </c>
      <c r="BS5" s="185">
        <v>46276</v>
      </c>
      <c r="BT5" s="185">
        <v>46277</v>
      </c>
      <c r="BU5" s="185">
        <v>46278</v>
      </c>
      <c r="BV5" s="185">
        <v>46279</v>
      </c>
      <c r="BW5" s="185">
        <v>46280</v>
      </c>
      <c r="BX5" s="185">
        <v>46281</v>
      </c>
      <c r="BY5" s="185">
        <v>46282</v>
      </c>
      <c r="BZ5" s="185">
        <v>46283</v>
      </c>
      <c r="CA5" s="185">
        <v>46284</v>
      </c>
      <c r="CB5" s="185">
        <v>46285</v>
      </c>
      <c r="CC5" s="185">
        <v>46286</v>
      </c>
      <c r="CD5" s="185">
        <v>46287</v>
      </c>
      <c r="CE5" s="185">
        <v>46288</v>
      </c>
      <c r="CF5" s="185">
        <v>46289</v>
      </c>
      <c r="CG5" s="185">
        <v>46290</v>
      </c>
      <c r="CH5" s="185">
        <v>46291</v>
      </c>
      <c r="CI5" s="185">
        <v>46292</v>
      </c>
      <c r="CJ5" s="185">
        <v>46293</v>
      </c>
      <c r="CK5" s="185">
        <v>46294</v>
      </c>
      <c r="CL5" s="185">
        <v>46295</v>
      </c>
      <c r="CM5" s="185">
        <v>46296</v>
      </c>
      <c r="CN5" s="185">
        <v>46297</v>
      </c>
      <c r="CO5" s="185">
        <v>46298</v>
      </c>
      <c r="CP5" s="185">
        <v>46299</v>
      </c>
      <c r="CQ5" s="185">
        <v>46300</v>
      </c>
      <c r="CR5" s="185">
        <v>46301</v>
      </c>
      <c r="CS5" s="185">
        <v>46302</v>
      </c>
      <c r="CT5" s="185">
        <v>46303</v>
      </c>
      <c r="CU5" s="185">
        <v>46304</v>
      </c>
      <c r="CV5" s="185">
        <v>46305</v>
      </c>
      <c r="CW5" s="185">
        <v>46306</v>
      </c>
      <c r="CX5" s="185">
        <v>46307</v>
      </c>
      <c r="CY5" s="185">
        <v>46308</v>
      </c>
      <c r="CZ5" s="185">
        <v>46309</v>
      </c>
      <c r="DA5" s="185">
        <v>46310</v>
      </c>
      <c r="DB5" s="185">
        <v>46311</v>
      </c>
      <c r="DC5" s="185">
        <v>46312</v>
      </c>
      <c r="DD5" s="185">
        <v>46313</v>
      </c>
      <c r="DE5" s="185">
        <v>46314</v>
      </c>
      <c r="DF5" s="185">
        <v>46315</v>
      </c>
      <c r="DG5" s="185">
        <v>46316</v>
      </c>
      <c r="DH5" s="185">
        <v>46317</v>
      </c>
      <c r="DI5" s="185">
        <v>46318</v>
      </c>
      <c r="DJ5" s="185">
        <v>46319</v>
      </c>
      <c r="DK5" s="185">
        <v>46320</v>
      </c>
      <c r="DL5" s="185">
        <v>46321</v>
      </c>
      <c r="DM5" s="185">
        <v>46322</v>
      </c>
      <c r="DN5" s="185">
        <v>46323</v>
      </c>
      <c r="DO5" s="185">
        <v>46324</v>
      </c>
      <c r="DP5" s="185">
        <v>46325</v>
      </c>
      <c r="DQ5" s="185">
        <v>46326</v>
      </c>
      <c r="DR5" s="185">
        <v>46327</v>
      </c>
      <c r="DS5" s="185">
        <v>46328</v>
      </c>
      <c r="DT5" s="185">
        <v>46329</v>
      </c>
      <c r="DU5" s="185">
        <v>46330</v>
      </c>
      <c r="DV5" s="185">
        <v>46331</v>
      </c>
      <c r="DW5" s="185">
        <v>46332</v>
      </c>
      <c r="DX5" s="185">
        <v>46333</v>
      </c>
      <c r="DY5" s="185">
        <v>46334</v>
      </c>
      <c r="DZ5" s="185">
        <v>46335</v>
      </c>
      <c r="EA5" s="185">
        <v>46336</v>
      </c>
      <c r="EB5" s="185">
        <v>46337</v>
      </c>
      <c r="EC5" s="185">
        <v>46338</v>
      </c>
      <c r="ED5" s="185">
        <v>46339</v>
      </c>
      <c r="EE5" s="185">
        <v>46340</v>
      </c>
      <c r="EF5" s="185">
        <v>46341</v>
      </c>
      <c r="EG5" s="185">
        <v>46342</v>
      </c>
      <c r="EH5" s="185">
        <v>46343</v>
      </c>
      <c r="EI5" s="185">
        <v>46344</v>
      </c>
      <c r="EJ5" s="185">
        <v>46345</v>
      </c>
      <c r="EK5" s="185">
        <v>46346</v>
      </c>
      <c r="EL5" s="185">
        <v>46347</v>
      </c>
      <c r="EM5" s="185">
        <v>46348</v>
      </c>
      <c r="EN5" s="185">
        <v>46349</v>
      </c>
      <c r="EO5" s="185">
        <v>46350</v>
      </c>
      <c r="EP5" s="185">
        <v>46351</v>
      </c>
      <c r="EQ5" s="185">
        <v>46352</v>
      </c>
      <c r="ER5" s="185">
        <v>46353</v>
      </c>
      <c r="ES5" s="185">
        <v>46354</v>
      </c>
      <c r="ET5" s="185">
        <v>46355</v>
      </c>
      <c r="EU5" s="185">
        <v>46356</v>
      </c>
      <c r="EV5" s="185">
        <v>46357</v>
      </c>
      <c r="EW5" s="185">
        <v>46358</v>
      </c>
      <c r="EX5" s="185">
        <v>46359</v>
      </c>
      <c r="EY5" s="185">
        <v>46360</v>
      </c>
      <c r="EZ5" s="185">
        <v>46361</v>
      </c>
      <c r="FA5" s="185">
        <v>46362</v>
      </c>
      <c r="FB5" s="185">
        <v>46363</v>
      </c>
      <c r="FC5" s="185">
        <v>46364</v>
      </c>
      <c r="FD5" s="185">
        <v>46365</v>
      </c>
      <c r="FE5" s="185">
        <v>46366</v>
      </c>
      <c r="FF5" s="185">
        <v>46367</v>
      </c>
      <c r="FG5" s="185">
        <v>46368</v>
      </c>
      <c r="FH5" s="185">
        <v>46369</v>
      </c>
      <c r="FI5" s="185">
        <v>46370</v>
      </c>
      <c r="FJ5" s="185">
        <v>46371</v>
      </c>
      <c r="FK5" s="185">
        <v>46372</v>
      </c>
      <c r="FL5" s="185">
        <v>46373</v>
      </c>
      <c r="FM5" s="185">
        <v>46374</v>
      </c>
      <c r="FN5" s="185">
        <v>46375</v>
      </c>
      <c r="FO5" s="185">
        <v>46376</v>
      </c>
      <c r="FP5" s="185">
        <v>46377</v>
      </c>
      <c r="FQ5" s="185">
        <v>46378</v>
      </c>
      <c r="FR5" s="185">
        <v>46379</v>
      </c>
      <c r="FS5" s="185">
        <v>46380</v>
      </c>
      <c r="FT5" s="185">
        <v>46381</v>
      </c>
      <c r="FU5" s="185">
        <v>46382</v>
      </c>
      <c r="FV5" s="185">
        <v>46383</v>
      </c>
      <c r="FW5" s="185">
        <v>46384</v>
      </c>
      <c r="FX5" s="185">
        <v>46385</v>
      </c>
      <c r="FY5" s="185">
        <v>46386</v>
      </c>
      <c r="FZ5" s="185">
        <v>46387</v>
      </c>
      <c r="GA5" s="185">
        <v>46388</v>
      </c>
      <c r="GB5" s="185">
        <v>46389</v>
      </c>
      <c r="GC5" s="185">
        <v>46390</v>
      </c>
      <c r="GD5" s="185">
        <v>46391</v>
      </c>
      <c r="GE5" s="185">
        <v>46392</v>
      </c>
      <c r="GF5" s="185">
        <v>46393</v>
      </c>
      <c r="GG5" s="185">
        <v>46394</v>
      </c>
      <c r="GH5" s="185">
        <v>46395</v>
      </c>
      <c r="GI5" s="185">
        <v>46396</v>
      </c>
      <c r="GJ5" s="185">
        <v>46397</v>
      </c>
    </row>
    <row r="6" spans="1:192" ht="18" customHeight="1">
      <c r="J6" s="258" t="s">
        <v>21</v>
      </c>
      <c r="K6" s="258"/>
      <c r="L6" s="94">
        <f>HLOOKUP($L$1,$M$1:$XFD$6,6)</f>
        <v>46295</v>
      </c>
      <c r="M6" s="153">
        <f t="shared" ref="M6:BB6" si="0">M5</f>
        <v>46218</v>
      </c>
      <c r="N6" s="153">
        <f t="shared" si="0"/>
        <v>46219</v>
      </c>
      <c r="O6" s="153">
        <f t="shared" si="0"/>
        <v>46220</v>
      </c>
      <c r="P6" s="153">
        <f t="shared" si="0"/>
        <v>46221</v>
      </c>
      <c r="Q6" s="153">
        <f t="shared" si="0"/>
        <v>46222</v>
      </c>
      <c r="R6" s="153">
        <f t="shared" si="0"/>
        <v>46223</v>
      </c>
      <c r="S6" s="153">
        <f t="shared" si="0"/>
        <v>46224</v>
      </c>
      <c r="T6" s="153">
        <f t="shared" si="0"/>
        <v>46225</v>
      </c>
      <c r="U6" s="153">
        <f t="shared" si="0"/>
        <v>46226</v>
      </c>
      <c r="V6" s="153">
        <f t="shared" si="0"/>
        <v>46227</v>
      </c>
      <c r="W6" s="153">
        <f t="shared" si="0"/>
        <v>46228</v>
      </c>
      <c r="X6" s="153">
        <f t="shared" si="0"/>
        <v>46229</v>
      </c>
      <c r="Y6" s="153">
        <f t="shared" si="0"/>
        <v>46230</v>
      </c>
      <c r="Z6" s="153">
        <f t="shared" si="0"/>
        <v>46231</v>
      </c>
      <c r="AA6" s="153">
        <f t="shared" si="0"/>
        <v>46232</v>
      </c>
      <c r="AB6" s="153">
        <f t="shared" si="0"/>
        <v>46233</v>
      </c>
      <c r="AC6" s="153">
        <f t="shared" si="0"/>
        <v>46234</v>
      </c>
      <c r="AD6" s="153">
        <f t="shared" si="0"/>
        <v>46235</v>
      </c>
      <c r="AE6" s="153">
        <f t="shared" si="0"/>
        <v>46236</v>
      </c>
      <c r="AF6" s="153">
        <f t="shared" si="0"/>
        <v>46237</v>
      </c>
      <c r="AG6" s="153">
        <f t="shared" si="0"/>
        <v>46238</v>
      </c>
      <c r="AH6" s="153">
        <f t="shared" si="0"/>
        <v>46239</v>
      </c>
      <c r="AI6" s="153">
        <f t="shared" si="0"/>
        <v>46240</v>
      </c>
      <c r="AJ6" s="153">
        <f t="shared" si="0"/>
        <v>46241</v>
      </c>
      <c r="AK6" s="153">
        <f t="shared" si="0"/>
        <v>46242</v>
      </c>
      <c r="AL6" s="153">
        <f t="shared" si="0"/>
        <v>46243</v>
      </c>
      <c r="AM6" s="153">
        <f t="shared" si="0"/>
        <v>46244</v>
      </c>
      <c r="AN6" s="153">
        <f t="shared" si="0"/>
        <v>46245</v>
      </c>
      <c r="AO6" s="153">
        <f t="shared" si="0"/>
        <v>46246</v>
      </c>
      <c r="AP6" s="153">
        <f t="shared" si="0"/>
        <v>46247</v>
      </c>
      <c r="AQ6" s="153">
        <f t="shared" si="0"/>
        <v>46248</v>
      </c>
      <c r="AR6" s="153">
        <f t="shared" si="0"/>
        <v>46249</v>
      </c>
      <c r="AS6" s="153">
        <f t="shared" si="0"/>
        <v>46250</v>
      </c>
      <c r="AT6" s="153">
        <f t="shared" si="0"/>
        <v>46251</v>
      </c>
      <c r="AU6" s="153">
        <f t="shared" si="0"/>
        <v>46252</v>
      </c>
      <c r="AV6" s="153">
        <f t="shared" si="0"/>
        <v>46253</v>
      </c>
      <c r="AW6" s="153">
        <f t="shared" si="0"/>
        <v>46254</v>
      </c>
      <c r="AX6" s="153">
        <f t="shared" si="0"/>
        <v>46255</v>
      </c>
      <c r="AY6" s="153">
        <f t="shared" si="0"/>
        <v>46256</v>
      </c>
      <c r="AZ6" s="153">
        <f t="shared" si="0"/>
        <v>46257</v>
      </c>
      <c r="BA6" s="153">
        <f t="shared" si="0"/>
        <v>46258</v>
      </c>
      <c r="BB6" s="153">
        <f t="shared" si="0"/>
        <v>46259</v>
      </c>
      <c r="BC6" s="153">
        <f t="shared" ref="BC6:DP6" si="1">BC5</f>
        <v>46260</v>
      </c>
      <c r="BD6" s="153">
        <f t="shared" si="1"/>
        <v>46261</v>
      </c>
      <c r="BE6" s="153">
        <f t="shared" si="1"/>
        <v>46262</v>
      </c>
      <c r="BF6" s="153">
        <f t="shared" si="1"/>
        <v>46263</v>
      </c>
      <c r="BG6" s="153">
        <f t="shared" si="1"/>
        <v>46264</v>
      </c>
      <c r="BH6" s="153">
        <f t="shared" si="1"/>
        <v>46265</v>
      </c>
      <c r="BI6" s="153">
        <f t="shared" si="1"/>
        <v>46266</v>
      </c>
      <c r="BJ6" s="153">
        <f t="shared" si="1"/>
        <v>46267</v>
      </c>
      <c r="BK6" s="153">
        <f t="shared" si="1"/>
        <v>46268</v>
      </c>
      <c r="BL6" s="153">
        <f t="shared" si="1"/>
        <v>46269</v>
      </c>
      <c r="BM6" s="153">
        <f t="shared" si="1"/>
        <v>46270</v>
      </c>
      <c r="BN6" s="153">
        <f t="shared" si="1"/>
        <v>46271</v>
      </c>
      <c r="BO6" s="153">
        <f t="shared" si="1"/>
        <v>46272</v>
      </c>
      <c r="BP6" s="153">
        <f t="shared" si="1"/>
        <v>46273</v>
      </c>
      <c r="BQ6" s="153">
        <f t="shared" si="1"/>
        <v>46274</v>
      </c>
      <c r="BR6" s="153">
        <f t="shared" si="1"/>
        <v>46275</v>
      </c>
      <c r="BS6" s="153">
        <f t="shared" si="1"/>
        <v>46276</v>
      </c>
      <c r="BT6" s="153">
        <f t="shared" si="1"/>
        <v>46277</v>
      </c>
      <c r="BU6" s="153">
        <f t="shared" si="1"/>
        <v>46278</v>
      </c>
      <c r="BV6" s="153">
        <f t="shared" si="1"/>
        <v>46279</v>
      </c>
      <c r="BW6" s="153">
        <f t="shared" si="1"/>
        <v>46280</v>
      </c>
      <c r="BX6" s="153">
        <f t="shared" si="1"/>
        <v>46281</v>
      </c>
      <c r="BY6" s="153">
        <f t="shared" si="1"/>
        <v>46282</v>
      </c>
      <c r="BZ6" s="153">
        <f t="shared" si="1"/>
        <v>46283</v>
      </c>
      <c r="CA6" s="153">
        <f t="shared" si="1"/>
        <v>46284</v>
      </c>
      <c r="CB6" s="153">
        <f t="shared" si="1"/>
        <v>46285</v>
      </c>
      <c r="CC6" s="153">
        <f t="shared" si="1"/>
        <v>46286</v>
      </c>
      <c r="CD6" s="153">
        <f t="shared" si="1"/>
        <v>46287</v>
      </c>
      <c r="CE6" s="153">
        <f t="shared" si="1"/>
        <v>46288</v>
      </c>
      <c r="CF6" s="153">
        <f t="shared" si="1"/>
        <v>46289</v>
      </c>
      <c r="CG6" s="153">
        <f t="shared" si="1"/>
        <v>46290</v>
      </c>
      <c r="CH6" s="153">
        <f t="shared" si="1"/>
        <v>46291</v>
      </c>
      <c r="CI6" s="153">
        <f t="shared" si="1"/>
        <v>46292</v>
      </c>
      <c r="CJ6" s="153">
        <f t="shared" si="1"/>
        <v>46293</v>
      </c>
      <c r="CK6" s="153">
        <f t="shared" si="1"/>
        <v>46294</v>
      </c>
      <c r="CL6" s="153">
        <f t="shared" si="1"/>
        <v>46295</v>
      </c>
      <c r="CM6" s="153">
        <f t="shared" si="1"/>
        <v>46296</v>
      </c>
      <c r="CN6" s="153">
        <f t="shared" si="1"/>
        <v>46297</v>
      </c>
      <c r="CO6" s="153">
        <f t="shared" si="1"/>
        <v>46298</v>
      </c>
      <c r="CP6" s="153">
        <f t="shared" si="1"/>
        <v>46299</v>
      </c>
      <c r="CQ6" s="153">
        <f t="shared" si="1"/>
        <v>46300</v>
      </c>
      <c r="CR6" s="153">
        <f t="shared" si="1"/>
        <v>46301</v>
      </c>
      <c r="CS6" s="153">
        <f t="shared" si="1"/>
        <v>46302</v>
      </c>
      <c r="CT6" s="153">
        <f t="shared" si="1"/>
        <v>46303</v>
      </c>
      <c r="CU6" s="153">
        <f t="shared" si="1"/>
        <v>46304</v>
      </c>
      <c r="CV6" s="153">
        <f t="shared" si="1"/>
        <v>46305</v>
      </c>
      <c r="CW6" s="153">
        <f t="shared" si="1"/>
        <v>46306</v>
      </c>
      <c r="CX6" s="153">
        <f t="shared" si="1"/>
        <v>46307</v>
      </c>
      <c r="CY6" s="153">
        <f t="shared" si="1"/>
        <v>46308</v>
      </c>
      <c r="CZ6" s="153">
        <f t="shared" si="1"/>
        <v>46309</v>
      </c>
      <c r="DA6" s="153">
        <f t="shared" si="1"/>
        <v>46310</v>
      </c>
      <c r="DB6" s="153">
        <f t="shared" si="1"/>
        <v>46311</v>
      </c>
      <c r="DC6" s="153">
        <f t="shared" si="1"/>
        <v>46312</v>
      </c>
      <c r="DD6" s="153">
        <f t="shared" si="1"/>
        <v>46313</v>
      </c>
      <c r="DE6" s="153">
        <f t="shared" si="1"/>
        <v>46314</v>
      </c>
      <c r="DF6" s="153">
        <f t="shared" si="1"/>
        <v>46315</v>
      </c>
      <c r="DG6" s="153">
        <f t="shared" si="1"/>
        <v>46316</v>
      </c>
      <c r="DH6" s="153">
        <f t="shared" si="1"/>
        <v>46317</v>
      </c>
      <c r="DI6" s="153">
        <f t="shared" si="1"/>
        <v>46318</v>
      </c>
      <c r="DJ6" s="153">
        <f t="shared" si="1"/>
        <v>46319</v>
      </c>
      <c r="DK6" s="153">
        <f t="shared" si="1"/>
        <v>46320</v>
      </c>
      <c r="DL6" s="153">
        <f t="shared" si="1"/>
        <v>46321</v>
      </c>
      <c r="DM6" s="153">
        <f t="shared" si="1"/>
        <v>46322</v>
      </c>
      <c r="DN6" s="153">
        <f t="shared" si="1"/>
        <v>46323</v>
      </c>
      <c r="DO6" s="153">
        <f t="shared" ref="DO6" si="2">DO5</f>
        <v>46324</v>
      </c>
      <c r="DP6" s="153">
        <f t="shared" si="1"/>
        <v>46325</v>
      </c>
      <c r="DQ6" s="153">
        <f t="shared" ref="DQ6:GB6" si="3">DQ5</f>
        <v>46326</v>
      </c>
      <c r="DR6" s="153">
        <f t="shared" si="3"/>
        <v>46327</v>
      </c>
      <c r="DS6" s="153">
        <f t="shared" si="3"/>
        <v>46328</v>
      </c>
      <c r="DT6" s="153">
        <f t="shared" si="3"/>
        <v>46329</v>
      </c>
      <c r="DU6" s="153">
        <f t="shared" si="3"/>
        <v>46330</v>
      </c>
      <c r="DV6" s="153">
        <f t="shared" si="3"/>
        <v>46331</v>
      </c>
      <c r="DW6" s="153">
        <f t="shared" si="3"/>
        <v>46332</v>
      </c>
      <c r="DX6" s="153">
        <f t="shared" si="3"/>
        <v>46333</v>
      </c>
      <c r="DY6" s="153">
        <f t="shared" si="3"/>
        <v>46334</v>
      </c>
      <c r="DZ6" s="153">
        <f t="shared" si="3"/>
        <v>46335</v>
      </c>
      <c r="EA6" s="153">
        <f t="shared" si="3"/>
        <v>46336</v>
      </c>
      <c r="EB6" s="153">
        <f t="shared" si="3"/>
        <v>46337</v>
      </c>
      <c r="EC6" s="153">
        <f t="shared" si="3"/>
        <v>46338</v>
      </c>
      <c r="ED6" s="153">
        <f t="shared" si="3"/>
        <v>46339</v>
      </c>
      <c r="EE6" s="153">
        <f t="shared" si="3"/>
        <v>46340</v>
      </c>
      <c r="EF6" s="153">
        <f t="shared" si="3"/>
        <v>46341</v>
      </c>
      <c r="EG6" s="153">
        <f t="shared" si="3"/>
        <v>46342</v>
      </c>
      <c r="EH6" s="153">
        <f t="shared" si="3"/>
        <v>46343</v>
      </c>
      <c r="EI6" s="153">
        <f t="shared" si="3"/>
        <v>46344</v>
      </c>
      <c r="EJ6" s="153">
        <f t="shared" si="3"/>
        <v>46345</v>
      </c>
      <c r="EK6" s="153">
        <f t="shared" si="3"/>
        <v>46346</v>
      </c>
      <c r="EL6" s="153">
        <f t="shared" si="3"/>
        <v>46347</v>
      </c>
      <c r="EM6" s="153">
        <f t="shared" si="3"/>
        <v>46348</v>
      </c>
      <c r="EN6" s="153">
        <f t="shared" si="3"/>
        <v>46349</v>
      </c>
      <c r="EO6" s="153">
        <f t="shared" si="3"/>
        <v>46350</v>
      </c>
      <c r="EP6" s="153">
        <f t="shared" si="3"/>
        <v>46351</v>
      </c>
      <c r="EQ6" s="153">
        <f t="shared" si="3"/>
        <v>46352</v>
      </c>
      <c r="ER6" s="153">
        <f t="shared" si="3"/>
        <v>46353</v>
      </c>
      <c r="ES6" s="153">
        <f t="shared" si="3"/>
        <v>46354</v>
      </c>
      <c r="ET6" s="153">
        <f t="shared" si="3"/>
        <v>46355</v>
      </c>
      <c r="EU6" s="153">
        <f t="shared" si="3"/>
        <v>46356</v>
      </c>
      <c r="EV6" s="153">
        <f t="shared" si="3"/>
        <v>46357</v>
      </c>
      <c r="EW6" s="153">
        <f t="shared" si="3"/>
        <v>46358</v>
      </c>
      <c r="EX6" s="153">
        <f t="shared" si="3"/>
        <v>46359</v>
      </c>
      <c r="EY6" s="153">
        <f t="shared" si="3"/>
        <v>46360</v>
      </c>
      <c r="EZ6" s="153">
        <f t="shared" si="3"/>
        <v>46361</v>
      </c>
      <c r="FA6" s="153">
        <f t="shared" si="3"/>
        <v>46362</v>
      </c>
      <c r="FB6" s="153">
        <f t="shared" si="3"/>
        <v>46363</v>
      </c>
      <c r="FC6" s="153">
        <f t="shared" si="3"/>
        <v>46364</v>
      </c>
      <c r="FD6" s="153">
        <f t="shared" si="3"/>
        <v>46365</v>
      </c>
      <c r="FE6" s="153">
        <f t="shared" si="3"/>
        <v>46366</v>
      </c>
      <c r="FF6" s="153">
        <f t="shared" si="3"/>
        <v>46367</v>
      </c>
      <c r="FG6" s="153">
        <f t="shared" si="3"/>
        <v>46368</v>
      </c>
      <c r="FH6" s="153">
        <f t="shared" si="3"/>
        <v>46369</v>
      </c>
      <c r="FI6" s="153">
        <f t="shared" si="3"/>
        <v>46370</v>
      </c>
      <c r="FJ6" s="153">
        <f t="shared" si="3"/>
        <v>46371</v>
      </c>
      <c r="FK6" s="153">
        <f t="shared" si="3"/>
        <v>46372</v>
      </c>
      <c r="FL6" s="153">
        <f t="shared" si="3"/>
        <v>46373</v>
      </c>
      <c r="FM6" s="153">
        <f t="shared" si="3"/>
        <v>46374</v>
      </c>
      <c r="FN6" s="153">
        <f t="shared" si="3"/>
        <v>46375</v>
      </c>
      <c r="FO6" s="153">
        <f t="shared" si="3"/>
        <v>46376</v>
      </c>
      <c r="FP6" s="153">
        <f t="shared" si="3"/>
        <v>46377</v>
      </c>
      <c r="FQ6" s="153">
        <f t="shared" si="3"/>
        <v>46378</v>
      </c>
      <c r="FR6" s="153">
        <f t="shared" si="3"/>
        <v>46379</v>
      </c>
      <c r="FS6" s="153">
        <f t="shared" si="3"/>
        <v>46380</v>
      </c>
      <c r="FT6" s="153">
        <f t="shared" si="3"/>
        <v>46381</v>
      </c>
      <c r="FU6" s="153">
        <f t="shared" si="3"/>
        <v>46382</v>
      </c>
      <c r="FV6" s="153">
        <f t="shared" si="3"/>
        <v>46383</v>
      </c>
      <c r="FW6" s="153">
        <f t="shared" si="3"/>
        <v>46384</v>
      </c>
      <c r="FX6" s="153">
        <f t="shared" si="3"/>
        <v>46385</v>
      </c>
      <c r="FY6" s="153">
        <f t="shared" si="3"/>
        <v>46386</v>
      </c>
      <c r="FZ6" s="153">
        <f t="shared" si="3"/>
        <v>46387</v>
      </c>
      <c r="GA6" s="153">
        <f t="shared" si="3"/>
        <v>46388</v>
      </c>
      <c r="GB6" s="153">
        <f t="shared" si="3"/>
        <v>46389</v>
      </c>
      <c r="GC6" s="153">
        <f t="shared" ref="GC6:GJ6" si="4">GC5</f>
        <v>46390</v>
      </c>
      <c r="GD6" s="153">
        <f t="shared" si="4"/>
        <v>46391</v>
      </c>
      <c r="GE6" s="153">
        <f t="shared" si="4"/>
        <v>46392</v>
      </c>
      <c r="GF6" s="153">
        <f t="shared" si="4"/>
        <v>46393</v>
      </c>
      <c r="GG6" s="153">
        <f t="shared" si="4"/>
        <v>46394</v>
      </c>
      <c r="GH6" s="153">
        <f t="shared" si="4"/>
        <v>46395</v>
      </c>
      <c r="GI6" s="153">
        <f t="shared" si="4"/>
        <v>46396</v>
      </c>
      <c r="GJ6" s="153">
        <f t="shared" si="4"/>
        <v>46397</v>
      </c>
    </row>
    <row r="7" spans="1:192" ht="18" customHeight="1">
      <c r="J7" s="258" t="s">
        <v>23</v>
      </c>
      <c r="K7" s="258"/>
      <c r="L7" s="92" t="str">
        <f>HLOOKUP($L$1,$M$1:$XFD$7,7)</f>
        <v>晴</v>
      </c>
      <c r="M7" s="154" t="s">
        <v>34</v>
      </c>
      <c r="N7" s="154" t="s">
        <v>34</v>
      </c>
      <c r="O7" s="154" t="s">
        <v>34</v>
      </c>
      <c r="P7" s="154" t="s">
        <v>34</v>
      </c>
      <c r="Q7" s="154" t="s">
        <v>34</v>
      </c>
      <c r="R7" s="154" t="s">
        <v>34</v>
      </c>
      <c r="S7" s="154" t="s">
        <v>34</v>
      </c>
      <c r="T7" s="154" t="s">
        <v>34</v>
      </c>
      <c r="U7" s="154" t="s">
        <v>34</v>
      </c>
      <c r="V7" s="154" t="s">
        <v>34</v>
      </c>
      <c r="W7" s="154" t="s">
        <v>34</v>
      </c>
      <c r="X7" s="154" t="s">
        <v>34</v>
      </c>
      <c r="Y7" s="154" t="s">
        <v>34</v>
      </c>
      <c r="Z7" s="154" t="s">
        <v>129</v>
      </c>
      <c r="AA7" s="154" t="s">
        <v>128</v>
      </c>
      <c r="AB7" s="154" t="s">
        <v>128</v>
      </c>
      <c r="AC7" s="154" t="s">
        <v>128</v>
      </c>
      <c r="AD7" s="154" t="s">
        <v>128</v>
      </c>
      <c r="AE7" s="154" t="s">
        <v>128</v>
      </c>
      <c r="AF7" s="154" t="s">
        <v>128</v>
      </c>
      <c r="AG7" s="154" t="s">
        <v>34</v>
      </c>
      <c r="AH7" s="154" t="s">
        <v>34</v>
      </c>
      <c r="AI7" s="154" t="s">
        <v>34</v>
      </c>
      <c r="AJ7" s="154" t="s">
        <v>34</v>
      </c>
      <c r="AK7" s="154" t="s">
        <v>34</v>
      </c>
      <c r="AL7" s="154" t="s">
        <v>34</v>
      </c>
      <c r="AM7" s="154" t="s">
        <v>34</v>
      </c>
      <c r="AN7" s="154" t="s">
        <v>34</v>
      </c>
      <c r="AO7" s="154" t="s">
        <v>34</v>
      </c>
      <c r="AP7" s="154" t="s">
        <v>34</v>
      </c>
      <c r="AQ7" s="154" t="s">
        <v>34</v>
      </c>
      <c r="AR7" s="154" t="s">
        <v>34</v>
      </c>
      <c r="AS7" s="154" t="s">
        <v>34</v>
      </c>
      <c r="AT7" s="154" t="s">
        <v>34</v>
      </c>
      <c r="AU7" s="154" t="s">
        <v>34</v>
      </c>
      <c r="AV7" s="154" t="s">
        <v>34</v>
      </c>
      <c r="AW7" s="154" t="s">
        <v>34</v>
      </c>
      <c r="AX7" s="154" t="s">
        <v>34</v>
      </c>
      <c r="AY7" s="154" t="s">
        <v>34</v>
      </c>
      <c r="AZ7" s="154" t="s">
        <v>34</v>
      </c>
      <c r="BA7" s="154" t="s">
        <v>34</v>
      </c>
      <c r="BB7" s="154" t="s">
        <v>34</v>
      </c>
      <c r="BC7" s="154" t="s">
        <v>34</v>
      </c>
      <c r="BD7" s="154" t="s">
        <v>34</v>
      </c>
      <c r="BE7" s="154" t="s">
        <v>34</v>
      </c>
      <c r="BF7" s="154" t="s">
        <v>34</v>
      </c>
      <c r="BG7" s="154" t="s">
        <v>34</v>
      </c>
      <c r="BH7" s="154" t="s">
        <v>34</v>
      </c>
      <c r="BI7" s="154" t="s">
        <v>34</v>
      </c>
      <c r="BJ7" s="154" t="s">
        <v>34</v>
      </c>
      <c r="BK7" s="154" t="s">
        <v>34</v>
      </c>
      <c r="BL7" s="154" t="s">
        <v>34</v>
      </c>
      <c r="BM7" s="154" t="s">
        <v>34</v>
      </c>
      <c r="BN7" s="154" t="s">
        <v>34</v>
      </c>
      <c r="BO7" s="154" t="s">
        <v>34</v>
      </c>
      <c r="BP7" s="154" t="s">
        <v>34</v>
      </c>
      <c r="BQ7" s="154" t="s">
        <v>34</v>
      </c>
      <c r="BR7" s="154" t="s">
        <v>34</v>
      </c>
      <c r="BS7" s="154" t="s">
        <v>34</v>
      </c>
      <c r="BT7" s="154" t="s">
        <v>34</v>
      </c>
      <c r="BU7" s="154" t="s">
        <v>34</v>
      </c>
      <c r="BV7" s="154" t="s">
        <v>34</v>
      </c>
      <c r="BW7" s="154" t="s">
        <v>34</v>
      </c>
      <c r="BX7" s="154" t="s">
        <v>34</v>
      </c>
      <c r="BY7" s="154" t="s">
        <v>34</v>
      </c>
      <c r="BZ7" s="154" t="s">
        <v>34</v>
      </c>
      <c r="CA7" s="154" t="s">
        <v>34</v>
      </c>
      <c r="CB7" s="154" t="s">
        <v>34</v>
      </c>
      <c r="CC7" s="154" t="s">
        <v>34</v>
      </c>
      <c r="CD7" s="154" t="s">
        <v>34</v>
      </c>
      <c r="CE7" s="154" t="s">
        <v>34</v>
      </c>
      <c r="CF7" s="154" t="s">
        <v>34</v>
      </c>
      <c r="CG7" s="154" t="s">
        <v>34</v>
      </c>
      <c r="CH7" s="154" t="s">
        <v>34</v>
      </c>
      <c r="CI7" s="154" t="s">
        <v>34</v>
      </c>
      <c r="CJ7" s="154" t="s">
        <v>34</v>
      </c>
      <c r="CK7" s="154" t="s">
        <v>34</v>
      </c>
      <c r="CL7" s="154" t="s">
        <v>34</v>
      </c>
      <c r="CM7" s="154" t="s">
        <v>34</v>
      </c>
      <c r="CN7" s="154" t="s">
        <v>34</v>
      </c>
      <c r="CO7" s="154" t="s">
        <v>34</v>
      </c>
      <c r="CP7" s="154" t="s">
        <v>34</v>
      </c>
      <c r="CQ7" s="154" t="s">
        <v>34</v>
      </c>
      <c r="CR7" s="154" t="s">
        <v>34</v>
      </c>
      <c r="CS7" s="154" t="s">
        <v>34</v>
      </c>
      <c r="CT7" s="154" t="s">
        <v>34</v>
      </c>
      <c r="CU7" s="154" t="s">
        <v>34</v>
      </c>
      <c r="CV7" s="154" t="s">
        <v>34</v>
      </c>
      <c r="CW7" s="154" t="s">
        <v>34</v>
      </c>
      <c r="CX7" s="154" t="s">
        <v>34</v>
      </c>
      <c r="CY7" s="154" t="s">
        <v>34</v>
      </c>
      <c r="CZ7" s="154" t="s">
        <v>34</v>
      </c>
      <c r="DA7" s="154" t="s">
        <v>34</v>
      </c>
      <c r="DB7" s="154" t="s">
        <v>34</v>
      </c>
      <c r="DC7" s="154" t="s">
        <v>34</v>
      </c>
      <c r="DD7" s="154" t="s">
        <v>34</v>
      </c>
      <c r="DE7" s="154" t="s">
        <v>34</v>
      </c>
      <c r="DF7" s="154" t="s">
        <v>34</v>
      </c>
      <c r="DG7" s="154" t="s">
        <v>34</v>
      </c>
      <c r="DH7" s="154" t="s">
        <v>34</v>
      </c>
      <c r="DI7" s="154" t="s">
        <v>34</v>
      </c>
      <c r="DJ7" s="154" t="s">
        <v>34</v>
      </c>
      <c r="DK7" s="154" t="s">
        <v>34</v>
      </c>
      <c r="DL7" s="154" t="s">
        <v>34</v>
      </c>
      <c r="DM7" s="154" t="s">
        <v>34</v>
      </c>
      <c r="DN7" s="154" t="s">
        <v>34</v>
      </c>
      <c r="DO7" s="154" t="s">
        <v>34</v>
      </c>
      <c r="DP7" s="154" t="s">
        <v>34</v>
      </c>
      <c r="DQ7" s="154" t="s">
        <v>34</v>
      </c>
      <c r="DR7" s="154" t="s">
        <v>34</v>
      </c>
      <c r="DS7" s="154" t="s">
        <v>34</v>
      </c>
      <c r="DT7" s="154" t="s">
        <v>34</v>
      </c>
      <c r="DU7" s="154" t="s">
        <v>34</v>
      </c>
      <c r="DV7" s="154" t="s">
        <v>34</v>
      </c>
      <c r="DW7" s="154" t="s">
        <v>34</v>
      </c>
      <c r="DX7" s="154" t="s">
        <v>34</v>
      </c>
      <c r="DY7" s="154" t="s">
        <v>34</v>
      </c>
      <c r="DZ7" s="154" t="s">
        <v>34</v>
      </c>
      <c r="EA7" s="154" t="s">
        <v>34</v>
      </c>
      <c r="EB7" s="154" t="s">
        <v>34</v>
      </c>
      <c r="EC7" s="154" t="s">
        <v>34</v>
      </c>
      <c r="ED7" s="154" t="s">
        <v>34</v>
      </c>
      <c r="EE7" s="154" t="s">
        <v>34</v>
      </c>
      <c r="EF7" s="154" t="s">
        <v>34</v>
      </c>
      <c r="EG7" s="154" t="s">
        <v>34</v>
      </c>
      <c r="EH7" s="154" t="s">
        <v>34</v>
      </c>
      <c r="EI7" s="154" t="s">
        <v>34</v>
      </c>
      <c r="EJ7" s="154" t="s">
        <v>34</v>
      </c>
      <c r="EK7" s="154" t="s">
        <v>34</v>
      </c>
      <c r="EL7" s="154" t="s">
        <v>34</v>
      </c>
      <c r="EM7" s="154" t="s">
        <v>34</v>
      </c>
      <c r="EN7" s="154" t="s">
        <v>34</v>
      </c>
      <c r="EO7" s="154" t="s">
        <v>34</v>
      </c>
      <c r="EP7" s="154" t="s">
        <v>34</v>
      </c>
      <c r="EQ7" s="154" t="s">
        <v>34</v>
      </c>
      <c r="ER7" s="154" t="s">
        <v>34</v>
      </c>
      <c r="ES7" s="154" t="s">
        <v>34</v>
      </c>
      <c r="ET7" s="154" t="s">
        <v>34</v>
      </c>
      <c r="EU7" s="154" t="s">
        <v>34</v>
      </c>
      <c r="EV7" s="154" t="s">
        <v>34</v>
      </c>
      <c r="EW7" s="154" t="s">
        <v>34</v>
      </c>
      <c r="EX7" s="154" t="s">
        <v>34</v>
      </c>
      <c r="EY7" s="154" t="s">
        <v>34</v>
      </c>
      <c r="EZ7" s="154" t="s">
        <v>34</v>
      </c>
      <c r="FA7" s="154" t="s">
        <v>34</v>
      </c>
      <c r="FB7" s="154" t="s">
        <v>34</v>
      </c>
      <c r="FC7" s="154" t="s">
        <v>34</v>
      </c>
      <c r="FD7" s="154" t="s">
        <v>34</v>
      </c>
      <c r="FE7" s="154" t="s">
        <v>34</v>
      </c>
      <c r="FF7" s="154" t="s">
        <v>34</v>
      </c>
      <c r="FG7" s="154" t="s">
        <v>34</v>
      </c>
      <c r="FH7" s="154" t="s">
        <v>34</v>
      </c>
      <c r="FI7" s="154" t="s">
        <v>34</v>
      </c>
      <c r="FJ7" s="154" t="s">
        <v>34</v>
      </c>
      <c r="FK7" s="154" t="s">
        <v>34</v>
      </c>
      <c r="FL7" s="154" t="s">
        <v>34</v>
      </c>
      <c r="FM7" s="154" t="s">
        <v>34</v>
      </c>
      <c r="FN7" s="154" t="s">
        <v>34</v>
      </c>
      <c r="FO7" s="154" t="s">
        <v>34</v>
      </c>
      <c r="FP7" s="154" t="s">
        <v>34</v>
      </c>
      <c r="FQ7" s="154" t="s">
        <v>34</v>
      </c>
      <c r="FR7" s="154" t="s">
        <v>34</v>
      </c>
      <c r="FS7" s="154" t="s">
        <v>34</v>
      </c>
      <c r="FT7" s="154" t="s">
        <v>34</v>
      </c>
      <c r="FU7" s="154" t="s">
        <v>34</v>
      </c>
      <c r="FV7" s="154" t="s">
        <v>34</v>
      </c>
      <c r="FW7" s="154" t="s">
        <v>34</v>
      </c>
      <c r="FX7" s="154" t="s">
        <v>34</v>
      </c>
      <c r="FY7" s="154" t="s">
        <v>34</v>
      </c>
      <c r="FZ7" s="154" t="s">
        <v>34</v>
      </c>
      <c r="GA7" s="154" t="s">
        <v>34</v>
      </c>
      <c r="GB7" s="154" t="s">
        <v>34</v>
      </c>
      <c r="GC7" s="154" t="s">
        <v>34</v>
      </c>
      <c r="GD7" s="154" t="s">
        <v>34</v>
      </c>
      <c r="GE7" s="154" t="s">
        <v>34</v>
      </c>
      <c r="GF7" s="154" t="s">
        <v>34</v>
      </c>
      <c r="GG7" s="154" t="s">
        <v>34</v>
      </c>
      <c r="GH7" s="154" t="s">
        <v>34</v>
      </c>
      <c r="GI7" s="154" t="s">
        <v>34</v>
      </c>
      <c r="GJ7" s="154" t="s">
        <v>34</v>
      </c>
    </row>
    <row r="8" spans="1:192" ht="18" customHeight="1">
      <c r="J8" s="258" t="s">
        <v>22</v>
      </c>
      <c r="K8" s="258"/>
      <c r="L8" s="92" t="str">
        <f>HLOOKUP($L$1,$M$1:$XFD$8,8)</f>
        <v>晴</v>
      </c>
      <c r="M8" s="154" t="s">
        <v>34</v>
      </c>
      <c r="N8" s="154" t="s">
        <v>34</v>
      </c>
      <c r="O8" s="154" t="s">
        <v>34</v>
      </c>
      <c r="P8" s="154" t="s">
        <v>34</v>
      </c>
      <c r="Q8" s="154" t="s">
        <v>34</v>
      </c>
      <c r="R8" s="154" t="s">
        <v>34</v>
      </c>
      <c r="S8" s="154" t="s">
        <v>34</v>
      </c>
      <c r="T8" s="154" t="s">
        <v>34</v>
      </c>
      <c r="U8" s="154" t="s">
        <v>34</v>
      </c>
      <c r="V8" s="154" t="s">
        <v>34</v>
      </c>
      <c r="W8" s="154" t="s">
        <v>129</v>
      </c>
      <c r="X8" s="154" t="s">
        <v>34</v>
      </c>
      <c r="Y8" s="154" t="s">
        <v>128</v>
      </c>
      <c r="Z8" s="154" t="s">
        <v>129</v>
      </c>
      <c r="AA8" s="154" t="s">
        <v>128</v>
      </c>
      <c r="AB8" s="154" t="s">
        <v>128</v>
      </c>
      <c r="AC8" s="154" t="s">
        <v>128</v>
      </c>
      <c r="AD8" s="154" t="s">
        <v>128</v>
      </c>
      <c r="AE8" s="154" t="s">
        <v>128</v>
      </c>
      <c r="AF8" s="154" t="s">
        <v>128</v>
      </c>
      <c r="AG8" s="154" t="s">
        <v>129</v>
      </c>
      <c r="AH8" s="154" t="s">
        <v>34</v>
      </c>
      <c r="AI8" s="154" t="s">
        <v>34</v>
      </c>
      <c r="AJ8" s="154" t="s">
        <v>34</v>
      </c>
      <c r="AK8" s="154" t="s">
        <v>34</v>
      </c>
      <c r="AL8" s="154" t="s">
        <v>34</v>
      </c>
      <c r="AM8" s="154" t="s">
        <v>34</v>
      </c>
      <c r="AN8" s="154" t="s">
        <v>34</v>
      </c>
      <c r="AO8" s="154" t="s">
        <v>34</v>
      </c>
      <c r="AP8" s="154" t="s">
        <v>34</v>
      </c>
      <c r="AQ8" s="154" t="s">
        <v>34</v>
      </c>
      <c r="AR8" s="154" t="s">
        <v>34</v>
      </c>
      <c r="AS8" s="154" t="s">
        <v>34</v>
      </c>
      <c r="AT8" s="154" t="s">
        <v>34</v>
      </c>
      <c r="AU8" s="154" t="s">
        <v>34</v>
      </c>
      <c r="AV8" s="154" t="s">
        <v>34</v>
      </c>
      <c r="AW8" s="154" t="s">
        <v>34</v>
      </c>
      <c r="AX8" s="154" t="s">
        <v>34</v>
      </c>
      <c r="AY8" s="154" t="s">
        <v>34</v>
      </c>
      <c r="AZ8" s="154" t="s">
        <v>34</v>
      </c>
      <c r="BA8" s="154" t="s">
        <v>34</v>
      </c>
      <c r="BB8" s="154" t="s">
        <v>34</v>
      </c>
      <c r="BC8" s="154" t="s">
        <v>34</v>
      </c>
      <c r="BD8" s="154" t="s">
        <v>34</v>
      </c>
      <c r="BE8" s="154" t="s">
        <v>34</v>
      </c>
      <c r="BF8" s="154" t="s">
        <v>34</v>
      </c>
      <c r="BG8" s="154" t="s">
        <v>34</v>
      </c>
      <c r="BH8" s="154" t="s">
        <v>34</v>
      </c>
      <c r="BI8" s="154" t="s">
        <v>34</v>
      </c>
      <c r="BJ8" s="154" t="s">
        <v>34</v>
      </c>
      <c r="BK8" s="154" t="s">
        <v>34</v>
      </c>
      <c r="BL8" s="154" t="s">
        <v>34</v>
      </c>
      <c r="BM8" s="154" t="s">
        <v>34</v>
      </c>
      <c r="BN8" s="154" t="s">
        <v>34</v>
      </c>
      <c r="BO8" s="154" t="s">
        <v>34</v>
      </c>
      <c r="BP8" s="154" t="s">
        <v>34</v>
      </c>
      <c r="BQ8" s="154" t="s">
        <v>34</v>
      </c>
      <c r="BR8" s="154" t="s">
        <v>34</v>
      </c>
      <c r="BS8" s="154" t="s">
        <v>34</v>
      </c>
      <c r="BT8" s="154" t="s">
        <v>34</v>
      </c>
      <c r="BU8" s="154" t="s">
        <v>34</v>
      </c>
      <c r="BV8" s="154" t="s">
        <v>34</v>
      </c>
      <c r="BW8" s="154" t="s">
        <v>34</v>
      </c>
      <c r="BX8" s="154" t="s">
        <v>34</v>
      </c>
      <c r="BY8" s="154" t="s">
        <v>34</v>
      </c>
      <c r="BZ8" s="154" t="s">
        <v>34</v>
      </c>
      <c r="CA8" s="154" t="s">
        <v>34</v>
      </c>
      <c r="CB8" s="154" t="s">
        <v>34</v>
      </c>
      <c r="CC8" s="154" t="s">
        <v>34</v>
      </c>
      <c r="CD8" s="154" t="s">
        <v>34</v>
      </c>
      <c r="CE8" s="154" t="s">
        <v>34</v>
      </c>
      <c r="CF8" s="154" t="s">
        <v>34</v>
      </c>
      <c r="CG8" s="154" t="s">
        <v>34</v>
      </c>
      <c r="CH8" s="154" t="s">
        <v>34</v>
      </c>
      <c r="CI8" s="154" t="s">
        <v>34</v>
      </c>
      <c r="CJ8" s="154" t="s">
        <v>34</v>
      </c>
      <c r="CK8" s="154" t="s">
        <v>34</v>
      </c>
      <c r="CL8" s="154" t="s">
        <v>34</v>
      </c>
      <c r="CM8" s="154" t="s">
        <v>34</v>
      </c>
      <c r="CN8" s="154" t="s">
        <v>34</v>
      </c>
      <c r="CO8" s="154" t="s">
        <v>34</v>
      </c>
      <c r="CP8" s="154" t="s">
        <v>34</v>
      </c>
      <c r="CQ8" s="154" t="s">
        <v>34</v>
      </c>
      <c r="CR8" s="154" t="s">
        <v>34</v>
      </c>
      <c r="CS8" s="154" t="s">
        <v>34</v>
      </c>
      <c r="CT8" s="154" t="s">
        <v>34</v>
      </c>
      <c r="CU8" s="154" t="s">
        <v>34</v>
      </c>
      <c r="CV8" s="154" t="s">
        <v>34</v>
      </c>
      <c r="CW8" s="154" t="s">
        <v>34</v>
      </c>
      <c r="CX8" s="154" t="s">
        <v>34</v>
      </c>
      <c r="CY8" s="154" t="s">
        <v>34</v>
      </c>
      <c r="CZ8" s="154" t="s">
        <v>34</v>
      </c>
      <c r="DA8" s="154" t="s">
        <v>34</v>
      </c>
      <c r="DB8" s="154" t="s">
        <v>34</v>
      </c>
      <c r="DC8" s="154" t="s">
        <v>34</v>
      </c>
      <c r="DD8" s="154" t="s">
        <v>34</v>
      </c>
      <c r="DE8" s="154" t="s">
        <v>34</v>
      </c>
      <c r="DF8" s="154" t="s">
        <v>34</v>
      </c>
      <c r="DG8" s="154" t="s">
        <v>34</v>
      </c>
      <c r="DH8" s="154" t="s">
        <v>34</v>
      </c>
      <c r="DI8" s="154" t="s">
        <v>34</v>
      </c>
      <c r="DJ8" s="154" t="s">
        <v>34</v>
      </c>
      <c r="DK8" s="154" t="s">
        <v>34</v>
      </c>
      <c r="DL8" s="154" t="s">
        <v>34</v>
      </c>
      <c r="DM8" s="154" t="s">
        <v>34</v>
      </c>
      <c r="DN8" s="154" t="s">
        <v>34</v>
      </c>
      <c r="DO8" s="154" t="s">
        <v>34</v>
      </c>
      <c r="DP8" s="154" t="s">
        <v>34</v>
      </c>
      <c r="DQ8" s="154" t="s">
        <v>34</v>
      </c>
      <c r="DR8" s="154" t="s">
        <v>34</v>
      </c>
      <c r="DS8" s="154" t="s">
        <v>34</v>
      </c>
      <c r="DT8" s="154" t="s">
        <v>34</v>
      </c>
      <c r="DU8" s="154" t="s">
        <v>34</v>
      </c>
      <c r="DV8" s="154" t="s">
        <v>34</v>
      </c>
      <c r="DW8" s="154" t="s">
        <v>34</v>
      </c>
      <c r="DX8" s="154" t="s">
        <v>34</v>
      </c>
      <c r="DY8" s="154" t="s">
        <v>34</v>
      </c>
      <c r="DZ8" s="154" t="s">
        <v>34</v>
      </c>
      <c r="EA8" s="154" t="s">
        <v>34</v>
      </c>
      <c r="EB8" s="154" t="s">
        <v>34</v>
      </c>
      <c r="EC8" s="154" t="s">
        <v>34</v>
      </c>
      <c r="ED8" s="154" t="s">
        <v>34</v>
      </c>
      <c r="EE8" s="154" t="s">
        <v>34</v>
      </c>
      <c r="EF8" s="154" t="s">
        <v>34</v>
      </c>
      <c r="EG8" s="154" t="s">
        <v>34</v>
      </c>
      <c r="EH8" s="154" t="s">
        <v>34</v>
      </c>
      <c r="EI8" s="154" t="s">
        <v>34</v>
      </c>
      <c r="EJ8" s="154" t="s">
        <v>34</v>
      </c>
      <c r="EK8" s="154" t="s">
        <v>34</v>
      </c>
      <c r="EL8" s="154" t="s">
        <v>34</v>
      </c>
      <c r="EM8" s="154" t="s">
        <v>34</v>
      </c>
      <c r="EN8" s="154" t="s">
        <v>34</v>
      </c>
      <c r="EO8" s="154" t="s">
        <v>34</v>
      </c>
      <c r="EP8" s="154" t="s">
        <v>34</v>
      </c>
      <c r="EQ8" s="154" t="s">
        <v>34</v>
      </c>
      <c r="ER8" s="154" t="s">
        <v>34</v>
      </c>
      <c r="ES8" s="154" t="s">
        <v>34</v>
      </c>
      <c r="ET8" s="154" t="s">
        <v>34</v>
      </c>
      <c r="EU8" s="154" t="s">
        <v>34</v>
      </c>
      <c r="EV8" s="154" t="s">
        <v>34</v>
      </c>
      <c r="EW8" s="154" t="s">
        <v>34</v>
      </c>
      <c r="EX8" s="154" t="s">
        <v>34</v>
      </c>
      <c r="EY8" s="154" t="s">
        <v>34</v>
      </c>
      <c r="EZ8" s="154" t="s">
        <v>34</v>
      </c>
      <c r="FA8" s="154" t="s">
        <v>34</v>
      </c>
      <c r="FB8" s="154" t="s">
        <v>34</v>
      </c>
      <c r="FC8" s="154" t="s">
        <v>34</v>
      </c>
      <c r="FD8" s="154" t="s">
        <v>34</v>
      </c>
      <c r="FE8" s="154" t="s">
        <v>34</v>
      </c>
      <c r="FF8" s="154" t="s">
        <v>34</v>
      </c>
      <c r="FG8" s="154" t="s">
        <v>34</v>
      </c>
      <c r="FH8" s="154" t="s">
        <v>34</v>
      </c>
      <c r="FI8" s="154" t="s">
        <v>34</v>
      </c>
      <c r="FJ8" s="154" t="s">
        <v>34</v>
      </c>
      <c r="FK8" s="154" t="s">
        <v>34</v>
      </c>
      <c r="FL8" s="154" t="s">
        <v>34</v>
      </c>
      <c r="FM8" s="154" t="s">
        <v>34</v>
      </c>
      <c r="FN8" s="154" t="s">
        <v>34</v>
      </c>
      <c r="FO8" s="154" t="s">
        <v>34</v>
      </c>
      <c r="FP8" s="154" t="s">
        <v>34</v>
      </c>
      <c r="FQ8" s="154" t="s">
        <v>34</v>
      </c>
      <c r="FR8" s="154" t="s">
        <v>34</v>
      </c>
      <c r="FS8" s="154" t="s">
        <v>34</v>
      </c>
      <c r="FT8" s="154" t="s">
        <v>34</v>
      </c>
      <c r="FU8" s="154" t="s">
        <v>34</v>
      </c>
      <c r="FV8" s="154" t="s">
        <v>34</v>
      </c>
      <c r="FW8" s="154" t="s">
        <v>34</v>
      </c>
      <c r="FX8" s="154" t="s">
        <v>34</v>
      </c>
      <c r="FY8" s="154" t="s">
        <v>34</v>
      </c>
      <c r="FZ8" s="154" t="s">
        <v>34</v>
      </c>
      <c r="GA8" s="154" t="s">
        <v>34</v>
      </c>
      <c r="GB8" s="154" t="s">
        <v>34</v>
      </c>
      <c r="GC8" s="154" t="s">
        <v>34</v>
      </c>
      <c r="GD8" s="154" t="s">
        <v>34</v>
      </c>
      <c r="GE8" s="154" t="s">
        <v>34</v>
      </c>
      <c r="GF8" s="154" t="s">
        <v>34</v>
      </c>
      <c r="GG8" s="154" t="s">
        <v>34</v>
      </c>
      <c r="GH8" s="154" t="s">
        <v>34</v>
      </c>
      <c r="GI8" s="154" t="s">
        <v>34</v>
      </c>
      <c r="GJ8" s="154" t="s">
        <v>34</v>
      </c>
    </row>
    <row r="9" spans="1:192" ht="18" customHeight="1" thickBot="1">
      <c r="J9" s="257" t="s">
        <v>35</v>
      </c>
      <c r="K9" s="257"/>
      <c r="L9" s="77">
        <f>ROUND(SUMIF($M$1:$GJ$1,TEXT($L$1,"&lt;=0"),M9:GJ9),4)</f>
        <v>0.27110000000000001</v>
      </c>
      <c r="M9" s="155">
        <f>進度百分比!B5</f>
        <v>2.2429999999999998E-3</v>
      </c>
      <c r="N9" s="155">
        <f>進度百分比!C5</f>
        <v>2.2429999999999998E-3</v>
      </c>
      <c r="O9" s="155">
        <f>進度百分比!D5</f>
        <v>2.2429999999999998E-3</v>
      </c>
      <c r="P9" s="155">
        <f>進度百分比!E5</f>
        <v>2.2429999999999998E-3</v>
      </c>
      <c r="Q9" s="155">
        <f>進度百分比!F5</f>
        <v>2.2429999999999998E-3</v>
      </c>
      <c r="R9" s="155">
        <f>進度百分比!G5</f>
        <v>2.2429999999999998E-3</v>
      </c>
      <c r="S9" s="155">
        <f>進度百分比!H5</f>
        <v>2.2429999999999998E-3</v>
      </c>
      <c r="T9" s="155">
        <f>進度百分比!I5</f>
        <v>2.2429999999999998E-3</v>
      </c>
      <c r="U9" s="155">
        <f>進度百分比!J5</f>
        <v>2.2429999999999998E-3</v>
      </c>
      <c r="V9" s="155">
        <f>進度百分比!K5</f>
        <v>2.2429999999999998E-3</v>
      </c>
      <c r="W9" s="155">
        <f>進度百分比!L5</f>
        <v>3.823E-3</v>
      </c>
      <c r="X9" s="155">
        <f>進度百分比!M5</f>
        <v>3.823E-3</v>
      </c>
      <c r="Y9" s="155">
        <f>進度百分比!N5</f>
        <v>3.823E-3</v>
      </c>
      <c r="Z9" s="155">
        <f>進度百分比!O5</f>
        <v>3.823E-3</v>
      </c>
      <c r="AA9" s="155">
        <f>進度百分比!P5</f>
        <v>3.823E-3</v>
      </c>
      <c r="AB9" s="155">
        <f>進度百分比!Q5</f>
        <v>3.823E-3</v>
      </c>
      <c r="AC9" s="155">
        <f>進度百分比!R5</f>
        <v>3.823E-3</v>
      </c>
      <c r="AD9" s="155">
        <f>進度百分比!S5</f>
        <v>3.823E-3</v>
      </c>
      <c r="AE9" s="155">
        <f>進度百分比!T5</f>
        <v>3.823E-3</v>
      </c>
      <c r="AF9" s="155">
        <f>進度百分比!U5</f>
        <v>3.823E-3</v>
      </c>
      <c r="AG9" s="155">
        <f>進度百分比!V5</f>
        <v>3.741E-3</v>
      </c>
      <c r="AH9" s="155">
        <f>進度百分比!W5</f>
        <v>3.741E-3</v>
      </c>
      <c r="AI9" s="155">
        <f>進度百分比!X5</f>
        <v>3.741E-3</v>
      </c>
      <c r="AJ9" s="155">
        <f>進度百分比!Y5</f>
        <v>3.741E-3</v>
      </c>
      <c r="AK9" s="155">
        <f>進度百分比!Z5</f>
        <v>3.741E-3</v>
      </c>
      <c r="AL9" s="155">
        <f>進度百分比!AA5</f>
        <v>3.741E-3</v>
      </c>
      <c r="AM9" s="155">
        <f>進度百分比!AB5</f>
        <v>3.741E-3</v>
      </c>
      <c r="AN9" s="155">
        <f>進度百分比!AC5</f>
        <v>3.741E-3</v>
      </c>
      <c r="AO9" s="155">
        <f>進度百分比!AD5</f>
        <v>3.741E-3</v>
      </c>
      <c r="AP9" s="155">
        <f>進度百分比!AE5</f>
        <v>3.741E-3</v>
      </c>
      <c r="AQ9" s="155">
        <f>進度百分比!AF5</f>
        <v>8.397E-3</v>
      </c>
      <c r="AR9" s="155">
        <f>進度百分比!AG5</f>
        <v>8.397E-3</v>
      </c>
      <c r="AS9" s="155">
        <f>進度百分比!AH5</f>
        <v>8.397E-3</v>
      </c>
      <c r="AT9" s="155">
        <f>進度百分比!AI5</f>
        <v>8.397E-3</v>
      </c>
      <c r="AU9" s="155">
        <f>進度百分比!AJ5</f>
        <v>8.397E-3</v>
      </c>
      <c r="AV9" s="155">
        <f>進度百分比!AK5</f>
        <v>8.397E-3</v>
      </c>
      <c r="AW9" s="155">
        <f>進度百分比!AL5</f>
        <v>8.397E-3</v>
      </c>
      <c r="AX9" s="155">
        <f>進度百分比!AM5</f>
        <v>8.397E-3</v>
      </c>
      <c r="AY9" s="155">
        <f>進度百分比!AN5</f>
        <v>8.397E-3</v>
      </c>
      <c r="AZ9" s="155">
        <f>進度百分比!AO5</f>
        <v>8.397E-3</v>
      </c>
      <c r="BA9" s="155">
        <f>進度百分比!AP5</f>
        <v>7.5069999999999998E-3</v>
      </c>
      <c r="BB9" s="155">
        <f>進度百分比!AQ5</f>
        <v>7.5069999999999998E-3</v>
      </c>
      <c r="BC9" s="155">
        <f>進度百分比!AR5</f>
        <v>7.5069999999999998E-3</v>
      </c>
      <c r="BD9" s="155">
        <f>進度百分比!AS5</f>
        <v>7.5069999999999998E-3</v>
      </c>
      <c r="BE9" s="155">
        <f>進度百分比!AT5</f>
        <v>7.5069999999999998E-3</v>
      </c>
      <c r="BF9" s="155">
        <f>進度百分比!AU5</f>
        <v>7.5069999999999998E-3</v>
      </c>
      <c r="BG9" s="155">
        <f>進度百分比!AV5</f>
        <v>7.5069999999999998E-3</v>
      </c>
      <c r="BH9" s="155">
        <f>進度百分比!AW5</f>
        <v>7.5069999999999998E-3</v>
      </c>
      <c r="BI9" s="155">
        <f>進度百分比!AX5</f>
        <v>7.5069999999999998E-3</v>
      </c>
      <c r="BJ9" s="155">
        <f>進度百分比!AY5</f>
        <v>7.5069999999999998E-3</v>
      </c>
      <c r="BK9" s="155">
        <f>進度百分比!AZ5</f>
        <v>5.0000000000000001E-4</v>
      </c>
      <c r="BL9" s="155">
        <f>進度百分比!BA5</f>
        <v>5.0000000000000001E-4</v>
      </c>
      <c r="BM9" s="155">
        <f>進度百分比!BB5</f>
        <v>5.0000000000000001E-4</v>
      </c>
      <c r="BN9" s="155">
        <f>進度百分比!BC5</f>
        <v>5.0000000000000001E-4</v>
      </c>
      <c r="BO9" s="155">
        <f>進度百分比!BD5</f>
        <v>5.0000000000000001E-4</v>
      </c>
      <c r="BP9" s="155">
        <f>進度百分比!BE5</f>
        <v>5.0000000000000001E-4</v>
      </c>
      <c r="BQ9" s="155">
        <f>進度百分比!BF5</f>
        <v>5.0000000000000001E-4</v>
      </c>
      <c r="BR9" s="155">
        <f>進度百分比!BG5</f>
        <v>5.0000000000000001E-4</v>
      </c>
      <c r="BS9" s="155">
        <f>進度百分比!BH5</f>
        <v>5.0000000000000001E-4</v>
      </c>
      <c r="BT9" s="155">
        <f>進度百分比!BI5</f>
        <v>5.0000000000000001E-4</v>
      </c>
      <c r="BU9" s="155">
        <f>進度百分比!BJ5</f>
        <v>5.0000000000000001E-4</v>
      </c>
      <c r="BV9" s="155">
        <f>進度百分比!BK5</f>
        <v>5.0000000000000001E-4</v>
      </c>
      <c r="BW9" s="155">
        <f>進度百分比!BL5</f>
        <v>5.0000000000000001E-4</v>
      </c>
      <c r="BX9" s="155">
        <f>進度百分比!BM5</f>
        <v>5.0000000000000001E-4</v>
      </c>
      <c r="BY9" s="155">
        <f>進度百分比!BN5</f>
        <v>5.0000000000000001E-4</v>
      </c>
      <c r="BZ9" s="155">
        <f>進度百分比!BO5</f>
        <v>5.0000000000000001E-4</v>
      </c>
      <c r="CA9" s="155">
        <f>進度百分比!BP5</f>
        <v>5.0000000000000001E-4</v>
      </c>
      <c r="CB9" s="155">
        <f>進度百分比!BQ5</f>
        <v>5.0000000000000001E-4</v>
      </c>
      <c r="CC9" s="155">
        <f>進度百分比!BR5</f>
        <v>5.0000000000000001E-4</v>
      </c>
      <c r="CD9" s="155">
        <f>進度百分比!BS5</f>
        <v>5.0000000000000001E-4</v>
      </c>
      <c r="CE9" s="155">
        <f>進度百分比!BT5</f>
        <v>5.0000000000000001E-4</v>
      </c>
      <c r="CF9" s="155">
        <f>進度百分比!BU5</f>
        <v>5.0000000000000001E-4</v>
      </c>
      <c r="CG9" s="155">
        <f>進度百分比!BV5</f>
        <v>5.0000000000000001E-4</v>
      </c>
      <c r="CH9" s="155">
        <f>進度百分比!BW5</f>
        <v>5.0000000000000001E-4</v>
      </c>
      <c r="CI9" s="155">
        <f>進度百分比!BX5</f>
        <v>5.0000000000000001E-4</v>
      </c>
      <c r="CJ9" s="155">
        <f>進度百分比!BY5</f>
        <v>5.0000000000000001E-4</v>
      </c>
      <c r="CK9" s="155">
        <f>進度百分比!BZ5</f>
        <v>5.0000000000000001E-4</v>
      </c>
      <c r="CL9" s="155">
        <f>進度百分比!CA5</f>
        <v>5.0000000000000001E-4</v>
      </c>
      <c r="CM9" s="155">
        <f>進度百分比!CB5</f>
        <v>5.0000000000000001E-4</v>
      </c>
      <c r="CN9" s="155">
        <f>進度百分比!CC5</f>
        <v>5.0000000000000001E-4</v>
      </c>
      <c r="CO9" s="155">
        <f>進度百分比!CD5</f>
        <v>4.4790000000000003E-3</v>
      </c>
      <c r="CP9" s="155">
        <f>進度百分比!CE5</f>
        <v>4.4790000000000003E-3</v>
      </c>
      <c r="CQ9" s="155">
        <f>進度百分比!CF5</f>
        <v>4.4790000000000003E-3</v>
      </c>
      <c r="CR9" s="155">
        <f>進度百分比!CG5</f>
        <v>4.4790000000000003E-3</v>
      </c>
      <c r="CS9" s="155">
        <f>進度百分比!CH5</f>
        <v>4.4790000000000003E-3</v>
      </c>
      <c r="CT9" s="155">
        <f>進度百分比!CI5</f>
        <v>4.4790000000000003E-3</v>
      </c>
      <c r="CU9" s="155">
        <f>進度百分比!CJ5</f>
        <v>4.4790000000000003E-3</v>
      </c>
      <c r="CV9" s="155">
        <f>進度百分比!CK5</f>
        <v>4.4790000000000003E-3</v>
      </c>
      <c r="CW9" s="155">
        <f>進度百分比!CL5</f>
        <v>4.4790000000000003E-3</v>
      </c>
      <c r="CX9" s="155">
        <f>進度百分比!CM5</f>
        <v>4.4790000000000003E-3</v>
      </c>
      <c r="CY9" s="155">
        <f>進度百分比!CN5</f>
        <v>1.5823E-2</v>
      </c>
      <c r="CZ9" s="155">
        <f>進度百分比!CO5</f>
        <v>1.5823E-2</v>
      </c>
      <c r="DA9" s="155">
        <f>進度百分比!CP5</f>
        <v>1.5823E-2</v>
      </c>
      <c r="DB9" s="155">
        <f>進度百分比!CQ5</f>
        <v>1.5823E-2</v>
      </c>
      <c r="DC9" s="155">
        <f>進度百分比!CR5</f>
        <v>1.5823E-2</v>
      </c>
      <c r="DD9" s="155">
        <f>進度百分比!CS5</f>
        <v>1.5823E-2</v>
      </c>
      <c r="DE9" s="155">
        <f>進度百分比!CT5</f>
        <v>1.5823E-2</v>
      </c>
      <c r="DF9" s="155">
        <f>進度百分比!CU5</f>
        <v>1.5823E-2</v>
      </c>
      <c r="DG9" s="155">
        <f>進度百分比!CV5</f>
        <v>1.5823E-2</v>
      </c>
      <c r="DH9" s="155">
        <f>進度百分比!CW5</f>
        <v>1.5823E-2</v>
      </c>
      <c r="DI9" s="155">
        <f>進度百分比!CX5</f>
        <v>2.5639999999999999E-3</v>
      </c>
      <c r="DJ9" s="155">
        <f>進度百分比!CY5</f>
        <v>2.5639999999999999E-3</v>
      </c>
      <c r="DK9" s="155">
        <f>進度百分比!CZ5</f>
        <v>2.5639999999999999E-3</v>
      </c>
      <c r="DL9" s="155">
        <f>進度百分比!DA5</f>
        <v>2.5639999999999999E-3</v>
      </c>
      <c r="DM9" s="155">
        <f>進度百分比!DB5</f>
        <v>2.5639999999999999E-3</v>
      </c>
      <c r="DN9" s="155">
        <f>進度百分比!DC5</f>
        <v>2.5639999999999999E-3</v>
      </c>
      <c r="DO9" s="155">
        <f>進度百分比!DD5</f>
        <v>2.5639999999999999E-3</v>
      </c>
      <c r="DP9" s="155">
        <f>進度百分比!DE5</f>
        <v>2.5639999999999999E-3</v>
      </c>
      <c r="DQ9" s="155">
        <f>進度百分比!DF5</f>
        <v>2.5639999999999999E-3</v>
      </c>
      <c r="DR9" s="155">
        <f>進度百分比!DG5</f>
        <v>2.5639999999999999E-3</v>
      </c>
      <c r="DS9" s="155">
        <f>進度百分比!DH5</f>
        <v>2.421E-3</v>
      </c>
      <c r="DT9" s="155">
        <f>進度百分比!DI5</f>
        <v>2.421E-3</v>
      </c>
      <c r="DU9" s="155">
        <f>進度百分比!DJ5</f>
        <v>2.421E-3</v>
      </c>
      <c r="DV9" s="155">
        <f>進度百分比!DK5</f>
        <v>2.421E-3</v>
      </c>
      <c r="DW9" s="155">
        <f>進度百分比!DL5</f>
        <v>2.421E-3</v>
      </c>
      <c r="DX9" s="155">
        <f>進度百分比!DM5</f>
        <v>2.421E-3</v>
      </c>
      <c r="DY9" s="155">
        <f>進度百分比!DN5</f>
        <v>2.421E-3</v>
      </c>
      <c r="DZ9" s="155">
        <f>進度百分比!DO5</f>
        <v>2.421E-3</v>
      </c>
      <c r="EA9" s="155">
        <f>進度百分比!DP5</f>
        <v>2.421E-3</v>
      </c>
      <c r="EB9" s="155">
        <f>進度百分比!DQ5</f>
        <v>2.421E-3</v>
      </c>
      <c r="EC9" s="155">
        <f>進度百分比!DR5</f>
        <v>2.6120000000000002E-3</v>
      </c>
      <c r="ED9" s="155">
        <f>進度百分比!DS5</f>
        <v>2.6120000000000002E-3</v>
      </c>
      <c r="EE9" s="155">
        <f>進度百分比!DT5</f>
        <v>2.6120000000000002E-3</v>
      </c>
      <c r="EF9" s="155">
        <f>進度百分比!DU5</f>
        <v>2.6120000000000002E-3</v>
      </c>
      <c r="EG9" s="155">
        <f>進度百分比!DV5</f>
        <v>2.6120000000000002E-3</v>
      </c>
      <c r="EH9" s="155">
        <f>進度百分比!DW5</f>
        <v>2.6120000000000002E-3</v>
      </c>
      <c r="EI9" s="155">
        <f>進度百分比!DX5</f>
        <v>2.6120000000000002E-3</v>
      </c>
      <c r="EJ9" s="155">
        <f>進度百分比!DY5</f>
        <v>2.6120000000000002E-3</v>
      </c>
      <c r="EK9" s="155">
        <f>進度百分比!DZ5</f>
        <v>2.6120000000000002E-3</v>
      </c>
      <c r="EL9" s="155">
        <f>進度百分比!EA5</f>
        <v>2.6120000000000002E-3</v>
      </c>
      <c r="EM9" s="155">
        <f>進度百分比!EB5</f>
        <v>1.0922999999999999E-2</v>
      </c>
      <c r="EN9" s="155">
        <f>進度百分比!EC5</f>
        <v>1.0922999999999999E-2</v>
      </c>
      <c r="EO9" s="155">
        <f>進度百分比!ED5</f>
        <v>1.0922999999999999E-2</v>
      </c>
      <c r="EP9" s="155">
        <f>進度百分比!EE5</f>
        <v>1.0922999999999999E-2</v>
      </c>
      <c r="EQ9" s="155">
        <f>進度百分比!EF5</f>
        <v>1.0922999999999999E-2</v>
      </c>
      <c r="ER9" s="155">
        <f>進度百分比!EG5</f>
        <v>1.0922999999999999E-2</v>
      </c>
      <c r="ES9" s="155">
        <f>進度百分比!EH5</f>
        <v>1.0922999999999999E-2</v>
      </c>
      <c r="ET9" s="155">
        <f>進度百分比!EI5</f>
        <v>1.0922999999999999E-2</v>
      </c>
      <c r="EU9" s="155">
        <f>進度百分比!EJ5</f>
        <v>1.0922999999999999E-2</v>
      </c>
      <c r="EV9" s="155">
        <f>進度百分比!EK5</f>
        <v>1.0922999999999999E-2</v>
      </c>
      <c r="EW9" s="155">
        <f>進度百分比!EL5</f>
        <v>1.1171E-2</v>
      </c>
      <c r="EX9" s="155">
        <f>進度百分比!EM5</f>
        <v>1.1171E-2</v>
      </c>
      <c r="EY9" s="155">
        <f>進度百分比!EN5</f>
        <v>1.1171E-2</v>
      </c>
      <c r="EZ9" s="155">
        <f>進度百分比!EO5</f>
        <v>1.1171E-2</v>
      </c>
      <c r="FA9" s="155">
        <f>進度百分比!EP5</f>
        <v>1.1171E-2</v>
      </c>
      <c r="FB9" s="155">
        <f>進度百分比!EQ5</f>
        <v>1.1171E-2</v>
      </c>
      <c r="FC9" s="155">
        <f>進度百分比!ER5</f>
        <v>1.1171E-2</v>
      </c>
      <c r="FD9" s="155">
        <f>進度百分比!ES5</f>
        <v>1.1171E-2</v>
      </c>
      <c r="FE9" s="155">
        <f>進度百分比!ET5</f>
        <v>1.1171E-2</v>
      </c>
      <c r="FF9" s="155">
        <f>進度百分比!EU5</f>
        <v>1.1171E-2</v>
      </c>
      <c r="FG9" s="155">
        <f>進度百分比!EV5</f>
        <v>8.5349999999999992E-3</v>
      </c>
      <c r="FH9" s="155">
        <f>進度百分比!EW5</f>
        <v>8.5349999999999992E-3</v>
      </c>
      <c r="FI9" s="155">
        <f>進度百分比!EX5</f>
        <v>8.5349999999999992E-3</v>
      </c>
      <c r="FJ9" s="155">
        <f>進度百分比!EY5</f>
        <v>8.5349999999999992E-3</v>
      </c>
      <c r="FK9" s="155">
        <f>進度百分比!EZ5</f>
        <v>8.5349999999999992E-3</v>
      </c>
      <c r="FL9" s="155">
        <f>進度百分比!FA5</f>
        <v>8.5349999999999992E-3</v>
      </c>
      <c r="FM9" s="155">
        <f>進度百分比!FB5</f>
        <v>8.5349999999999992E-3</v>
      </c>
      <c r="FN9" s="155">
        <f>進度百分比!FC5</f>
        <v>8.5349999999999992E-3</v>
      </c>
      <c r="FO9" s="155">
        <f>進度百分比!FD5</f>
        <v>8.5349999999999992E-3</v>
      </c>
      <c r="FP9" s="155">
        <f>進度百分比!FE5</f>
        <v>8.5349999999999992E-3</v>
      </c>
      <c r="FQ9" s="155">
        <f>進度百分比!FF5</f>
        <v>8.5000000000000006E-3</v>
      </c>
      <c r="FR9" s="155">
        <f>進度百分比!FG5</f>
        <v>8.5000000000000006E-3</v>
      </c>
      <c r="FS9" s="155">
        <f>進度百分比!FH5</f>
        <v>8.5000000000000006E-3</v>
      </c>
      <c r="FT9" s="155">
        <f>進度百分比!FI5</f>
        <v>8.5000000000000006E-3</v>
      </c>
      <c r="FU9" s="155">
        <f>進度百分比!FJ5</f>
        <v>8.5000000000000006E-3</v>
      </c>
      <c r="FV9" s="155">
        <f>進度百分比!FK5</f>
        <v>8.5000000000000006E-3</v>
      </c>
      <c r="FW9" s="155">
        <f>進度百分比!FL5</f>
        <v>8.5000000000000006E-3</v>
      </c>
      <c r="FX9" s="155">
        <f>進度百分比!FM5</f>
        <v>8.5000000000000006E-3</v>
      </c>
      <c r="FY9" s="155">
        <f>進度百分比!FN5</f>
        <v>8.5000000000000006E-3</v>
      </c>
      <c r="FZ9" s="155">
        <f>進度百分比!FO5</f>
        <v>8.5000000000000006E-3</v>
      </c>
      <c r="GA9" s="155">
        <f>進度百分比!FP5</f>
        <v>4.2599999999999999E-3</v>
      </c>
      <c r="GB9" s="155">
        <f>進度百分比!FQ5</f>
        <v>4.2599999999999999E-3</v>
      </c>
      <c r="GC9" s="155">
        <f>進度百分比!FR5</f>
        <v>4.2599999999999999E-3</v>
      </c>
      <c r="GD9" s="155">
        <f>進度百分比!FS5</f>
        <v>4.2599999999999999E-3</v>
      </c>
      <c r="GE9" s="155">
        <f>進度百分比!FT5</f>
        <v>4.2599999999999999E-3</v>
      </c>
      <c r="GF9" s="155">
        <f>進度百分比!FU5</f>
        <v>4.2599999999999999E-3</v>
      </c>
      <c r="GG9" s="155">
        <f>進度百分比!FV5</f>
        <v>4.2599999999999999E-3</v>
      </c>
      <c r="GH9" s="155">
        <f>進度百分比!FW5</f>
        <v>4.2599999999999999E-3</v>
      </c>
      <c r="GI9" s="155">
        <f>進度百分比!FX5</f>
        <v>4.2599999999999999E-3</v>
      </c>
      <c r="GJ9" s="155">
        <f>進度百分比!FY5</f>
        <v>4.2599999999999999E-3</v>
      </c>
    </row>
    <row r="10" spans="1:192" s="23" customFormat="1" ht="16.5" customHeight="1">
      <c r="A10" s="246" t="s">
        <v>37</v>
      </c>
      <c r="B10" s="244" t="s">
        <v>36</v>
      </c>
      <c r="C10" s="27" t="s">
        <v>10</v>
      </c>
      <c r="D10" s="253" t="s">
        <v>24</v>
      </c>
      <c r="E10" s="255" t="s">
        <v>12</v>
      </c>
      <c r="F10" s="255" t="s">
        <v>13</v>
      </c>
      <c r="G10" s="255" t="s">
        <v>14</v>
      </c>
      <c r="H10" s="255" t="s">
        <v>15</v>
      </c>
      <c r="I10" s="251" t="s">
        <v>116</v>
      </c>
      <c r="J10" s="255" t="s">
        <v>16</v>
      </c>
      <c r="K10" s="244" t="s">
        <v>38</v>
      </c>
      <c r="L10" s="244" t="s">
        <v>39</v>
      </c>
    </row>
    <row r="11" spans="1:192" s="24" customFormat="1">
      <c r="A11" s="247"/>
      <c r="B11" s="245"/>
      <c r="C11" s="28" t="s">
        <v>11</v>
      </c>
      <c r="D11" s="254"/>
      <c r="E11" s="256"/>
      <c r="F11" s="256"/>
      <c r="G11" s="256"/>
      <c r="H11" s="256"/>
      <c r="I11" s="252"/>
      <c r="J11" s="256"/>
      <c r="K11" s="245"/>
      <c r="L11" s="252"/>
    </row>
    <row r="12" spans="1:192" outlineLevel="1">
      <c r="A12" s="25">
        <f t="shared" ref="A12:A46" si="5">SUMIF($M$1:$XFD$1,TEXT($L$1,"=0"),M12:XFD12)</f>
        <v>0</v>
      </c>
      <c r="B12" s="166">
        <f t="shared" ref="B12:B46" si="6">SUMIF($M$1:$XFD$1,TEXT($L$1,"&lt;=0"),M12:XFD12)</f>
        <v>0</v>
      </c>
      <c r="C12" s="200" t="str">
        <f>原契約!A4</f>
        <v>壹</v>
      </c>
      <c r="D12" s="162" t="str">
        <f>原契約!B4</f>
        <v>直接工程費</v>
      </c>
      <c r="E12" s="162"/>
      <c r="F12" s="162"/>
      <c r="G12" s="162"/>
      <c r="H12" s="162"/>
      <c r="I12" s="21"/>
      <c r="J12" s="76"/>
      <c r="K12" s="76"/>
      <c r="L12" s="76"/>
    </row>
    <row r="13" spans="1:192" s="202" customFormat="1" outlineLevel="1">
      <c r="A13" s="198">
        <f t="shared" si="5"/>
        <v>0</v>
      </c>
      <c r="B13" s="199">
        <f t="shared" si="6"/>
        <v>0</v>
      </c>
      <c r="C13" s="200" t="str">
        <f>原契約!A5</f>
        <v>一</v>
      </c>
      <c r="D13" s="200" t="str">
        <f>原契約!B5</f>
        <v>分項工程</v>
      </c>
      <c r="E13" s="200"/>
      <c r="F13" s="200"/>
      <c r="G13" s="200"/>
      <c r="H13" s="200"/>
      <c r="I13" s="199"/>
      <c r="J13" s="201"/>
      <c r="K13" s="201"/>
      <c r="L13" s="201"/>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row>
    <row r="14" spans="1:192" s="202" customFormat="1" outlineLevel="1">
      <c r="A14" s="198">
        <f t="shared" si="5"/>
        <v>0</v>
      </c>
      <c r="B14" s="199">
        <f t="shared" si="6"/>
        <v>1</v>
      </c>
      <c r="C14" s="200" t="str">
        <f>原契約!A6</f>
        <v>1</v>
      </c>
      <c r="D14" s="225" t="str">
        <f>原契約!B6</f>
        <v>工程告示牌與職安衛告示牌(租用)、施工圍籬、警示帶、安全警示燈等安全措施(租用)</v>
      </c>
      <c r="E14" s="162" t="str">
        <f>原契約!C6</f>
        <v>式</v>
      </c>
      <c r="F14" s="162">
        <f>原契約!D6</f>
        <v>1</v>
      </c>
      <c r="G14" s="162">
        <f>原契約!E6</f>
        <v>9750</v>
      </c>
      <c r="H14" s="162">
        <f>原契約!F6</f>
        <v>9750</v>
      </c>
      <c r="I14" s="199"/>
      <c r="J14" s="76">
        <f t="shared" ref="J14:J46" si="7">H14/$H$47</f>
        <v>5.8370161412953031E-3</v>
      </c>
      <c r="K14" s="76">
        <f>A14*G14/$H$47</f>
        <v>0</v>
      </c>
      <c r="L14" s="76">
        <f>B14*G14/$H$47</f>
        <v>5.8370161412953031E-3</v>
      </c>
      <c r="M14"/>
      <c r="N14"/>
      <c r="O14"/>
      <c r="P14">
        <v>1</v>
      </c>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row>
    <row r="15" spans="1:192" s="164" customFormat="1">
      <c r="A15" s="198">
        <f t="shared" si="5"/>
        <v>0</v>
      </c>
      <c r="B15" s="199">
        <f t="shared" si="6"/>
        <v>0.5</v>
      </c>
      <c r="C15" s="200" t="str">
        <f>原契約!A7</f>
        <v>2</v>
      </c>
      <c r="D15" s="225" t="str">
        <f>原契約!B7</f>
        <v>施工動線開闢與損壞復原，既有設備管線遷移與復原；測量與放樣</v>
      </c>
      <c r="E15" s="162" t="str">
        <f>原契約!C7</f>
        <v>式</v>
      </c>
      <c r="F15" s="162">
        <f>原契約!D7</f>
        <v>1</v>
      </c>
      <c r="G15" s="162">
        <f>原契約!E7</f>
        <v>9000</v>
      </c>
      <c r="H15" s="162">
        <f>原契約!F7</f>
        <v>9000</v>
      </c>
      <c r="I15" s="165"/>
      <c r="J15" s="76">
        <f t="shared" si="7"/>
        <v>5.3880148996572029E-3</v>
      </c>
      <c r="K15" s="76">
        <f>A15*G15/$H$47</f>
        <v>0</v>
      </c>
      <c r="L15" s="76">
        <f t="shared" ref="L15:L28" si="8">B15*G15/$H$47</f>
        <v>2.6940074498286014E-3</v>
      </c>
      <c r="M15"/>
      <c r="N15"/>
      <c r="O15"/>
      <c r="P15"/>
      <c r="Q15"/>
      <c r="R15"/>
      <c r="S15"/>
      <c r="T15"/>
      <c r="U15"/>
      <c r="V15"/>
      <c r="W15"/>
      <c r="X15"/>
      <c r="Y15"/>
      <c r="Z15"/>
      <c r="AA15"/>
      <c r="AB15"/>
      <c r="AC15"/>
      <c r="AD15">
        <v>0.25</v>
      </c>
      <c r="AE15"/>
      <c r="AF15"/>
      <c r="AG15"/>
      <c r="AH15"/>
      <c r="AI15"/>
      <c r="AJ15"/>
      <c r="AK15"/>
      <c r="AL15"/>
      <c r="AM15">
        <v>0.25</v>
      </c>
      <c r="AN15"/>
      <c r="AO15"/>
      <c r="AP15"/>
      <c r="AQ15"/>
      <c r="AR15"/>
      <c r="AS15"/>
      <c r="AT15"/>
      <c r="AU15"/>
      <c r="AV15"/>
      <c r="AW15"/>
      <c r="AX15"/>
      <c r="AY15"/>
      <c r="AZ15"/>
      <c r="BA15"/>
      <c r="BB15"/>
      <c r="BC15"/>
      <c r="BD15"/>
      <c r="BE15"/>
      <c r="BF15"/>
      <c r="BG15"/>
      <c r="BH15"/>
      <c r="BI15"/>
      <c r="BJ15"/>
    </row>
    <row r="16" spans="1:192" s="164" customFormat="1" outlineLevel="1">
      <c r="A16" s="198">
        <f t="shared" si="5"/>
        <v>0</v>
      </c>
      <c r="B16" s="199">
        <f t="shared" si="6"/>
        <v>1</v>
      </c>
      <c r="C16" s="200" t="str">
        <f>原契約!A8</f>
        <v>3</v>
      </c>
      <c r="D16" s="225" t="str">
        <f>原契約!B8</f>
        <v>拆除(含切割)集中廁所既有牆面、地坪、磁磚、牆面小便斗與隔板、所有衛生設備、給排水設施、導擺及天花板等;廢棄物清運處理(含合法證明)與環境清潔</v>
      </c>
      <c r="E16" s="162" t="str">
        <f>原契約!C8</f>
        <v>式</v>
      </c>
      <c r="F16" s="162">
        <f>原契約!D8</f>
        <v>1</v>
      </c>
      <c r="G16" s="162">
        <f>原契約!E8</f>
        <v>182446</v>
      </c>
      <c r="H16" s="162">
        <f>原契約!F8</f>
        <v>182446</v>
      </c>
      <c r="I16" s="165"/>
      <c r="J16" s="76">
        <f t="shared" si="7"/>
        <v>0.10922464070920644</v>
      </c>
      <c r="K16" s="76">
        <f t="shared" ref="K16:K25" si="9">A16*G16/$H$47</f>
        <v>0</v>
      </c>
      <c r="L16" s="76">
        <f t="shared" si="8"/>
        <v>0.10922464070920644</v>
      </c>
      <c r="M16"/>
      <c r="N16"/>
      <c r="O16"/>
      <c r="P16"/>
      <c r="Q16"/>
      <c r="R16"/>
      <c r="S16"/>
      <c r="T16"/>
      <c r="U16"/>
      <c r="V16"/>
      <c r="W16">
        <v>0.15</v>
      </c>
      <c r="X16"/>
      <c r="Y16">
        <v>0.15</v>
      </c>
      <c r="Z16">
        <v>0.15</v>
      </c>
      <c r="AA16">
        <v>0.15</v>
      </c>
      <c r="AB16">
        <v>0.15</v>
      </c>
      <c r="AC16">
        <v>0.25</v>
      </c>
      <c r="AD16"/>
      <c r="AE16"/>
      <c r="AF16"/>
      <c r="AG16"/>
      <c r="AH16"/>
      <c r="AI16"/>
      <c r="AJ16"/>
      <c r="AK16"/>
      <c r="AL16"/>
      <c r="AM16"/>
      <c r="AN16"/>
      <c r="AO16"/>
      <c r="AP16"/>
      <c r="AQ16"/>
      <c r="AR16"/>
      <c r="AS16"/>
      <c r="AT16"/>
      <c r="AU16"/>
      <c r="AV16"/>
      <c r="AW16"/>
      <c r="AX16"/>
      <c r="AY16"/>
      <c r="AZ16"/>
      <c r="BA16"/>
      <c r="BB16"/>
      <c r="BC16"/>
      <c r="BD16"/>
      <c r="BE16"/>
      <c r="BF16"/>
      <c r="BG16"/>
      <c r="BH16"/>
      <c r="BI16"/>
      <c r="BJ16"/>
    </row>
    <row r="17" spans="1:89" outlineLevel="1">
      <c r="A17" s="198">
        <f t="shared" si="5"/>
        <v>0</v>
      </c>
      <c r="B17" s="199">
        <f t="shared" si="6"/>
        <v>0</v>
      </c>
      <c r="C17" s="200" t="str">
        <f>原契約!A9</f>
        <v>4</v>
      </c>
      <c r="D17" s="225" t="str">
        <f>原契約!B9</f>
        <v>既有污水處理設施抽水肥(含清潔孔開挖與復原)</v>
      </c>
      <c r="E17" s="162" t="str">
        <f>原契約!C9</f>
        <v>式</v>
      </c>
      <c r="F17" s="162">
        <f>原契約!D9</f>
        <v>1</v>
      </c>
      <c r="G17" s="162">
        <f>原契約!E9</f>
        <v>9500</v>
      </c>
      <c r="H17" s="162">
        <f>原契約!F9</f>
        <v>9500</v>
      </c>
      <c r="I17" s="21">
        <f t="shared" ref="I17" si="10">B17*G17</f>
        <v>0</v>
      </c>
      <c r="J17" s="76">
        <f t="shared" si="7"/>
        <v>5.6873490607492697E-3</v>
      </c>
      <c r="K17" s="76">
        <f t="shared" si="9"/>
        <v>0</v>
      </c>
      <c r="L17" s="76">
        <f t="shared" si="8"/>
        <v>0</v>
      </c>
      <c r="M17" s="164"/>
      <c r="N17" s="164"/>
      <c r="O17" s="164"/>
      <c r="P17" s="164"/>
      <c r="Q17" s="164"/>
      <c r="R17" s="164"/>
      <c r="S17" s="164"/>
      <c r="T17" s="164"/>
      <c r="U17" s="164"/>
      <c r="V17" s="164"/>
      <c r="W17" s="164"/>
      <c r="X17" s="164"/>
      <c r="Y17" s="164"/>
      <c r="Z17" s="164"/>
      <c r="AA17" s="164"/>
      <c r="AB17" s="164"/>
      <c r="AC17" s="164"/>
      <c r="AD17" s="164"/>
      <c r="AE17" s="164"/>
      <c r="AF17" s="164"/>
      <c r="AG17" s="164"/>
      <c r="AH17" s="164"/>
      <c r="AI17" s="164"/>
      <c r="AJ17" s="164"/>
      <c r="AK17" s="164"/>
      <c r="AL17" s="164"/>
      <c r="AM17" s="164"/>
      <c r="AN17" s="164"/>
      <c r="AO17" s="164"/>
      <c r="AP17" s="164"/>
      <c r="AQ17" s="164"/>
      <c r="AR17" s="164"/>
      <c r="AS17" s="164"/>
      <c r="AT17" s="164"/>
      <c r="AU17" s="164"/>
      <c r="AV17" s="164"/>
      <c r="AW17" s="164"/>
      <c r="AX17" s="164"/>
      <c r="AY17" s="164"/>
      <c r="AZ17" s="164"/>
      <c r="BA17" s="164"/>
      <c r="BB17" s="164"/>
      <c r="BC17" s="164"/>
      <c r="BD17" s="164"/>
      <c r="BE17" s="164"/>
      <c r="BF17" s="164"/>
      <c r="BG17" s="164"/>
      <c r="BH17" s="164"/>
      <c r="BI17" s="164"/>
      <c r="BJ17" s="164"/>
    </row>
    <row r="18" spans="1:89" s="164" customFormat="1">
      <c r="A18" s="198">
        <f t="shared" si="5"/>
        <v>0</v>
      </c>
      <c r="B18" s="199">
        <f t="shared" si="6"/>
        <v>0</v>
      </c>
      <c r="C18" s="200" t="str">
        <f>原契約!A10</f>
        <v>5</v>
      </c>
      <c r="D18" s="225" t="str">
        <f>原契約!B10</f>
        <v>地坪與台階增築</v>
      </c>
      <c r="E18" s="162" t="str">
        <f>原契約!C10</f>
        <v>式</v>
      </c>
      <c r="F18" s="162">
        <f>原契約!D10</f>
        <v>1</v>
      </c>
      <c r="G18" s="162">
        <f>原契約!E10</f>
        <v>35400</v>
      </c>
      <c r="H18" s="162">
        <f>原契約!F10</f>
        <v>35400</v>
      </c>
      <c r="I18" s="165"/>
      <c r="J18" s="76">
        <f t="shared" si="7"/>
        <v>2.1192858605318329E-2</v>
      </c>
      <c r="K18" s="76">
        <f t="shared" si="9"/>
        <v>0</v>
      </c>
      <c r="L18" s="76">
        <f t="shared" si="8"/>
        <v>0</v>
      </c>
    </row>
    <row r="19" spans="1:89" s="164" customFormat="1" outlineLevel="1">
      <c r="A19" s="198">
        <f t="shared" si="5"/>
        <v>0</v>
      </c>
      <c r="B19" s="199">
        <f t="shared" si="6"/>
        <v>0</v>
      </c>
      <c r="C19" s="200" t="str">
        <f>原契約!A11</f>
        <v>6</v>
      </c>
      <c r="D19" s="225" t="str">
        <f>原契約!B11</f>
        <v>砌1/2B磚牆</v>
      </c>
      <c r="E19" s="162" t="str">
        <f>原契約!C11</f>
        <v>M2</v>
      </c>
      <c r="F19" s="162">
        <f>原契約!D11</f>
        <v>26</v>
      </c>
      <c r="G19" s="162">
        <f>原契約!E11</f>
        <v>1150</v>
      </c>
      <c r="H19" s="162">
        <f>原契約!F11</f>
        <v>29900</v>
      </c>
      <c r="I19" s="165">
        <f t="shared" ref="I19" si="11">B19*G19</f>
        <v>0</v>
      </c>
      <c r="J19" s="76">
        <f t="shared" si="7"/>
        <v>1.7900182833305595E-2</v>
      </c>
      <c r="K19" s="76">
        <f t="shared" si="9"/>
        <v>0</v>
      </c>
      <c r="L19" s="76">
        <f t="shared" si="8"/>
        <v>0</v>
      </c>
    </row>
    <row r="20" spans="1:89" s="164" customFormat="1" outlineLevel="1">
      <c r="A20" s="198">
        <f t="shared" si="5"/>
        <v>0</v>
      </c>
      <c r="B20" s="199">
        <f t="shared" si="6"/>
        <v>0.7</v>
      </c>
      <c r="C20" s="200" t="str">
        <f>原契約!A12</f>
        <v>7</v>
      </c>
      <c r="D20" s="225" t="str">
        <f>原契約!B12</f>
        <v>施工範圍內樓板穿管處與既有無用穿管及孔洞需以水泥砂漿封閉並刷彈性防水材；樓板防水層試水</v>
      </c>
      <c r="E20" s="162" t="str">
        <f>原契約!C12</f>
        <v>式</v>
      </c>
      <c r="F20" s="162">
        <f>原契約!D12</f>
        <v>1</v>
      </c>
      <c r="G20" s="162">
        <f>原契約!E12</f>
        <v>6000</v>
      </c>
      <c r="H20" s="162">
        <f>原契約!F12</f>
        <v>6000</v>
      </c>
      <c r="I20" s="165"/>
      <c r="J20" s="76">
        <f t="shared" si="7"/>
        <v>3.5920099331048015E-3</v>
      </c>
      <c r="K20" s="76">
        <f t="shared" si="9"/>
        <v>0</v>
      </c>
      <c r="L20" s="76">
        <f t="shared" si="8"/>
        <v>2.5144069531733613E-3</v>
      </c>
      <c r="AG20" s="164">
        <v>0.15</v>
      </c>
      <c r="AH20" s="164">
        <v>0.15</v>
      </c>
      <c r="BI20" s="164">
        <v>0.1</v>
      </c>
      <c r="BJ20" s="164">
        <v>0.1</v>
      </c>
      <c r="BK20" s="164">
        <v>0.1</v>
      </c>
      <c r="BL20" s="164">
        <v>0.1</v>
      </c>
    </row>
    <row r="21" spans="1:89" s="164" customFormat="1" outlineLevel="1">
      <c r="A21" s="198">
        <f t="shared" si="5"/>
        <v>0</v>
      </c>
      <c r="B21" s="199">
        <f t="shared" si="6"/>
        <v>40</v>
      </c>
      <c r="C21" s="200" t="str">
        <f>原契約!A13</f>
        <v>8</v>
      </c>
      <c r="D21" s="225" t="str">
        <f>原契約!B13</f>
        <v>地坪、牆面1:3水泥砂漿粉刷</v>
      </c>
      <c r="E21" s="162" t="str">
        <f>原契約!C13</f>
        <v>M2</v>
      </c>
      <c r="F21" s="162">
        <f>原契約!D13</f>
        <v>230</v>
      </c>
      <c r="G21" s="162">
        <f>原契約!E13</f>
        <v>550</v>
      </c>
      <c r="H21" s="162">
        <f>原契約!F13</f>
        <v>126500</v>
      </c>
      <c r="I21" s="165">
        <f t="shared" ref="I21" si="12">B21*G21</f>
        <v>22000</v>
      </c>
      <c r="J21" s="76">
        <f t="shared" si="7"/>
        <v>7.5731542756292902E-2</v>
      </c>
      <c r="K21" s="76">
        <f t="shared" si="9"/>
        <v>0</v>
      </c>
      <c r="L21" s="76">
        <f t="shared" si="8"/>
        <v>1.3170703088050939E-2</v>
      </c>
      <c r="CH21" s="164">
        <v>10</v>
      </c>
      <c r="CI21" s="164">
        <v>10</v>
      </c>
      <c r="CK21" s="164">
        <v>20</v>
      </c>
    </row>
    <row r="22" spans="1:89" s="164" customFormat="1" outlineLevel="1">
      <c r="A22" s="198">
        <f t="shared" si="5"/>
        <v>0</v>
      </c>
      <c r="B22" s="199">
        <f t="shared" si="6"/>
        <v>0</v>
      </c>
      <c r="C22" s="200" t="str">
        <f>原契約!A14</f>
        <v>9</v>
      </c>
      <c r="D22" s="225" t="str">
        <f>原契約!B14</f>
        <v>地坪及牆面(H=1.5m)防水層粉刷</v>
      </c>
      <c r="E22" s="162" t="str">
        <f>原契約!C14</f>
        <v>M2</v>
      </c>
      <c r="F22" s="162">
        <f>原契約!D14</f>
        <v>148</v>
      </c>
      <c r="G22" s="162">
        <f>原契約!E14</f>
        <v>500</v>
      </c>
      <c r="H22" s="162">
        <f>原契約!F14</f>
        <v>74000</v>
      </c>
      <c r="I22" s="165"/>
      <c r="J22" s="76">
        <f t="shared" si="7"/>
        <v>4.4301455841625891E-2</v>
      </c>
      <c r="K22" s="76">
        <f t="shared" si="9"/>
        <v>0</v>
      </c>
      <c r="L22" s="76">
        <f t="shared" si="8"/>
        <v>0</v>
      </c>
    </row>
    <row r="23" spans="1:89" s="164" customFormat="1">
      <c r="A23" s="198">
        <f t="shared" si="5"/>
        <v>0</v>
      </c>
      <c r="B23" s="199">
        <f t="shared" si="6"/>
        <v>0</v>
      </c>
      <c r="C23" s="200" t="str">
        <f>原契約!A15</f>
        <v>10</v>
      </c>
      <c r="D23" s="225" t="str">
        <f>原契約!B15</f>
        <v>不銹鋼方形地板落水頭(10*10cm,連工帶料)</v>
      </c>
      <c r="E23" s="162" t="str">
        <f>原契約!C15</f>
        <v>組</v>
      </c>
      <c r="F23" s="162">
        <f>原契約!D15</f>
        <v>13</v>
      </c>
      <c r="G23" s="162">
        <f>原契約!E15</f>
        <v>600</v>
      </c>
      <c r="H23" s="162">
        <f>原契約!F15</f>
        <v>7800</v>
      </c>
      <c r="I23" s="165"/>
      <c r="J23" s="76">
        <f t="shared" si="7"/>
        <v>4.6696129130362422E-3</v>
      </c>
      <c r="K23" s="76">
        <f t="shared" si="9"/>
        <v>0</v>
      </c>
      <c r="L23" s="76">
        <f t="shared" si="8"/>
        <v>0</v>
      </c>
    </row>
    <row r="24" spans="1:89" s="164" customFormat="1" outlineLevel="1">
      <c r="A24" s="198">
        <f t="shared" si="5"/>
        <v>0</v>
      </c>
      <c r="B24" s="199">
        <f t="shared" si="6"/>
        <v>0</v>
      </c>
      <c r="C24" s="200" t="str">
        <f>原契約!A16</f>
        <v>11</v>
      </c>
      <c r="D24" s="225" t="str">
        <f>原契約!B16</f>
        <v>地坪貼止滑石英磚30*30cm，本色水泥抹縫(連工帶料)</v>
      </c>
      <c r="E24" s="162" t="str">
        <f>原契約!C16</f>
        <v>M2</v>
      </c>
      <c r="F24" s="162">
        <f>原契約!D16</f>
        <v>54</v>
      </c>
      <c r="G24" s="162">
        <f>原契約!E16</f>
        <v>1100</v>
      </c>
      <c r="H24" s="162">
        <f>原契約!F16</f>
        <v>59400</v>
      </c>
      <c r="I24" s="165"/>
      <c r="J24" s="76">
        <f t="shared" si="7"/>
        <v>3.556089833773754E-2</v>
      </c>
      <c r="K24" s="76">
        <f t="shared" si="9"/>
        <v>0</v>
      </c>
      <c r="L24" s="76">
        <f t="shared" si="8"/>
        <v>0</v>
      </c>
    </row>
    <row r="25" spans="1:89" s="164" customFormat="1" outlineLevel="1">
      <c r="A25" s="198">
        <f t="shared" si="5"/>
        <v>0</v>
      </c>
      <c r="B25" s="199">
        <f t="shared" si="6"/>
        <v>0</v>
      </c>
      <c r="C25" s="200" t="str">
        <f>原契約!A17</f>
        <v>12</v>
      </c>
      <c r="D25" s="225" t="str">
        <f>原契約!B17</f>
        <v>地坪貼止滑石英磚60*60cm，本色水泥抹縫(連工帶料)</v>
      </c>
      <c r="E25" s="162" t="str">
        <f>原契約!C17</f>
        <v>M2</v>
      </c>
      <c r="F25" s="162">
        <f>原契約!D17</f>
        <v>6</v>
      </c>
      <c r="G25" s="162">
        <f>原契約!E17</f>
        <v>1400</v>
      </c>
      <c r="H25" s="162">
        <f>原契約!F17</f>
        <v>8400</v>
      </c>
      <c r="I25" s="165">
        <f t="shared" ref="I25" si="13">B25*G25</f>
        <v>0</v>
      </c>
      <c r="J25" s="76">
        <f t="shared" si="7"/>
        <v>5.0288139063467225E-3</v>
      </c>
      <c r="K25" s="76">
        <f t="shared" si="9"/>
        <v>0</v>
      </c>
      <c r="L25" s="76">
        <f t="shared" si="8"/>
        <v>0</v>
      </c>
    </row>
    <row r="26" spans="1:89" outlineLevel="1">
      <c r="A26" s="198">
        <f t="shared" si="5"/>
        <v>0</v>
      </c>
      <c r="B26" s="199">
        <f t="shared" si="6"/>
        <v>0</v>
      </c>
      <c r="C26" s="200" t="str">
        <f>原契約!A18</f>
        <v>13</v>
      </c>
      <c r="D26" s="225" t="str">
        <f>原契約!B18</f>
        <v>牆面貼石英磚30*60cm，白色水泥抹縫(連工帶料)</v>
      </c>
      <c r="E26" s="162" t="str">
        <f>原契約!C18</f>
        <v>M2</v>
      </c>
      <c r="F26" s="162">
        <f>原契約!D18</f>
        <v>138</v>
      </c>
      <c r="G26" s="162">
        <f>原契約!E18</f>
        <v>1300</v>
      </c>
      <c r="H26" s="162">
        <f>原契約!F18</f>
        <v>179400</v>
      </c>
      <c r="I26" s="21">
        <f t="shared" ref="I26:I27" si="14">B26*G26</f>
        <v>0</v>
      </c>
      <c r="J26" s="76">
        <f t="shared" si="7"/>
        <v>0.10740109699983356</v>
      </c>
      <c r="K26" s="76">
        <f>A26*G26/$H$47</f>
        <v>0</v>
      </c>
      <c r="L26" s="76">
        <f t="shared" si="8"/>
        <v>0</v>
      </c>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4"/>
      <c r="BC26" s="164"/>
      <c r="BD26" s="164"/>
      <c r="BE26" s="164"/>
      <c r="BF26" s="164"/>
      <c r="BG26" s="164"/>
      <c r="BH26" s="164"/>
      <c r="BI26" s="164"/>
      <c r="BJ26" s="164"/>
    </row>
    <row r="27" spans="1:89" outlineLevel="1">
      <c r="A27" s="198">
        <f t="shared" si="5"/>
        <v>0</v>
      </c>
      <c r="B27" s="199">
        <f t="shared" si="6"/>
        <v>0</v>
      </c>
      <c r="C27" s="200" t="str">
        <f>原契約!A19</f>
        <v>14</v>
      </c>
      <c r="D27" s="225" t="str">
        <f>原契約!B19</f>
        <v>安裝鋁合金陽角收邊條</v>
      </c>
      <c r="E27" s="162" t="str">
        <f>原契約!C19</f>
        <v>M</v>
      </c>
      <c r="F27" s="162">
        <f>原契約!D19</f>
        <v>27</v>
      </c>
      <c r="G27" s="162">
        <f>原契約!E19</f>
        <v>400</v>
      </c>
      <c r="H27" s="162">
        <f>原契約!F19</f>
        <v>10800</v>
      </c>
      <c r="I27" s="21">
        <f t="shared" si="14"/>
        <v>0</v>
      </c>
      <c r="J27" s="76">
        <f t="shared" si="7"/>
        <v>6.4656178795886431E-3</v>
      </c>
      <c r="K27" s="76">
        <f>A27*G27/$H$47</f>
        <v>0</v>
      </c>
      <c r="L27" s="76">
        <f t="shared" si="8"/>
        <v>0</v>
      </c>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4"/>
      <c r="BC27" s="164"/>
      <c r="BD27" s="164"/>
      <c r="BE27" s="164"/>
      <c r="BF27" s="164"/>
      <c r="BG27" s="164"/>
      <c r="BH27" s="164"/>
      <c r="BI27" s="164"/>
      <c r="BJ27" s="164"/>
    </row>
    <row r="28" spans="1:89" outlineLevel="1">
      <c r="A28" s="198">
        <f t="shared" si="5"/>
        <v>0</v>
      </c>
      <c r="B28" s="199">
        <f t="shared" si="6"/>
        <v>0</v>
      </c>
      <c r="C28" s="200" t="str">
        <f>原契約!A20</f>
        <v>15</v>
      </c>
      <c r="D28" s="225" t="str">
        <f>原契約!B20</f>
        <v>施做抿石子(1~2分霓虹石，抿石子專用泥)</v>
      </c>
      <c r="E28" s="162" t="str">
        <f>原契約!C20</f>
        <v>M2</v>
      </c>
      <c r="F28" s="162">
        <f>原契約!D20</f>
        <v>13</v>
      </c>
      <c r="G28" s="162">
        <f>原契約!E20</f>
        <v>1100</v>
      </c>
      <c r="H28" s="162">
        <f>原契約!F20</f>
        <v>14300</v>
      </c>
      <c r="I28" s="21">
        <f t="shared" ref="I28:I30" si="15">B28*G28</f>
        <v>0</v>
      </c>
      <c r="J28" s="76">
        <f t="shared" si="7"/>
        <v>8.5609570072331109E-3</v>
      </c>
      <c r="K28" s="76">
        <f t="shared" ref="K28:K45" si="16">A28*G28/$H$47</f>
        <v>0</v>
      </c>
      <c r="L28" s="76">
        <f t="shared" si="8"/>
        <v>0</v>
      </c>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164"/>
      <c r="BB28" s="164"/>
      <c r="BC28" s="164"/>
      <c r="BD28" s="164"/>
      <c r="BE28" s="164"/>
      <c r="BF28" s="164"/>
      <c r="BG28" s="164"/>
      <c r="BH28" s="164"/>
      <c r="BI28" s="164"/>
      <c r="BJ28" s="164"/>
    </row>
    <row r="29" spans="1:89" outlineLevel="1">
      <c r="A29" s="198">
        <f t="shared" si="5"/>
        <v>0</v>
      </c>
      <c r="B29" s="199">
        <f t="shared" si="6"/>
        <v>110</v>
      </c>
      <c r="C29" s="200" t="str">
        <f>原契約!A21</f>
        <v>16</v>
      </c>
      <c r="D29" s="225" t="str">
        <f>原契約!B21</f>
        <v>牆面與平頂塗刷水泥漆(含清潔，批土整平，一底漆二度面漆)</v>
      </c>
      <c r="E29" s="162" t="str">
        <f>原契約!C21</f>
        <v>M2</v>
      </c>
      <c r="F29" s="162">
        <f>原契約!D21</f>
        <v>117</v>
      </c>
      <c r="G29" s="162">
        <f>原契約!E21</f>
        <v>200</v>
      </c>
      <c r="H29" s="162">
        <f>原契約!F21</f>
        <v>23400</v>
      </c>
      <c r="I29" s="21">
        <f t="shared" si="15"/>
        <v>22000</v>
      </c>
      <c r="J29" s="76">
        <f t="shared" si="7"/>
        <v>1.4008838739108726E-2</v>
      </c>
      <c r="K29" s="76">
        <f t="shared" si="16"/>
        <v>0</v>
      </c>
      <c r="L29" s="76">
        <f t="shared" ref="L29:L34" si="17">B29*G29/$H$47</f>
        <v>1.3170703088050939E-2</v>
      </c>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4"/>
      <c r="BA29" s="164"/>
      <c r="BB29" s="164"/>
      <c r="BC29" s="164"/>
      <c r="BD29" s="164"/>
      <c r="BE29" s="164"/>
      <c r="BF29" s="164"/>
      <c r="BG29" s="164"/>
      <c r="BH29" s="164"/>
      <c r="BI29" s="164"/>
      <c r="BJ29" s="164"/>
      <c r="BP29">
        <v>10</v>
      </c>
      <c r="BQ29">
        <v>10</v>
      </c>
      <c r="BR29">
        <v>10</v>
      </c>
      <c r="BX29">
        <v>10</v>
      </c>
      <c r="BY29">
        <v>10</v>
      </c>
      <c r="CH29">
        <v>20</v>
      </c>
      <c r="CI29">
        <v>20</v>
      </c>
      <c r="CK29">
        <v>20</v>
      </c>
    </row>
    <row r="30" spans="1:89" outlineLevel="1">
      <c r="A30" s="198">
        <f t="shared" si="5"/>
        <v>0</v>
      </c>
      <c r="B30" s="199">
        <f t="shared" si="6"/>
        <v>0</v>
      </c>
      <c r="C30" s="200" t="str">
        <f>原契約!A22</f>
        <v>17</v>
      </c>
      <c r="D30" s="225" t="str">
        <f>原契約!B22</f>
        <v>新建砌磚洗手台與拖布盆、既有洗手台拉皮工程(連工帶料，責任施工)</v>
      </c>
      <c r="E30" s="162" t="str">
        <f>原契約!C22</f>
        <v>式</v>
      </c>
      <c r="F30" s="162">
        <f>原契約!D22</f>
        <v>1</v>
      </c>
      <c r="G30" s="162">
        <f>原契約!E22</f>
        <v>73453</v>
      </c>
      <c r="H30" s="162">
        <f>原契約!F22</f>
        <v>73453</v>
      </c>
      <c r="I30" s="21">
        <f t="shared" si="15"/>
        <v>0</v>
      </c>
      <c r="J30" s="76">
        <f t="shared" si="7"/>
        <v>4.3973984269391163E-2</v>
      </c>
      <c r="K30" s="76">
        <f t="shared" si="16"/>
        <v>0</v>
      </c>
      <c r="L30" s="76">
        <f t="shared" si="17"/>
        <v>0</v>
      </c>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4"/>
      <c r="BD30" s="164"/>
      <c r="BE30" s="164"/>
      <c r="BF30" s="164"/>
      <c r="BG30" s="164"/>
      <c r="BH30" s="164"/>
      <c r="BI30" s="164"/>
      <c r="BJ30" s="164"/>
    </row>
    <row r="31" spans="1:89" outlineLevel="1">
      <c r="A31" s="198">
        <f t="shared" si="5"/>
        <v>0</v>
      </c>
      <c r="B31" s="199">
        <f t="shared" si="6"/>
        <v>0</v>
      </c>
      <c r="C31" s="200" t="str">
        <f>原契約!A23</f>
        <v>18</v>
      </c>
      <c r="D31" s="225" t="str">
        <f>原契約!B23</f>
        <v>貼深色石材檯面(石材t=2cm，倒圓角)</v>
      </c>
      <c r="E31" s="162" t="str">
        <f>原契約!C23</f>
        <v>才</v>
      </c>
      <c r="F31" s="162">
        <f>原契約!D23</f>
        <v>19</v>
      </c>
      <c r="G31" s="162">
        <f>原契約!E23</f>
        <v>600</v>
      </c>
      <c r="H31" s="162">
        <f>原契約!F23</f>
        <v>11400</v>
      </c>
      <c r="I31" s="21">
        <f t="shared" ref="I31:I32" si="18">B31*G31</f>
        <v>0</v>
      </c>
      <c r="J31" s="76">
        <f t="shared" si="7"/>
        <v>6.8248188728991235E-3</v>
      </c>
      <c r="K31" s="76">
        <f t="shared" si="16"/>
        <v>0</v>
      </c>
      <c r="L31" s="76">
        <f t="shared" si="17"/>
        <v>0</v>
      </c>
    </row>
    <row r="32" spans="1:89" outlineLevel="1">
      <c r="A32" s="198">
        <f t="shared" si="5"/>
        <v>0</v>
      </c>
      <c r="B32" s="199">
        <f t="shared" si="6"/>
        <v>0</v>
      </c>
      <c r="C32" s="200" t="str">
        <f>原契約!A24</f>
        <v>19</v>
      </c>
      <c r="D32" s="225" t="str">
        <f>原契約!B24</f>
        <v>安裝13mm熱固性樹脂板隔間含門片(頂面H=200cm以上)</v>
      </c>
      <c r="E32" s="162" t="str">
        <f>原契約!C24</f>
        <v>M2</v>
      </c>
      <c r="F32" s="162">
        <f>原契約!D24</f>
        <v>84</v>
      </c>
      <c r="G32" s="162">
        <f>原契約!E24</f>
        <v>2700</v>
      </c>
      <c r="H32" s="162">
        <f>原契約!F24</f>
        <v>226800</v>
      </c>
      <c r="I32" s="21">
        <f t="shared" si="18"/>
        <v>0</v>
      </c>
      <c r="J32" s="76">
        <f t="shared" si="7"/>
        <v>0.1357779754713615</v>
      </c>
      <c r="K32" s="76">
        <f t="shared" si="16"/>
        <v>0</v>
      </c>
      <c r="L32" s="76">
        <f t="shared" si="17"/>
        <v>0</v>
      </c>
    </row>
    <row r="33" spans="1:192" outlineLevel="1">
      <c r="A33" s="198">
        <f t="shared" si="5"/>
        <v>0</v>
      </c>
      <c r="B33" s="199">
        <f t="shared" si="6"/>
        <v>0</v>
      </c>
      <c r="C33" s="200" t="str">
        <f>原契約!A25</f>
        <v>20</v>
      </c>
      <c r="D33" s="225" t="str">
        <f>原契約!B25</f>
        <v>廁間安裝不鏽鋼掛鈎與13mm熱固性樹脂板置物板</v>
      </c>
      <c r="E33" s="162" t="str">
        <f>原契約!C25</f>
        <v>間</v>
      </c>
      <c r="F33" s="162">
        <f>原契約!D25</f>
        <v>8</v>
      </c>
      <c r="G33" s="162">
        <f>原契約!E25</f>
        <v>800</v>
      </c>
      <c r="H33" s="162">
        <f>原契約!F25</f>
        <v>6400</v>
      </c>
      <c r="I33" s="21">
        <f t="shared" ref="I33:I34" si="19">B33*G33</f>
        <v>0</v>
      </c>
      <c r="J33" s="76">
        <f t="shared" si="7"/>
        <v>3.8314772619784552E-3</v>
      </c>
      <c r="K33" s="76">
        <f t="shared" si="16"/>
        <v>0</v>
      </c>
      <c r="L33" s="76">
        <f t="shared" si="17"/>
        <v>0</v>
      </c>
      <c r="BJ33" s="164"/>
      <c r="BK33" s="164"/>
      <c r="BL33" s="164"/>
      <c r="BM33" s="164"/>
      <c r="BN33" s="164"/>
      <c r="BO33" s="164"/>
      <c r="BP33" s="164"/>
      <c r="BQ33" s="164"/>
      <c r="BR33" s="164"/>
      <c r="BS33" s="164"/>
      <c r="BT33" s="164"/>
      <c r="BU33" s="164"/>
      <c r="BV33" s="164"/>
      <c r="BW33" s="164"/>
      <c r="BX33" s="164"/>
      <c r="BY33" s="164"/>
      <c r="BZ33" s="164"/>
      <c r="CA33" s="164"/>
      <c r="CB33" s="164"/>
      <c r="CC33" s="164"/>
      <c r="CD33" s="164"/>
      <c r="CE33" s="164"/>
      <c r="CF33" s="164"/>
      <c r="CG33" s="164"/>
      <c r="CH33" s="164"/>
      <c r="CI33" s="164"/>
      <c r="CJ33" s="164"/>
      <c r="CK33" s="164"/>
      <c r="CL33" s="164"/>
      <c r="CM33" s="164"/>
      <c r="CN33" s="164"/>
      <c r="CO33" s="164"/>
      <c r="CP33" s="164"/>
      <c r="CQ33" s="164"/>
      <c r="CR33" s="164"/>
      <c r="CS33" s="164"/>
      <c r="CT33" s="164"/>
      <c r="CU33" s="164"/>
      <c r="CV33" s="164"/>
      <c r="CW33" s="164"/>
      <c r="CX33" s="164"/>
      <c r="CY33" s="164"/>
      <c r="CZ33" s="164"/>
      <c r="DA33" s="164"/>
      <c r="DB33" s="164"/>
      <c r="DC33" s="164"/>
      <c r="DD33" s="164"/>
      <c r="DE33" s="164"/>
      <c r="DF33" s="164"/>
      <c r="DG33" s="164"/>
      <c r="DH33" s="164"/>
      <c r="DI33" s="164"/>
      <c r="DJ33" s="164"/>
      <c r="DK33" s="164"/>
      <c r="DL33" s="164"/>
      <c r="DM33" s="164"/>
      <c r="DN33" s="164"/>
      <c r="DO33" s="164"/>
      <c r="DP33" s="164"/>
      <c r="DQ33" s="164"/>
      <c r="DR33" s="164"/>
      <c r="DS33" s="164"/>
      <c r="DT33" s="164"/>
      <c r="DU33" s="164"/>
      <c r="DV33" s="164"/>
      <c r="DW33" s="164"/>
      <c r="DX33" s="164"/>
      <c r="DY33" s="164"/>
      <c r="DZ33" s="164"/>
      <c r="EA33" s="164"/>
      <c r="EB33" s="164"/>
      <c r="EC33" s="164"/>
      <c r="ED33" s="164"/>
      <c r="EE33" s="164"/>
      <c r="EF33" s="164"/>
      <c r="EG33" s="164"/>
      <c r="EH33" s="164"/>
      <c r="EI33" s="164"/>
      <c r="EJ33" s="164"/>
      <c r="EK33" s="164"/>
      <c r="EL33" s="164"/>
      <c r="EM33" s="164"/>
      <c r="EN33" s="164"/>
      <c r="EO33" s="164"/>
      <c r="EP33" s="164"/>
      <c r="EQ33" s="164"/>
      <c r="ER33" s="164"/>
      <c r="ES33" s="164"/>
      <c r="ET33" s="164"/>
      <c r="EU33" s="164"/>
      <c r="EV33" s="164"/>
      <c r="EW33" s="164"/>
      <c r="EX33" s="164"/>
      <c r="EY33" s="164"/>
      <c r="EZ33" s="164"/>
      <c r="FA33" s="164"/>
      <c r="FB33" s="164"/>
      <c r="FC33" s="164"/>
      <c r="FD33" s="164"/>
      <c r="FE33" s="164"/>
      <c r="FF33" s="164"/>
      <c r="FG33" s="164"/>
      <c r="FH33" s="164"/>
      <c r="FI33" s="164"/>
      <c r="FJ33" s="164"/>
      <c r="FK33" s="164"/>
      <c r="FL33" s="164"/>
      <c r="FM33" s="164"/>
      <c r="FN33" s="164"/>
      <c r="FO33" s="164"/>
      <c r="FP33" s="164"/>
      <c r="FQ33" s="164"/>
      <c r="FR33" s="164"/>
      <c r="FS33" s="164"/>
      <c r="FT33" s="164"/>
      <c r="FU33" s="164"/>
      <c r="FV33" s="164"/>
      <c r="FW33" s="164"/>
      <c r="FX33" s="164"/>
      <c r="FY33" s="164"/>
      <c r="FZ33" s="164"/>
      <c r="GA33" s="164"/>
      <c r="GB33" s="164"/>
      <c r="GC33" s="164"/>
      <c r="GD33" s="164"/>
      <c r="GE33" s="164"/>
      <c r="GF33" s="164"/>
      <c r="GG33" s="164"/>
      <c r="GH33" s="164"/>
      <c r="GI33" s="164"/>
      <c r="GJ33" s="164"/>
    </row>
    <row r="34" spans="1:192" outlineLevel="1">
      <c r="A34" s="198">
        <f t="shared" si="5"/>
        <v>0</v>
      </c>
      <c r="B34" s="199">
        <f t="shared" si="6"/>
        <v>0</v>
      </c>
      <c r="C34" s="200" t="str">
        <f>原契約!A26</f>
        <v>21</v>
      </c>
      <c r="D34" s="225" t="str">
        <f>原契約!B26</f>
        <v>安裝輕鋼架、金屬烤漆透空網與耐燃一級貼皮天花板(含必要之側封板與窗簾盒批土刷漆)</v>
      </c>
      <c r="E34" s="162" t="str">
        <f>原契約!C26</f>
        <v>式</v>
      </c>
      <c r="F34" s="162">
        <f>原契約!D26</f>
        <v>1</v>
      </c>
      <c r="G34" s="162">
        <f>原契約!E26</f>
        <v>54200</v>
      </c>
      <c r="H34" s="162">
        <f>原契約!F26</f>
        <v>54200</v>
      </c>
      <c r="I34" s="21">
        <f t="shared" si="19"/>
        <v>0</v>
      </c>
      <c r="J34" s="76">
        <f t="shared" si="7"/>
        <v>3.2447823062380039E-2</v>
      </c>
      <c r="K34" s="76">
        <f t="shared" si="16"/>
        <v>0</v>
      </c>
      <c r="L34" s="76">
        <f t="shared" si="17"/>
        <v>0</v>
      </c>
      <c r="BJ34" s="164"/>
      <c r="BK34" s="164"/>
      <c r="BL34" s="164"/>
      <c r="BM34" s="164"/>
      <c r="BN34" s="164"/>
      <c r="BO34" s="164"/>
      <c r="BP34" s="164"/>
      <c r="BQ34" s="164"/>
      <c r="BR34" s="164"/>
      <c r="BS34" s="164"/>
      <c r="BT34" s="164"/>
      <c r="BU34" s="164"/>
      <c r="BV34" s="164"/>
      <c r="BW34" s="164"/>
      <c r="BX34" s="164"/>
      <c r="BY34" s="164"/>
      <c r="BZ34" s="164"/>
      <c r="CA34" s="164"/>
      <c r="CB34" s="164"/>
      <c r="CC34" s="164"/>
      <c r="CD34" s="164"/>
      <c r="CE34" s="164"/>
      <c r="CF34" s="164"/>
      <c r="CG34" s="164"/>
      <c r="CH34" s="164"/>
      <c r="CI34" s="164"/>
      <c r="CJ34" s="164"/>
      <c r="CK34" s="164"/>
      <c r="CL34" s="164"/>
      <c r="CM34" s="164"/>
      <c r="CN34" s="164"/>
      <c r="CO34" s="164"/>
      <c r="CP34" s="164"/>
      <c r="CQ34" s="164"/>
      <c r="CR34" s="164"/>
      <c r="CS34" s="164"/>
      <c r="CT34" s="164"/>
      <c r="CU34" s="164"/>
      <c r="CV34" s="164"/>
      <c r="CW34" s="164"/>
      <c r="CX34" s="164"/>
      <c r="CY34" s="164"/>
      <c r="CZ34" s="164"/>
      <c r="DA34" s="164"/>
      <c r="DB34" s="164"/>
      <c r="DC34" s="164"/>
      <c r="DD34" s="164"/>
      <c r="DE34" s="164"/>
      <c r="DF34" s="164"/>
      <c r="DG34" s="164"/>
      <c r="DH34" s="164"/>
      <c r="DI34" s="164"/>
      <c r="DJ34" s="164"/>
      <c r="DK34" s="164"/>
      <c r="DL34" s="164"/>
      <c r="DM34" s="164"/>
      <c r="DN34" s="164"/>
      <c r="DO34" s="164"/>
      <c r="DP34" s="164"/>
      <c r="DQ34" s="164"/>
      <c r="DR34" s="164"/>
      <c r="DS34" s="164"/>
      <c r="DT34" s="164"/>
      <c r="DU34" s="164"/>
      <c r="DV34" s="164"/>
      <c r="DW34" s="164"/>
      <c r="DX34" s="164"/>
      <c r="DY34" s="164"/>
      <c r="DZ34" s="164"/>
      <c r="EA34" s="164"/>
      <c r="EB34" s="164"/>
      <c r="EC34" s="164"/>
      <c r="ED34" s="164"/>
      <c r="EE34" s="164"/>
      <c r="EF34" s="164"/>
      <c r="EG34" s="164"/>
      <c r="EH34" s="164"/>
      <c r="EI34" s="164"/>
      <c r="EJ34" s="164"/>
      <c r="EK34" s="164"/>
      <c r="EL34" s="164"/>
      <c r="EM34" s="164"/>
      <c r="EN34" s="164"/>
      <c r="EO34" s="164"/>
      <c r="EP34" s="164"/>
      <c r="EQ34" s="164"/>
      <c r="ER34" s="164"/>
      <c r="ES34" s="164"/>
      <c r="ET34" s="164"/>
      <c r="EU34" s="164"/>
      <c r="EV34" s="164"/>
      <c r="EW34" s="164"/>
      <c r="EX34" s="164"/>
      <c r="EY34" s="164"/>
      <c r="EZ34" s="164"/>
      <c r="FA34" s="164"/>
      <c r="FB34" s="164"/>
      <c r="FC34" s="164"/>
      <c r="FD34" s="164"/>
      <c r="FE34" s="164"/>
      <c r="FF34" s="164"/>
      <c r="FG34" s="164"/>
      <c r="FH34" s="164"/>
      <c r="FI34" s="164"/>
      <c r="FJ34" s="164"/>
      <c r="FK34" s="164"/>
      <c r="FL34" s="164"/>
      <c r="FM34" s="164"/>
      <c r="FN34" s="164"/>
      <c r="FO34" s="164"/>
      <c r="FP34" s="164"/>
      <c r="FQ34" s="164"/>
      <c r="FR34" s="164"/>
      <c r="FS34" s="164"/>
      <c r="FT34" s="164"/>
      <c r="FU34" s="164"/>
      <c r="FV34" s="164"/>
      <c r="FW34" s="164"/>
      <c r="FX34" s="164"/>
      <c r="FY34" s="164"/>
      <c r="FZ34" s="164"/>
      <c r="GA34" s="164"/>
      <c r="GB34" s="164"/>
      <c r="GC34" s="164"/>
      <c r="GD34" s="164"/>
      <c r="GE34" s="164"/>
      <c r="GF34" s="164"/>
      <c r="GG34" s="164"/>
      <c r="GH34" s="164"/>
      <c r="GI34" s="164"/>
      <c r="GJ34" s="164"/>
    </row>
    <row r="35" spans="1:192" s="202" customFormat="1" outlineLevel="1">
      <c r="A35" s="198">
        <f t="shared" si="5"/>
        <v>0</v>
      </c>
      <c r="B35" s="199">
        <f t="shared" si="6"/>
        <v>0.75</v>
      </c>
      <c r="C35" s="200" t="str">
        <f>原契約!A27</f>
        <v>22</v>
      </c>
      <c r="D35" s="225" t="str">
        <f>原契約!B27</f>
        <v>廁所安裝衛生設備(連工帶料)</v>
      </c>
      <c r="E35" s="162" t="str">
        <f>原契約!C27</f>
        <v>式</v>
      </c>
      <c r="F35" s="162">
        <f>原契約!D27</f>
        <v>1</v>
      </c>
      <c r="G35" s="162">
        <f>原契約!E27</f>
        <v>112700</v>
      </c>
      <c r="H35" s="162">
        <f>原契約!F27</f>
        <v>112700</v>
      </c>
      <c r="I35" s="199"/>
      <c r="J35" s="76">
        <f t="shared" si="7"/>
        <v>6.746991991015186E-2</v>
      </c>
      <c r="K35" s="76">
        <f t="shared" si="16"/>
        <v>0</v>
      </c>
      <c r="L35" s="76">
        <f t="shared" ref="L35:L44" si="20">B35*G35/$H$47</f>
        <v>5.0602439932613895E-2</v>
      </c>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v>0.5</v>
      </c>
      <c r="BE35"/>
      <c r="BF35"/>
      <c r="BG35"/>
      <c r="BH35"/>
      <c r="BI35"/>
      <c r="BJ35" s="164"/>
      <c r="BK35" s="164"/>
      <c r="BL35" s="164"/>
      <c r="BM35" s="164"/>
      <c r="BN35" s="164"/>
      <c r="BO35" s="164"/>
      <c r="BP35" s="164"/>
      <c r="BQ35" s="164"/>
      <c r="BR35" s="164"/>
      <c r="BS35" s="164"/>
      <c r="BT35" s="164"/>
      <c r="BU35" s="164"/>
      <c r="BV35" s="164"/>
      <c r="BW35" s="164"/>
      <c r="BX35" s="164"/>
      <c r="BY35" s="164"/>
      <c r="BZ35" s="164"/>
      <c r="CA35" s="164"/>
      <c r="CB35" s="164"/>
      <c r="CC35" s="164"/>
      <c r="CD35" s="164"/>
      <c r="CE35" s="164"/>
      <c r="CF35" s="164"/>
      <c r="CG35" s="164"/>
      <c r="CH35" s="164">
        <v>0.25</v>
      </c>
      <c r="CI35" s="164"/>
      <c r="CJ35" s="164"/>
      <c r="CK35" s="164"/>
      <c r="CL35" s="164"/>
      <c r="CM35" s="164"/>
      <c r="CN35" s="164"/>
      <c r="CO35" s="164"/>
      <c r="CP35" s="164"/>
      <c r="CQ35" s="164"/>
      <c r="CR35" s="164"/>
      <c r="CS35" s="164"/>
      <c r="CT35" s="164"/>
      <c r="CU35" s="164"/>
      <c r="CV35" s="164"/>
      <c r="CW35" s="164"/>
      <c r="CX35" s="164"/>
      <c r="CY35" s="164"/>
      <c r="CZ35" s="164"/>
      <c r="DA35" s="164"/>
      <c r="DB35" s="164"/>
      <c r="DC35" s="164"/>
      <c r="DD35" s="164"/>
      <c r="DE35" s="164"/>
      <c r="DF35" s="164"/>
      <c r="DG35" s="164"/>
      <c r="DH35" s="164"/>
      <c r="DI35" s="164"/>
      <c r="DJ35" s="164"/>
      <c r="DK35" s="164"/>
      <c r="DL35" s="164"/>
      <c r="DM35" s="164"/>
      <c r="DN35" s="164"/>
      <c r="DO35" s="164"/>
      <c r="DP35" s="164"/>
      <c r="DQ35" s="164"/>
      <c r="DR35" s="164"/>
      <c r="DS35" s="164"/>
      <c r="DT35" s="164"/>
      <c r="DU35" s="164"/>
      <c r="DV35" s="164"/>
      <c r="DW35" s="164"/>
      <c r="DX35" s="164"/>
      <c r="DY35" s="164"/>
      <c r="DZ35" s="164"/>
      <c r="EA35" s="164"/>
      <c r="EB35" s="164"/>
      <c r="EC35" s="164"/>
      <c r="ED35" s="164"/>
      <c r="EE35" s="164"/>
      <c r="EF35" s="164"/>
      <c r="EG35" s="164"/>
      <c r="EH35" s="164"/>
      <c r="EI35" s="164"/>
      <c r="EJ35" s="164"/>
      <c r="EK35" s="164"/>
      <c r="EL35" s="164"/>
      <c r="EM35" s="164"/>
      <c r="EN35" s="164"/>
      <c r="EO35" s="164"/>
      <c r="EP35" s="164"/>
      <c r="EQ35" s="164"/>
      <c r="ER35" s="164"/>
      <c r="ES35" s="164"/>
      <c r="ET35" s="164"/>
      <c r="EU35" s="164"/>
      <c r="EV35" s="164"/>
      <c r="EW35" s="164"/>
      <c r="EX35" s="164"/>
      <c r="EY35" s="164"/>
      <c r="EZ35" s="164"/>
      <c r="FA35" s="164"/>
      <c r="FB35" s="164"/>
      <c r="FC35" s="164"/>
      <c r="FD35" s="164"/>
      <c r="FE35" s="164"/>
      <c r="FF35" s="164"/>
      <c r="FG35" s="164"/>
      <c r="FH35" s="164"/>
      <c r="FI35" s="164"/>
      <c r="FJ35" s="164"/>
      <c r="FK35" s="164"/>
      <c r="FL35" s="164"/>
      <c r="FM35" s="164"/>
      <c r="FN35" s="164"/>
      <c r="FO35" s="164"/>
      <c r="FP35" s="164"/>
      <c r="FQ35" s="164"/>
      <c r="FR35" s="164"/>
      <c r="FS35" s="164"/>
      <c r="FT35" s="164"/>
      <c r="FU35" s="164"/>
      <c r="FV35" s="164"/>
      <c r="FW35" s="164"/>
      <c r="FX35" s="164"/>
      <c r="FY35" s="164"/>
      <c r="FZ35" s="164"/>
      <c r="GA35" s="164"/>
      <c r="GB35" s="164"/>
      <c r="GC35" s="164"/>
      <c r="GD35" s="164"/>
      <c r="GE35" s="164"/>
      <c r="GF35" s="164"/>
      <c r="GG35" s="164"/>
      <c r="GH35" s="164"/>
      <c r="GI35" s="164"/>
      <c r="GJ35" s="164"/>
    </row>
    <row r="36" spans="1:192" s="202" customFormat="1" outlineLevel="1">
      <c r="A36" s="198">
        <f t="shared" si="5"/>
        <v>0</v>
      </c>
      <c r="B36" s="199">
        <f t="shared" si="6"/>
        <v>0</v>
      </c>
      <c r="C36" s="200" t="str">
        <f>原契約!A28</f>
        <v>23</v>
      </c>
      <c r="D36" s="225" t="str">
        <f>原契約!B28</f>
        <v>安裝開關、插座與燈具(連工帶料)</v>
      </c>
      <c r="E36" s="162" t="str">
        <f>原契約!C28</f>
        <v>式</v>
      </c>
      <c r="F36" s="162">
        <f>原契約!D28</f>
        <v>1</v>
      </c>
      <c r="G36" s="162">
        <f>原契約!E28</f>
        <v>27000</v>
      </c>
      <c r="H36" s="162">
        <f>原契約!F28</f>
        <v>27000</v>
      </c>
      <c r="I36" s="199"/>
      <c r="J36" s="76">
        <f t="shared" si="7"/>
        <v>1.6164044698971609E-2</v>
      </c>
      <c r="K36" s="76">
        <f t="shared" si="16"/>
        <v>0</v>
      </c>
      <c r="L36" s="76">
        <f t="shared" si="20"/>
        <v>0</v>
      </c>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s="164"/>
      <c r="BK36" s="164"/>
      <c r="BL36" s="164"/>
      <c r="BM36" s="164"/>
      <c r="BN36" s="164"/>
      <c r="BO36" s="164"/>
      <c r="BP36" s="164"/>
      <c r="BQ36" s="164"/>
      <c r="BR36" s="164"/>
      <c r="BS36" s="164"/>
      <c r="BT36" s="164"/>
      <c r="BU36" s="164"/>
      <c r="BV36" s="164"/>
      <c r="BW36" s="164"/>
      <c r="BX36" s="164"/>
      <c r="BY36" s="164"/>
      <c r="BZ36" s="164"/>
      <c r="CA36" s="164"/>
      <c r="CB36" s="164"/>
      <c r="CC36" s="164"/>
      <c r="CD36" s="164"/>
      <c r="CE36" s="164"/>
      <c r="CF36" s="164"/>
      <c r="CG36" s="164"/>
      <c r="CH36" s="164"/>
      <c r="CI36" s="164"/>
      <c r="CJ36" s="164"/>
      <c r="CK36" s="164"/>
      <c r="CL36" s="164"/>
      <c r="CM36" s="164"/>
      <c r="CN36" s="164"/>
      <c r="CO36" s="164"/>
      <c r="CP36" s="164"/>
      <c r="CQ36" s="164"/>
      <c r="CR36" s="164"/>
      <c r="CS36" s="164"/>
      <c r="CT36" s="164"/>
      <c r="CU36" s="164"/>
      <c r="CV36" s="164"/>
      <c r="CW36" s="164"/>
      <c r="CX36" s="164"/>
      <c r="CY36" s="164"/>
      <c r="CZ36" s="164"/>
      <c r="DA36" s="164"/>
      <c r="DB36" s="164"/>
      <c r="DC36" s="164"/>
      <c r="DD36" s="164"/>
      <c r="DE36" s="164"/>
      <c r="DF36" s="164"/>
      <c r="DG36" s="164"/>
      <c r="DH36" s="164"/>
      <c r="DI36" s="164"/>
      <c r="DJ36" s="164"/>
      <c r="DK36" s="164"/>
      <c r="DL36" s="164"/>
      <c r="DM36" s="164"/>
      <c r="DN36" s="164"/>
      <c r="DO36" s="164"/>
      <c r="DP36" s="164"/>
      <c r="DQ36" s="164"/>
      <c r="DR36" s="164"/>
      <c r="DS36" s="164"/>
      <c r="DT36" s="164"/>
      <c r="DU36" s="164"/>
      <c r="DV36" s="164"/>
      <c r="DW36" s="164"/>
      <c r="DX36" s="164"/>
      <c r="DY36" s="164"/>
      <c r="DZ36" s="164"/>
      <c r="EA36" s="164"/>
      <c r="EB36" s="164"/>
      <c r="EC36" s="164"/>
      <c r="ED36" s="164"/>
      <c r="EE36" s="164"/>
      <c r="EF36" s="164"/>
      <c r="EG36" s="164"/>
      <c r="EH36" s="164"/>
      <c r="EI36" s="164"/>
      <c r="EJ36" s="164"/>
      <c r="EK36" s="164"/>
      <c r="EL36" s="164"/>
      <c r="EM36" s="164"/>
      <c r="EN36" s="164"/>
      <c r="EO36" s="164"/>
      <c r="EP36" s="164"/>
      <c r="EQ36" s="164"/>
      <c r="ER36" s="164"/>
      <c r="ES36" s="164"/>
      <c r="ET36" s="164"/>
      <c r="EU36" s="164"/>
      <c r="EV36" s="164"/>
      <c r="EW36" s="164"/>
      <c r="EX36" s="164"/>
      <c r="EY36" s="164"/>
      <c r="EZ36" s="164"/>
      <c r="FA36" s="164"/>
      <c r="FB36" s="164"/>
      <c r="FC36" s="164"/>
      <c r="FD36" s="164"/>
      <c r="FE36" s="164"/>
      <c r="FF36" s="164"/>
      <c r="FG36" s="164"/>
      <c r="FH36" s="164"/>
      <c r="FI36" s="164"/>
      <c r="FJ36" s="164"/>
      <c r="FK36" s="164"/>
      <c r="FL36" s="164"/>
      <c r="FM36" s="164"/>
      <c r="FN36" s="164"/>
      <c r="FO36" s="164"/>
      <c r="FP36" s="164"/>
      <c r="FQ36" s="164"/>
      <c r="FR36" s="164"/>
      <c r="FS36" s="164"/>
      <c r="FT36" s="164"/>
      <c r="FU36" s="164"/>
      <c r="FV36" s="164"/>
      <c r="FW36" s="164"/>
      <c r="FX36" s="164"/>
      <c r="FY36" s="164"/>
      <c r="FZ36" s="164"/>
      <c r="GA36" s="164"/>
      <c r="GB36" s="164"/>
      <c r="GC36" s="164"/>
      <c r="GD36" s="164"/>
      <c r="GE36" s="164"/>
      <c r="GF36" s="164"/>
      <c r="GG36" s="164"/>
      <c r="GH36" s="164"/>
      <c r="GI36" s="164"/>
      <c r="GJ36" s="164"/>
    </row>
    <row r="37" spans="1:192" outlineLevel="1">
      <c r="A37" s="198">
        <f t="shared" si="5"/>
        <v>0</v>
      </c>
      <c r="B37" s="199">
        <f t="shared" si="6"/>
        <v>0.99999999999999989</v>
      </c>
      <c r="C37" s="200" t="str">
        <f>原契約!A29</f>
        <v>24</v>
      </c>
      <c r="D37" s="225" t="str">
        <f>原契約!B29</f>
        <v>給排水系統配管與安裝(連工帶料)</v>
      </c>
      <c r="E37" s="162" t="str">
        <f>原契約!C29</f>
        <v>式</v>
      </c>
      <c r="F37" s="162">
        <f>原契約!D29</f>
        <v>1</v>
      </c>
      <c r="G37" s="162">
        <f>原契約!E29</f>
        <v>59100</v>
      </c>
      <c r="H37" s="162">
        <f>原契約!F29</f>
        <v>59100</v>
      </c>
      <c r="I37" s="21"/>
      <c r="J37" s="76">
        <f t="shared" si="7"/>
        <v>3.5381297841082293E-2</v>
      </c>
      <c r="K37" s="76">
        <f t="shared" si="16"/>
        <v>0</v>
      </c>
      <c r="L37" s="76">
        <f t="shared" si="20"/>
        <v>3.5381297841082293E-2</v>
      </c>
      <c r="AN37">
        <v>0.25</v>
      </c>
      <c r="BH37">
        <v>0.25</v>
      </c>
      <c r="BJ37" s="164"/>
      <c r="BK37" s="164">
        <v>0.1</v>
      </c>
      <c r="BL37" s="164">
        <v>0.1</v>
      </c>
      <c r="BM37" s="164"/>
      <c r="BN37" s="164"/>
      <c r="BO37" s="164"/>
      <c r="BP37" s="164">
        <v>0.1</v>
      </c>
      <c r="BQ37" s="164">
        <v>0.1</v>
      </c>
      <c r="BR37" s="164">
        <v>0.1</v>
      </c>
      <c r="BS37" s="164"/>
      <c r="BT37" s="164"/>
      <c r="BU37" s="164"/>
      <c r="BV37" s="164"/>
      <c r="BW37" s="164"/>
      <c r="BX37" s="164"/>
      <c r="BY37" s="164"/>
      <c r="BZ37" s="164"/>
      <c r="CA37" s="164"/>
      <c r="CB37" s="164"/>
      <c r="CC37" s="164"/>
      <c r="CD37" s="164"/>
      <c r="CE37" s="164"/>
      <c r="CF37" s="164"/>
      <c r="CG37" s="164"/>
      <c r="CH37" s="164"/>
      <c r="CI37" s="164"/>
      <c r="CJ37" s="164"/>
      <c r="CK37" s="164"/>
      <c r="CL37" s="164"/>
      <c r="CM37" s="164"/>
      <c r="CN37" s="164"/>
      <c r="CO37" s="164"/>
      <c r="CP37" s="164"/>
      <c r="CQ37" s="164"/>
      <c r="CR37" s="164"/>
      <c r="CS37" s="164"/>
      <c r="CT37" s="164"/>
      <c r="CU37" s="164"/>
      <c r="CV37" s="164"/>
      <c r="CW37" s="164"/>
      <c r="CX37" s="164"/>
      <c r="CY37" s="164"/>
      <c r="CZ37" s="164"/>
      <c r="DA37" s="164"/>
      <c r="DB37" s="164"/>
      <c r="DC37" s="164"/>
      <c r="DD37" s="164"/>
      <c r="DE37" s="164"/>
      <c r="DF37" s="164"/>
      <c r="DG37" s="164"/>
      <c r="DH37" s="164"/>
      <c r="DI37" s="164"/>
      <c r="DJ37" s="164"/>
      <c r="DK37" s="164"/>
      <c r="DL37" s="164"/>
      <c r="DM37" s="164"/>
      <c r="DN37" s="164"/>
      <c r="DO37" s="164"/>
      <c r="DP37" s="164"/>
      <c r="DQ37" s="164"/>
      <c r="DR37" s="164"/>
      <c r="DS37" s="164"/>
      <c r="DT37" s="164"/>
      <c r="DU37" s="164"/>
      <c r="DV37" s="164"/>
      <c r="DW37" s="164"/>
      <c r="DX37" s="164"/>
      <c r="DY37" s="164"/>
      <c r="DZ37" s="164"/>
      <c r="EA37" s="164"/>
      <c r="EB37" s="164"/>
      <c r="EC37" s="164"/>
      <c r="ED37" s="164"/>
      <c r="EE37" s="164"/>
      <c r="EF37" s="164"/>
      <c r="EG37" s="164"/>
      <c r="EH37" s="164"/>
      <c r="EI37" s="164"/>
      <c r="EJ37" s="164"/>
      <c r="EK37" s="164"/>
      <c r="EL37" s="164"/>
      <c r="EM37" s="164"/>
      <c r="EN37" s="164"/>
      <c r="EO37" s="164"/>
      <c r="EP37" s="164"/>
      <c r="EQ37" s="164"/>
      <c r="ER37" s="164"/>
      <c r="ES37" s="164"/>
      <c r="ET37" s="164"/>
      <c r="EU37" s="164"/>
      <c r="EV37" s="164"/>
      <c r="EW37" s="164"/>
      <c r="EX37" s="164"/>
      <c r="EY37" s="164"/>
      <c r="EZ37" s="164"/>
      <c r="FA37" s="164"/>
      <c r="FB37" s="164"/>
      <c r="FC37" s="164"/>
      <c r="FD37" s="164"/>
      <c r="FE37" s="164"/>
      <c r="FF37" s="164"/>
      <c r="FG37" s="164"/>
      <c r="FH37" s="164"/>
      <c r="FI37" s="164"/>
      <c r="FJ37" s="164"/>
      <c r="FK37" s="164"/>
      <c r="FL37" s="164"/>
      <c r="FM37" s="164"/>
      <c r="FN37" s="164"/>
      <c r="FO37" s="164"/>
      <c r="FP37" s="164"/>
      <c r="FQ37" s="164"/>
      <c r="FR37" s="164"/>
      <c r="FS37" s="164"/>
      <c r="FT37" s="164"/>
      <c r="FU37" s="164"/>
      <c r="FV37" s="164"/>
      <c r="FW37" s="164"/>
      <c r="FX37" s="164"/>
      <c r="FY37" s="164"/>
      <c r="FZ37" s="164"/>
      <c r="GA37" s="164"/>
      <c r="GB37" s="164"/>
      <c r="GC37" s="164"/>
      <c r="GD37" s="164"/>
      <c r="GE37" s="164"/>
      <c r="GF37" s="164"/>
      <c r="GG37" s="164"/>
      <c r="GH37" s="164"/>
      <c r="GI37" s="164"/>
      <c r="GJ37" s="164"/>
    </row>
    <row r="38" spans="1:192" outlineLevel="1">
      <c r="A38" s="198">
        <f t="shared" si="5"/>
        <v>0</v>
      </c>
      <c r="B38" s="199">
        <f t="shared" si="6"/>
        <v>0</v>
      </c>
      <c r="C38" s="200" t="str">
        <f>原契約!A30</f>
        <v>25</v>
      </c>
      <c r="D38" s="225" t="str">
        <f>原契約!B30</f>
        <v>施做緊急求救按鈕(含閃光與蜂嗚警報器、線材、五金配件, 各層樓每間廁所皆有求救鈕，連工帶料，責任施工)</v>
      </c>
      <c r="E38" s="162" t="str">
        <f>原契約!C30</f>
        <v>式</v>
      </c>
      <c r="F38" s="162">
        <f>原契約!D30</f>
        <v>1</v>
      </c>
      <c r="G38" s="162">
        <f>原契約!E30</f>
        <v>16400</v>
      </c>
      <c r="H38" s="162">
        <f>原契約!F30</f>
        <v>16400</v>
      </c>
      <c r="I38" s="21">
        <f t="shared" ref="I38" si="21">B38*G38</f>
        <v>0</v>
      </c>
      <c r="J38" s="76">
        <f t="shared" si="7"/>
        <v>9.8181604838197909E-3</v>
      </c>
      <c r="K38" s="76">
        <f t="shared" si="16"/>
        <v>0</v>
      </c>
      <c r="L38" s="76">
        <f t="shared" si="20"/>
        <v>0</v>
      </c>
      <c r="BJ38" s="164"/>
      <c r="BK38" s="164"/>
      <c r="BL38" s="164"/>
      <c r="BM38" s="164"/>
      <c r="BN38" s="164"/>
      <c r="BO38" s="164"/>
      <c r="BP38" s="164"/>
      <c r="BQ38" s="164"/>
      <c r="BR38" s="164"/>
      <c r="BS38" s="164"/>
      <c r="BT38" s="164"/>
      <c r="BU38" s="164"/>
      <c r="BV38" s="164"/>
      <c r="BW38" s="164"/>
      <c r="BX38" s="164"/>
      <c r="BY38" s="164"/>
      <c r="BZ38" s="164"/>
      <c r="CA38" s="164"/>
      <c r="CB38" s="164"/>
      <c r="CC38" s="164"/>
      <c r="CD38" s="164"/>
      <c r="CE38" s="164"/>
      <c r="CF38" s="164"/>
      <c r="CG38" s="164"/>
      <c r="CH38" s="164"/>
      <c r="CI38" s="164"/>
      <c r="CJ38" s="164"/>
      <c r="CK38" s="164"/>
      <c r="CL38" s="164"/>
      <c r="CM38" s="164"/>
      <c r="CN38" s="164"/>
      <c r="CO38" s="164"/>
      <c r="CP38" s="164"/>
      <c r="CQ38" s="164"/>
      <c r="CR38" s="164"/>
      <c r="CS38" s="164"/>
      <c r="CT38" s="164"/>
      <c r="CU38" s="164"/>
      <c r="CV38" s="164"/>
      <c r="CW38" s="164"/>
      <c r="CX38" s="164"/>
      <c r="CY38" s="164"/>
      <c r="CZ38" s="164"/>
      <c r="DA38" s="164"/>
      <c r="DB38" s="164"/>
      <c r="DC38" s="164"/>
      <c r="DD38" s="164"/>
      <c r="DE38" s="164"/>
      <c r="DF38" s="164"/>
      <c r="DG38" s="164"/>
      <c r="DH38" s="164"/>
      <c r="DI38" s="164"/>
      <c r="DJ38" s="164"/>
      <c r="DK38" s="164"/>
      <c r="DL38" s="164"/>
      <c r="DM38" s="164"/>
      <c r="DN38" s="164"/>
      <c r="DO38" s="164"/>
      <c r="DP38" s="164"/>
      <c r="DQ38" s="164"/>
      <c r="DR38" s="164"/>
      <c r="DS38" s="164"/>
      <c r="DT38" s="164"/>
      <c r="DU38" s="164"/>
      <c r="DV38" s="164"/>
      <c r="DW38" s="164"/>
      <c r="DX38" s="164"/>
      <c r="DY38" s="164"/>
      <c r="DZ38" s="164"/>
      <c r="EA38" s="164"/>
      <c r="EB38" s="164"/>
      <c r="EC38" s="164"/>
      <c r="ED38" s="164"/>
      <c r="EE38" s="164"/>
      <c r="EF38" s="164"/>
      <c r="EG38" s="164"/>
      <c r="EH38" s="164"/>
      <c r="EI38" s="164"/>
      <c r="EJ38" s="164"/>
      <c r="EK38" s="164"/>
      <c r="EL38" s="164"/>
      <c r="EM38" s="164"/>
      <c r="EN38" s="164"/>
      <c r="EO38" s="164"/>
      <c r="EP38" s="164"/>
      <c r="EQ38" s="164"/>
      <c r="ER38" s="164"/>
      <c r="ES38" s="164"/>
      <c r="ET38" s="164"/>
      <c r="EU38" s="164"/>
      <c r="EV38" s="164"/>
      <c r="EW38" s="164"/>
      <c r="EX38" s="164"/>
      <c r="EY38" s="164"/>
      <c r="EZ38" s="164"/>
      <c r="FA38" s="164"/>
      <c r="FB38" s="164"/>
      <c r="FC38" s="164"/>
      <c r="FD38" s="164"/>
      <c r="FE38" s="164"/>
      <c r="FF38" s="164"/>
      <c r="FG38" s="164"/>
      <c r="FH38" s="164"/>
      <c r="FI38" s="164"/>
      <c r="FJ38" s="164"/>
      <c r="FK38" s="164"/>
      <c r="FL38" s="164"/>
      <c r="FM38" s="164"/>
      <c r="FN38" s="164"/>
      <c r="FO38" s="164"/>
      <c r="FP38" s="164"/>
      <c r="FQ38" s="164"/>
      <c r="FR38" s="164"/>
      <c r="FS38" s="164"/>
      <c r="FT38" s="164"/>
      <c r="FU38" s="164"/>
      <c r="FV38" s="164"/>
      <c r="FW38" s="164"/>
      <c r="FX38" s="164"/>
      <c r="FY38" s="164"/>
      <c r="FZ38" s="164"/>
      <c r="GA38" s="164"/>
      <c r="GB38" s="164"/>
      <c r="GC38" s="164"/>
      <c r="GD38" s="164"/>
      <c r="GE38" s="164"/>
      <c r="GF38" s="164"/>
      <c r="GG38" s="164"/>
      <c r="GH38" s="164"/>
      <c r="GI38" s="164"/>
      <c r="GJ38" s="164"/>
    </row>
    <row r="39" spans="1:192" outlineLevel="1">
      <c r="A39" s="198">
        <f t="shared" si="5"/>
        <v>0</v>
      </c>
      <c r="B39" s="199">
        <f t="shared" si="6"/>
        <v>0</v>
      </c>
      <c r="C39" s="200" t="str">
        <f>原契約!A31</f>
        <v>26</v>
      </c>
      <c r="D39" s="225" t="str">
        <f>原契約!B31</f>
        <v>安裝廁所指標系統、拖把夾(連工帶料，責任施工)</v>
      </c>
      <c r="E39" s="162" t="str">
        <f>原契約!C31</f>
        <v>式</v>
      </c>
      <c r="F39" s="162">
        <f>原契約!D31</f>
        <v>1</v>
      </c>
      <c r="G39" s="162">
        <f>原契約!E31</f>
        <v>30000</v>
      </c>
      <c r="H39" s="162">
        <f>原契約!F31</f>
        <v>30000</v>
      </c>
      <c r="I39" s="21"/>
      <c r="J39" s="76">
        <f t="shared" si="7"/>
        <v>1.796004966552401E-2</v>
      </c>
      <c r="K39" s="76">
        <f>A39*G39/$H$47</f>
        <v>0</v>
      </c>
      <c r="L39" s="76">
        <f t="shared" si="20"/>
        <v>0</v>
      </c>
      <c r="BJ39" s="164"/>
      <c r="BK39" s="164"/>
      <c r="BL39" s="164"/>
      <c r="BM39" s="164"/>
      <c r="BN39" s="164"/>
      <c r="BO39" s="164"/>
      <c r="BP39" s="164"/>
      <c r="BQ39" s="164"/>
      <c r="BR39" s="164"/>
      <c r="BS39" s="164"/>
      <c r="BT39" s="164"/>
      <c r="BU39" s="164"/>
      <c r="BV39" s="164"/>
      <c r="BW39" s="164"/>
      <c r="BX39" s="164"/>
      <c r="BY39" s="164"/>
      <c r="BZ39" s="164"/>
      <c r="CA39" s="164"/>
      <c r="CB39" s="164"/>
      <c r="CC39" s="164"/>
      <c r="CD39" s="164"/>
      <c r="CE39" s="164"/>
      <c r="CF39" s="164"/>
      <c r="CG39" s="164"/>
      <c r="CH39" s="164"/>
      <c r="CI39" s="164"/>
      <c r="CJ39" s="164"/>
      <c r="CK39" s="164"/>
      <c r="CL39" s="164"/>
      <c r="CM39" s="164"/>
      <c r="CN39" s="164"/>
      <c r="CO39" s="164"/>
      <c r="CP39" s="164"/>
      <c r="CQ39" s="164"/>
      <c r="CR39" s="164"/>
      <c r="CS39" s="164"/>
      <c r="CT39" s="164"/>
      <c r="CU39" s="164"/>
      <c r="CV39" s="164"/>
      <c r="CW39" s="164"/>
      <c r="CX39" s="164"/>
      <c r="CY39" s="164"/>
      <c r="CZ39" s="164"/>
      <c r="DA39" s="164"/>
      <c r="DB39" s="164"/>
      <c r="DC39" s="164"/>
      <c r="DD39" s="164"/>
      <c r="DE39" s="164"/>
      <c r="DF39" s="164"/>
      <c r="DG39" s="164"/>
      <c r="DH39" s="164"/>
      <c r="DI39" s="164"/>
      <c r="DJ39" s="164"/>
      <c r="DK39" s="164"/>
      <c r="DL39" s="164"/>
      <c r="DM39" s="164"/>
      <c r="DN39" s="164"/>
      <c r="DO39" s="164"/>
      <c r="DP39" s="164"/>
      <c r="DQ39" s="164"/>
      <c r="DR39" s="164"/>
      <c r="DS39" s="164"/>
      <c r="DT39" s="164"/>
      <c r="DU39" s="164"/>
      <c r="DV39" s="164"/>
      <c r="DW39" s="164"/>
      <c r="DX39" s="164"/>
      <c r="DY39" s="164"/>
      <c r="DZ39" s="164"/>
      <c r="EA39" s="164"/>
      <c r="EB39" s="164"/>
      <c r="EC39" s="164"/>
      <c r="ED39" s="164"/>
      <c r="EE39" s="164"/>
      <c r="EF39" s="164"/>
      <c r="EG39" s="164"/>
      <c r="EH39" s="164"/>
      <c r="EI39" s="164"/>
      <c r="EJ39" s="164"/>
      <c r="EK39" s="164"/>
      <c r="EL39" s="164"/>
      <c r="EM39" s="164"/>
      <c r="EN39" s="164"/>
      <c r="EO39" s="164"/>
      <c r="EP39" s="164"/>
      <c r="EQ39" s="164"/>
      <c r="ER39" s="164"/>
      <c r="ES39" s="164"/>
      <c r="ET39" s="164"/>
      <c r="EU39" s="164"/>
      <c r="EV39" s="164"/>
      <c r="EW39" s="164"/>
      <c r="EX39" s="164"/>
      <c r="EY39" s="164"/>
      <c r="EZ39" s="164"/>
      <c r="FA39" s="164"/>
      <c r="FB39" s="164"/>
      <c r="FC39" s="164"/>
      <c r="FD39" s="164"/>
      <c r="FE39" s="164"/>
      <c r="FF39" s="164"/>
      <c r="FG39" s="164"/>
      <c r="FH39" s="164"/>
      <c r="FI39" s="164"/>
      <c r="FJ39" s="164"/>
      <c r="FK39" s="164"/>
      <c r="FL39" s="164"/>
      <c r="FM39" s="164"/>
      <c r="FN39" s="164"/>
      <c r="FO39" s="164"/>
      <c r="FP39" s="164"/>
      <c r="FQ39" s="164"/>
      <c r="FR39" s="164"/>
      <c r="FS39" s="164"/>
      <c r="FT39" s="164"/>
      <c r="FU39" s="164"/>
      <c r="FV39" s="164"/>
      <c r="FW39" s="164"/>
      <c r="FX39" s="164"/>
      <c r="FY39" s="164"/>
      <c r="FZ39" s="164"/>
      <c r="GA39" s="164"/>
      <c r="GB39" s="164"/>
      <c r="GC39" s="164"/>
      <c r="GD39" s="164"/>
      <c r="GE39" s="164"/>
      <c r="GF39" s="164"/>
      <c r="GG39" s="164"/>
      <c r="GH39" s="164"/>
      <c r="GI39" s="164"/>
      <c r="GJ39" s="164"/>
    </row>
    <row r="40" spans="1:192" outlineLevel="1">
      <c r="A40" s="198">
        <f t="shared" si="5"/>
        <v>0</v>
      </c>
      <c r="B40" s="199">
        <f t="shared" si="6"/>
        <v>0</v>
      </c>
      <c r="C40" s="200" t="str">
        <f>原契約!A32</f>
        <v>27</v>
      </c>
      <c r="D40" s="225" t="str">
        <f>原契約!B32</f>
        <v>牆面貼彩色花磚磁磚20*20cm，白色水泥勾縫(連工帶料)</v>
      </c>
      <c r="E40" s="162" t="str">
        <f>原契約!C32</f>
        <v>片</v>
      </c>
      <c r="F40" s="162">
        <f>原契約!D32</f>
        <v>104</v>
      </c>
      <c r="G40" s="162">
        <f>原契約!E32</f>
        <v>110</v>
      </c>
      <c r="H40" s="162">
        <f>原契約!F32</f>
        <v>11440</v>
      </c>
      <c r="I40" s="21"/>
      <c r="J40" s="76">
        <f t="shared" si="7"/>
        <v>6.8487656057864884E-3</v>
      </c>
      <c r="K40" s="76">
        <f t="shared" si="16"/>
        <v>0</v>
      </c>
      <c r="L40" s="76">
        <f t="shared" si="20"/>
        <v>0</v>
      </c>
      <c r="BJ40" s="164"/>
      <c r="BK40" s="164"/>
      <c r="BL40" s="164"/>
      <c r="BM40" s="164"/>
      <c r="BN40" s="164"/>
      <c r="BO40" s="164"/>
      <c r="BP40" s="164"/>
      <c r="BQ40" s="164"/>
      <c r="BR40" s="164"/>
      <c r="BS40" s="164"/>
      <c r="BT40" s="164"/>
      <c r="BU40" s="164"/>
      <c r="BV40" s="164"/>
      <c r="BW40" s="164"/>
      <c r="BX40" s="164"/>
      <c r="BY40" s="164"/>
      <c r="BZ40" s="164"/>
      <c r="CA40" s="164"/>
      <c r="CB40" s="164"/>
      <c r="CC40" s="164"/>
      <c r="CD40" s="164"/>
      <c r="CE40" s="164"/>
      <c r="CF40" s="164"/>
      <c r="CG40" s="164"/>
      <c r="CH40" s="164"/>
      <c r="CI40" s="164"/>
      <c r="CJ40" s="164"/>
      <c r="CK40" s="164"/>
      <c r="CL40" s="164"/>
      <c r="CM40" s="164"/>
      <c r="CN40" s="164"/>
      <c r="CO40" s="164"/>
      <c r="CP40" s="164"/>
      <c r="CQ40" s="164"/>
      <c r="CR40" s="164"/>
      <c r="CS40" s="164"/>
      <c r="CT40" s="164"/>
      <c r="CU40" s="164"/>
      <c r="CV40" s="164"/>
      <c r="CW40" s="164"/>
      <c r="CX40" s="164"/>
      <c r="CY40" s="164"/>
      <c r="CZ40" s="164"/>
      <c r="DA40" s="164"/>
      <c r="DB40" s="164"/>
      <c r="DC40" s="164"/>
      <c r="DD40" s="164"/>
      <c r="DE40" s="164"/>
      <c r="DF40" s="164"/>
      <c r="DG40" s="164"/>
      <c r="DH40" s="164"/>
      <c r="DI40" s="164"/>
      <c r="DJ40" s="164"/>
      <c r="DK40" s="164"/>
      <c r="DL40" s="164"/>
      <c r="DM40" s="164"/>
      <c r="DN40" s="164"/>
      <c r="DO40" s="164"/>
      <c r="DP40" s="164"/>
      <c r="DQ40" s="164"/>
      <c r="DR40" s="164"/>
      <c r="DS40" s="164"/>
      <c r="DT40" s="164"/>
      <c r="DU40" s="164"/>
      <c r="DV40" s="164"/>
      <c r="DW40" s="164"/>
      <c r="DX40" s="164"/>
      <c r="DY40" s="164"/>
      <c r="DZ40" s="164"/>
      <c r="EA40" s="164"/>
      <c r="EB40" s="164"/>
      <c r="EC40" s="164"/>
      <c r="ED40" s="164"/>
      <c r="EE40" s="164"/>
      <c r="EF40" s="164"/>
      <c r="EG40" s="164"/>
      <c r="EH40" s="164"/>
      <c r="EI40" s="164"/>
      <c r="EJ40" s="164"/>
      <c r="EK40" s="164"/>
      <c r="EL40" s="164"/>
      <c r="EM40" s="164"/>
      <c r="EN40" s="164"/>
      <c r="EO40" s="164"/>
      <c r="EP40" s="164"/>
      <c r="EQ40" s="164"/>
      <c r="ER40" s="164"/>
      <c r="ES40" s="164"/>
      <c r="ET40" s="164"/>
      <c r="EU40" s="164"/>
      <c r="EV40" s="164"/>
      <c r="EW40" s="164"/>
      <c r="EX40" s="164"/>
      <c r="EY40" s="164"/>
      <c r="EZ40" s="164"/>
      <c r="FA40" s="164"/>
      <c r="FB40" s="164"/>
      <c r="FC40" s="164"/>
      <c r="FD40" s="164"/>
      <c r="FE40" s="164"/>
      <c r="FF40" s="164"/>
      <c r="FG40" s="164"/>
      <c r="FH40" s="164"/>
      <c r="FI40" s="164"/>
      <c r="FJ40" s="164"/>
      <c r="FK40" s="164"/>
      <c r="FL40" s="164"/>
      <c r="FM40" s="164"/>
      <c r="FN40" s="164"/>
      <c r="FO40" s="164"/>
      <c r="FP40" s="164"/>
      <c r="FQ40" s="164"/>
      <c r="FR40" s="164"/>
      <c r="FS40" s="164"/>
      <c r="FT40" s="164"/>
      <c r="FU40" s="164"/>
      <c r="FV40" s="164"/>
      <c r="FW40" s="164"/>
      <c r="FX40" s="164"/>
      <c r="FY40" s="164"/>
      <c r="FZ40" s="164"/>
      <c r="GA40" s="164"/>
      <c r="GB40" s="164"/>
      <c r="GC40" s="164"/>
      <c r="GD40" s="164"/>
      <c r="GE40" s="164"/>
      <c r="GF40" s="164"/>
      <c r="GG40" s="164"/>
      <c r="GH40" s="164"/>
      <c r="GI40" s="164"/>
      <c r="GJ40" s="164"/>
    </row>
    <row r="41" spans="1:192" outlineLevel="1">
      <c r="A41" s="198">
        <f t="shared" si="5"/>
        <v>0</v>
      </c>
      <c r="B41" s="166">
        <f t="shared" si="6"/>
        <v>0</v>
      </c>
      <c r="C41" s="200" t="str">
        <f>原契約!A33</f>
        <v>28</v>
      </c>
      <c r="D41" s="225" t="str">
        <f>原契約!B33</f>
        <v>門窗工程與雜項工程</v>
      </c>
      <c r="E41" s="162" t="str">
        <f>原契約!C33</f>
        <v>式</v>
      </c>
      <c r="F41" s="162">
        <f>原契約!D33</f>
        <v>1</v>
      </c>
      <c r="G41" s="162">
        <f>原契約!E33</f>
        <v>39500</v>
      </c>
      <c r="H41" s="162">
        <f>原契約!F33</f>
        <v>39500</v>
      </c>
      <c r="I41" s="21"/>
      <c r="J41" s="76">
        <f t="shared" si="7"/>
        <v>2.3647398726273278E-2</v>
      </c>
      <c r="K41" s="76">
        <f t="shared" si="16"/>
        <v>0</v>
      </c>
      <c r="L41" s="76">
        <f t="shared" si="20"/>
        <v>0</v>
      </c>
      <c r="BJ41" s="164"/>
      <c r="BK41" s="164"/>
      <c r="BL41" s="164"/>
      <c r="BM41" s="164"/>
      <c r="BN41" s="164"/>
      <c r="BO41" s="164"/>
      <c r="BP41" s="164"/>
      <c r="BQ41" s="164"/>
      <c r="BR41" s="164"/>
      <c r="BS41" s="164"/>
      <c r="BT41" s="164"/>
      <c r="BU41" s="164"/>
      <c r="BV41" s="164"/>
      <c r="BW41" s="164"/>
      <c r="BX41" s="164"/>
      <c r="BY41" s="164"/>
      <c r="BZ41" s="164"/>
      <c r="CA41" s="164"/>
      <c r="CB41" s="164"/>
      <c r="CC41" s="164"/>
      <c r="CD41" s="164"/>
      <c r="CE41" s="164"/>
      <c r="CF41" s="164"/>
      <c r="CG41" s="164"/>
      <c r="CH41" s="164"/>
      <c r="CI41" s="164"/>
      <c r="CJ41" s="164"/>
      <c r="CK41" s="164"/>
      <c r="CL41" s="164"/>
      <c r="CM41" s="164"/>
      <c r="CN41" s="164"/>
      <c r="CO41" s="164"/>
      <c r="CP41" s="164"/>
      <c r="CQ41" s="164"/>
      <c r="CR41" s="164"/>
      <c r="CS41" s="164"/>
      <c r="CT41" s="164"/>
      <c r="CU41" s="164"/>
      <c r="CV41" s="164"/>
      <c r="CW41" s="164"/>
      <c r="CX41" s="164"/>
      <c r="CY41" s="164"/>
      <c r="CZ41" s="164"/>
      <c r="DA41" s="164"/>
      <c r="DB41" s="164"/>
      <c r="DC41" s="164"/>
      <c r="DD41" s="164"/>
      <c r="DE41" s="164"/>
      <c r="DF41" s="164"/>
      <c r="DG41" s="164"/>
      <c r="DH41" s="164"/>
      <c r="DI41" s="164"/>
      <c r="DJ41" s="164"/>
      <c r="DK41" s="164"/>
      <c r="DL41" s="164"/>
      <c r="DM41" s="164"/>
      <c r="DN41" s="164"/>
      <c r="DO41" s="164"/>
      <c r="DP41" s="164"/>
      <c r="DQ41" s="164"/>
      <c r="DR41" s="164"/>
      <c r="DS41" s="164"/>
      <c r="DT41" s="164"/>
      <c r="DU41" s="164"/>
      <c r="DV41" s="164"/>
      <c r="DW41" s="164"/>
      <c r="DX41" s="164"/>
      <c r="DY41" s="164"/>
      <c r="DZ41" s="164"/>
      <c r="EA41" s="164"/>
      <c r="EB41" s="164"/>
      <c r="EC41" s="164"/>
      <c r="ED41" s="164"/>
      <c r="EE41" s="164"/>
      <c r="EF41" s="164"/>
      <c r="EG41" s="164"/>
      <c r="EH41" s="164"/>
      <c r="EI41" s="164"/>
      <c r="EJ41" s="164"/>
      <c r="EK41" s="164"/>
      <c r="EL41" s="164"/>
      <c r="EM41" s="164"/>
      <c r="EN41" s="164"/>
      <c r="EO41" s="164"/>
      <c r="EP41" s="164"/>
      <c r="EQ41" s="164"/>
      <c r="ER41" s="164"/>
      <c r="ES41" s="164"/>
      <c r="ET41" s="164"/>
      <c r="EU41" s="164"/>
      <c r="EV41" s="164"/>
      <c r="EW41" s="164"/>
      <c r="EX41" s="164"/>
      <c r="EY41" s="164"/>
      <c r="EZ41" s="164"/>
      <c r="FA41" s="164"/>
      <c r="FB41" s="164"/>
      <c r="FC41" s="164"/>
      <c r="FD41" s="164"/>
      <c r="FE41" s="164"/>
      <c r="FF41" s="164"/>
      <c r="FG41" s="164"/>
      <c r="FH41" s="164"/>
      <c r="FI41" s="164"/>
      <c r="FJ41" s="164"/>
      <c r="FK41" s="164"/>
      <c r="FL41" s="164"/>
      <c r="FM41" s="164"/>
      <c r="FN41" s="164"/>
      <c r="FO41" s="164"/>
      <c r="FP41" s="164"/>
      <c r="FQ41" s="164"/>
      <c r="FR41" s="164"/>
      <c r="FS41" s="164"/>
      <c r="FT41" s="164"/>
      <c r="FU41" s="164"/>
      <c r="FV41" s="164"/>
      <c r="FW41" s="164"/>
      <c r="FX41" s="164"/>
      <c r="FY41" s="164"/>
      <c r="FZ41" s="164"/>
      <c r="GA41" s="164"/>
      <c r="GB41" s="164"/>
      <c r="GC41" s="164"/>
      <c r="GD41" s="164"/>
      <c r="GE41" s="164"/>
      <c r="GF41" s="164"/>
      <c r="GG41" s="164"/>
      <c r="GH41" s="164"/>
      <c r="GI41" s="164"/>
      <c r="GJ41" s="164"/>
    </row>
    <row r="42" spans="1:192" s="202" customFormat="1" outlineLevel="1">
      <c r="A42" s="198">
        <f t="shared" si="5"/>
        <v>8.1000000000000003E-2</v>
      </c>
      <c r="B42" s="199">
        <f t="shared" si="6"/>
        <v>0.24299999999999999</v>
      </c>
      <c r="C42" s="200" t="str">
        <f>原契約!A34</f>
        <v>二</v>
      </c>
      <c r="D42" s="225" t="str">
        <f>原契約!B34</f>
        <v>職業安全衛生管理費(壹*1%)</v>
      </c>
      <c r="E42" s="162" t="str">
        <f>原契約!C34</f>
        <v>式</v>
      </c>
      <c r="F42" s="162">
        <f>原契約!D34</f>
        <v>1</v>
      </c>
      <c r="G42" s="162">
        <f>原契約!E34</f>
        <v>14544</v>
      </c>
      <c r="H42" s="162">
        <f>原契約!F34</f>
        <v>14544</v>
      </c>
      <c r="I42" s="199"/>
      <c r="J42" s="76">
        <f t="shared" si="7"/>
        <v>8.7070320778460386E-3</v>
      </c>
      <c r="K42" s="76">
        <f t="shared" si="16"/>
        <v>7.0526959830552927E-4</v>
      </c>
      <c r="L42" s="76">
        <f t="shared" si="20"/>
        <v>2.1158087949165877E-3</v>
      </c>
      <c r="M42"/>
      <c r="N42"/>
      <c r="O42"/>
      <c r="P42"/>
      <c r="Q42"/>
      <c r="R42"/>
      <c r="S42"/>
      <c r="T42"/>
      <c r="U42"/>
      <c r="V42"/>
      <c r="W42"/>
      <c r="X42"/>
      <c r="Y42"/>
      <c r="Z42"/>
      <c r="AA42"/>
      <c r="AB42"/>
      <c r="AC42" s="234">
        <v>8.1000000000000003E-2</v>
      </c>
      <c r="AD42"/>
      <c r="AE42"/>
      <c r="AF42"/>
      <c r="AG42"/>
      <c r="AH42"/>
      <c r="AI42"/>
      <c r="AJ42"/>
      <c r="AK42"/>
      <c r="AL42"/>
      <c r="AM42"/>
      <c r="AN42"/>
      <c r="AO42"/>
      <c r="AP42"/>
      <c r="AQ42"/>
      <c r="AR42"/>
      <c r="AS42"/>
      <c r="AT42"/>
      <c r="AU42"/>
      <c r="AV42"/>
      <c r="AW42"/>
      <c r="AX42"/>
      <c r="AY42"/>
      <c r="AZ42"/>
      <c r="BA42"/>
      <c r="BB42"/>
      <c r="BC42"/>
      <c r="BD42"/>
      <c r="BE42"/>
      <c r="BF42"/>
      <c r="BG42"/>
      <c r="BH42" s="234">
        <v>8.1000000000000003E-2</v>
      </c>
      <c r="BI42"/>
      <c r="BJ42" s="164"/>
      <c r="BK42" s="164"/>
      <c r="BL42" s="164"/>
      <c r="BM42" s="164"/>
      <c r="BN42" s="164"/>
      <c r="BO42" s="164"/>
      <c r="BP42" s="164"/>
      <c r="BQ42" s="164"/>
      <c r="BR42" s="164"/>
      <c r="BS42" s="164"/>
      <c r="BT42" s="164"/>
      <c r="BU42" s="164"/>
      <c r="BV42" s="164"/>
      <c r="BW42" s="164"/>
      <c r="BX42" s="164"/>
      <c r="BY42" s="164"/>
      <c r="BZ42" s="164"/>
      <c r="CA42" s="164"/>
      <c r="CB42" s="164"/>
      <c r="CC42" s="164"/>
      <c r="CD42" s="164"/>
      <c r="CE42" s="164"/>
      <c r="CF42" s="164"/>
      <c r="CG42" s="164"/>
      <c r="CH42" s="164"/>
      <c r="CI42" s="164"/>
      <c r="CJ42" s="164"/>
      <c r="CK42" s="164"/>
      <c r="CL42" s="234">
        <v>8.1000000000000003E-2</v>
      </c>
      <c r="CM42" s="164"/>
      <c r="CN42" s="164"/>
      <c r="CO42" s="164"/>
      <c r="CP42" s="164"/>
      <c r="CQ42" s="164"/>
      <c r="CR42" s="164"/>
      <c r="CS42" s="164"/>
      <c r="CT42" s="164"/>
      <c r="CU42" s="164"/>
      <c r="CV42" s="164"/>
      <c r="CW42" s="164"/>
      <c r="CX42" s="164"/>
      <c r="CY42" s="164"/>
      <c r="CZ42" s="164"/>
      <c r="DA42" s="164"/>
      <c r="DB42" s="164"/>
      <c r="DC42" s="164"/>
      <c r="DD42" s="164"/>
      <c r="DE42" s="164"/>
      <c r="DF42" s="164"/>
      <c r="DG42" s="164"/>
      <c r="DH42" s="164"/>
      <c r="DI42" s="164"/>
      <c r="DJ42" s="164"/>
      <c r="DK42" s="164"/>
      <c r="DL42" s="164"/>
      <c r="DM42" s="164"/>
      <c r="DN42" s="164"/>
      <c r="DO42" s="164"/>
      <c r="DP42" s="164"/>
      <c r="DQ42" s="164"/>
      <c r="DR42" s="164"/>
      <c r="DS42" s="164"/>
      <c r="DT42" s="164"/>
      <c r="DU42" s="164"/>
      <c r="DV42" s="164"/>
      <c r="DW42" s="164"/>
      <c r="DX42" s="164"/>
      <c r="DY42" s="164"/>
      <c r="DZ42" s="164"/>
      <c r="EA42" s="164"/>
      <c r="EB42" s="164"/>
      <c r="EC42" s="164"/>
      <c r="ED42" s="164"/>
      <c r="EE42" s="164"/>
      <c r="EF42" s="164"/>
      <c r="EG42" s="164"/>
      <c r="EH42" s="164"/>
      <c r="EI42" s="164"/>
      <c r="EJ42" s="164"/>
      <c r="EK42" s="164"/>
      <c r="EL42" s="164"/>
      <c r="EM42" s="164"/>
      <c r="EN42" s="164"/>
      <c r="EO42" s="164"/>
      <c r="EP42" s="164"/>
      <c r="EQ42" s="164"/>
      <c r="ER42" s="164"/>
      <c r="ES42" s="164"/>
      <c r="ET42" s="164"/>
      <c r="EU42" s="164"/>
      <c r="EV42" s="164"/>
      <c r="EW42" s="164"/>
      <c r="EX42" s="164"/>
      <c r="EY42" s="164"/>
      <c r="EZ42" s="164"/>
      <c r="FA42" s="164"/>
      <c r="FB42" s="164"/>
      <c r="FC42" s="164"/>
      <c r="FD42" s="164"/>
      <c r="FE42" s="164"/>
      <c r="FF42" s="164"/>
      <c r="FG42" s="164"/>
      <c r="FH42" s="164"/>
      <c r="FI42" s="164"/>
      <c r="FJ42" s="164"/>
      <c r="FK42" s="164"/>
      <c r="FL42" s="164"/>
      <c r="FM42" s="164"/>
      <c r="FN42" s="164"/>
      <c r="FO42" s="164"/>
      <c r="FP42" s="164"/>
      <c r="FQ42" s="164"/>
      <c r="FR42" s="164"/>
      <c r="FS42" s="164"/>
      <c r="FT42" s="164"/>
      <c r="FU42" s="164"/>
      <c r="FV42" s="164"/>
      <c r="FW42" s="164"/>
      <c r="FX42" s="164"/>
      <c r="FY42" s="164"/>
      <c r="FZ42" s="164"/>
      <c r="GA42" s="164"/>
      <c r="GB42" s="164"/>
      <c r="GC42" s="164"/>
      <c r="GD42" s="164"/>
      <c r="GE42" s="164"/>
      <c r="GF42" s="164"/>
      <c r="GG42" s="164"/>
      <c r="GH42" s="164"/>
      <c r="GI42" s="164"/>
      <c r="GJ42" s="164"/>
    </row>
    <row r="43" spans="1:192" outlineLevel="1">
      <c r="A43" s="198">
        <f t="shared" si="5"/>
        <v>8.1000000000000003E-2</v>
      </c>
      <c r="B43" s="166">
        <f t="shared" si="6"/>
        <v>0.24299999999999999</v>
      </c>
      <c r="C43" s="200" t="str">
        <f>原契約!A35</f>
        <v>三</v>
      </c>
      <c r="D43" s="225" t="str">
        <f>原契約!B35</f>
        <v>公共工程品質管制作業費(壹*1%)</v>
      </c>
      <c r="E43" s="162" t="str">
        <f>原契約!C35</f>
        <v>式</v>
      </c>
      <c r="F43" s="162">
        <f>原契約!D35</f>
        <v>1</v>
      </c>
      <c r="G43" s="162">
        <f>原契約!E35</f>
        <v>14544</v>
      </c>
      <c r="H43" s="162">
        <f>原契約!F35</f>
        <v>14544</v>
      </c>
      <c r="I43" s="21"/>
      <c r="J43" s="76">
        <f t="shared" si="7"/>
        <v>8.7070320778460386E-3</v>
      </c>
      <c r="K43" s="76">
        <f t="shared" si="16"/>
        <v>7.0526959830552927E-4</v>
      </c>
      <c r="L43" s="76">
        <f t="shared" si="20"/>
        <v>2.1158087949165877E-3</v>
      </c>
      <c r="AC43" s="234">
        <v>8.1000000000000003E-2</v>
      </c>
      <c r="BH43" s="234">
        <v>8.1000000000000003E-2</v>
      </c>
      <c r="BJ43" s="164"/>
      <c r="BK43" s="164"/>
      <c r="BL43" s="164"/>
      <c r="BM43" s="164"/>
      <c r="BN43" s="164"/>
      <c r="BO43" s="164"/>
      <c r="BP43" s="164"/>
      <c r="BQ43" s="164"/>
      <c r="BR43" s="164"/>
      <c r="BS43" s="164"/>
      <c r="BT43" s="164"/>
      <c r="BU43" s="164"/>
      <c r="BV43" s="164"/>
      <c r="BW43" s="164"/>
      <c r="BX43" s="164"/>
      <c r="BY43" s="164"/>
      <c r="BZ43" s="164"/>
      <c r="CA43" s="164"/>
      <c r="CB43" s="164"/>
      <c r="CC43" s="164"/>
      <c r="CD43" s="164"/>
      <c r="CE43" s="164"/>
      <c r="CF43" s="164"/>
      <c r="CG43" s="164"/>
      <c r="CH43" s="164"/>
      <c r="CI43" s="164"/>
      <c r="CJ43" s="164"/>
      <c r="CK43" s="164"/>
      <c r="CL43" s="234">
        <v>8.1000000000000003E-2</v>
      </c>
      <c r="CM43" s="164"/>
      <c r="CN43" s="164"/>
      <c r="CO43" s="164"/>
      <c r="CP43" s="164"/>
      <c r="CQ43" s="164"/>
      <c r="CR43" s="164"/>
      <c r="CS43" s="164"/>
      <c r="CT43" s="164"/>
      <c r="CU43" s="164"/>
      <c r="CV43" s="164"/>
      <c r="CW43" s="164"/>
      <c r="CX43" s="164"/>
      <c r="CY43" s="164"/>
      <c r="CZ43" s="164"/>
      <c r="DA43" s="164"/>
      <c r="DB43" s="164"/>
      <c r="DC43" s="164"/>
      <c r="DD43" s="164"/>
      <c r="DE43" s="164"/>
      <c r="DF43" s="164"/>
      <c r="DG43" s="164"/>
      <c r="DH43" s="164"/>
      <c r="DI43" s="164"/>
      <c r="DJ43" s="164"/>
      <c r="DK43" s="164"/>
      <c r="DL43" s="164"/>
      <c r="DM43" s="164"/>
      <c r="DN43" s="164"/>
      <c r="DO43" s="164"/>
      <c r="DP43" s="164"/>
      <c r="DQ43" s="164"/>
      <c r="DR43" s="164"/>
      <c r="DS43" s="164"/>
      <c r="DT43" s="164"/>
      <c r="DU43" s="164"/>
      <c r="DV43" s="164"/>
      <c r="DW43" s="164"/>
      <c r="DX43" s="164"/>
      <c r="DY43" s="164"/>
      <c r="DZ43" s="164"/>
      <c r="EA43" s="164"/>
      <c r="EB43" s="164"/>
      <c r="EC43" s="164"/>
      <c r="ED43" s="164"/>
      <c r="EE43" s="164"/>
      <c r="EF43" s="164"/>
      <c r="EG43" s="164"/>
      <c r="EH43" s="164"/>
      <c r="EI43" s="164"/>
      <c r="EJ43" s="164"/>
      <c r="EK43" s="164"/>
      <c r="EL43" s="164"/>
      <c r="EM43" s="164"/>
      <c r="EN43" s="164"/>
      <c r="EO43" s="164"/>
      <c r="EP43" s="164"/>
      <c r="EQ43" s="164"/>
      <c r="ER43" s="164"/>
      <c r="ES43" s="164"/>
      <c r="ET43" s="164"/>
      <c r="EU43" s="164"/>
      <c r="EV43" s="164"/>
      <c r="EW43" s="164"/>
      <c r="EX43" s="164"/>
      <c r="EY43" s="164"/>
      <c r="EZ43" s="164"/>
      <c r="FA43" s="164"/>
      <c r="FB43" s="164"/>
      <c r="FC43" s="164"/>
      <c r="FD43" s="164"/>
      <c r="FE43" s="164"/>
      <c r="FF43" s="164"/>
      <c r="FG43" s="164"/>
      <c r="FH43" s="164"/>
      <c r="FI43" s="164"/>
      <c r="FJ43" s="164"/>
      <c r="FK43" s="164"/>
      <c r="FL43" s="164"/>
      <c r="FM43" s="164"/>
      <c r="FN43" s="164"/>
      <c r="FO43" s="164"/>
      <c r="FP43" s="164"/>
      <c r="FQ43" s="164"/>
      <c r="FR43" s="164"/>
      <c r="FS43" s="164"/>
      <c r="FT43" s="164"/>
      <c r="FU43" s="164"/>
      <c r="FV43" s="164"/>
      <c r="FW43" s="164"/>
      <c r="FX43" s="164"/>
      <c r="FY43" s="164"/>
      <c r="FZ43" s="164"/>
      <c r="GA43" s="164"/>
      <c r="GB43" s="164"/>
      <c r="GC43" s="164"/>
      <c r="GD43" s="164"/>
      <c r="GE43" s="164"/>
      <c r="GF43" s="164"/>
      <c r="GG43" s="164"/>
      <c r="GH43" s="164"/>
      <c r="GI43" s="164"/>
      <c r="GJ43" s="164"/>
    </row>
    <row r="44" spans="1:192" s="202" customFormat="1" outlineLevel="1">
      <c r="A44" s="198">
        <f t="shared" si="5"/>
        <v>0.02</v>
      </c>
      <c r="B44" s="199">
        <f t="shared" si="6"/>
        <v>0.60399999999999998</v>
      </c>
      <c r="C44" s="200" t="str">
        <f>原契約!A36</f>
        <v>四</v>
      </c>
      <c r="D44" s="225" t="str">
        <f>原契約!B36</f>
        <v>包商利潤及管理費(約壹*7%)</v>
      </c>
      <c r="E44" s="162" t="str">
        <f>原契約!C36</f>
        <v>式</v>
      </c>
      <c r="F44" s="162">
        <f>原契約!D36</f>
        <v>1</v>
      </c>
      <c r="G44" s="162">
        <f>原契約!E36</f>
        <v>101807</v>
      </c>
      <c r="H44" s="162">
        <f>原契約!F36</f>
        <v>101807</v>
      </c>
      <c r="I44" s="199"/>
      <c r="J44" s="76">
        <f t="shared" si="7"/>
        <v>6.094862587660009E-2</v>
      </c>
      <c r="K44" s="76">
        <f t="shared" si="16"/>
        <v>1.2189725175320019E-3</v>
      </c>
      <c r="L44" s="76">
        <f t="shared" si="20"/>
        <v>3.6812970029466457E-2</v>
      </c>
      <c r="M44"/>
      <c r="N44"/>
      <c r="O44"/>
      <c r="P44"/>
      <c r="Q44"/>
      <c r="R44"/>
      <c r="S44"/>
      <c r="T44"/>
      <c r="U44"/>
      <c r="V44"/>
      <c r="W44"/>
      <c r="X44"/>
      <c r="Y44"/>
      <c r="Z44"/>
      <c r="AA44"/>
      <c r="AB44"/>
      <c r="AC44" s="234">
        <v>0.57399999999999995</v>
      </c>
      <c r="AD44"/>
      <c r="AE44"/>
      <c r="AF44"/>
      <c r="AG44"/>
      <c r="AH44"/>
      <c r="AI44"/>
      <c r="AJ44"/>
      <c r="AK44"/>
      <c r="AL44"/>
      <c r="AM44"/>
      <c r="AN44"/>
      <c r="AO44"/>
      <c r="AP44"/>
      <c r="AQ44"/>
      <c r="AR44"/>
      <c r="AS44"/>
      <c r="AT44"/>
      <c r="AU44"/>
      <c r="AV44"/>
      <c r="AW44"/>
      <c r="AX44"/>
      <c r="AY44"/>
      <c r="AZ44"/>
      <c r="BA44"/>
      <c r="BB44"/>
      <c r="BC44"/>
      <c r="BD44"/>
      <c r="BE44"/>
      <c r="BF44"/>
      <c r="BG44"/>
      <c r="BH44" s="234">
        <v>0.01</v>
      </c>
      <c r="BI44"/>
      <c r="BJ44" s="164"/>
      <c r="BK44" s="164"/>
      <c r="BL44" s="164"/>
      <c r="BM44" s="164"/>
      <c r="BN44" s="164"/>
      <c r="BO44" s="164"/>
      <c r="BP44" s="164"/>
      <c r="BQ44" s="164"/>
      <c r="BR44" s="164"/>
      <c r="BS44" s="164"/>
      <c r="BT44" s="164"/>
      <c r="BU44" s="164"/>
      <c r="BV44" s="164"/>
      <c r="BW44" s="164"/>
      <c r="BX44" s="164"/>
      <c r="BY44" s="164"/>
      <c r="BZ44" s="164"/>
      <c r="CA44" s="164"/>
      <c r="CB44" s="164"/>
      <c r="CC44" s="164"/>
      <c r="CD44" s="164"/>
      <c r="CE44" s="164"/>
      <c r="CF44" s="164"/>
      <c r="CG44" s="164"/>
      <c r="CH44" s="164"/>
      <c r="CI44" s="164"/>
      <c r="CJ44" s="164"/>
      <c r="CK44" s="164"/>
      <c r="CL44" s="234">
        <v>0.02</v>
      </c>
      <c r="CM44" s="164"/>
      <c r="CN44" s="164"/>
      <c r="CO44" s="164"/>
      <c r="CP44" s="164"/>
      <c r="CQ44" s="164"/>
      <c r="CR44" s="164"/>
      <c r="CS44" s="164"/>
      <c r="CT44" s="164"/>
      <c r="CU44" s="164"/>
      <c r="CV44" s="164"/>
      <c r="CW44" s="164"/>
      <c r="CX44" s="164"/>
      <c r="CY44" s="164"/>
      <c r="CZ44" s="164"/>
      <c r="DA44" s="164"/>
      <c r="DB44" s="164"/>
      <c r="DC44" s="164"/>
      <c r="DD44" s="164"/>
      <c r="DE44" s="164"/>
      <c r="DF44" s="164"/>
      <c r="DG44" s="164"/>
      <c r="DH44" s="164"/>
      <c r="DI44" s="164"/>
      <c r="DJ44" s="164"/>
      <c r="DK44" s="164"/>
      <c r="DL44" s="164"/>
      <c r="DM44" s="164"/>
      <c r="DN44" s="164"/>
      <c r="DO44" s="164"/>
      <c r="DP44" s="164"/>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c r="FY44" s="164"/>
      <c r="FZ44" s="164"/>
      <c r="GA44" s="164"/>
      <c r="GB44" s="164"/>
      <c r="GC44" s="164"/>
      <c r="GD44" s="164"/>
      <c r="GE44" s="164"/>
      <c r="GF44" s="164"/>
      <c r="GG44" s="164"/>
      <c r="GH44" s="164"/>
      <c r="GI44" s="164"/>
      <c r="GJ44" s="164"/>
    </row>
    <row r="45" spans="1:192" outlineLevel="1">
      <c r="A45" s="198">
        <f t="shared" si="5"/>
        <v>0</v>
      </c>
      <c r="B45" s="199">
        <f t="shared" si="6"/>
        <v>1</v>
      </c>
      <c r="C45" s="200" t="str">
        <f>原契約!A37</f>
        <v>五</v>
      </c>
      <c r="D45" s="225" t="str">
        <f>原契約!B37</f>
        <v xml:space="preserve">營造綜合保險費 </v>
      </c>
      <c r="E45" s="162" t="str">
        <f>原契約!C37</f>
        <v>式</v>
      </c>
      <c r="F45" s="162">
        <f>原契約!D37</f>
        <v>1</v>
      </c>
      <c r="G45" s="162">
        <f>原契約!E37</f>
        <v>5548</v>
      </c>
      <c r="H45" s="162">
        <f>原契約!F37</f>
        <v>5548</v>
      </c>
      <c r="I45" s="21"/>
      <c r="J45" s="76">
        <f t="shared" si="7"/>
        <v>3.3214118514775732E-3</v>
      </c>
      <c r="K45" s="76">
        <f t="shared" si="16"/>
        <v>0</v>
      </c>
      <c r="L45" s="76">
        <f>B45*G45/$H$47</f>
        <v>3.3214118514775732E-3</v>
      </c>
      <c r="M45">
        <v>1</v>
      </c>
    </row>
    <row r="46" spans="1:192" outlineLevel="1">
      <c r="A46" s="198">
        <f t="shared" si="5"/>
        <v>0</v>
      </c>
      <c r="B46" s="199">
        <f t="shared" si="6"/>
        <v>0</v>
      </c>
      <c r="C46" s="200" t="str">
        <f>原契約!A38</f>
        <v>六</v>
      </c>
      <c r="D46" s="225" t="str">
        <f>原契約!B38</f>
        <v>營業稅((壹~伍)*5%)</v>
      </c>
      <c r="E46" s="162" t="str">
        <f>原契約!C38</f>
        <v>式</v>
      </c>
      <c r="F46" s="162">
        <f>原契約!D38</f>
        <v>1</v>
      </c>
      <c r="G46" s="162">
        <f>原契約!E38</f>
        <v>79542</v>
      </c>
      <c r="H46" s="162">
        <f>原契約!F38</f>
        <v>79542</v>
      </c>
      <c r="I46" s="21"/>
      <c r="J46" s="76">
        <f t="shared" si="7"/>
        <v>4.7619275683170356E-2</v>
      </c>
      <c r="K46" s="76">
        <f>A46*G46/$H$47</f>
        <v>0</v>
      </c>
      <c r="L46" s="76">
        <f>B46*G46/$H$47</f>
        <v>0</v>
      </c>
    </row>
    <row r="47" spans="1:192">
      <c r="D47" s="162" t="str">
        <f>原契約!B39</f>
        <v>合計</v>
      </c>
      <c r="E47" s="162"/>
      <c r="F47" s="162"/>
      <c r="G47" s="162"/>
      <c r="H47" s="197">
        <f>原契約!F39</f>
        <v>1670374</v>
      </c>
      <c r="J47" s="76">
        <f>H47/$H$47</f>
        <v>1</v>
      </c>
      <c r="K47" s="76">
        <f>SUM(K14:K46)</f>
        <v>2.6295117141430604E-3</v>
      </c>
      <c r="L47" s="76">
        <f>ROUND(SUM(L14:L46),4)</f>
        <v>0.27700000000000002</v>
      </c>
    </row>
    <row r="48" spans="1:192" ht="17.25" thickBot="1">
      <c r="A48" s="248" t="s">
        <v>380</v>
      </c>
      <c r="B48" s="249"/>
      <c r="C48" s="249"/>
      <c r="D48" s="249"/>
      <c r="E48" s="249"/>
      <c r="F48" s="249"/>
      <c r="G48" s="249"/>
      <c r="H48" s="249"/>
      <c r="I48" s="249"/>
      <c r="J48" s="249"/>
      <c r="K48" s="250"/>
      <c r="L48" s="76">
        <f>L47</f>
        <v>0.27700000000000002</v>
      </c>
    </row>
    <row r="49" spans="1:89" s="45" customFormat="1">
      <c r="A49" s="226"/>
      <c r="B49" s="196"/>
      <c r="C49" s="196"/>
      <c r="D49" s="227" t="s">
        <v>40</v>
      </c>
      <c r="E49" s="228"/>
      <c r="F49" s="229"/>
      <c r="G49" s="196"/>
      <c r="H49" s="196"/>
      <c r="I49" s="196"/>
      <c r="J49" s="196"/>
      <c r="K49" s="196"/>
    </row>
    <row r="50" spans="1:89" s="6" customFormat="1">
      <c r="A50" s="26">
        <f>SUMIF($M$1:$XFD$1,TEXT($L$1,"=0"),M50:XFD50)</f>
        <v>0</v>
      </c>
      <c r="B50" s="22">
        <f>SUMIF($M$1:$XFD$1,TEXT($L$1,"&lt;=0"),M50:XFD50)</f>
        <v>0</v>
      </c>
      <c r="C50" s="48"/>
      <c r="D50" s="156"/>
      <c r="E50" s="55"/>
      <c r="F50" s="56"/>
    </row>
    <row r="51" spans="1:89" s="52" customFormat="1" ht="17.25" thickBot="1">
      <c r="A51" s="26">
        <f>SUMIF($M$1:$XFD$1,TEXT($L$1,"=0"),M51:XFD51)</f>
        <v>0</v>
      </c>
      <c r="B51" s="49">
        <f>SUMIF($M$1:$XFD$1,TEXT($L$1,"&lt;=0"),M51:XFD51)</f>
        <v>0</v>
      </c>
      <c r="C51" s="50"/>
      <c r="D51" s="157"/>
      <c r="E51" s="57"/>
      <c r="F51" s="58"/>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row>
    <row r="52" spans="1:89" ht="17.25" thickBot="1">
      <c r="E52" s="46"/>
      <c r="F52" s="47"/>
    </row>
    <row r="53" spans="1:89" s="45" customFormat="1">
      <c r="A53" s="44"/>
      <c r="D53" s="141" t="s">
        <v>80</v>
      </c>
      <c r="E53" s="53"/>
      <c r="F53" s="54"/>
    </row>
    <row r="54" spans="1:89" s="6" customFormat="1">
      <c r="A54" s="61">
        <f>SUMIF($M$1:$XFD$1,TEXT($L$1,"=0"),M54:XFD54)</f>
        <v>0</v>
      </c>
      <c r="B54" s="62">
        <f>SUMIF($M$1:$XFD$1,TEXT($L$1,"&lt;=0"),M54:XFD54)</f>
        <v>0</v>
      </c>
      <c r="D54" s="158" t="s">
        <v>119</v>
      </c>
      <c r="E54" s="55"/>
      <c r="F54" s="56"/>
      <c r="M54" s="235"/>
    </row>
    <row r="55" spans="1:89" s="6" customFormat="1">
      <c r="A55" s="61">
        <f>SUMIF($M$1:$XFD$1,TEXT($L$1,"=0"),M55:XFD55)</f>
        <v>0</v>
      </c>
      <c r="B55" s="62">
        <f>SUMIF($M$1:$XFD$1,TEXT($L$1,"&lt;=0"),M55:XFD55)</f>
        <v>29</v>
      </c>
      <c r="D55" s="159" t="s">
        <v>139</v>
      </c>
      <c r="E55" s="55"/>
      <c r="F55" s="56"/>
      <c r="M55" s="235"/>
      <c r="W55" s="6">
        <v>6</v>
      </c>
      <c r="Y55" s="6">
        <v>4</v>
      </c>
      <c r="Z55" s="6">
        <v>4</v>
      </c>
      <c r="AA55" s="6">
        <v>4</v>
      </c>
      <c r="AB55" s="6">
        <v>4</v>
      </c>
      <c r="AC55" s="6">
        <v>4</v>
      </c>
      <c r="AD55" s="6">
        <v>3</v>
      </c>
    </row>
    <row r="56" spans="1:89" s="78" customFormat="1">
      <c r="A56" s="61">
        <f>SUMIF($M$1:$XFD$1,TEXT($L$1,"=0"),M56:XFD56)</f>
        <v>0</v>
      </c>
      <c r="B56" s="62">
        <f>SUMIF($M$1:$XFD$1,TEXT($L$1,"&lt;=0"),M56:XFD56)</f>
        <v>38</v>
      </c>
      <c r="D56" s="159" t="s">
        <v>122</v>
      </c>
      <c r="E56" s="79"/>
      <c r="F56" s="80"/>
      <c r="M56" s="224"/>
      <c r="AD56" s="78">
        <v>2</v>
      </c>
      <c r="BI56" s="78">
        <v>3</v>
      </c>
      <c r="BJ56" s="78">
        <v>3</v>
      </c>
      <c r="BK56" s="78">
        <v>3</v>
      </c>
      <c r="BL56" s="78">
        <v>3</v>
      </c>
      <c r="BP56" s="78">
        <v>3</v>
      </c>
      <c r="BQ56" s="78">
        <v>3</v>
      </c>
      <c r="BR56" s="78">
        <v>3</v>
      </c>
      <c r="BX56" s="78">
        <v>3</v>
      </c>
      <c r="BY56" s="78">
        <v>3</v>
      </c>
      <c r="CH56" s="78">
        <v>3</v>
      </c>
      <c r="CI56" s="78">
        <v>3</v>
      </c>
      <c r="CK56" s="78">
        <v>3</v>
      </c>
    </row>
    <row r="57" spans="1:89" s="78" customFormat="1" ht="15.6" customHeight="1">
      <c r="A57" s="146">
        <f>SUMIF($M$1:$XFD$1,TEXT($L$1,"=0"),M57:XFD57)</f>
        <v>0</v>
      </c>
      <c r="B57" s="147">
        <f>SUMIF($M$1:$XFD$1,TEXT($L$1,"&lt;=0"),M57:XFD57)</f>
        <v>16</v>
      </c>
      <c r="D57" s="159" t="s">
        <v>130</v>
      </c>
      <c r="E57" s="79"/>
      <c r="F57" s="80"/>
      <c r="M57" s="224"/>
      <c r="AG57" s="78">
        <v>1</v>
      </c>
      <c r="AH57" s="78">
        <v>2</v>
      </c>
      <c r="AQ57" s="78">
        <v>2</v>
      </c>
      <c r="AR57" s="78">
        <v>3</v>
      </c>
      <c r="AS57" s="78">
        <v>3</v>
      </c>
      <c r="AT57" s="78">
        <v>3</v>
      </c>
      <c r="AV57" s="78">
        <v>2</v>
      </c>
    </row>
    <row r="58" spans="1:89" s="6" customFormat="1" ht="15.6" customHeight="1">
      <c r="A58" s="146">
        <f>SUMIF($M$1:$XFD$1,TEXT($L$1,"=0"),M58:XFD58)</f>
        <v>0</v>
      </c>
      <c r="B58" s="62">
        <f>SUMIF($M$1:$XFD$1,TEXT($L$1,"&lt;=0"),M58:XFD58)</f>
        <v>8</v>
      </c>
      <c r="D58" s="160" t="s">
        <v>140</v>
      </c>
      <c r="E58" s="55"/>
      <c r="F58" s="56"/>
      <c r="P58" s="6">
        <v>1</v>
      </c>
      <c r="AH58" s="6">
        <v>1</v>
      </c>
      <c r="AM58" s="6">
        <v>2</v>
      </c>
      <c r="AN58" s="6">
        <v>2</v>
      </c>
      <c r="BH58" s="6">
        <v>2</v>
      </c>
    </row>
    <row r="59" spans="1:89" ht="17.25" thickBot="1">
      <c r="E59" s="46"/>
      <c r="F59" s="47"/>
    </row>
    <row r="60" spans="1:89" s="45" customFormat="1">
      <c r="A60" s="44"/>
      <c r="D60" s="141" t="s">
        <v>81</v>
      </c>
      <c r="E60" s="53"/>
      <c r="F60" s="54"/>
    </row>
    <row r="61" spans="1:89" s="6" customFormat="1">
      <c r="A61" s="61">
        <f>SUMIF($M$1:$XFD$1,TEXT($L$1,"=0"),M61:XFD61)</f>
        <v>0</v>
      </c>
      <c r="B61" s="62">
        <f>SUMIF($M$1:$XFD$1,TEXT($L$1,"&lt;=0"),M61:XFD61)</f>
        <v>0</v>
      </c>
      <c r="D61" s="158" t="s">
        <v>141</v>
      </c>
      <c r="E61" s="55"/>
      <c r="F61" s="56"/>
    </row>
    <row r="62" spans="1:89" s="6" customFormat="1">
      <c r="A62" s="61">
        <f>SUMIF($M$1:$XFD$1,TEXT($L$1,"=0"),M62:XFD62)</f>
        <v>0</v>
      </c>
      <c r="B62" s="62">
        <f>SUMIF($M$1:$XFD$1,TEXT($L$1,"&lt;=0"),M62:XFD62)</f>
        <v>0</v>
      </c>
      <c r="D62" s="158" t="s">
        <v>143</v>
      </c>
      <c r="E62" s="55"/>
      <c r="F62" s="56"/>
    </row>
    <row r="63" spans="1:89" s="78" customFormat="1">
      <c r="A63" s="61">
        <f>SUMIF($M$1:$XFD$1,TEXT($L$1,"=0"),M63:XFD63)</f>
        <v>0</v>
      </c>
      <c r="B63" s="62">
        <f>SUMIF($M$1:$XFD$1,TEXT($L$1,"&lt;=0"),M63:XFD63)</f>
        <v>0</v>
      </c>
      <c r="C63" s="6"/>
      <c r="D63" s="160" t="s">
        <v>142</v>
      </c>
      <c r="E63" s="55"/>
      <c r="F63" s="56"/>
      <c r="G63" s="6"/>
      <c r="H63" s="6"/>
      <c r="I63" s="6"/>
      <c r="J63" s="6"/>
      <c r="K63" s="6"/>
      <c r="L63" s="6"/>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row>
    <row r="64" spans="1:89" s="78" customFormat="1">
      <c r="A64" s="61">
        <f>SUMIF($M$1:$XFD$1,TEXT($L$1,"=0"),M64:XFD64)</f>
        <v>0</v>
      </c>
      <c r="B64" s="62">
        <f>SUMIF($M$1:$XFD$1,TEXT($L$1,"&lt;=0"),M64:XFD64)</f>
        <v>0</v>
      </c>
      <c r="C64" s="6"/>
      <c r="D64" s="160" t="s">
        <v>146</v>
      </c>
      <c r="E64" s="55"/>
      <c r="F64" s="56"/>
      <c r="G64" s="6"/>
      <c r="H64" s="6"/>
      <c r="I64" s="6"/>
      <c r="J64" s="6"/>
      <c r="K64" s="6"/>
      <c r="L64" s="6"/>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row>
    <row r="65" spans="1:61" ht="17.25" thickBot="1">
      <c r="D65" s="161"/>
      <c r="E65" s="46"/>
      <c r="F65" s="47"/>
    </row>
    <row r="66" spans="1:61" s="45" customFormat="1">
      <c r="A66" s="44"/>
      <c r="D66" s="141" t="s">
        <v>82</v>
      </c>
      <c r="E66" s="53"/>
      <c r="F66" s="54"/>
    </row>
    <row r="67" spans="1:61" s="6" customFormat="1">
      <c r="A67" s="26">
        <f>SUMIF($M$1:$XFD$1,TEXT($L$1,"=0"),M67:XFD67)</f>
        <v>0</v>
      </c>
      <c r="B67" s="22">
        <f>SUMIF($M$1:$XFD$1,TEXT($L$1,"&lt;=0"),M67:XFD67)</f>
        <v>0</v>
      </c>
      <c r="D67" s="158"/>
      <c r="E67" s="17"/>
      <c r="F67" s="56"/>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row>
    <row r="68" spans="1:61" s="6" customFormat="1">
      <c r="A68" s="26">
        <f>SUMIF($M$1:$XFD$1,TEXT($L$1,"=0"),M68:XFD68)</f>
        <v>0</v>
      </c>
      <c r="B68" s="22">
        <f>SUMIF($M$1:$XFD$1,TEXT($L$1,"&lt;=0"),M68:XFD68)</f>
        <v>0</v>
      </c>
      <c r="D68" s="158"/>
      <c r="E68" s="17"/>
      <c r="F68" s="56"/>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row>
    <row r="70" spans="1:61" s="98" customFormat="1">
      <c r="A70" s="242" t="s">
        <v>83</v>
      </c>
      <c r="B70" s="242"/>
      <c r="C70" s="242"/>
      <c r="D70" s="242"/>
      <c r="E70" s="101"/>
      <c r="F70" s="102"/>
      <c r="G70" s="102"/>
      <c r="H70" s="102"/>
      <c r="I70" s="102"/>
      <c r="J70" s="102"/>
      <c r="K70" s="102"/>
      <c r="L70" s="103"/>
    </row>
    <row r="71" spans="1:61" s="96" customFormat="1" ht="80.099999999999994" customHeight="1">
      <c r="A71" s="241">
        <f>HLOOKUP($L$1,$M$1:$XFD$71,ROW())</f>
        <v>0</v>
      </c>
      <c r="B71" s="241"/>
      <c r="C71" s="241"/>
      <c r="D71" s="241"/>
      <c r="E71" s="104"/>
      <c r="F71" s="105"/>
      <c r="G71" s="105"/>
      <c r="H71" s="105"/>
      <c r="I71" s="105"/>
      <c r="J71" s="105"/>
      <c r="K71" s="105"/>
      <c r="L71" s="106"/>
      <c r="M71" s="95"/>
      <c r="N71" s="95"/>
      <c r="O71" s="95"/>
      <c r="P71" s="95"/>
      <c r="Q71" s="95"/>
      <c r="R71" s="95"/>
      <c r="S71" s="95"/>
      <c r="T71" s="95"/>
      <c r="U71" s="95"/>
      <c r="V71" s="95"/>
      <c r="W71" s="95"/>
      <c r="X71" s="95"/>
      <c r="Y71" s="95"/>
      <c r="Z71" s="95"/>
      <c r="AA71" s="95"/>
      <c r="AB71" s="95"/>
      <c r="AC71" s="95"/>
      <c r="AD71" s="95"/>
      <c r="AE71" s="95"/>
      <c r="AF71" s="95"/>
      <c r="AG71" s="95"/>
      <c r="AH71" s="95"/>
      <c r="AI71" s="95"/>
      <c r="AJ71" s="95"/>
      <c r="AK71" s="95"/>
      <c r="AL71" s="95"/>
      <c r="AM71" s="95"/>
      <c r="AN71" s="95"/>
      <c r="AO71" s="95"/>
      <c r="AP71" s="95"/>
      <c r="AQ71" s="95"/>
      <c r="AR71" s="95"/>
      <c r="AS71" s="95"/>
      <c r="AT71" s="95"/>
      <c r="AU71" s="95"/>
      <c r="AV71" s="95"/>
      <c r="AW71" s="95"/>
    </row>
    <row r="72" spans="1:61" s="98" customFormat="1">
      <c r="A72" s="240" t="s">
        <v>84</v>
      </c>
      <c r="B72" s="243"/>
      <c r="C72" s="243"/>
      <c r="D72" s="243"/>
      <c r="E72" s="107"/>
      <c r="F72" s="108"/>
      <c r="G72" s="108"/>
      <c r="H72" s="108"/>
      <c r="I72" s="108"/>
      <c r="J72" s="108"/>
      <c r="K72" s="108"/>
      <c r="L72" s="109"/>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row>
    <row r="73" spans="1:61" s="96" customFormat="1" ht="80.099999999999994" customHeight="1">
      <c r="A73" s="239">
        <f>HLOOKUP($L$1,$M$1:$XFD$73,ROW())</f>
        <v>0</v>
      </c>
      <c r="B73" s="239"/>
      <c r="C73" s="239"/>
      <c r="D73" s="239"/>
      <c r="E73" s="104"/>
      <c r="F73" s="105"/>
      <c r="G73" s="105"/>
      <c r="H73" s="105"/>
      <c r="I73" s="105"/>
      <c r="J73" s="105"/>
      <c r="K73" s="105"/>
      <c r="L73" s="106"/>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5"/>
      <c r="AN73" s="95"/>
      <c r="AO73" s="95"/>
      <c r="AP73" s="95"/>
      <c r="AQ73" s="95"/>
      <c r="AR73" s="95"/>
      <c r="AS73" s="95"/>
      <c r="AT73" s="95"/>
      <c r="AU73" s="95"/>
      <c r="AV73" s="95"/>
      <c r="AW73" s="95"/>
    </row>
    <row r="74" spans="1:61" s="100" customFormat="1" ht="14.25">
      <c r="A74" s="240" t="s">
        <v>85</v>
      </c>
      <c r="B74" s="240"/>
      <c r="C74" s="240"/>
      <c r="D74" s="240"/>
      <c r="E74" s="110"/>
      <c r="F74" s="111"/>
      <c r="G74" s="111"/>
      <c r="H74" s="111"/>
      <c r="I74" s="111"/>
      <c r="J74" s="111"/>
      <c r="K74" s="111"/>
      <c r="L74" s="112"/>
      <c r="M74" s="99"/>
      <c r="N74" s="99"/>
      <c r="O74" s="99"/>
      <c r="P74" s="99"/>
      <c r="Q74" s="99"/>
      <c r="R74" s="99"/>
      <c r="S74" s="99"/>
      <c r="T74" s="99"/>
      <c r="U74" s="99"/>
      <c r="V74" s="99"/>
      <c r="W74" s="99"/>
      <c r="X74" s="99"/>
      <c r="Y74" s="99"/>
      <c r="Z74" s="99"/>
      <c r="AA74" s="99"/>
      <c r="AB74" s="99"/>
      <c r="AC74" s="99"/>
      <c r="AD74" s="99"/>
      <c r="AE74" s="99"/>
      <c r="AF74" s="99"/>
      <c r="AG74" s="99"/>
      <c r="AH74" s="99"/>
      <c r="AI74" s="99"/>
      <c r="AJ74" s="99"/>
      <c r="AK74" s="99"/>
      <c r="AL74" s="99"/>
      <c r="AM74" s="99"/>
      <c r="AN74" s="99"/>
      <c r="AO74" s="99"/>
      <c r="AP74" s="99"/>
      <c r="AQ74" s="99"/>
      <c r="AR74" s="99"/>
      <c r="AS74" s="99"/>
      <c r="AT74" s="99"/>
      <c r="AU74" s="99"/>
      <c r="AV74" s="99"/>
      <c r="AW74" s="99"/>
    </row>
    <row r="75" spans="1:61" s="96" customFormat="1" ht="80.099999999999994" customHeight="1">
      <c r="A75" s="241">
        <f>HLOOKUP($L$1,$M$1:$XFD$75,ROW())</f>
        <v>0</v>
      </c>
      <c r="B75" s="241"/>
      <c r="C75" s="241"/>
      <c r="D75" s="241"/>
      <c r="E75" s="104"/>
      <c r="F75" s="105"/>
      <c r="G75" s="105"/>
      <c r="H75" s="105"/>
      <c r="I75" s="105"/>
      <c r="J75" s="105"/>
      <c r="K75" s="105"/>
      <c r="L75" s="106"/>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5"/>
      <c r="AN75" s="95"/>
      <c r="AO75" s="95"/>
      <c r="AP75" s="95"/>
      <c r="AQ75" s="95"/>
      <c r="AR75" s="95"/>
      <c r="AS75" s="95"/>
      <c r="AT75" s="95"/>
      <c r="AU75" s="95"/>
      <c r="AV75" s="95"/>
      <c r="AW75" s="95"/>
    </row>
    <row r="76" spans="1:61" s="98" customFormat="1">
      <c r="A76" s="240" t="s">
        <v>86</v>
      </c>
      <c r="B76" s="240"/>
      <c r="C76" s="240"/>
      <c r="D76" s="240"/>
      <c r="E76" s="107"/>
      <c r="F76" s="108"/>
      <c r="G76" s="108"/>
      <c r="H76" s="108"/>
      <c r="I76" s="108"/>
      <c r="J76" s="108"/>
      <c r="K76" s="108"/>
      <c r="L76" s="109"/>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row>
    <row r="77" spans="1:61" s="96" customFormat="1" ht="80.099999999999994" customHeight="1">
      <c r="A77" s="239">
        <f>HLOOKUP($L$1,$M$1:$XFD$77,ROW())</f>
        <v>0</v>
      </c>
      <c r="B77" s="239"/>
      <c r="C77" s="239"/>
      <c r="D77" s="239"/>
      <c r="E77" s="104"/>
      <c r="F77" s="105"/>
      <c r="G77" s="105"/>
      <c r="H77" s="105"/>
      <c r="I77" s="105"/>
      <c r="J77" s="105"/>
      <c r="K77" s="105"/>
      <c r="L77" s="106"/>
      <c r="M77" s="95"/>
      <c r="N77" s="95"/>
      <c r="O77" s="95"/>
      <c r="P77" s="95"/>
      <c r="Q77" s="95"/>
      <c r="R77" s="95"/>
      <c r="S77" s="95"/>
      <c r="T77" s="95"/>
      <c r="U77" s="95"/>
      <c r="V77" s="95"/>
      <c r="W77" s="95"/>
      <c r="X77" s="95"/>
      <c r="Y77" s="95"/>
      <c r="Z77" s="95"/>
      <c r="AA77" s="95"/>
      <c r="AB77" s="95"/>
      <c r="AC77" s="95"/>
      <c r="AD77" s="95"/>
      <c r="AE77" s="95"/>
      <c r="AF77" s="95"/>
      <c r="AG77" s="95"/>
      <c r="AH77" s="95"/>
      <c r="AI77" s="95"/>
      <c r="AJ77" s="95"/>
      <c r="AK77" s="95"/>
      <c r="AL77" s="95"/>
      <c r="AM77" s="95"/>
      <c r="AN77" s="95"/>
      <c r="AO77" s="95"/>
      <c r="AP77" s="95"/>
      <c r="AQ77" s="95"/>
      <c r="AR77" s="95"/>
      <c r="AS77" s="95"/>
      <c r="AT77" s="95"/>
      <c r="AU77" s="95"/>
      <c r="AV77" s="95"/>
      <c r="AW77" s="95"/>
    </row>
    <row r="78" spans="1:61" s="98" customFormat="1">
      <c r="A78" s="240" t="s">
        <v>87</v>
      </c>
      <c r="B78" s="240"/>
      <c r="C78" s="240"/>
      <c r="D78" s="240"/>
      <c r="E78" s="107"/>
      <c r="F78" s="108"/>
      <c r="G78" s="108"/>
      <c r="H78" s="108"/>
      <c r="I78" s="108"/>
      <c r="J78" s="108"/>
      <c r="K78" s="108"/>
      <c r="L78" s="109"/>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row>
    <row r="79" spans="1:61" s="96" customFormat="1" ht="160.5" customHeight="1">
      <c r="A79" s="239">
        <f>HLOOKUP($L$1,$M$1:$XFD$79,ROW())</f>
        <v>0</v>
      </c>
      <c r="B79" s="239"/>
      <c r="C79" s="239"/>
      <c r="D79" s="239"/>
      <c r="E79" s="113"/>
      <c r="F79" s="114"/>
      <c r="G79" s="114"/>
      <c r="H79" s="114"/>
      <c r="I79" s="114"/>
      <c r="J79" s="114"/>
      <c r="K79" s="114"/>
      <c r="L79" s="115"/>
      <c r="M79" s="223" t="s">
        <v>379</v>
      </c>
      <c r="N79" s="167"/>
      <c r="O79" s="167"/>
      <c r="P79" s="167"/>
      <c r="Q79" s="167"/>
      <c r="R79" s="167"/>
      <c r="S79" s="167"/>
      <c r="T79" s="168"/>
      <c r="U79" s="168"/>
      <c r="V79" s="168"/>
      <c r="W79" s="167"/>
      <c r="X79" s="167"/>
      <c r="Y79" s="167"/>
      <c r="Z79" s="167"/>
      <c r="AA79" s="167"/>
      <c r="AB79" s="167"/>
      <c r="AC79" s="167"/>
      <c r="AD79" s="167"/>
      <c r="AE79" s="167"/>
      <c r="AF79" s="167"/>
      <c r="AG79" s="167"/>
      <c r="AH79" s="167"/>
      <c r="AI79" s="167"/>
      <c r="AJ79" s="167"/>
      <c r="AK79" s="167"/>
      <c r="AL79" s="167"/>
      <c r="AM79" s="168"/>
      <c r="AN79" s="127"/>
      <c r="AO79" s="167"/>
      <c r="AP79" s="167"/>
      <c r="AQ79" s="167"/>
      <c r="AR79" s="167"/>
      <c r="AS79" s="167"/>
      <c r="AT79" s="167"/>
      <c r="AU79" s="127"/>
      <c r="AV79" s="167"/>
      <c r="AW79" s="167"/>
      <c r="AX79" s="167"/>
      <c r="AY79" s="167"/>
      <c r="AZ79" s="167"/>
      <c r="BA79" s="167"/>
      <c r="BB79" s="167"/>
      <c r="BC79" s="127"/>
      <c r="BD79" s="127"/>
      <c r="BE79" s="127"/>
      <c r="BF79" s="127"/>
      <c r="BG79" s="127"/>
      <c r="BH79" s="127"/>
      <c r="BI79" s="127"/>
    </row>
    <row r="81" spans="13:49">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row>
  </sheetData>
  <mergeCells count="32">
    <mergeCell ref="J9:K9"/>
    <mergeCell ref="J4:K4"/>
    <mergeCell ref="K10:K11"/>
    <mergeCell ref="J8:K8"/>
    <mergeCell ref="J1:K1"/>
    <mergeCell ref="J2:K2"/>
    <mergeCell ref="J3:K3"/>
    <mergeCell ref="J5:K5"/>
    <mergeCell ref="J6:K6"/>
    <mergeCell ref="J7:K7"/>
    <mergeCell ref="E10:E11"/>
    <mergeCell ref="F10:F11"/>
    <mergeCell ref="G10:G11"/>
    <mergeCell ref="H10:H11"/>
    <mergeCell ref="L10:L11"/>
    <mergeCell ref="J10:J11"/>
    <mergeCell ref="E1:F2"/>
    <mergeCell ref="A79:D79"/>
    <mergeCell ref="A76:D76"/>
    <mergeCell ref="A78:D78"/>
    <mergeCell ref="A75:D75"/>
    <mergeCell ref="A77:D77"/>
    <mergeCell ref="A70:D70"/>
    <mergeCell ref="A71:D71"/>
    <mergeCell ref="A72:D72"/>
    <mergeCell ref="A73:D73"/>
    <mergeCell ref="A74:D74"/>
    <mergeCell ref="B10:B11"/>
    <mergeCell ref="A10:A11"/>
    <mergeCell ref="A48:K48"/>
    <mergeCell ref="I10:I11"/>
    <mergeCell ref="D10:D11"/>
  </mergeCells>
  <phoneticPr fontId="1" type="noConversion"/>
  <dataValidations count="1">
    <dataValidation type="list" allowBlank="1" showInputMessage="1" showErrorMessage="1" sqref="M7:GJ8">
      <formula1>"晴,陰,雨"</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工作表4">
    <tabColor rgb="FF00B0F0"/>
    <pageSetUpPr fitToPage="1"/>
  </sheetPr>
  <dimension ref="A1:Z235"/>
  <sheetViews>
    <sheetView tabSelected="1" view="pageBreakPreview" zoomScale="70" zoomScaleNormal="70" zoomScaleSheetLayoutView="70" workbookViewId="0">
      <selection activeCell="M36" sqref="M36:N36"/>
    </sheetView>
  </sheetViews>
  <sheetFormatPr defaultRowHeight="19.5" outlineLevelRow="1"/>
  <cols>
    <col min="1" max="1" width="11" style="41" customWidth="1"/>
    <col min="2" max="2" width="12.625" style="31" customWidth="1"/>
    <col min="3" max="3" width="9.125" style="31" customWidth="1"/>
    <col min="4" max="4" width="8.75" style="31" customWidth="1"/>
    <col min="5" max="5" width="5.625" style="31" customWidth="1"/>
    <col min="6" max="6" width="8" style="31" customWidth="1"/>
    <col min="7" max="7" width="11.125" style="31" customWidth="1"/>
    <col min="8" max="8" width="12.625" style="31" customWidth="1"/>
    <col min="9" max="9" width="18.5" style="31" customWidth="1"/>
    <col min="10" max="10" width="12" style="31" customWidth="1"/>
    <col min="11" max="11" width="15.25" style="31" customWidth="1"/>
    <col min="12" max="12" width="6.75" style="31" customWidth="1"/>
    <col min="13" max="13" width="11.625" style="31" customWidth="1"/>
    <col min="14" max="14" width="13.625" style="31" customWidth="1"/>
    <col min="15" max="15" width="18.125" style="31" customWidth="1"/>
    <col min="16" max="20" width="9" style="31"/>
    <col min="21" max="21" width="27.125" style="31" bestFit="1" customWidth="1"/>
    <col min="22" max="25" width="9" style="31"/>
    <col min="26" max="26" width="9" style="31" hidden="1" customWidth="1"/>
    <col min="27" max="256" width="9" style="31"/>
    <col min="257" max="257" width="11" style="31" customWidth="1"/>
    <col min="258" max="259" width="12.625" style="31" customWidth="1"/>
    <col min="260" max="260" width="10.625" style="31" customWidth="1"/>
    <col min="261" max="261" width="6.625" style="31" customWidth="1"/>
    <col min="262" max="262" width="12.875" style="31" customWidth="1"/>
    <col min="263" max="264" width="12.625" style="31" customWidth="1"/>
    <col min="265" max="265" width="17.625" style="31" customWidth="1"/>
    <col min="266" max="266" width="16.625" style="31" customWidth="1"/>
    <col min="267" max="267" width="15.25" style="31" customWidth="1"/>
    <col min="268" max="268" width="6.75" style="31" customWidth="1"/>
    <col min="269" max="269" width="11.625" style="31" customWidth="1"/>
    <col min="270" max="271" width="13.625" style="31" customWidth="1"/>
    <col min="272" max="281" width="9" style="31"/>
    <col min="282" max="282" width="0" style="31" hidden="1" customWidth="1"/>
    <col min="283" max="512" width="9" style="31"/>
    <col min="513" max="513" width="11" style="31" customWidth="1"/>
    <col min="514" max="515" width="12.625" style="31" customWidth="1"/>
    <col min="516" max="516" width="10.625" style="31" customWidth="1"/>
    <col min="517" max="517" width="6.625" style="31" customWidth="1"/>
    <col min="518" max="518" width="12.875" style="31" customWidth="1"/>
    <col min="519" max="520" width="12.625" style="31" customWidth="1"/>
    <col min="521" max="521" width="17.625" style="31" customWidth="1"/>
    <col min="522" max="522" width="16.625" style="31" customWidth="1"/>
    <col min="523" max="523" width="15.25" style="31" customWidth="1"/>
    <col min="524" max="524" width="6.75" style="31" customWidth="1"/>
    <col min="525" max="525" width="11.625" style="31" customWidth="1"/>
    <col min="526" max="527" width="13.625" style="31" customWidth="1"/>
    <col min="528" max="537" width="9" style="31"/>
    <col min="538" max="538" width="0" style="31" hidden="1" customWidth="1"/>
    <col min="539" max="768" width="9" style="31"/>
    <col min="769" max="769" width="11" style="31" customWidth="1"/>
    <col min="770" max="771" width="12.625" style="31" customWidth="1"/>
    <col min="772" max="772" width="10.625" style="31" customWidth="1"/>
    <col min="773" max="773" width="6.625" style="31" customWidth="1"/>
    <col min="774" max="774" width="12.875" style="31" customWidth="1"/>
    <col min="775" max="776" width="12.625" style="31" customWidth="1"/>
    <col min="777" max="777" width="17.625" style="31" customWidth="1"/>
    <col min="778" max="778" width="16.625" style="31" customWidth="1"/>
    <col min="779" max="779" width="15.25" style="31" customWidth="1"/>
    <col min="780" max="780" width="6.75" style="31" customWidth="1"/>
    <col min="781" max="781" width="11.625" style="31" customWidth="1"/>
    <col min="782" max="783" width="13.625" style="31" customWidth="1"/>
    <col min="784" max="793" width="9" style="31"/>
    <col min="794" max="794" width="0" style="31" hidden="1" customWidth="1"/>
    <col min="795" max="1024" width="9" style="31"/>
    <col min="1025" max="1025" width="11" style="31" customWidth="1"/>
    <col min="1026" max="1027" width="12.625" style="31" customWidth="1"/>
    <col min="1028" max="1028" width="10.625" style="31" customWidth="1"/>
    <col min="1029" max="1029" width="6.625" style="31" customWidth="1"/>
    <col min="1030" max="1030" width="12.875" style="31" customWidth="1"/>
    <col min="1031" max="1032" width="12.625" style="31" customWidth="1"/>
    <col min="1033" max="1033" width="17.625" style="31" customWidth="1"/>
    <col min="1034" max="1034" width="16.625" style="31" customWidth="1"/>
    <col min="1035" max="1035" width="15.25" style="31" customWidth="1"/>
    <col min="1036" max="1036" width="6.75" style="31" customWidth="1"/>
    <col min="1037" max="1037" width="11.625" style="31" customWidth="1"/>
    <col min="1038" max="1039" width="13.625" style="31" customWidth="1"/>
    <col min="1040" max="1049" width="9" style="31"/>
    <col min="1050" max="1050" width="0" style="31" hidden="1" customWidth="1"/>
    <col min="1051" max="1280" width="9" style="31"/>
    <col min="1281" max="1281" width="11" style="31" customWidth="1"/>
    <col min="1282" max="1283" width="12.625" style="31" customWidth="1"/>
    <col min="1284" max="1284" width="10.625" style="31" customWidth="1"/>
    <col min="1285" max="1285" width="6.625" style="31" customWidth="1"/>
    <col min="1286" max="1286" width="12.875" style="31" customWidth="1"/>
    <col min="1287" max="1288" width="12.625" style="31" customWidth="1"/>
    <col min="1289" max="1289" width="17.625" style="31" customWidth="1"/>
    <col min="1290" max="1290" width="16.625" style="31" customWidth="1"/>
    <col min="1291" max="1291" width="15.25" style="31" customWidth="1"/>
    <col min="1292" max="1292" width="6.75" style="31" customWidth="1"/>
    <col min="1293" max="1293" width="11.625" style="31" customWidth="1"/>
    <col min="1294" max="1295" width="13.625" style="31" customWidth="1"/>
    <col min="1296" max="1305" width="9" style="31"/>
    <col min="1306" max="1306" width="0" style="31" hidden="1" customWidth="1"/>
    <col min="1307" max="1536" width="9" style="31"/>
    <col min="1537" max="1537" width="11" style="31" customWidth="1"/>
    <col min="1538" max="1539" width="12.625" style="31" customWidth="1"/>
    <col min="1540" max="1540" width="10.625" style="31" customWidth="1"/>
    <col min="1541" max="1541" width="6.625" style="31" customWidth="1"/>
    <col min="1542" max="1542" width="12.875" style="31" customWidth="1"/>
    <col min="1543" max="1544" width="12.625" style="31" customWidth="1"/>
    <col min="1545" max="1545" width="17.625" style="31" customWidth="1"/>
    <col min="1546" max="1546" width="16.625" style="31" customWidth="1"/>
    <col min="1547" max="1547" width="15.25" style="31" customWidth="1"/>
    <col min="1548" max="1548" width="6.75" style="31" customWidth="1"/>
    <col min="1549" max="1549" width="11.625" style="31" customWidth="1"/>
    <col min="1550" max="1551" width="13.625" style="31" customWidth="1"/>
    <col min="1552" max="1561" width="9" style="31"/>
    <col min="1562" max="1562" width="0" style="31" hidden="1" customWidth="1"/>
    <col min="1563" max="1792" width="9" style="31"/>
    <col min="1793" max="1793" width="11" style="31" customWidth="1"/>
    <col min="1794" max="1795" width="12.625" style="31" customWidth="1"/>
    <col min="1796" max="1796" width="10.625" style="31" customWidth="1"/>
    <col min="1797" max="1797" width="6.625" style="31" customWidth="1"/>
    <col min="1798" max="1798" width="12.875" style="31" customWidth="1"/>
    <col min="1799" max="1800" width="12.625" style="31" customWidth="1"/>
    <col min="1801" max="1801" width="17.625" style="31" customWidth="1"/>
    <col min="1802" max="1802" width="16.625" style="31" customWidth="1"/>
    <col min="1803" max="1803" width="15.25" style="31" customWidth="1"/>
    <col min="1804" max="1804" width="6.75" style="31" customWidth="1"/>
    <col min="1805" max="1805" width="11.625" style="31" customWidth="1"/>
    <col min="1806" max="1807" width="13.625" style="31" customWidth="1"/>
    <col min="1808" max="1817" width="9" style="31"/>
    <col min="1818" max="1818" width="0" style="31" hidden="1" customWidth="1"/>
    <col min="1819" max="2048" width="9" style="31"/>
    <col min="2049" max="2049" width="11" style="31" customWidth="1"/>
    <col min="2050" max="2051" width="12.625" style="31" customWidth="1"/>
    <col min="2052" max="2052" width="10.625" style="31" customWidth="1"/>
    <col min="2053" max="2053" width="6.625" style="31" customWidth="1"/>
    <col min="2054" max="2054" width="12.875" style="31" customWidth="1"/>
    <col min="2055" max="2056" width="12.625" style="31" customWidth="1"/>
    <col min="2057" max="2057" width="17.625" style="31" customWidth="1"/>
    <col min="2058" max="2058" width="16.625" style="31" customWidth="1"/>
    <col min="2059" max="2059" width="15.25" style="31" customWidth="1"/>
    <col min="2060" max="2060" width="6.75" style="31" customWidth="1"/>
    <col min="2061" max="2061" width="11.625" style="31" customWidth="1"/>
    <col min="2062" max="2063" width="13.625" style="31" customWidth="1"/>
    <col min="2064" max="2073" width="9" style="31"/>
    <col min="2074" max="2074" width="0" style="31" hidden="1" customWidth="1"/>
    <col min="2075" max="2304" width="9" style="31"/>
    <col min="2305" max="2305" width="11" style="31" customWidth="1"/>
    <col min="2306" max="2307" width="12.625" style="31" customWidth="1"/>
    <col min="2308" max="2308" width="10.625" style="31" customWidth="1"/>
    <col min="2309" max="2309" width="6.625" style="31" customWidth="1"/>
    <col min="2310" max="2310" width="12.875" style="31" customWidth="1"/>
    <col min="2311" max="2312" width="12.625" style="31" customWidth="1"/>
    <col min="2313" max="2313" width="17.625" style="31" customWidth="1"/>
    <col min="2314" max="2314" width="16.625" style="31" customWidth="1"/>
    <col min="2315" max="2315" width="15.25" style="31" customWidth="1"/>
    <col min="2316" max="2316" width="6.75" style="31" customWidth="1"/>
    <col min="2317" max="2317" width="11.625" style="31" customWidth="1"/>
    <col min="2318" max="2319" width="13.625" style="31" customWidth="1"/>
    <col min="2320" max="2329" width="9" style="31"/>
    <col min="2330" max="2330" width="0" style="31" hidden="1" customWidth="1"/>
    <col min="2331" max="2560" width="9" style="31"/>
    <col min="2561" max="2561" width="11" style="31" customWidth="1"/>
    <col min="2562" max="2563" width="12.625" style="31" customWidth="1"/>
    <col min="2564" max="2564" width="10.625" style="31" customWidth="1"/>
    <col min="2565" max="2565" width="6.625" style="31" customWidth="1"/>
    <col min="2566" max="2566" width="12.875" style="31" customWidth="1"/>
    <col min="2567" max="2568" width="12.625" style="31" customWidth="1"/>
    <col min="2569" max="2569" width="17.625" style="31" customWidth="1"/>
    <col min="2570" max="2570" width="16.625" style="31" customWidth="1"/>
    <col min="2571" max="2571" width="15.25" style="31" customWidth="1"/>
    <col min="2572" max="2572" width="6.75" style="31" customWidth="1"/>
    <col min="2573" max="2573" width="11.625" style="31" customWidth="1"/>
    <col min="2574" max="2575" width="13.625" style="31" customWidth="1"/>
    <col min="2576" max="2585" width="9" style="31"/>
    <col min="2586" max="2586" width="0" style="31" hidden="1" customWidth="1"/>
    <col min="2587" max="2816" width="9" style="31"/>
    <col min="2817" max="2817" width="11" style="31" customWidth="1"/>
    <col min="2818" max="2819" width="12.625" style="31" customWidth="1"/>
    <col min="2820" max="2820" width="10.625" style="31" customWidth="1"/>
    <col min="2821" max="2821" width="6.625" style="31" customWidth="1"/>
    <col min="2822" max="2822" width="12.875" style="31" customWidth="1"/>
    <col min="2823" max="2824" width="12.625" style="31" customWidth="1"/>
    <col min="2825" max="2825" width="17.625" style="31" customWidth="1"/>
    <col min="2826" max="2826" width="16.625" style="31" customWidth="1"/>
    <col min="2827" max="2827" width="15.25" style="31" customWidth="1"/>
    <col min="2828" max="2828" width="6.75" style="31" customWidth="1"/>
    <col min="2829" max="2829" width="11.625" style="31" customWidth="1"/>
    <col min="2830" max="2831" width="13.625" style="31" customWidth="1"/>
    <col min="2832" max="2841" width="9" style="31"/>
    <col min="2842" max="2842" width="0" style="31" hidden="1" customWidth="1"/>
    <col min="2843" max="3072" width="9" style="31"/>
    <col min="3073" max="3073" width="11" style="31" customWidth="1"/>
    <col min="3074" max="3075" width="12.625" style="31" customWidth="1"/>
    <col min="3076" max="3076" width="10.625" style="31" customWidth="1"/>
    <col min="3077" max="3077" width="6.625" style="31" customWidth="1"/>
    <col min="3078" max="3078" width="12.875" style="31" customWidth="1"/>
    <col min="3079" max="3080" width="12.625" style="31" customWidth="1"/>
    <col min="3081" max="3081" width="17.625" style="31" customWidth="1"/>
    <col min="3082" max="3082" width="16.625" style="31" customWidth="1"/>
    <col min="3083" max="3083" width="15.25" style="31" customWidth="1"/>
    <col min="3084" max="3084" width="6.75" style="31" customWidth="1"/>
    <col min="3085" max="3085" width="11.625" style="31" customWidth="1"/>
    <col min="3086" max="3087" width="13.625" style="31" customWidth="1"/>
    <col min="3088" max="3097" width="9" style="31"/>
    <col min="3098" max="3098" width="0" style="31" hidden="1" customWidth="1"/>
    <col min="3099" max="3328" width="9" style="31"/>
    <col min="3329" max="3329" width="11" style="31" customWidth="1"/>
    <col min="3330" max="3331" width="12.625" style="31" customWidth="1"/>
    <col min="3332" max="3332" width="10.625" style="31" customWidth="1"/>
    <col min="3333" max="3333" width="6.625" style="31" customWidth="1"/>
    <col min="3334" max="3334" width="12.875" style="31" customWidth="1"/>
    <col min="3335" max="3336" width="12.625" style="31" customWidth="1"/>
    <col min="3337" max="3337" width="17.625" style="31" customWidth="1"/>
    <col min="3338" max="3338" width="16.625" style="31" customWidth="1"/>
    <col min="3339" max="3339" width="15.25" style="31" customWidth="1"/>
    <col min="3340" max="3340" width="6.75" style="31" customWidth="1"/>
    <col min="3341" max="3341" width="11.625" style="31" customWidth="1"/>
    <col min="3342" max="3343" width="13.625" style="31" customWidth="1"/>
    <col min="3344" max="3353" width="9" style="31"/>
    <col min="3354" max="3354" width="0" style="31" hidden="1" customWidth="1"/>
    <col min="3355" max="3584" width="9" style="31"/>
    <col min="3585" max="3585" width="11" style="31" customWidth="1"/>
    <col min="3586" max="3587" width="12.625" style="31" customWidth="1"/>
    <col min="3588" max="3588" width="10.625" style="31" customWidth="1"/>
    <col min="3589" max="3589" width="6.625" style="31" customWidth="1"/>
    <col min="3590" max="3590" width="12.875" style="31" customWidth="1"/>
    <col min="3591" max="3592" width="12.625" style="31" customWidth="1"/>
    <col min="3593" max="3593" width="17.625" style="31" customWidth="1"/>
    <col min="3594" max="3594" width="16.625" style="31" customWidth="1"/>
    <col min="3595" max="3595" width="15.25" style="31" customWidth="1"/>
    <col min="3596" max="3596" width="6.75" style="31" customWidth="1"/>
    <col min="3597" max="3597" width="11.625" style="31" customWidth="1"/>
    <col min="3598" max="3599" width="13.625" style="31" customWidth="1"/>
    <col min="3600" max="3609" width="9" style="31"/>
    <col min="3610" max="3610" width="0" style="31" hidden="1" customWidth="1"/>
    <col min="3611" max="3840" width="9" style="31"/>
    <col min="3841" max="3841" width="11" style="31" customWidth="1"/>
    <col min="3842" max="3843" width="12.625" style="31" customWidth="1"/>
    <col min="3844" max="3844" width="10.625" style="31" customWidth="1"/>
    <col min="3845" max="3845" width="6.625" style="31" customWidth="1"/>
    <col min="3846" max="3846" width="12.875" style="31" customWidth="1"/>
    <col min="3847" max="3848" width="12.625" style="31" customWidth="1"/>
    <col min="3849" max="3849" width="17.625" style="31" customWidth="1"/>
    <col min="3850" max="3850" width="16.625" style="31" customWidth="1"/>
    <col min="3851" max="3851" width="15.25" style="31" customWidth="1"/>
    <col min="3852" max="3852" width="6.75" style="31" customWidth="1"/>
    <col min="3853" max="3853" width="11.625" style="31" customWidth="1"/>
    <col min="3854" max="3855" width="13.625" style="31" customWidth="1"/>
    <col min="3856" max="3865" width="9" style="31"/>
    <col min="3866" max="3866" width="0" style="31" hidden="1" customWidth="1"/>
    <col min="3867" max="4096" width="9" style="31"/>
    <col min="4097" max="4097" width="11" style="31" customWidth="1"/>
    <col min="4098" max="4099" width="12.625" style="31" customWidth="1"/>
    <col min="4100" max="4100" width="10.625" style="31" customWidth="1"/>
    <col min="4101" max="4101" width="6.625" style="31" customWidth="1"/>
    <col min="4102" max="4102" width="12.875" style="31" customWidth="1"/>
    <col min="4103" max="4104" width="12.625" style="31" customWidth="1"/>
    <col min="4105" max="4105" width="17.625" style="31" customWidth="1"/>
    <col min="4106" max="4106" width="16.625" style="31" customWidth="1"/>
    <col min="4107" max="4107" width="15.25" style="31" customWidth="1"/>
    <col min="4108" max="4108" width="6.75" style="31" customWidth="1"/>
    <col min="4109" max="4109" width="11.625" style="31" customWidth="1"/>
    <col min="4110" max="4111" width="13.625" style="31" customWidth="1"/>
    <col min="4112" max="4121" width="9" style="31"/>
    <col min="4122" max="4122" width="0" style="31" hidden="1" customWidth="1"/>
    <col min="4123" max="4352" width="9" style="31"/>
    <col min="4353" max="4353" width="11" style="31" customWidth="1"/>
    <col min="4354" max="4355" width="12.625" style="31" customWidth="1"/>
    <col min="4356" max="4356" width="10.625" style="31" customWidth="1"/>
    <col min="4357" max="4357" width="6.625" style="31" customWidth="1"/>
    <col min="4358" max="4358" width="12.875" style="31" customWidth="1"/>
    <col min="4359" max="4360" width="12.625" style="31" customWidth="1"/>
    <col min="4361" max="4361" width="17.625" style="31" customWidth="1"/>
    <col min="4362" max="4362" width="16.625" style="31" customWidth="1"/>
    <col min="4363" max="4363" width="15.25" style="31" customWidth="1"/>
    <col min="4364" max="4364" width="6.75" style="31" customWidth="1"/>
    <col min="4365" max="4365" width="11.625" style="31" customWidth="1"/>
    <col min="4366" max="4367" width="13.625" style="31" customWidth="1"/>
    <col min="4368" max="4377" width="9" style="31"/>
    <col min="4378" max="4378" width="0" style="31" hidden="1" customWidth="1"/>
    <col min="4379" max="4608" width="9" style="31"/>
    <col min="4609" max="4609" width="11" style="31" customWidth="1"/>
    <col min="4610" max="4611" width="12.625" style="31" customWidth="1"/>
    <col min="4612" max="4612" width="10.625" style="31" customWidth="1"/>
    <col min="4613" max="4613" width="6.625" style="31" customWidth="1"/>
    <col min="4614" max="4614" width="12.875" style="31" customWidth="1"/>
    <col min="4615" max="4616" width="12.625" style="31" customWidth="1"/>
    <col min="4617" max="4617" width="17.625" style="31" customWidth="1"/>
    <col min="4618" max="4618" width="16.625" style="31" customWidth="1"/>
    <col min="4619" max="4619" width="15.25" style="31" customWidth="1"/>
    <col min="4620" max="4620" width="6.75" style="31" customWidth="1"/>
    <col min="4621" max="4621" width="11.625" style="31" customWidth="1"/>
    <col min="4622" max="4623" width="13.625" style="31" customWidth="1"/>
    <col min="4624" max="4633" width="9" style="31"/>
    <col min="4634" max="4634" width="0" style="31" hidden="1" customWidth="1"/>
    <col min="4635" max="4864" width="9" style="31"/>
    <col min="4865" max="4865" width="11" style="31" customWidth="1"/>
    <col min="4866" max="4867" width="12.625" style="31" customWidth="1"/>
    <col min="4868" max="4868" width="10.625" style="31" customWidth="1"/>
    <col min="4869" max="4869" width="6.625" style="31" customWidth="1"/>
    <col min="4870" max="4870" width="12.875" style="31" customWidth="1"/>
    <col min="4871" max="4872" width="12.625" style="31" customWidth="1"/>
    <col min="4873" max="4873" width="17.625" style="31" customWidth="1"/>
    <col min="4874" max="4874" width="16.625" style="31" customWidth="1"/>
    <col min="4875" max="4875" width="15.25" style="31" customWidth="1"/>
    <col min="4876" max="4876" width="6.75" style="31" customWidth="1"/>
    <col min="4877" max="4877" width="11.625" style="31" customWidth="1"/>
    <col min="4878" max="4879" width="13.625" style="31" customWidth="1"/>
    <col min="4880" max="4889" width="9" style="31"/>
    <col min="4890" max="4890" width="0" style="31" hidden="1" customWidth="1"/>
    <col min="4891" max="5120" width="9" style="31"/>
    <col min="5121" max="5121" width="11" style="31" customWidth="1"/>
    <col min="5122" max="5123" width="12.625" style="31" customWidth="1"/>
    <col min="5124" max="5124" width="10.625" style="31" customWidth="1"/>
    <col min="5125" max="5125" width="6.625" style="31" customWidth="1"/>
    <col min="5126" max="5126" width="12.875" style="31" customWidth="1"/>
    <col min="5127" max="5128" width="12.625" style="31" customWidth="1"/>
    <col min="5129" max="5129" width="17.625" style="31" customWidth="1"/>
    <col min="5130" max="5130" width="16.625" style="31" customWidth="1"/>
    <col min="5131" max="5131" width="15.25" style="31" customWidth="1"/>
    <col min="5132" max="5132" width="6.75" style="31" customWidth="1"/>
    <col min="5133" max="5133" width="11.625" style="31" customWidth="1"/>
    <col min="5134" max="5135" width="13.625" style="31" customWidth="1"/>
    <col min="5136" max="5145" width="9" style="31"/>
    <col min="5146" max="5146" width="0" style="31" hidden="1" customWidth="1"/>
    <col min="5147" max="5376" width="9" style="31"/>
    <col min="5377" max="5377" width="11" style="31" customWidth="1"/>
    <col min="5378" max="5379" width="12.625" style="31" customWidth="1"/>
    <col min="5380" max="5380" width="10.625" style="31" customWidth="1"/>
    <col min="5381" max="5381" width="6.625" style="31" customWidth="1"/>
    <col min="5382" max="5382" width="12.875" style="31" customWidth="1"/>
    <col min="5383" max="5384" width="12.625" style="31" customWidth="1"/>
    <col min="5385" max="5385" width="17.625" style="31" customWidth="1"/>
    <col min="5386" max="5386" width="16.625" style="31" customWidth="1"/>
    <col min="5387" max="5387" width="15.25" style="31" customWidth="1"/>
    <col min="5388" max="5388" width="6.75" style="31" customWidth="1"/>
    <col min="5389" max="5389" width="11.625" style="31" customWidth="1"/>
    <col min="5390" max="5391" width="13.625" style="31" customWidth="1"/>
    <col min="5392" max="5401" width="9" style="31"/>
    <col min="5402" max="5402" width="0" style="31" hidden="1" customWidth="1"/>
    <col min="5403" max="5632" width="9" style="31"/>
    <col min="5633" max="5633" width="11" style="31" customWidth="1"/>
    <col min="5634" max="5635" width="12.625" style="31" customWidth="1"/>
    <col min="5636" max="5636" width="10.625" style="31" customWidth="1"/>
    <col min="5637" max="5637" width="6.625" style="31" customWidth="1"/>
    <col min="5638" max="5638" width="12.875" style="31" customWidth="1"/>
    <col min="5639" max="5640" width="12.625" style="31" customWidth="1"/>
    <col min="5641" max="5641" width="17.625" style="31" customWidth="1"/>
    <col min="5642" max="5642" width="16.625" style="31" customWidth="1"/>
    <col min="5643" max="5643" width="15.25" style="31" customWidth="1"/>
    <col min="5644" max="5644" width="6.75" style="31" customWidth="1"/>
    <col min="5645" max="5645" width="11.625" style="31" customWidth="1"/>
    <col min="5646" max="5647" width="13.625" style="31" customWidth="1"/>
    <col min="5648" max="5657" width="9" style="31"/>
    <col min="5658" max="5658" width="0" style="31" hidden="1" customWidth="1"/>
    <col min="5659" max="5888" width="9" style="31"/>
    <col min="5889" max="5889" width="11" style="31" customWidth="1"/>
    <col min="5890" max="5891" width="12.625" style="31" customWidth="1"/>
    <col min="5892" max="5892" width="10.625" style="31" customWidth="1"/>
    <col min="5893" max="5893" width="6.625" style="31" customWidth="1"/>
    <col min="5894" max="5894" width="12.875" style="31" customWidth="1"/>
    <col min="5895" max="5896" width="12.625" style="31" customWidth="1"/>
    <col min="5897" max="5897" width="17.625" style="31" customWidth="1"/>
    <col min="5898" max="5898" width="16.625" style="31" customWidth="1"/>
    <col min="5899" max="5899" width="15.25" style="31" customWidth="1"/>
    <col min="5900" max="5900" width="6.75" style="31" customWidth="1"/>
    <col min="5901" max="5901" width="11.625" style="31" customWidth="1"/>
    <col min="5902" max="5903" width="13.625" style="31" customWidth="1"/>
    <col min="5904" max="5913" width="9" style="31"/>
    <col min="5914" max="5914" width="0" style="31" hidden="1" customWidth="1"/>
    <col min="5915" max="6144" width="9" style="31"/>
    <col min="6145" max="6145" width="11" style="31" customWidth="1"/>
    <col min="6146" max="6147" width="12.625" style="31" customWidth="1"/>
    <col min="6148" max="6148" width="10.625" style="31" customWidth="1"/>
    <col min="6149" max="6149" width="6.625" style="31" customWidth="1"/>
    <col min="6150" max="6150" width="12.875" style="31" customWidth="1"/>
    <col min="6151" max="6152" width="12.625" style="31" customWidth="1"/>
    <col min="6153" max="6153" width="17.625" style="31" customWidth="1"/>
    <col min="6154" max="6154" width="16.625" style="31" customWidth="1"/>
    <col min="6155" max="6155" width="15.25" style="31" customWidth="1"/>
    <col min="6156" max="6156" width="6.75" style="31" customWidth="1"/>
    <col min="6157" max="6157" width="11.625" style="31" customWidth="1"/>
    <col min="6158" max="6159" width="13.625" style="31" customWidth="1"/>
    <col min="6160" max="6169" width="9" style="31"/>
    <col min="6170" max="6170" width="0" style="31" hidden="1" customWidth="1"/>
    <col min="6171" max="6400" width="9" style="31"/>
    <col min="6401" max="6401" width="11" style="31" customWidth="1"/>
    <col min="6402" max="6403" width="12.625" style="31" customWidth="1"/>
    <col min="6404" max="6404" width="10.625" style="31" customWidth="1"/>
    <col min="6405" max="6405" width="6.625" style="31" customWidth="1"/>
    <col min="6406" max="6406" width="12.875" style="31" customWidth="1"/>
    <col min="6407" max="6408" width="12.625" style="31" customWidth="1"/>
    <col min="6409" max="6409" width="17.625" style="31" customWidth="1"/>
    <col min="6410" max="6410" width="16.625" style="31" customWidth="1"/>
    <col min="6411" max="6411" width="15.25" style="31" customWidth="1"/>
    <col min="6412" max="6412" width="6.75" style="31" customWidth="1"/>
    <col min="6413" max="6413" width="11.625" style="31" customWidth="1"/>
    <col min="6414" max="6415" width="13.625" style="31" customWidth="1"/>
    <col min="6416" max="6425" width="9" style="31"/>
    <col min="6426" max="6426" width="0" style="31" hidden="1" customWidth="1"/>
    <col min="6427" max="6656" width="9" style="31"/>
    <col min="6657" max="6657" width="11" style="31" customWidth="1"/>
    <col min="6658" max="6659" width="12.625" style="31" customWidth="1"/>
    <col min="6660" max="6660" width="10.625" style="31" customWidth="1"/>
    <col min="6661" max="6661" width="6.625" style="31" customWidth="1"/>
    <col min="6662" max="6662" width="12.875" style="31" customWidth="1"/>
    <col min="6663" max="6664" width="12.625" style="31" customWidth="1"/>
    <col min="6665" max="6665" width="17.625" style="31" customWidth="1"/>
    <col min="6666" max="6666" width="16.625" style="31" customWidth="1"/>
    <col min="6667" max="6667" width="15.25" style="31" customWidth="1"/>
    <col min="6668" max="6668" width="6.75" style="31" customWidth="1"/>
    <col min="6669" max="6669" width="11.625" style="31" customWidth="1"/>
    <col min="6670" max="6671" width="13.625" style="31" customWidth="1"/>
    <col min="6672" max="6681" width="9" style="31"/>
    <col min="6682" max="6682" width="0" style="31" hidden="1" customWidth="1"/>
    <col min="6683" max="6912" width="9" style="31"/>
    <col min="6913" max="6913" width="11" style="31" customWidth="1"/>
    <col min="6914" max="6915" width="12.625" style="31" customWidth="1"/>
    <col min="6916" max="6916" width="10.625" style="31" customWidth="1"/>
    <col min="6917" max="6917" width="6.625" style="31" customWidth="1"/>
    <col min="6918" max="6918" width="12.875" style="31" customWidth="1"/>
    <col min="6919" max="6920" width="12.625" style="31" customWidth="1"/>
    <col min="6921" max="6921" width="17.625" style="31" customWidth="1"/>
    <col min="6922" max="6922" width="16.625" style="31" customWidth="1"/>
    <col min="6923" max="6923" width="15.25" style="31" customWidth="1"/>
    <col min="6924" max="6924" width="6.75" style="31" customWidth="1"/>
    <col min="6925" max="6925" width="11.625" style="31" customWidth="1"/>
    <col min="6926" max="6927" width="13.625" style="31" customWidth="1"/>
    <col min="6928" max="6937" width="9" style="31"/>
    <col min="6938" max="6938" width="0" style="31" hidden="1" customWidth="1"/>
    <col min="6939" max="7168" width="9" style="31"/>
    <col min="7169" max="7169" width="11" style="31" customWidth="1"/>
    <col min="7170" max="7171" width="12.625" style="31" customWidth="1"/>
    <col min="7172" max="7172" width="10.625" style="31" customWidth="1"/>
    <col min="7173" max="7173" width="6.625" style="31" customWidth="1"/>
    <col min="7174" max="7174" width="12.875" style="31" customWidth="1"/>
    <col min="7175" max="7176" width="12.625" style="31" customWidth="1"/>
    <col min="7177" max="7177" width="17.625" style="31" customWidth="1"/>
    <col min="7178" max="7178" width="16.625" style="31" customWidth="1"/>
    <col min="7179" max="7179" width="15.25" style="31" customWidth="1"/>
    <col min="7180" max="7180" width="6.75" style="31" customWidth="1"/>
    <col min="7181" max="7181" width="11.625" style="31" customWidth="1"/>
    <col min="7182" max="7183" width="13.625" style="31" customWidth="1"/>
    <col min="7184" max="7193" width="9" style="31"/>
    <col min="7194" max="7194" width="0" style="31" hidden="1" customWidth="1"/>
    <col min="7195" max="7424" width="9" style="31"/>
    <col min="7425" max="7425" width="11" style="31" customWidth="1"/>
    <col min="7426" max="7427" width="12.625" style="31" customWidth="1"/>
    <col min="7428" max="7428" width="10.625" style="31" customWidth="1"/>
    <col min="7429" max="7429" width="6.625" style="31" customWidth="1"/>
    <col min="7430" max="7430" width="12.875" style="31" customWidth="1"/>
    <col min="7431" max="7432" width="12.625" style="31" customWidth="1"/>
    <col min="7433" max="7433" width="17.625" style="31" customWidth="1"/>
    <col min="7434" max="7434" width="16.625" style="31" customWidth="1"/>
    <col min="7435" max="7435" width="15.25" style="31" customWidth="1"/>
    <col min="7436" max="7436" width="6.75" style="31" customWidth="1"/>
    <col min="7437" max="7437" width="11.625" style="31" customWidth="1"/>
    <col min="7438" max="7439" width="13.625" style="31" customWidth="1"/>
    <col min="7440" max="7449" width="9" style="31"/>
    <col min="7450" max="7450" width="0" style="31" hidden="1" customWidth="1"/>
    <col min="7451" max="7680" width="9" style="31"/>
    <col min="7681" max="7681" width="11" style="31" customWidth="1"/>
    <col min="7682" max="7683" width="12.625" style="31" customWidth="1"/>
    <col min="7684" max="7684" width="10.625" style="31" customWidth="1"/>
    <col min="7685" max="7685" width="6.625" style="31" customWidth="1"/>
    <col min="7686" max="7686" width="12.875" style="31" customWidth="1"/>
    <col min="7687" max="7688" width="12.625" style="31" customWidth="1"/>
    <col min="7689" max="7689" width="17.625" style="31" customWidth="1"/>
    <col min="7690" max="7690" width="16.625" style="31" customWidth="1"/>
    <col min="7691" max="7691" width="15.25" style="31" customWidth="1"/>
    <col min="7692" max="7692" width="6.75" style="31" customWidth="1"/>
    <col min="7693" max="7693" width="11.625" style="31" customWidth="1"/>
    <col min="7694" max="7695" width="13.625" style="31" customWidth="1"/>
    <col min="7696" max="7705" width="9" style="31"/>
    <col min="7706" max="7706" width="0" style="31" hidden="1" customWidth="1"/>
    <col min="7707" max="7936" width="9" style="31"/>
    <col min="7937" max="7937" width="11" style="31" customWidth="1"/>
    <col min="7938" max="7939" width="12.625" style="31" customWidth="1"/>
    <col min="7940" max="7940" width="10.625" style="31" customWidth="1"/>
    <col min="7941" max="7941" width="6.625" style="31" customWidth="1"/>
    <col min="7942" max="7942" width="12.875" style="31" customWidth="1"/>
    <col min="7943" max="7944" width="12.625" style="31" customWidth="1"/>
    <col min="7945" max="7945" width="17.625" style="31" customWidth="1"/>
    <col min="7946" max="7946" width="16.625" style="31" customWidth="1"/>
    <col min="7947" max="7947" width="15.25" style="31" customWidth="1"/>
    <col min="7948" max="7948" width="6.75" style="31" customWidth="1"/>
    <col min="7949" max="7949" width="11.625" style="31" customWidth="1"/>
    <col min="7950" max="7951" width="13.625" style="31" customWidth="1"/>
    <col min="7952" max="7961" width="9" style="31"/>
    <col min="7962" max="7962" width="0" style="31" hidden="1" customWidth="1"/>
    <col min="7963" max="8192" width="9" style="31"/>
    <col min="8193" max="8193" width="11" style="31" customWidth="1"/>
    <col min="8194" max="8195" width="12.625" style="31" customWidth="1"/>
    <col min="8196" max="8196" width="10.625" style="31" customWidth="1"/>
    <col min="8197" max="8197" width="6.625" style="31" customWidth="1"/>
    <col min="8198" max="8198" width="12.875" style="31" customWidth="1"/>
    <col min="8199" max="8200" width="12.625" style="31" customWidth="1"/>
    <col min="8201" max="8201" width="17.625" style="31" customWidth="1"/>
    <col min="8202" max="8202" width="16.625" style="31" customWidth="1"/>
    <col min="8203" max="8203" width="15.25" style="31" customWidth="1"/>
    <col min="8204" max="8204" width="6.75" style="31" customWidth="1"/>
    <col min="8205" max="8205" width="11.625" style="31" customWidth="1"/>
    <col min="8206" max="8207" width="13.625" style="31" customWidth="1"/>
    <col min="8208" max="8217" width="9" style="31"/>
    <col min="8218" max="8218" width="0" style="31" hidden="1" customWidth="1"/>
    <col min="8219" max="8448" width="9" style="31"/>
    <col min="8449" max="8449" width="11" style="31" customWidth="1"/>
    <col min="8450" max="8451" width="12.625" style="31" customWidth="1"/>
    <col min="8452" max="8452" width="10.625" style="31" customWidth="1"/>
    <col min="8453" max="8453" width="6.625" style="31" customWidth="1"/>
    <col min="8454" max="8454" width="12.875" style="31" customWidth="1"/>
    <col min="8455" max="8456" width="12.625" style="31" customWidth="1"/>
    <col min="8457" max="8457" width="17.625" style="31" customWidth="1"/>
    <col min="8458" max="8458" width="16.625" style="31" customWidth="1"/>
    <col min="8459" max="8459" width="15.25" style="31" customWidth="1"/>
    <col min="8460" max="8460" width="6.75" style="31" customWidth="1"/>
    <col min="8461" max="8461" width="11.625" style="31" customWidth="1"/>
    <col min="8462" max="8463" width="13.625" style="31" customWidth="1"/>
    <col min="8464" max="8473" width="9" style="31"/>
    <col min="8474" max="8474" width="0" style="31" hidden="1" customWidth="1"/>
    <col min="8475" max="8704" width="9" style="31"/>
    <col min="8705" max="8705" width="11" style="31" customWidth="1"/>
    <col min="8706" max="8707" width="12.625" style="31" customWidth="1"/>
    <col min="8708" max="8708" width="10.625" style="31" customWidth="1"/>
    <col min="8709" max="8709" width="6.625" style="31" customWidth="1"/>
    <col min="8710" max="8710" width="12.875" style="31" customWidth="1"/>
    <col min="8711" max="8712" width="12.625" style="31" customWidth="1"/>
    <col min="8713" max="8713" width="17.625" style="31" customWidth="1"/>
    <col min="8714" max="8714" width="16.625" style="31" customWidth="1"/>
    <col min="8715" max="8715" width="15.25" style="31" customWidth="1"/>
    <col min="8716" max="8716" width="6.75" style="31" customWidth="1"/>
    <col min="8717" max="8717" width="11.625" style="31" customWidth="1"/>
    <col min="8718" max="8719" width="13.625" style="31" customWidth="1"/>
    <col min="8720" max="8729" width="9" style="31"/>
    <col min="8730" max="8730" width="0" style="31" hidden="1" customWidth="1"/>
    <col min="8731" max="8960" width="9" style="31"/>
    <col min="8961" max="8961" width="11" style="31" customWidth="1"/>
    <col min="8962" max="8963" width="12.625" style="31" customWidth="1"/>
    <col min="8964" max="8964" width="10.625" style="31" customWidth="1"/>
    <col min="8965" max="8965" width="6.625" style="31" customWidth="1"/>
    <col min="8966" max="8966" width="12.875" style="31" customWidth="1"/>
    <col min="8967" max="8968" width="12.625" style="31" customWidth="1"/>
    <col min="8969" max="8969" width="17.625" style="31" customWidth="1"/>
    <col min="8970" max="8970" width="16.625" style="31" customWidth="1"/>
    <col min="8971" max="8971" width="15.25" style="31" customWidth="1"/>
    <col min="8972" max="8972" width="6.75" style="31" customWidth="1"/>
    <col min="8973" max="8973" width="11.625" style="31" customWidth="1"/>
    <col min="8974" max="8975" width="13.625" style="31" customWidth="1"/>
    <col min="8976" max="8985" width="9" style="31"/>
    <col min="8986" max="8986" width="0" style="31" hidden="1" customWidth="1"/>
    <col min="8987" max="9216" width="9" style="31"/>
    <col min="9217" max="9217" width="11" style="31" customWidth="1"/>
    <col min="9218" max="9219" width="12.625" style="31" customWidth="1"/>
    <col min="9220" max="9220" width="10.625" style="31" customWidth="1"/>
    <col min="9221" max="9221" width="6.625" style="31" customWidth="1"/>
    <col min="9222" max="9222" width="12.875" style="31" customWidth="1"/>
    <col min="9223" max="9224" width="12.625" style="31" customWidth="1"/>
    <col min="9225" max="9225" width="17.625" style="31" customWidth="1"/>
    <col min="9226" max="9226" width="16.625" style="31" customWidth="1"/>
    <col min="9227" max="9227" width="15.25" style="31" customWidth="1"/>
    <col min="9228" max="9228" width="6.75" style="31" customWidth="1"/>
    <col min="9229" max="9229" width="11.625" style="31" customWidth="1"/>
    <col min="9230" max="9231" width="13.625" style="31" customWidth="1"/>
    <col min="9232" max="9241" width="9" style="31"/>
    <col min="9242" max="9242" width="0" style="31" hidden="1" customWidth="1"/>
    <col min="9243" max="9472" width="9" style="31"/>
    <col min="9473" max="9473" width="11" style="31" customWidth="1"/>
    <col min="9474" max="9475" width="12.625" style="31" customWidth="1"/>
    <col min="9476" max="9476" width="10.625" style="31" customWidth="1"/>
    <col min="9477" max="9477" width="6.625" style="31" customWidth="1"/>
    <col min="9478" max="9478" width="12.875" style="31" customWidth="1"/>
    <col min="9479" max="9480" width="12.625" style="31" customWidth="1"/>
    <col min="9481" max="9481" width="17.625" style="31" customWidth="1"/>
    <col min="9482" max="9482" width="16.625" style="31" customWidth="1"/>
    <col min="9483" max="9483" width="15.25" style="31" customWidth="1"/>
    <col min="9484" max="9484" width="6.75" style="31" customWidth="1"/>
    <col min="9485" max="9485" width="11.625" style="31" customWidth="1"/>
    <col min="9486" max="9487" width="13.625" style="31" customWidth="1"/>
    <col min="9488" max="9497" width="9" style="31"/>
    <col min="9498" max="9498" width="0" style="31" hidden="1" customWidth="1"/>
    <col min="9499" max="9728" width="9" style="31"/>
    <col min="9729" max="9729" width="11" style="31" customWidth="1"/>
    <col min="9730" max="9731" width="12.625" style="31" customWidth="1"/>
    <col min="9732" max="9732" width="10.625" style="31" customWidth="1"/>
    <col min="9733" max="9733" width="6.625" style="31" customWidth="1"/>
    <col min="9734" max="9734" width="12.875" style="31" customWidth="1"/>
    <col min="9735" max="9736" width="12.625" style="31" customWidth="1"/>
    <col min="9737" max="9737" width="17.625" style="31" customWidth="1"/>
    <col min="9738" max="9738" width="16.625" style="31" customWidth="1"/>
    <col min="9739" max="9739" width="15.25" style="31" customWidth="1"/>
    <col min="9740" max="9740" width="6.75" style="31" customWidth="1"/>
    <col min="9741" max="9741" width="11.625" style="31" customWidth="1"/>
    <col min="9742" max="9743" width="13.625" style="31" customWidth="1"/>
    <col min="9744" max="9753" width="9" style="31"/>
    <col min="9754" max="9754" width="0" style="31" hidden="1" customWidth="1"/>
    <col min="9755" max="9984" width="9" style="31"/>
    <col min="9985" max="9985" width="11" style="31" customWidth="1"/>
    <col min="9986" max="9987" width="12.625" style="31" customWidth="1"/>
    <col min="9988" max="9988" width="10.625" style="31" customWidth="1"/>
    <col min="9989" max="9989" width="6.625" style="31" customWidth="1"/>
    <col min="9990" max="9990" width="12.875" style="31" customWidth="1"/>
    <col min="9991" max="9992" width="12.625" style="31" customWidth="1"/>
    <col min="9993" max="9993" width="17.625" style="31" customWidth="1"/>
    <col min="9994" max="9994" width="16.625" style="31" customWidth="1"/>
    <col min="9995" max="9995" width="15.25" style="31" customWidth="1"/>
    <col min="9996" max="9996" width="6.75" style="31" customWidth="1"/>
    <col min="9997" max="9997" width="11.625" style="31" customWidth="1"/>
    <col min="9998" max="9999" width="13.625" style="31" customWidth="1"/>
    <col min="10000" max="10009" width="9" style="31"/>
    <col min="10010" max="10010" width="0" style="31" hidden="1" customWidth="1"/>
    <col min="10011" max="10240" width="9" style="31"/>
    <col min="10241" max="10241" width="11" style="31" customWidth="1"/>
    <col min="10242" max="10243" width="12.625" style="31" customWidth="1"/>
    <col min="10244" max="10244" width="10.625" style="31" customWidth="1"/>
    <col min="10245" max="10245" width="6.625" style="31" customWidth="1"/>
    <col min="10246" max="10246" width="12.875" style="31" customWidth="1"/>
    <col min="10247" max="10248" width="12.625" style="31" customWidth="1"/>
    <col min="10249" max="10249" width="17.625" style="31" customWidth="1"/>
    <col min="10250" max="10250" width="16.625" style="31" customWidth="1"/>
    <col min="10251" max="10251" width="15.25" style="31" customWidth="1"/>
    <col min="10252" max="10252" width="6.75" style="31" customWidth="1"/>
    <col min="10253" max="10253" width="11.625" style="31" customWidth="1"/>
    <col min="10254" max="10255" width="13.625" style="31" customWidth="1"/>
    <col min="10256" max="10265" width="9" style="31"/>
    <col min="10266" max="10266" width="0" style="31" hidden="1" customWidth="1"/>
    <col min="10267" max="10496" width="9" style="31"/>
    <col min="10497" max="10497" width="11" style="31" customWidth="1"/>
    <col min="10498" max="10499" width="12.625" style="31" customWidth="1"/>
    <col min="10500" max="10500" width="10.625" style="31" customWidth="1"/>
    <col min="10501" max="10501" width="6.625" style="31" customWidth="1"/>
    <col min="10502" max="10502" width="12.875" style="31" customWidth="1"/>
    <col min="10503" max="10504" width="12.625" style="31" customWidth="1"/>
    <col min="10505" max="10505" width="17.625" style="31" customWidth="1"/>
    <col min="10506" max="10506" width="16.625" style="31" customWidth="1"/>
    <col min="10507" max="10507" width="15.25" style="31" customWidth="1"/>
    <col min="10508" max="10508" width="6.75" style="31" customWidth="1"/>
    <col min="10509" max="10509" width="11.625" style="31" customWidth="1"/>
    <col min="10510" max="10511" width="13.625" style="31" customWidth="1"/>
    <col min="10512" max="10521" width="9" style="31"/>
    <col min="10522" max="10522" width="0" style="31" hidden="1" customWidth="1"/>
    <col min="10523" max="10752" width="9" style="31"/>
    <col min="10753" max="10753" width="11" style="31" customWidth="1"/>
    <col min="10754" max="10755" width="12.625" style="31" customWidth="1"/>
    <col min="10756" max="10756" width="10.625" style="31" customWidth="1"/>
    <col min="10757" max="10757" width="6.625" style="31" customWidth="1"/>
    <col min="10758" max="10758" width="12.875" style="31" customWidth="1"/>
    <col min="10759" max="10760" width="12.625" style="31" customWidth="1"/>
    <col min="10761" max="10761" width="17.625" style="31" customWidth="1"/>
    <col min="10762" max="10762" width="16.625" style="31" customWidth="1"/>
    <col min="10763" max="10763" width="15.25" style="31" customWidth="1"/>
    <col min="10764" max="10764" width="6.75" style="31" customWidth="1"/>
    <col min="10765" max="10765" width="11.625" style="31" customWidth="1"/>
    <col min="10766" max="10767" width="13.625" style="31" customWidth="1"/>
    <col min="10768" max="10777" width="9" style="31"/>
    <col min="10778" max="10778" width="0" style="31" hidden="1" customWidth="1"/>
    <col min="10779" max="11008" width="9" style="31"/>
    <col min="11009" max="11009" width="11" style="31" customWidth="1"/>
    <col min="11010" max="11011" width="12.625" style="31" customWidth="1"/>
    <col min="11012" max="11012" width="10.625" style="31" customWidth="1"/>
    <col min="11013" max="11013" width="6.625" style="31" customWidth="1"/>
    <col min="11014" max="11014" width="12.875" style="31" customWidth="1"/>
    <col min="11015" max="11016" width="12.625" style="31" customWidth="1"/>
    <col min="11017" max="11017" width="17.625" style="31" customWidth="1"/>
    <col min="11018" max="11018" width="16.625" style="31" customWidth="1"/>
    <col min="11019" max="11019" width="15.25" style="31" customWidth="1"/>
    <col min="11020" max="11020" width="6.75" style="31" customWidth="1"/>
    <col min="11021" max="11021" width="11.625" style="31" customWidth="1"/>
    <col min="11022" max="11023" width="13.625" style="31" customWidth="1"/>
    <col min="11024" max="11033" width="9" style="31"/>
    <col min="11034" max="11034" width="0" style="31" hidden="1" customWidth="1"/>
    <col min="11035" max="11264" width="9" style="31"/>
    <col min="11265" max="11265" width="11" style="31" customWidth="1"/>
    <col min="11266" max="11267" width="12.625" style="31" customWidth="1"/>
    <col min="11268" max="11268" width="10.625" style="31" customWidth="1"/>
    <col min="11269" max="11269" width="6.625" style="31" customWidth="1"/>
    <col min="11270" max="11270" width="12.875" style="31" customWidth="1"/>
    <col min="11271" max="11272" width="12.625" style="31" customWidth="1"/>
    <col min="11273" max="11273" width="17.625" style="31" customWidth="1"/>
    <col min="11274" max="11274" width="16.625" style="31" customWidth="1"/>
    <col min="11275" max="11275" width="15.25" style="31" customWidth="1"/>
    <col min="11276" max="11276" width="6.75" style="31" customWidth="1"/>
    <col min="11277" max="11277" width="11.625" style="31" customWidth="1"/>
    <col min="11278" max="11279" width="13.625" style="31" customWidth="1"/>
    <col min="11280" max="11289" width="9" style="31"/>
    <col min="11290" max="11290" width="0" style="31" hidden="1" customWidth="1"/>
    <col min="11291" max="11520" width="9" style="31"/>
    <col min="11521" max="11521" width="11" style="31" customWidth="1"/>
    <col min="11522" max="11523" width="12.625" style="31" customWidth="1"/>
    <col min="11524" max="11524" width="10.625" style="31" customWidth="1"/>
    <col min="11525" max="11525" width="6.625" style="31" customWidth="1"/>
    <col min="11526" max="11526" width="12.875" style="31" customWidth="1"/>
    <col min="11527" max="11528" width="12.625" style="31" customWidth="1"/>
    <col min="11529" max="11529" width="17.625" style="31" customWidth="1"/>
    <col min="11530" max="11530" width="16.625" style="31" customWidth="1"/>
    <col min="11531" max="11531" width="15.25" style="31" customWidth="1"/>
    <col min="11532" max="11532" width="6.75" style="31" customWidth="1"/>
    <col min="11533" max="11533" width="11.625" style="31" customWidth="1"/>
    <col min="11534" max="11535" width="13.625" style="31" customWidth="1"/>
    <col min="11536" max="11545" width="9" style="31"/>
    <col min="11546" max="11546" width="0" style="31" hidden="1" customWidth="1"/>
    <col min="11547" max="11776" width="9" style="31"/>
    <col min="11777" max="11777" width="11" style="31" customWidth="1"/>
    <col min="11778" max="11779" width="12.625" style="31" customWidth="1"/>
    <col min="11780" max="11780" width="10.625" style="31" customWidth="1"/>
    <col min="11781" max="11781" width="6.625" style="31" customWidth="1"/>
    <col min="11782" max="11782" width="12.875" style="31" customWidth="1"/>
    <col min="11783" max="11784" width="12.625" style="31" customWidth="1"/>
    <col min="11785" max="11785" width="17.625" style="31" customWidth="1"/>
    <col min="11786" max="11786" width="16.625" style="31" customWidth="1"/>
    <col min="11787" max="11787" width="15.25" style="31" customWidth="1"/>
    <col min="11788" max="11788" width="6.75" style="31" customWidth="1"/>
    <col min="11789" max="11789" width="11.625" style="31" customWidth="1"/>
    <col min="11790" max="11791" width="13.625" style="31" customWidth="1"/>
    <col min="11792" max="11801" width="9" style="31"/>
    <col min="11802" max="11802" width="0" style="31" hidden="1" customWidth="1"/>
    <col min="11803" max="12032" width="9" style="31"/>
    <col min="12033" max="12033" width="11" style="31" customWidth="1"/>
    <col min="12034" max="12035" width="12.625" style="31" customWidth="1"/>
    <col min="12036" max="12036" width="10.625" style="31" customWidth="1"/>
    <col min="12037" max="12037" width="6.625" style="31" customWidth="1"/>
    <col min="12038" max="12038" width="12.875" style="31" customWidth="1"/>
    <col min="12039" max="12040" width="12.625" style="31" customWidth="1"/>
    <col min="12041" max="12041" width="17.625" style="31" customWidth="1"/>
    <col min="12042" max="12042" width="16.625" style="31" customWidth="1"/>
    <col min="12043" max="12043" width="15.25" style="31" customWidth="1"/>
    <col min="12044" max="12044" width="6.75" style="31" customWidth="1"/>
    <col min="12045" max="12045" width="11.625" style="31" customWidth="1"/>
    <col min="12046" max="12047" width="13.625" style="31" customWidth="1"/>
    <col min="12048" max="12057" width="9" style="31"/>
    <col min="12058" max="12058" width="0" style="31" hidden="1" customWidth="1"/>
    <col min="12059" max="12288" width="9" style="31"/>
    <col min="12289" max="12289" width="11" style="31" customWidth="1"/>
    <col min="12290" max="12291" width="12.625" style="31" customWidth="1"/>
    <col min="12292" max="12292" width="10.625" style="31" customWidth="1"/>
    <col min="12293" max="12293" width="6.625" style="31" customWidth="1"/>
    <col min="12294" max="12294" width="12.875" style="31" customWidth="1"/>
    <col min="12295" max="12296" width="12.625" style="31" customWidth="1"/>
    <col min="12297" max="12297" width="17.625" style="31" customWidth="1"/>
    <col min="12298" max="12298" width="16.625" style="31" customWidth="1"/>
    <col min="12299" max="12299" width="15.25" style="31" customWidth="1"/>
    <col min="12300" max="12300" width="6.75" style="31" customWidth="1"/>
    <col min="12301" max="12301" width="11.625" style="31" customWidth="1"/>
    <col min="12302" max="12303" width="13.625" style="31" customWidth="1"/>
    <col min="12304" max="12313" width="9" style="31"/>
    <col min="12314" max="12314" width="0" style="31" hidden="1" customWidth="1"/>
    <col min="12315" max="12544" width="9" style="31"/>
    <col min="12545" max="12545" width="11" style="31" customWidth="1"/>
    <col min="12546" max="12547" width="12.625" style="31" customWidth="1"/>
    <col min="12548" max="12548" width="10.625" style="31" customWidth="1"/>
    <col min="12549" max="12549" width="6.625" style="31" customWidth="1"/>
    <col min="12550" max="12550" width="12.875" style="31" customWidth="1"/>
    <col min="12551" max="12552" width="12.625" style="31" customWidth="1"/>
    <col min="12553" max="12553" width="17.625" style="31" customWidth="1"/>
    <col min="12554" max="12554" width="16.625" style="31" customWidth="1"/>
    <col min="12555" max="12555" width="15.25" style="31" customWidth="1"/>
    <col min="12556" max="12556" width="6.75" style="31" customWidth="1"/>
    <col min="12557" max="12557" width="11.625" style="31" customWidth="1"/>
    <col min="12558" max="12559" width="13.625" style="31" customWidth="1"/>
    <col min="12560" max="12569" width="9" style="31"/>
    <col min="12570" max="12570" width="0" style="31" hidden="1" customWidth="1"/>
    <col min="12571" max="12800" width="9" style="31"/>
    <col min="12801" max="12801" width="11" style="31" customWidth="1"/>
    <col min="12802" max="12803" width="12.625" style="31" customWidth="1"/>
    <col min="12804" max="12804" width="10.625" style="31" customWidth="1"/>
    <col min="12805" max="12805" width="6.625" style="31" customWidth="1"/>
    <col min="12806" max="12806" width="12.875" style="31" customWidth="1"/>
    <col min="12807" max="12808" width="12.625" style="31" customWidth="1"/>
    <col min="12809" max="12809" width="17.625" style="31" customWidth="1"/>
    <col min="12810" max="12810" width="16.625" style="31" customWidth="1"/>
    <col min="12811" max="12811" width="15.25" style="31" customWidth="1"/>
    <col min="12812" max="12812" width="6.75" style="31" customWidth="1"/>
    <col min="12813" max="12813" width="11.625" style="31" customWidth="1"/>
    <col min="12814" max="12815" width="13.625" style="31" customWidth="1"/>
    <col min="12816" max="12825" width="9" style="31"/>
    <col min="12826" max="12826" width="0" style="31" hidden="1" customWidth="1"/>
    <col min="12827" max="13056" width="9" style="31"/>
    <col min="13057" max="13057" width="11" style="31" customWidth="1"/>
    <col min="13058" max="13059" width="12.625" style="31" customWidth="1"/>
    <col min="13060" max="13060" width="10.625" style="31" customWidth="1"/>
    <col min="13061" max="13061" width="6.625" style="31" customWidth="1"/>
    <col min="13062" max="13062" width="12.875" style="31" customWidth="1"/>
    <col min="13063" max="13064" width="12.625" style="31" customWidth="1"/>
    <col min="13065" max="13065" width="17.625" style="31" customWidth="1"/>
    <col min="13066" max="13066" width="16.625" style="31" customWidth="1"/>
    <col min="13067" max="13067" width="15.25" style="31" customWidth="1"/>
    <col min="13068" max="13068" width="6.75" style="31" customWidth="1"/>
    <col min="13069" max="13069" width="11.625" style="31" customWidth="1"/>
    <col min="13070" max="13071" width="13.625" style="31" customWidth="1"/>
    <col min="13072" max="13081" width="9" style="31"/>
    <col min="13082" max="13082" width="0" style="31" hidden="1" customWidth="1"/>
    <col min="13083" max="13312" width="9" style="31"/>
    <col min="13313" max="13313" width="11" style="31" customWidth="1"/>
    <col min="13314" max="13315" width="12.625" style="31" customWidth="1"/>
    <col min="13316" max="13316" width="10.625" style="31" customWidth="1"/>
    <col min="13317" max="13317" width="6.625" style="31" customWidth="1"/>
    <col min="13318" max="13318" width="12.875" style="31" customWidth="1"/>
    <col min="13319" max="13320" width="12.625" style="31" customWidth="1"/>
    <col min="13321" max="13321" width="17.625" style="31" customWidth="1"/>
    <col min="13322" max="13322" width="16.625" style="31" customWidth="1"/>
    <col min="13323" max="13323" width="15.25" style="31" customWidth="1"/>
    <col min="13324" max="13324" width="6.75" style="31" customWidth="1"/>
    <col min="13325" max="13325" width="11.625" style="31" customWidth="1"/>
    <col min="13326" max="13327" width="13.625" style="31" customWidth="1"/>
    <col min="13328" max="13337" width="9" style="31"/>
    <col min="13338" max="13338" width="0" style="31" hidden="1" customWidth="1"/>
    <col min="13339" max="13568" width="9" style="31"/>
    <col min="13569" max="13569" width="11" style="31" customWidth="1"/>
    <col min="13570" max="13571" width="12.625" style="31" customWidth="1"/>
    <col min="13572" max="13572" width="10.625" style="31" customWidth="1"/>
    <col min="13573" max="13573" width="6.625" style="31" customWidth="1"/>
    <col min="13574" max="13574" width="12.875" style="31" customWidth="1"/>
    <col min="13575" max="13576" width="12.625" style="31" customWidth="1"/>
    <col min="13577" max="13577" width="17.625" style="31" customWidth="1"/>
    <col min="13578" max="13578" width="16.625" style="31" customWidth="1"/>
    <col min="13579" max="13579" width="15.25" style="31" customWidth="1"/>
    <col min="13580" max="13580" width="6.75" style="31" customWidth="1"/>
    <col min="13581" max="13581" width="11.625" style="31" customWidth="1"/>
    <col min="13582" max="13583" width="13.625" style="31" customWidth="1"/>
    <col min="13584" max="13593" width="9" style="31"/>
    <col min="13594" max="13594" width="0" style="31" hidden="1" customWidth="1"/>
    <col min="13595" max="13824" width="9" style="31"/>
    <col min="13825" max="13825" width="11" style="31" customWidth="1"/>
    <col min="13826" max="13827" width="12.625" style="31" customWidth="1"/>
    <col min="13828" max="13828" width="10.625" style="31" customWidth="1"/>
    <col min="13829" max="13829" width="6.625" style="31" customWidth="1"/>
    <col min="13830" max="13830" width="12.875" style="31" customWidth="1"/>
    <col min="13831" max="13832" width="12.625" style="31" customWidth="1"/>
    <col min="13833" max="13833" width="17.625" style="31" customWidth="1"/>
    <col min="13834" max="13834" width="16.625" style="31" customWidth="1"/>
    <col min="13835" max="13835" width="15.25" style="31" customWidth="1"/>
    <col min="13836" max="13836" width="6.75" style="31" customWidth="1"/>
    <col min="13837" max="13837" width="11.625" style="31" customWidth="1"/>
    <col min="13838" max="13839" width="13.625" style="31" customWidth="1"/>
    <col min="13840" max="13849" width="9" style="31"/>
    <col min="13850" max="13850" width="0" style="31" hidden="1" customWidth="1"/>
    <col min="13851" max="14080" width="9" style="31"/>
    <col min="14081" max="14081" width="11" style="31" customWidth="1"/>
    <col min="14082" max="14083" width="12.625" style="31" customWidth="1"/>
    <col min="14084" max="14084" width="10.625" style="31" customWidth="1"/>
    <col min="14085" max="14085" width="6.625" style="31" customWidth="1"/>
    <col min="14086" max="14086" width="12.875" style="31" customWidth="1"/>
    <col min="14087" max="14088" width="12.625" style="31" customWidth="1"/>
    <col min="14089" max="14089" width="17.625" style="31" customWidth="1"/>
    <col min="14090" max="14090" width="16.625" style="31" customWidth="1"/>
    <col min="14091" max="14091" width="15.25" style="31" customWidth="1"/>
    <col min="14092" max="14092" width="6.75" style="31" customWidth="1"/>
    <col min="14093" max="14093" width="11.625" style="31" customWidth="1"/>
    <col min="14094" max="14095" width="13.625" style="31" customWidth="1"/>
    <col min="14096" max="14105" width="9" style="31"/>
    <col min="14106" max="14106" width="0" style="31" hidden="1" customWidth="1"/>
    <col min="14107" max="14336" width="9" style="31"/>
    <col min="14337" max="14337" width="11" style="31" customWidth="1"/>
    <col min="14338" max="14339" width="12.625" style="31" customWidth="1"/>
    <col min="14340" max="14340" width="10.625" style="31" customWidth="1"/>
    <col min="14341" max="14341" width="6.625" style="31" customWidth="1"/>
    <col min="14342" max="14342" width="12.875" style="31" customWidth="1"/>
    <col min="14343" max="14344" width="12.625" style="31" customWidth="1"/>
    <col min="14345" max="14345" width="17.625" style="31" customWidth="1"/>
    <col min="14346" max="14346" width="16.625" style="31" customWidth="1"/>
    <col min="14347" max="14347" width="15.25" style="31" customWidth="1"/>
    <col min="14348" max="14348" width="6.75" style="31" customWidth="1"/>
    <col min="14349" max="14349" width="11.625" style="31" customWidth="1"/>
    <col min="14350" max="14351" width="13.625" style="31" customWidth="1"/>
    <col min="14352" max="14361" width="9" style="31"/>
    <col min="14362" max="14362" width="0" style="31" hidden="1" customWidth="1"/>
    <col min="14363" max="14592" width="9" style="31"/>
    <col min="14593" max="14593" width="11" style="31" customWidth="1"/>
    <col min="14594" max="14595" width="12.625" style="31" customWidth="1"/>
    <col min="14596" max="14596" width="10.625" style="31" customWidth="1"/>
    <col min="14597" max="14597" width="6.625" style="31" customWidth="1"/>
    <col min="14598" max="14598" width="12.875" style="31" customWidth="1"/>
    <col min="14599" max="14600" width="12.625" style="31" customWidth="1"/>
    <col min="14601" max="14601" width="17.625" style="31" customWidth="1"/>
    <col min="14602" max="14602" width="16.625" style="31" customWidth="1"/>
    <col min="14603" max="14603" width="15.25" style="31" customWidth="1"/>
    <col min="14604" max="14604" width="6.75" style="31" customWidth="1"/>
    <col min="14605" max="14605" width="11.625" style="31" customWidth="1"/>
    <col min="14606" max="14607" width="13.625" style="31" customWidth="1"/>
    <col min="14608" max="14617" width="9" style="31"/>
    <col min="14618" max="14618" width="0" style="31" hidden="1" customWidth="1"/>
    <col min="14619" max="14848" width="9" style="31"/>
    <col min="14849" max="14849" width="11" style="31" customWidth="1"/>
    <col min="14850" max="14851" width="12.625" style="31" customWidth="1"/>
    <col min="14852" max="14852" width="10.625" style="31" customWidth="1"/>
    <col min="14853" max="14853" width="6.625" style="31" customWidth="1"/>
    <col min="14854" max="14854" width="12.875" style="31" customWidth="1"/>
    <col min="14855" max="14856" width="12.625" style="31" customWidth="1"/>
    <col min="14857" max="14857" width="17.625" style="31" customWidth="1"/>
    <col min="14858" max="14858" width="16.625" style="31" customWidth="1"/>
    <col min="14859" max="14859" width="15.25" style="31" customWidth="1"/>
    <col min="14860" max="14860" width="6.75" style="31" customWidth="1"/>
    <col min="14861" max="14861" width="11.625" style="31" customWidth="1"/>
    <col min="14862" max="14863" width="13.625" style="31" customWidth="1"/>
    <col min="14864" max="14873" width="9" style="31"/>
    <col min="14874" max="14874" width="0" style="31" hidden="1" customWidth="1"/>
    <col min="14875" max="15104" width="9" style="31"/>
    <col min="15105" max="15105" width="11" style="31" customWidth="1"/>
    <col min="15106" max="15107" width="12.625" style="31" customWidth="1"/>
    <col min="15108" max="15108" width="10.625" style="31" customWidth="1"/>
    <col min="15109" max="15109" width="6.625" style="31" customWidth="1"/>
    <col min="15110" max="15110" width="12.875" style="31" customWidth="1"/>
    <col min="15111" max="15112" width="12.625" style="31" customWidth="1"/>
    <col min="15113" max="15113" width="17.625" style="31" customWidth="1"/>
    <col min="15114" max="15114" width="16.625" style="31" customWidth="1"/>
    <col min="15115" max="15115" width="15.25" style="31" customWidth="1"/>
    <col min="15116" max="15116" width="6.75" style="31" customWidth="1"/>
    <col min="15117" max="15117" width="11.625" style="31" customWidth="1"/>
    <col min="15118" max="15119" width="13.625" style="31" customWidth="1"/>
    <col min="15120" max="15129" width="9" style="31"/>
    <col min="15130" max="15130" width="0" style="31" hidden="1" customWidth="1"/>
    <col min="15131" max="15360" width="9" style="31"/>
    <col min="15361" max="15361" width="11" style="31" customWidth="1"/>
    <col min="15362" max="15363" width="12.625" style="31" customWidth="1"/>
    <col min="15364" max="15364" width="10.625" style="31" customWidth="1"/>
    <col min="15365" max="15365" width="6.625" style="31" customWidth="1"/>
    <col min="15366" max="15366" width="12.875" style="31" customWidth="1"/>
    <col min="15367" max="15368" width="12.625" style="31" customWidth="1"/>
    <col min="15369" max="15369" width="17.625" style="31" customWidth="1"/>
    <col min="15370" max="15370" width="16.625" style="31" customWidth="1"/>
    <col min="15371" max="15371" width="15.25" style="31" customWidth="1"/>
    <col min="15372" max="15372" width="6.75" style="31" customWidth="1"/>
    <col min="15373" max="15373" width="11.625" style="31" customWidth="1"/>
    <col min="15374" max="15375" width="13.625" style="31" customWidth="1"/>
    <col min="15376" max="15385" width="9" style="31"/>
    <col min="15386" max="15386" width="0" style="31" hidden="1" customWidth="1"/>
    <col min="15387" max="15616" width="9" style="31"/>
    <col min="15617" max="15617" width="11" style="31" customWidth="1"/>
    <col min="15618" max="15619" width="12.625" style="31" customWidth="1"/>
    <col min="15620" max="15620" width="10.625" style="31" customWidth="1"/>
    <col min="15621" max="15621" width="6.625" style="31" customWidth="1"/>
    <col min="15622" max="15622" width="12.875" style="31" customWidth="1"/>
    <col min="15623" max="15624" width="12.625" style="31" customWidth="1"/>
    <col min="15625" max="15625" width="17.625" style="31" customWidth="1"/>
    <col min="15626" max="15626" width="16.625" style="31" customWidth="1"/>
    <col min="15627" max="15627" width="15.25" style="31" customWidth="1"/>
    <col min="15628" max="15628" width="6.75" style="31" customWidth="1"/>
    <col min="15629" max="15629" width="11.625" style="31" customWidth="1"/>
    <col min="15630" max="15631" width="13.625" style="31" customWidth="1"/>
    <col min="15632" max="15641" width="9" style="31"/>
    <col min="15642" max="15642" width="0" style="31" hidden="1" customWidth="1"/>
    <col min="15643" max="15872" width="9" style="31"/>
    <col min="15873" max="15873" width="11" style="31" customWidth="1"/>
    <col min="15874" max="15875" width="12.625" style="31" customWidth="1"/>
    <col min="15876" max="15876" width="10.625" style="31" customWidth="1"/>
    <col min="15877" max="15877" width="6.625" style="31" customWidth="1"/>
    <col min="15878" max="15878" width="12.875" style="31" customWidth="1"/>
    <col min="15879" max="15880" width="12.625" style="31" customWidth="1"/>
    <col min="15881" max="15881" width="17.625" style="31" customWidth="1"/>
    <col min="15882" max="15882" width="16.625" style="31" customWidth="1"/>
    <col min="15883" max="15883" width="15.25" style="31" customWidth="1"/>
    <col min="15884" max="15884" width="6.75" style="31" customWidth="1"/>
    <col min="15885" max="15885" width="11.625" style="31" customWidth="1"/>
    <col min="15886" max="15887" width="13.625" style="31" customWidth="1"/>
    <col min="15888" max="15897" width="9" style="31"/>
    <col min="15898" max="15898" width="0" style="31" hidden="1" customWidth="1"/>
    <col min="15899" max="16128" width="9" style="31"/>
    <col min="16129" max="16129" width="11" style="31" customWidth="1"/>
    <col min="16130" max="16131" width="12.625" style="31" customWidth="1"/>
    <col min="16132" max="16132" width="10.625" style="31" customWidth="1"/>
    <col min="16133" max="16133" width="6.625" style="31" customWidth="1"/>
    <col min="16134" max="16134" width="12.875" style="31" customWidth="1"/>
    <col min="16135" max="16136" width="12.625" style="31" customWidth="1"/>
    <col min="16137" max="16137" width="17.625" style="31" customWidth="1"/>
    <col min="16138" max="16138" width="16.625" style="31" customWidth="1"/>
    <col min="16139" max="16139" width="15.25" style="31" customWidth="1"/>
    <col min="16140" max="16140" width="6.75" style="31" customWidth="1"/>
    <col min="16141" max="16141" width="11.625" style="31" customWidth="1"/>
    <col min="16142" max="16143" width="13.625" style="31" customWidth="1"/>
    <col min="16144" max="16153" width="9" style="31"/>
    <col min="16154" max="16154" width="0" style="31" hidden="1" customWidth="1"/>
    <col min="16155" max="16384" width="9" style="31"/>
  </cols>
  <sheetData>
    <row r="1" spans="1:26" s="30" customFormat="1" ht="20.100000000000001" customHeight="1">
      <c r="A1" s="359" t="s">
        <v>126</v>
      </c>
      <c r="B1" s="360"/>
      <c r="C1" s="360"/>
      <c r="D1" s="360"/>
      <c r="E1" s="360"/>
      <c r="F1" s="360"/>
      <c r="G1" s="360"/>
      <c r="H1" s="360"/>
      <c r="I1" s="360"/>
      <c r="J1" s="360"/>
      <c r="K1" s="360"/>
      <c r="L1" s="360"/>
      <c r="M1" s="360"/>
      <c r="N1" s="360"/>
      <c r="O1" s="361"/>
      <c r="Z1" s="31">
        <v>1</v>
      </c>
    </row>
    <row r="2" spans="1:26" ht="20.100000000000001" customHeight="1">
      <c r="A2" s="362"/>
      <c r="B2" s="363"/>
      <c r="C2" s="363"/>
      <c r="D2" s="363"/>
      <c r="E2" s="363"/>
      <c r="F2" s="363"/>
      <c r="G2" s="363"/>
      <c r="H2" s="363"/>
      <c r="I2" s="363"/>
      <c r="J2" s="363"/>
      <c r="K2" s="363"/>
      <c r="L2" s="363"/>
      <c r="M2" s="363"/>
      <c r="N2" s="363"/>
      <c r="O2" s="364"/>
      <c r="Z2" s="31">
        <v>2</v>
      </c>
    </row>
    <row r="3" spans="1:26" ht="24" customHeight="1">
      <c r="A3" s="365" t="s">
        <v>79</v>
      </c>
      <c r="B3" s="366"/>
      <c r="C3" s="376">
        <f>工程進度表!L1</f>
        <v>78</v>
      </c>
      <c r="D3" s="376"/>
      <c r="E3" s="120"/>
      <c r="F3" s="120"/>
      <c r="G3" s="120"/>
      <c r="H3" s="120"/>
      <c r="I3" s="120"/>
      <c r="J3" s="120"/>
      <c r="K3" s="120"/>
      <c r="L3" s="120"/>
      <c r="M3" s="366"/>
      <c r="N3" s="366"/>
      <c r="O3" s="121"/>
      <c r="Z3" s="31">
        <v>3</v>
      </c>
    </row>
    <row r="4" spans="1:26" ht="24" customHeight="1" thickBot="1">
      <c r="A4" s="367" t="s">
        <v>41</v>
      </c>
      <c r="B4" s="368"/>
      <c r="C4" s="120" t="s">
        <v>42</v>
      </c>
      <c r="D4" s="122" t="str">
        <f>工程進度表!L7</f>
        <v>晴</v>
      </c>
      <c r="E4" s="368" t="s">
        <v>43</v>
      </c>
      <c r="F4" s="368"/>
      <c r="G4" s="122" t="str">
        <f>工程進度表!L8</f>
        <v>晴</v>
      </c>
      <c r="H4" s="123"/>
      <c r="I4" s="368" t="s">
        <v>44</v>
      </c>
      <c r="J4" s="368"/>
      <c r="K4" s="369">
        <f>工程進度表!L5</f>
        <v>46295</v>
      </c>
      <c r="L4" s="369"/>
      <c r="M4" s="369"/>
      <c r="N4" s="370">
        <f>K4</f>
        <v>46295</v>
      </c>
      <c r="O4" s="371"/>
      <c r="Z4" s="31">
        <v>4</v>
      </c>
    </row>
    <row r="5" spans="1:26" ht="47.25" customHeight="1">
      <c r="A5" s="377" t="s">
        <v>45</v>
      </c>
      <c r="B5" s="378"/>
      <c r="C5" s="379" t="str">
        <f>工程資料表!B1</f>
        <v>橋頭國小暨許厝分校114-116年公立國民中小學老舊廁所整修工程</v>
      </c>
      <c r="D5" s="379"/>
      <c r="E5" s="379"/>
      <c r="F5" s="379"/>
      <c r="G5" s="379"/>
      <c r="H5" s="379"/>
      <c r="I5" s="82" t="s">
        <v>127</v>
      </c>
      <c r="J5" s="378" t="str">
        <f>工程資料表!B4</f>
        <v>寶嶸營造有限公司</v>
      </c>
      <c r="K5" s="378"/>
      <c r="L5" s="378"/>
      <c r="M5" s="378"/>
      <c r="N5" s="378"/>
      <c r="O5" s="380"/>
      <c r="Z5" s="31">
        <v>5</v>
      </c>
    </row>
    <row r="6" spans="1:26" ht="30" customHeight="1">
      <c r="A6" s="381" t="s">
        <v>46</v>
      </c>
      <c r="B6" s="382"/>
      <c r="C6" s="383">
        <f>工程資料表!B9</f>
        <v>180</v>
      </c>
      <c r="D6" s="383"/>
      <c r="E6" s="375" t="s">
        <v>47</v>
      </c>
      <c r="F6" s="384"/>
      <c r="G6" s="83">
        <f>工程進度表!L2</f>
        <v>78</v>
      </c>
      <c r="H6" s="84" t="s">
        <v>48</v>
      </c>
      <c r="I6" s="85" t="s">
        <v>49</v>
      </c>
      <c r="J6" s="119">
        <f>C6-G6</f>
        <v>102</v>
      </c>
      <c r="K6" s="86" t="s">
        <v>50</v>
      </c>
      <c r="L6" s="375" t="s">
        <v>148</v>
      </c>
      <c r="M6" s="375"/>
      <c r="N6" s="375"/>
      <c r="O6" s="124"/>
      <c r="Z6" s="31">
        <v>6</v>
      </c>
    </row>
    <row r="7" spans="1:26" ht="30" customHeight="1">
      <c r="A7" s="374" t="s">
        <v>51</v>
      </c>
      <c r="B7" s="375"/>
      <c r="C7" s="375"/>
      <c r="D7" s="375"/>
      <c r="E7" s="372">
        <f>工程資料表!B7</f>
        <v>46218</v>
      </c>
      <c r="F7" s="372"/>
      <c r="G7" s="372"/>
      <c r="H7" s="372"/>
      <c r="I7" s="372"/>
      <c r="J7" s="373" t="s">
        <v>52</v>
      </c>
      <c r="K7" s="373"/>
      <c r="L7" s="372">
        <f>E7+C6-1</f>
        <v>46397</v>
      </c>
      <c r="M7" s="372"/>
      <c r="N7" s="372"/>
      <c r="O7" s="372"/>
      <c r="Z7" s="31">
        <v>7</v>
      </c>
    </row>
    <row r="8" spans="1:26" ht="15" customHeight="1">
      <c r="A8" s="374" t="s">
        <v>53</v>
      </c>
      <c r="B8" s="375"/>
      <c r="C8" s="385">
        <f>工程進度表!L9</f>
        <v>0.27110000000000001</v>
      </c>
      <c r="D8" s="385"/>
      <c r="E8" s="385"/>
      <c r="F8" s="385"/>
      <c r="G8" s="385"/>
      <c r="H8" s="386" t="s">
        <v>54</v>
      </c>
      <c r="I8" s="386"/>
      <c r="J8" s="385">
        <f>工程進度表!L48</f>
        <v>0.27700000000000002</v>
      </c>
      <c r="K8" s="385"/>
      <c r="L8" s="385"/>
      <c r="M8" s="385"/>
      <c r="N8" s="385"/>
      <c r="O8" s="387"/>
      <c r="Z8" s="31">
        <v>8</v>
      </c>
    </row>
    <row r="9" spans="1:26" ht="15" customHeight="1">
      <c r="A9" s="374"/>
      <c r="B9" s="375"/>
      <c r="C9" s="385"/>
      <c r="D9" s="385"/>
      <c r="E9" s="385"/>
      <c r="F9" s="385"/>
      <c r="G9" s="385"/>
      <c r="H9" s="386"/>
      <c r="I9" s="386"/>
      <c r="J9" s="385"/>
      <c r="K9" s="385"/>
      <c r="L9" s="385"/>
      <c r="M9" s="385"/>
      <c r="N9" s="385"/>
      <c r="O9" s="387"/>
      <c r="Z9" s="31">
        <v>9</v>
      </c>
    </row>
    <row r="10" spans="1:26" ht="24.95" customHeight="1">
      <c r="A10" s="393" t="str">
        <f>[1]進度表!A246</f>
        <v>一、依施工計畫書執行按圖施工概況（含約定之重要施工、材料項目及完成數量等）：</v>
      </c>
      <c r="B10" s="394"/>
      <c r="C10" s="394"/>
      <c r="D10" s="394"/>
      <c r="E10" s="394"/>
      <c r="F10" s="394"/>
      <c r="G10" s="394"/>
      <c r="H10" s="394"/>
      <c r="I10" s="394"/>
      <c r="J10" s="394"/>
      <c r="K10" s="394"/>
      <c r="L10" s="394"/>
      <c r="M10" s="394"/>
      <c r="N10" s="394"/>
      <c r="O10" s="395"/>
      <c r="W10" s="31" t="s">
        <v>121</v>
      </c>
      <c r="Z10" s="31">
        <v>10</v>
      </c>
    </row>
    <row r="11" spans="1:26" ht="15" customHeight="1">
      <c r="A11" s="396" t="s">
        <v>55</v>
      </c>
      <c r="B11" s="397" t="s">
        <v>56</v>
      </c>
      <c r="C11" s="397"/>
      <c r="D11" s="397"/>
      <c r="E11" s="397"/>
      <c r="F11" s="397"/>
      <c r="G11" s="397"/>
      <c r="H11" s="391" t="s">
        <v>57</v>
      </c>
      <c r="I11" s="397" t="s">
        <v>58</v>
      </c>
      <c r="J11" s="397"/>
      <c r="K11" s="391" t="s">
        <v>77</v>
      </c>
      <c r="L11" s="391"/>
      <c r="M11" s="391" t="s">
        <v>78</v>
      </c>
      <c r="N11" s="391"/>
      <c r="O11" s="392" t="s">
        <v>59</v>
      </c>
      <c r="Z11" s="31">
        <v>11</v>
      </c>
    </row>
    <row r="12" spans="1:26" ht="2.25" customHeight="1">
      <c r="A12" s="396"/>
      <c r="B12" s="397"/>
      <c r="C12" s="397"/>
      <c r="D12" s="397"/>
      <c r="E12" s="397"/>
      <c r="F12" s="397"/>
      <c r="G12" s="397"/>
      <c r="H12" s="391"/>
      <c r="I12" s="397"/>
      <c r="J12" s="397"/>
      <c r="K12" s="391"/>
      <c r="L12" s="391"/>
      <c r="M12" s="391"/>
      <c r="N12" s="391"/>
      <c r="O12" s="392"/>
      <c r="Z12" s="31">
        <v>12</v>
      </c>
    </row>
    <row r="13" spans="1:26" ht="19.5" customHeight="1" outlineLevel="1">
      <c r="A13" s="59" t="str">
        <f>工程進度表!C12</f>
        <v>壹</v>
      </c>
      <c r="B13" s="356" t="str">
        <f>工程進度表!D12</f>
        <v>直接工程費</v>
      </c>
      <c r="C13" s="357"/>
      <c r="D13" s="357"/>
      <c r="E13" s="357"/>
      <c r="F13" s="357"/>
      <c r="G13" s="358"/>
      <c r="H13" s="203">
        <f>工程進度表!E12</f>
        <v>0</v>
      </c>
      <c r="I13" s="344">
        <f>工程進度表!F12</f>
        <v>0</v>
      </c>
      <c r="J13" s="344"/>
      <c r="K13" s="347">
        <f>工程進度表!A12</f>
        <v>0</v>
      </c>
      <c r="L13" s="347"/>
      <c r="M13" s="347">
        <f>工程進度表!B12</f>
        <v>0</v>
      </c>
      <c r="N13" s="347"/>
      <c r="O13" s="43"/>
      <c r="Z13" s="31">
        <v>14</v>
      </c>
    </row>
    <row r="14" spans="1:26" ht="19.5" customHeight="1" outlineLevel="1">
      <c r="A14" s="59" t="str">
        <f>工程進度表!C13</f>
        <v>一</v>
      </c>
      <c r="B14" s="356" t="str">
        <f>工程進度表!D13</f>
        <v>分項工程</v>
      </c>
      <c r="C14" s="357"/>
      <c r="D14" s="357"/>
      <c r="E14" s="357"/>
      <c r="F14" s="357"/>
      <c r="G14" s="358"/>
      <c r="H14" s="203">
        <f>工程進度表!E13</f>
        <v>0</v>
      </c>
      <c r="I14" s="344">
        <f>工程進度表!F13</f>
        <v>0</v>
      </c>
      <c r="J14" s="344"/>
      <c r="K14" s="347">
        <f>工程進度表!A13</f>
        <v>0</v>
      </c>
      <c r="L14" s="347"/>
      <c r="M14" s="347">
        <f>工程進度表!B13</f>
        <v>0</v>
      </c>
      <c r="N14" s="347"/>
      <c r="O14" s="43"/>
      <c r="Q14" s="31" t="s">
        <v>381</v>
      </c>
      <c r="U14" s="126">
        <f>C6+210</f>
        <v>390</v>
      </c>
      <c r="Z14" s="31">
        <v>15</v>
      </c>
    </row>
    <row r="15" spans="1:26" ht="35.25" customHeight="1" outlineLevel="1">
      <c r="A15" s="59" t="str">
        <f>工程進度表!C14</f>
        <v>1</v>
      </c>
      <c r="B15" s="388" t="str">
        <f>工程進度表!D14</f>
        <v>工程告示牌與職安衛告示牌(租用)、施工圍籬、警示帶、安全警示燈等安全措施(租用)</v>
      </c>
      <c r="C15" s="389"/>
      <c r="D15" s="389"/>
      <c r="E15" s="389"/>
      <c r="F15" s="389"/>
      <c r="G15" s="390"/>
      <c r="H15" s="203" t="str">
        <f>工程進度表!E14</f>
        <v>式</v>
      </c>
      <c r="I15" s="344">
        <f>工程進度表!F14</f>
        <v>1</v>
      </c>
      <c r="J15" s="344"/>
      <c r="K15" s="347">
        <f>工程進度表!A14</f>
        <v>0</v>
      </c>
      <c r="L15" s="347"/>
      <c r="M15" s="347">
        <f>工程進度表!B14</f>
        <v>1</v>
      </c>
      <c r="N15" s="347"/>
      <c r="O15" s="43"/>
      <c r="U15" s="126"/>
    </row>
    <row r="16" spans="1:26" ht="39" customHeight="1" outlineLevel="1">
      <c r="A16" s="59" t="str">
        <f>工程進度表!C15</f>
        <v>2</v>
      </c>
      <c r="B16" s="355" t="str">
        <f>工程進度表!D15</f>
        <v>施工動線開闢與損壞復原，既有設備管線遷移與復原；測量與放樣</v>
      </c>
      <c r="C16" s="355"/>
      <c r="D16" s="355"/>
      <c r="E16" s="355"/>
      <c r="F16" s="355"/>
      <c r="G16" s="355"/>
      <c r="H16" s="203" t="str">
        <f>工程進度表!E15</f>
        <v>式</v>
      </c>
      <c r="I16" s="344">
        <f>工程進度表!F15</f>
        <v>1</v>
      </c>
      <c r="J16" s="344"/>
      <c r="K16" s="347">
        <f>工程進度表!A15</f>
        <v>0</v>
      </c>
      <c r="L16" s="347"/>
      <c r="M16" s="347">
        <f>工程進度表!B15</f>
        <v>0.5</v>
      </c>
      <c r="N16" s="347"/>
      <c r="O16" s="43"/>
      <c r="U16" s="126"/>
    </row>
    <row r="17" spans="1:26" ht="45" customHeight="1" outlineLevel="1">
      <c r="A17" s="59" t="str">
        <f>工程進度表!C16</f>
        <v>3</v>
      </c>
      <c r="B17" s="355" t="str">
        <f>工程進度表!D16</f>
        <v>拆除(含切割)集中廁所既有牆面、地坪、磁磚、牆面小便斗與隔板、所有衛生設備、給排水設施、導擺及天花板等;廢棄物清運處理(含合法證明)與環境清潔</v>
      </c>
      <c r="C17" s="355"/>
      <c r="D17" s="355"/>
      <c r="E17" s="355"/>
      <c r="F17" s="355"/>
      <c r="G17" s="355"/>
      <c r="H17" s="203" t="str">
        <f>工程進度表!E16</f>
        <v>式</v>
      </c>
      <c r="I17" s="344">
        <f>工程進度表!F16</f>
        <v>1</v>
      </c>
      <c r="J17" s="344"/>
      <c r="K17" s="347">
        <f>工程進度表!A16</f>
        <v>0</v>
      </c>
      <c r="L17" s="347"/>
      <c r="M17" s="347">
        <f>工程進度表!B16</f>
        <v>1</v>
      </c>
      <c r="N17" s="347"/>
      <c r="O17" s="43"/>
      <c r="Z17" s="31">
        <v>17</v>
      </c>
    </row>
    <row r="18" spans="1:26" ht="19.5" customHeight="1" outlineLevel="1">
      <c r="A18" s="59" t="str">
        <f>工程進度表!C17</f>
        <v>4</v>
      </c>
      <c r="B18" s="355" t="str">
        <f>工程進度表!D17</f>
        <v>既有污水處理設施抽水肥(含清潔孔開挖與復原)</v>
      </c>
      <c r="C18" s="355"/>
      <c r="D18" s="355"/>
      <c r="E18" s="355"/>
      <c r="F18" s="355"/>
      <c r="G18" s="355"/>
      <c r="H18" s="203" t="str">
        <f>工程進度表!E17</f>
        <v>式</v>
      </c>
      <c r="I18" s="344">
        <f>工程進度表!F17</f>
        <v>1</v>
      </c>
      <c r="J18" s="344"/>
      <c r="K18" s="347">
        <f>工程進度表!A17</f>
        <v>0</v>
      </c>
      <c r="L18" s="347"/>
      <c r="M18" s="347">
        <f>工程進度表!B17</f>
        <v>0</v>
      </c>
      <c r="N18" s="347"/>
      <c r="O18" s="43"/>
      <c r="U18" s="125" t="e">
        <f>#REF!+210</f>
        <v>#REF!</v>
      </c>
      <c r="Z18" s="31">
        <v>18</v>
      </c>
    </row>
    <row r="19" spans="1:26" ht="19.5" customHeight="1" outlineLevel="1">
      <c r="A19" s="59" t="str">
        <f>工程進度表!C18</f>
        <v>5</v>
      </c>
      <c r="B19" s="398" t="str">
        <f>工程進度表!D18</f>
        <v>地坪與台階增築</v>
      </c>
      <c r="C19" s="399"/>
      <c r="D19" s="399"/>
      <c r="E19" s="399"/>
      <c r="F19" s="399"/>
      <c r="G19" s="400"/>
      <c r="H19" s="203" t="str">
        <f>工程進度表!E18</f>
        <v>式</v>
      </c>
      <c r="I19" s="344">
        <f>工程進度表!F18</f>
        <v>1</v>
      </c>
      <c r="J19" s="344"/>
      <c r="K19" s="347">
        <f>工程進度表!A18</f>
        <v>0</v>
      </c>
      <c r="L19" s="347"/>
      <c r="M19" s="347">
        <f>工程進度表!B18</f>
        <v>0</v>
      </c>
      <c r="N19" s="347"/>
      <c r="O19" s="43"/>
      <c r="U19" s="118"/>
      <c r="Z19" s="31">
        <v>19</v>
      </c>
    </row>
    <row r="20" spans="1:26" ht="20.100000000000001" customHeight="1" outlineLevel="1">
      <c r="A20" s="59" t="str">
        <f>工程進度表!C19</f>
        <v>6</v>
      </c>
      <c r="B20" s="356" t="str">
        <f>工程進度表!D19</f>
        <v>砌1/2B磚牆</v>
      </c>
      <c r="C20" s="357"/>
      <c r="D20" s="357"/>
      <c r="E20" s="357"/>
      <c r="F20" s="357"/>
      <c r="G20" s="358"/>
      <c r="H20" s="203" t="str">
        <f>工程進度表!E19</f>
        <v>M2</v>
      </c>
      <c r="I20" s="344">
        <f>工程進度表!F19</f>
        <v>26</v>
      </c>
      <c r="J20" s="344"/>
      <c r="K20" s="347">
        <f>工程進度表!A19</f>
        <v>0</v>
      </c>
      <c r="L20" s="347"/>
      <c r="M20" s="347">
        <f>工程進度表!B19</f>
        <v>0</v>
      </c>
      <c r="N20" s="347"/>
      <c r="O20" s="43"/>
      <c r="Z20" s="31">
        <v>17</v>
      </c>
    </row>
    <row r="21" spans="1:26" ht="36.75" customHeight="1" outlineLevel="1">
      <c r="A21" s="59" t="str">
        <f>工程進度表!C20</f>
        <v>7</v>
      </c>
      <c r="B21" s="356" t="str">
        <f>工程進度表!D20</f>
        <v>施工範圍內樓板穿管處與既有無用穿管及孔洞需以水泥砂漿封閉並刷彈性防水材；樓板防水層試水</v>
      </c>
      <c r="C21" s="357"/>
      <c r="D21" s="357"/>
      <c r="E21" s="357"/>
      <c r="F21" s="357"/>
      <c r="G21" s="358"/>
      <c r="H21" s="203" t="str">
        <f>工程進度表!E20</f>
        <v>式</v>
      </c>
      <c r="I21" s="344">
        <f>工程進度表!F20</f>
        <v>1</v>
      </c>
      <c r="J21" s="344"/>
      <c r="K21" s="347">
        <f>工程進度表!A20</f>
        <v>0</v>
      </c>
      <c r="L21" s="347"/>
      <c r="M21" s="347">
        <f>工程進度表!B20</f>
        <v>0.7</v>
      </c>
      <c r="N21" s="347"/>
      <c r="O21" s="43"/>
      <c r="U21" s="125" t="e">
        <f>#REF!+210</f>
        <v>#REF!</v>
      </c>
      <c r="Z21" s="31">
        <v>18</v>
      </c>
    </row>
    <row r="22" spans="1:26" ht="20.100000000000001" customHeight="1" outlineLevel="1">
      <c r="A22" s="59" t="str">
        <f>工程進度表!C21</f>
        <v>8</v>
      </c>
      <c r="B22" s="356" t="str">
        <f>工程進度表!D21</f>
        <v>地坪、牆面1:3水泥砂漿粉刷</v>
      </c>
      <c r="C22" s="357"/>
      <c r="D22" s="357"/>
      <c r="E22" s="357"/>
      <c r="F22" s="357"/>
      <c r="G22" s="358"/>
      <c r="H22" s="203" t="str">
        <f>工程進度表!E21</f>
        <v>M2</v>
      </c>
      <c r="I22" s="344">
        <f>工程進度表!F21</f>
        <v>230</v>
      </c>
      <c r="J22" s="344"/>
      <c r="K22" s="347">
        <f>工程進度表!A21</f>
        <v>0</v>
      </c>
      <c r="L22" s="347"/>
      <c r="M22" s="347">
        <f>工程進度表!B21</f>
        <v>40</v>
      </c>
      <c r="N22" s="347"/>
      <c r="O22" s="43"/>
      <c r="U22" s="118"/>
      <c r="Z22" s="31">
        <v>19</v>
      </c>
    </row>
    <row r="23" spans="1:26" ht="20.100000000000001" customHeight="1" outlineLevel="1">
      <c r="A23" s="59" t="str">
        <f>工程進度表!C22</f>
        <v>9</v>
      </c>
      <c r="B23" s="356" t="str">
        <f>工程進度表!D22</f>
        <v>地坪及牆面(H=1.5m)防水層粉刷</v>
      </c>
      <c r="C23" s="357"/>
      <c r="D23" s="357"/>
      <c r="E23" s="357"/>
      <c r="F23" s="357"/>
      <c r="G23" s="358"/>
      <c r="H23" s="203" t="str">
        <f>工程進度表!E22</f>
        <v>M2</v>
      </c>
      <c r="I23" s="344">
        <f>工程進度表!F22</f>
        <v>148</v>
      </c>
      <c r="J23" s="344"/>
      <c r="K23" s="347">
        <f>工程進度表!A22</f>
        <v>0</v>
      </c>
      <c r="L23" s="347"/>
      <c r="M23" s="347">
        <f>工程進度表!B22</f>
        <v>0</v>
      </c>
      <c r="N23" s="347"/>
      <c r="O23" s="43"/>
      <c r="Z23" s="31">
        <v>17</v>
      </c>
    </row>
    <row r="24" spans="1:26" ht="20.100000000000001" customHeight="1" outlineLevel="1">
      <c r="A24" s="59" t="str">
        <f>工程進度表!C23</f>
        <v>10</v>
      </c>
      <c r="B24" s="356" t="str">
        <f>工程進度表!D23</f>
        <v>不銹鋼方形地板落水頭(10*10cm,連工帶料)</v>
      </c>
      <c r="C24" s="357"/>
      <c r="D24" s="357"/>
      <c r="E24" s="357"/>
      <c r="F24" s="357"/>
      <c r="G24" s="358"/>
      <c r="H24" s="203" t="str">
        <f>工程進度表!E23</f>
        <v>組</v>
      </c>
      <c r="I24" s="344">
        <f>工程進度表!F23</f>
        <v>13</v>
      </c>
      <c r="J24" s="344"/>
      <c r="K24" s="347">
        <f>工程進度表!A23</f>
        <v>0</v>
      </c>
      <c r="L24" s="347"/>
      <c r="M24" s="347">
        <f>工程進度表!B23</f>
        <v>0</v>
      </c>
      <c r="N24" s="347"/>
      <c r="O24" s="43"/>
      <c r="U24" s="125">
        <f>L1+210</f>
        <v>210</v>
      </c>
      <c r="Z24" s="31">
        <v>18</v>
      </c>
    </row>
    <row r="25" spans="1:26" ht="18.75" customHeight="1" outlineLevel="1">
      <c r="A25" s="59" t="str">
        <f>工程進度表!C24</f>
        <v>11</v>
      </c>
      <c r="B25" s="356" t="str">
        <f>工程進度表!D24</f>
        <v>地坪貼止滑石英磚30*30cm，本色水泥抹縫(連工帶料)</v>
      </c>
      <c r="C25" s="357"/>
      <c r="D25" s="357"/>
      <c r="E25" s="357"/>
      <c r="F25" s="357"/>
      <c r="G25" s="358"/>
      <c r="H25" s="203" t="str">
        <f>工程進度表!E24</f>
        <v>M2</v>
      </c>
      <c r="I25" s="344">
        <f>工程進度表!F24</f>
        <v>54</v>
      </c>
      <c r="J25" s="344"/>
      <c r="K25" s="347">
        <f>工程進度表!A24</f>
        <v>0</v>
      </c>
      <c r="L25" s="347"/>
      <c r="M25" s="347">
        <f>工程進度表!B24</f>
        <v>0</v>
      </c>
      <c r="N25" s="347"/>
      <c r="O25" s="43"/>
      <c r="Z25" s="31">
        <v>17</v>
      </c>
    </row>
    <row r="26" spans="1:26" ht="20.100000000000001" customHeight="1" outlineLevel="1">
      <c r="A26" s="59" t="str">
        <f>工程進度表!C25</f>
        <v>12</v>
      </c>
      <c r="B26" s="356" t="str">
        <f>工程進度表!D25</f>
        <v>地坪貼止滑石英磚60*60cm，本色水泥抹縫(連工帶料)</v>
      </c>
      <c r="C26" s="357"/>
      <c r="D26" s="357"/>
      <c r="E26" s="357"/>
      <c r="F26" s="357"/>
      <c r="G26" s="358"/>
      <c r="H26" s="203" t="str">
        <f>工程進度表!E25</f>
        <v>M2</v>
      </c>
      <c r="I26" s="344">
        <f>工程進度表!F25</f>
        <v>6</v>
      </c>
      <c r="J26" s="344"/>
      <c r="K26" s="347">
        <f>工程進度表!A25</f>
        <v>0</v>
      </c>
      <c r="L26" s="347"/>
      <c r="M26" s="347">
        <f>工程進度表!B25</f>
        <v>0</v>
      </c>
      <c r="N26" s="347"/>
      <c r="O26" s="43"/>
      <c r="U26" s="125" t="e">
        <f>#REF!+210</f>
        <v>#REF!</v>
      </c>
      <c r="Z26" s="31">
        <v>18</v>
      </c>
    </row>
    <row r="27" spans="1:26" ht="15.75" customHeight="1" outlineLevel="1">
      <c r="A27" s="59" t="str">
        <f>工程進度表!C26</f>
        <v>13</v>
      </c>
      <c r="B27" s="356" t="str">
        <f>工程進度表!D26</f>
        <v>牆面貼石英磚30*60cm，白色水泥抹縫(連工帶料)</v>
      </c>
      <c r="C27" s="357"/>
      <c r="D27" s="357"/>
      <c r="E27" s="357"/>
      <c r="F27" s="357"/>
      <c r="G27" s="358"/>
      <c r="H27" s="203" t="str">
        <f>工程進度表!E26</f>
        <v>M2</v>
      </c>
      <c r="I27" s="344">
        <f>工程進度表!F26</f>
        <v>138</v>
      </c>
      <c r="J27" s="344"/>
      <c r="K27" s="347">
        <f>工程進度表!A26</f>
        <v>0</v>
      </c>
      <c r="L27" s="347"/>
      <c r="M27" s="347">
        <f>工程進度表!B26</f>
        <v>0</v>
      </c>
      <c r="N27" s="347"/>
      <c r="O27" s="43"/>
      <c r="U27" s="118"/>
      <c r="Z27" s="31">
        <v>19</v>
      </c>
    </row>
    <row r="28" spans="1:26" ht="15.75" customHeight="1" outlineLevel="1">
      <c r="A28" s="59" t="str">
        <f>工程進度表!C27</f>
        <v>14</v>
      </c>
      <c r="B28" s="356" t="str">
        <f>工程進度表!D27</f>
        <v>安裝鋁合金陽角收邊條</v>
      </c>
      <c r="C28" s="357"/>
      <c r="D28" s="357"/>
      <c r="E28" s="357"/>
      <c r="F28" s="357"/>
      <c r="G28" s="358"/>
      <c r="H28" s="203" t="str">
        <f>工程進度表!E27</f>
        <v>M</v>
      </c>
      <c r="I28" s="344">
        <f>工程進度表!F27</f>
        <v>27</v>
      </c>
      <c r="J28" s="344"/>
      <c r="K28" s="347">
        <f>工程進度表!A27</f>
        <v>0</v>
      </c>
      <c r="L28" s="347"/>
      <c r="M28" s="347">
        <f>工程進度表!B27</f>
        <v>0</v>
      </c>
      <c r="N28" s="347"/>
      <c r="O28" s="43"/>
      <c r="Z28" s="31">
        <v>17</v>
      </c>
    </row>
    <row r="29" spans="1:26" ht="15.75" customHeight="1" outlineLevel="1">
      <c r="A29" s="59" t="str">
        <f>工程進度表!C28</f>
        <v>15</v>
      </c>
      <c r="B29" s="356" t="str">
        <f>工程進度表!D28</f>
        <v>施做抿石子(1~2分霓虹石，抿石子專用泥)</v>
      </c>
      <c r="C29" s="357"/>
      <c r="D29" s="357"/>
      <c r="E29" s="357"/>
      <c r="F29" s="357"/>
      <c r="G29" s="358"/>
      <c r="H29" s="203" t="str">
        <f>工程進度表!E28</f>
        <v>M2</v>
      </c>
      <c r="I29" s="344">
        <f>工程進度表!F28</f>
        <v>13</v>
      </c>
      <c r="J29" s="344"/>
      <c r="K29" s="347">
        <f>工程進度表!A28</f>
        <v>0</v>
      </c>
      <c r="L29" s="347"/>
      <c r="M29" s="347">
        <f>工程進度表!B28</f>
        <v>0</v>
      </c>
      <c r="N29" s="347"/>
      <c r="O29" s="43"/>
      <c r="U29" s="125">
        <f>L1+210</f>
        <v>210</v>
      </c>
      <c r="Z29" s="31">
        <v>18</v>
      </c>
    </row>
    <row r="30" spans="1:26" s="177" customFormat="1" ht="15.75" customHeight="1" outlineLevel="1">
      <c r="A30" s="59" t="str">
        <f>工程進度表!C29</f>
        <v>16</v>
      </c>
      <c r="B30" s="356" t="str">
        <f>工程進度表!D29</f>
        <v>牆面與平頂塗刷水泥漆(含清潔，批土整平，一底漆二度面漆)</v>
      </c>
      <c r="C30" s="357"/>
      <c r="D30" s="357"/>
      <c r="E30" s="357"/>
      <c r="F30" s="357"/>
      <c r="G30" s="358"/>
      <c r="H30" s="203" t="str">
        <f>工程進度表!E29</f>
        <v>M2</v>
      </c>
      <c r="I30" s="344">
        <f>工程進度表!F29</f>
        <v>117</v>
      </c>
      <c r="J30" s="344"/>
      <c r="K30" s="347">
        <f>工程進度表!A29</f>
        <v>0</v>
      </c>
      <c r="L30" s="347"/>
      <c r="M30" s="347">
        <f>工程進度表!B29</f>
        <v>110</v>
      </c>
      <c r="N30" s="347"/>
      <c r="O30" s="176"/>
      <c r="Z30" s="177">
        <v>16</v>
      </c>
    </row>
    <row r="31" spans="1:26" ht="15.75" customHeight="1" outlineLevel="1">
      <c r="A31" s="59" t="str">
        <f>工程進度表!C30</f>
        <v>17</v>
      </c>
      <c r="B31" s="356" t="str">
        <f>工程進度表!D30</f>
        <v>新建砌磚洗手台與拖布盆、既有洗手台拉皮工程(連工帶料，責任施工)</v>
      </c>
      <c r="C31" s="357"/>
      <c r="D31" s="357"/>
      <c r="E31" s="357"/>
      <c r="F31" s="357"/>
      <c r="G31" s="358"/>
      <c r="H31" s="203" t="str">
        <f>工程進度表!E30</f>
        <v>式</v>
      </c>
      <c r="I31" s="344">
        <f>工程進度表!F30</f>
        <v>1</v>
      </c>
      <c r="J31" s="344"/>
      <c r="K31" s="347">
        <f>工程進度表!A30</f>
        <v>0</v>
      </c>
      <c r="L31" s="347"/>
      <c r="M31" s="347">
        <f>工程進度表!B30</f>
        <v>0</v>
      </c>
      <c r="N31" s="347"/>
      <c r="O31" s="43"/>
      <c r="Z31" s="31">
        <v>17</v>
      </c>
    </row>
    <row r="32" spans="1:26" ht="15.75" customHeight="1" outlineLevel="1">
      <c r="A32" s="59" t="str">
        <f>工程進度表!C31</f>
        <v>18</v>
      </c>
      <c r="B32" s="356" t="str">
        <f>工程進度表!D31</f>
        <v>貼深色石材檯面(石材t=2cm，倒圓角)</v>
      </c>
      <c r="C32" s="357"/>
      <c r="D32" s="357"/>
      <c r="E32" s="357"/>
      <c r="F32" s="357"/>
      <c r="G32" s="358"/>
      <c r="H32" s="203" t="str">
        <f>工程進度表!E31</f>
        <v>才</v>
      </c>
      <c r="I32" s="344">
        <f>工程進度表!F31</f>
        <v>19</v>
      </c>
      <c r="J32" s="344"/>
      <c r="K32" s="347">
        <f>工程進度表!A31</f>
        <v>0</v>
      </c>
      <c r="L32" s="347"/>
      <c r="M32" s="347">
        <f>工程進度表!B31</f>
        <v>0</v>
      </c>
      <c r="N32" s="347"/>
      <c r="O32" s="43"/>
      <c r="U32" s="125">
        <f>L4+210</f>
        <v>210</v>
      </c>
      <c r="Z32" s="31">
        <v>18</v>
      </c>
    </row>
    <row r="33" spans="1:26" ht="15.75" customHeight="1" outlineLevel="1">
      <c r="A33" s="59" t="str">
        <f>工程進度表!C32</f>
        <v>19</v>
      </c>
      <c r="B33" s="356" t="str">
        <f>工程進度表!D32</f>
        <v>安裝13mm熱固性樹脂板隔間含門片(頂面H=200cm以上)</v>
      </c>
      <c r="C33" s="357"/>
      <c r="D33" s="357"/>
      <c r="E33" s="357"/>
      <c r="F33" s="357"/>
      <c r="G33" s="358"/>
      <c r="H33" s="203" t="str">
        <f>工程進度表!E32</f>
        <v>M2</v>
      </c>
      <c r="I33" s="344">
        <f>工程進度表!F32</f>
        <v>84</v>
      </c>
      <c r="J33" s="344"/>
      <c r="K33" s="347">
        <f>工程進度表!A32</f>
        <v>0</v>
      </c>
      <c r="L33" s="347"/>
      <c r="M33" s="347">
        <f>工程進度表!B32</f>
        <v>0</v>
      </c>
      <c r="N33" s="347"/>
      <c r="O33" s="43"/>
      <c r="U33" s="118"/>
      <c r="Z33" s="31">
        <v>19</v>
      </c>
    </row>
    <row r="34" spans="1:26" ht="15.75" customHeight="1" outlineLevel="1">
      <c r="A34" s="59" t="str">
        <f>工程進度表!C33</f>
        <v>20</v>
      </c>
      <c r="B34" s="356" t="str">
        <f>工程進度表!D33</f>
        <v>廁間安裝不鏽鋼掛鈎與13mm熱固性樹脂板置物板</v>
      </c>
      <c r="C34" s="357"/>
      <c r="D34" s="357"/>
      <c r="E34" s="357"/>
      <c r="F34" s="357"/>
      <c r="G34" s="358"/>
      <c r="H34" s="203" t="str">
        <f>工程進度表!E33</f>
        <v>間</v>
      </c>
      <c r="I34" s="344">
        <f>工程進度表!F33</f>
        <v>8</v>
      </c>
      <c r="J34" s="344"/>
      <c r="K34" s="347">
        <f>工程進度表!A33</f>
        <v>0</v>
      </c>
      <c r="L34" s="347"/>
      <c r="M34" s="347">
        <f>工程進度表!B33</f>
        <v>0</v>
      </c>
      <c r="N34" s="347"/>
      <c r="O34" s="43"/>
      <c r="Z34" s="31">
        <v>17</v>
      </c>
    </row>
    <row r="35" spans="1:26" ht="15.75" customHeight="1" outlineLevel="1">
      <c r="A35" s="59" t="str">
        <f>工程進度表!C34</f>
        <v>21</v>
      </c>
      <c r="B35" s="356" t="str">
        <f>工程進度表!D34</f>
        <v>安裝輕鋼架、金屬烤漆透空網與耐燃一級貼皮天花板(含必要之側封板與窗簾盒批土刷漆)</v>
      </c>
      <c r="C35" s="357"/>
      <c r="D35" s="357"/>
      <c r="E35" s="357"/>
      <c r="F35" s="357"/>
      <c r="G35" s="358"/>
      <c r="H35" s="203" t="str">
        <f>工程進度表!E34</f>
        <v>式</v>
      </c>
      <c r="I35" s="344">
        <f>工程進度表!F34</f>
        <v>1</v>
      </c>
      <c r="J35" s="344"/>
      <c r="K35" s="347">
        <f>工程進度表!A34</f>
        <v>0</v>
      </c>
      <c r="L35" s="347"/>
      <c r="M35" s="347">
        <f>工程進度表!B34</f>
        <v>0</v>
      </c>
      <c r="N35" s="347"/>
      <c r="O35" s="43"/>
      <c r="U35" s="125">
        <f>L7+210</f>
        <v>46607</v>
      </c>
      <c r="Z35" s="31">
        <v>18</v>
      </c>
    </row>
    <row r="36" spans="1:26" s="177" customFormat="1" ht="15.75" customHeight="1" outlineLevel="1">
      <c r="A36" s="59" t="str">
        <f>工程進度表!C35</f>
        <v>22</v>
      </c>
      <c r="B36" s="356" t="str">
        <f>工程進度表!D35</f>
        <v>廁所安裝衛生設備(連工帶料)</v>
      </c>
      <c r="C36" s="357"/>
      <c r="D36" s="357"/>
      <c r="E36" s="357"/>
      <c r="F36" s="357"/>
      <c r="G36" s="358"/>
      <c r="H36" s="203" t="str">
        <f>工程進度表!E35</f>
        <v>式</v>
      </c>
      <c r="I36" s="344">
        <f>工程進度表!F35</f>
        <v>1</v>
      </c>
      <c r="J36" s="344"/>
      <c r="K36" s="347">
        <f>工程進度表!A35</f>
        <v>0</v>
      </c>
      <c r="L36" s="347"/>
      <c r="M36" s="347">
        <f>工程進度表!B35</f>
        <v>0.75</v>
      </c>
      <c r="N36" s="347"/>
      <c r="O36" s="176"/>
      <c r="Z36" s="177">
        <v>16</v>
      </c>
    </row>
    <row r="37" spans="1:26" ht="15.75" customHeight="1" outlineLevel="1">
      <c r="A37" s="59" t="str">
        <f>工程進度表!C36</f>
        <v>23</v>
      </c>
      <c r="B37" s="356" t="str">
        <f>工程進度表!D36</f>
        <v>安裝開關、插座與燈具(連工帶料)</v>
      </c>
      <c r="C37" s="357"/>
      <c r="D37" s="357"/>
      <c r="E37" s="357"/>
      <c r="F37" s="357"/>
      <c r="G37" s="358"/>
      <c r="H37" s="203" t="str">
        <f>工程進度表!E36</f>
        <v>式</v>
      </c>
      <c r="I37" s="344">
        <f>工程進度表!F36</f>
        <v>1</v>
      </c>
      <c r="J37" s="344"/>
      <c r="K37" s="347">
        <f>工程進度表!A36</f>
        <v>0</v>
      </c>
      <c r="L37" s="347"/>
      <c r="M37" s="347">
        <f>工程進度表!B36</f>
        <v>0</v>
      </c>
      <c r="N37" s="347"/>
      <c r="O37" s="43"/>
      <c r="Z37" s="31">
        <v>17</v>
      </c>
    </row>
    <row r="38" spans="1:26" ht="15.75" customHeight="1" outlineLevel="1">
      <c r="A38" s="59" t="str">
        <f>工程進度表!C37</f>
        <v>24</v>
      </c>
      <c r="B38" s="356" t="str">
        <f>工程進度表!D37</f>
        <v>給排水系統配管與安裝(連工帶料)</v>
      </c>
      <c r="C38" s="357"/>
      <c r="D38" s="357"/>
      <c r="E38" s="357"/>
      <c r="F38" s="357"/>
      <c r="G38" s="358"/>
      <c r="H38" s="203" t="str">
        <f>工程進度表!E37</f>
        <v>式</v>
      </c>
      <c r="I38" s="344">
        <f>工程進度表!F37</f>
        <v>1</v>
      </c>
      <c r="J38" s="344"/>
      <c r="K38" s="347">
        <f>工程進度表!A37</f>
        <v>0</v>
      </c>
      <c r="L38" s="347"/>
      <c r="M38" s="347">
        <f>工程進度表!B37</f>
        <v>0.99999999999999989</v>
      </c>
      <c r="N38" s="347"/>
      <c r="O38" s="43"/>
      <c r="U38" s="125">
        <f>L10+210</f>
        <v>210</v>
      </c>
      <c r="Z38" s="31">
        <v>18</v>
      </c>
    </row>
    <row r="39" spans="1:26" ht="15.75" customHeight="1" outlineLevel="1">
      <c r="A39" s="59" t="str">
        <f>工程進度表!C38</f>
        <v>25</v>
      </c>
      <c r="B39" s="356" t="str">
        <f>工程進度表!D38</f>
        <v>施做緊急求救按鈕(含閃光與蜂嗚警報器、線材、五金配件, 各層樓每間廁所皆有求救鈕，連工帶料，責任施工)</v>
      </c>
      <c r="C39" s="357"/>
      <c r="D39" s="357"/>
      <c r="E39" s="357"/>
      <c r="F39" s="357"/>
      <c r="G39" s="358"/>
      <c r="H39" s="203" t="str">
        <f>工程進度表!E38</f>
        <v>式</v>
      </c>
      <c r="I39" s="344">
        <f>工程進度表!F38</f>
        <v>1</v>
      </c>
      <c r="J39" s="344"/>
      <c r="K39" s="347">
        <f>工程進度表!A38</f>
        <v>0</v>
      </c>
      <c r="L39" s="347"/>
      <c r="M39" s="347">
        <f>工程進度表!B38</f>
        <v>0</v>
      </c>
      <c r="N39" s="347"/>
      <c r="O39" s="43"/>
      <c r="U39" s="118"/>
      <c r="Z39" s="31">
        <v>19</v>
      </c>
    </row>
    <row r="40" spans="1:26" ht="15.75" customHeight="1" outlineLevel="1">
      <c r="A40" s="59" t="str">
        <f>工程進度表!C39</f>
        <v>26</v>
      </c>
      <c r="B40" s="356" t="str">
        <f>工程進度表!D39</f>
        <v>安裝廁所指標系統、拖把夾(連工帶料，責任施工)</v>
      </c>
      <c r="C40" s="357"/>
      <c r="D40" s="357"/>
      <c r="E40" s="357"/>
      <c r="F40" s="357"/>
      <c r="G40" s="358"/>
      <c r="H40" s="203" t="str">
        <f>工程進度表!E39</f>
        <v>式</v>
      </c>
      <c r="I40" s="344">
        <f>工程進度表!F39</f>
        <v>1</v>
      </c>
      <c r="J40" s="344"/>
      <c r="K40" s="347">
        <f>工程進度表!A39</f>
        <v>0</v>
      </c>
      <c r="L40" s="347"/>
      <c r="M40" s="347">
        <f>工程進度表!B39</f>
        <v>0</v>
      </c>
      <c r="N40" s="347"/>
      <c r="O40" s="43"/>
      <c r="U40" s="125">
        <f>L12+210</f>
        <v>210</v>
      </c>
      <c r="Z40" s="31">
        <v>18</v>
      </c>
    </row>
    <row r="41" spans="1:26" s="177" customFormat="1" ht="15.75" customHeight="1" outlineLevel="1">
      <c r="A41" s="59" t="str">
        <f>工程進度表!C40</f>
        <v>27</v>
      </c>
      <c r="B41" s="356" t="str">
        <f>工程進度表!D40</f>
        <v>牆面貼彩色花磚磁磚20*20cm，白色水泥勾縫(連工帶料)</v>
      </c>
      <c r="C41" s="357"/>
      <c r="D41" s="357"/>
      <c r="E41" s="357"/>
      <c r="F41" s="357"/>
      <c r="G41" s="358"/>
      <c r="H41" s="203" t="str">
        <f>工程進度表!E40</f>
        <v>片</v>
      </c>
      <c r="I41" s="344">
        <f>工程進度表!F40</f>
        <v>104</v>
      </c>
      <c r="J41" s="344"/>
      <c r="K41" s="347">
        <f>工程進度表!A40</f>
        <v>0</v>
      </c>
      <c r="L41" s="347"/>
      <c r="M41" s="347">
        <f>工程進度表!B40</f>
        <v>0</v>
      </c>
      <c r="N41" s="347"/>
      <c r="O41" s="176"/>
      <c r="Z41" s="177">
        <v>16</v>
      </c>
    </row>
    <row r="42" spans="1:26" ht="15.75" customHeight="1" outlineLevel="1">
      <c r="A42" s="59" t="str">
        <f>工程進度表!C41</f>
        <v>28</v>
      </c>
      <c r="B42" s="356" t="str">
        <f>工程進度表!D41</f>
        <v>門窗工程與雜項工程</v>
      </c>
      <c r="C42" s="357"/>
      <c r="D42" s="357"/>
      <c r="E42" s="357"/>
      <c r="F42" s="357"/>
      <c r="G42" s="358"/>
      <c r="H42" s="203" t="str">
        <f>工程進度表!E41</f>
        <v>式</v>
      </c>
      <c r="I42" s="344">
        <f>工程進度表!F41</f>
        <v>1</v>
      </c>
      <c r="J42" s="344"/>
      <c r="K42" s="347">
        <f>工程進度表!A41</f>
        <v>0</v>
      </c>
      <c r="L42" s="347"/>
      <c r="M42" s="347">
        <f>工程進度表!B41</f>
        <v>0</v>
      </c>
      <c r="N42" s="347"/>
      <c r="O42" s="43"/>
      <c r="Z42" s="31">
        <v>17</v>
      </c>
    </row>
    <row r="43" spans="1:26" ht="15.75" customHeight="1" outlineLevel="1">
      <c r="A43" s="59" t="str">
        <f>工程進度表!C42</f>
        <v>二</v>
      </c>
      <c r="B43" s="356" t="str">
        <f>工程進度表!D42</f>
        <v>職業安全衛生管理費(壹*1%)</v>
      </c>
      <c r="C43" s="357"/>
      <c r="D43" s="357"/>
      <c r="E43" s="357"/>
      <c r="F43" s="357"/>
      <c r="G43" s="358"/>
      <c r="H43" s="203" t="str">
        <f>工程進度表!E42</f>
        <v>式</v>
      </c>
      <c r="I43" s="344">
        <f>工程進度表!F42</f>
        <v>1</v>
      </c>
      <c r="J43" s="344"/>
      <c r="K43" s="347">
        <f>工程進度表!A42</f>
        <v>8.1000000000000003E-2</v>
      </c>
      <c r="L43" s="347"/>
      <c r="M43" s="347">
        <f>工程進度表!B42</f>
        <v>0.24299999999999999</v>
      </c>
      <c r="N43" s="347"/>
      <c r="O43" s="43"/>
      <c r="U43" s="125">
        <f>L14+210</f>
        <v>210</v>
      </c>
      <c r="Z43" s="31">
        <v>18</v>
      </c>
    </row>
    <row r="44" spans="1:26" ht="15.75" customHeight="1" outlineLevel="1">
      <c r="A44" s="59" t="str">
        <f>工程進度表!C43</f>
        <v>三</v>
      </c>
      <c r="B44" s="356" t="str">
        <f>工程進度表!D43</f>
        <v>公共工程品質管制作業費(壹*1%)</v>
      </c>
      <c r="C44" s="357"/>
      <c r="D44" s="357"/>
      <c r="E44" s="357"/>
      <c r="F44" s="357"/>
      <c r="G44" s="358"/>
      <c r="H44" s="203" t="str">
        <f>工程進度表!E43</f>
        <v>式</v>
      </c>
      <c r="I44" s="344">
        <f>工程進度表!F43</f>
        <v>1</v>
      </c>
      <c r="J44" s="344"/>
      <c r="K44" s="347">
        <f>工程進度表!A43</f>
        <v>8.1000000000000003E-2</v>
      </c>
      <c r="L44" s="347"/>
      <c r="M44" s="347">
        <f>工程進度表!B43</f>
        <v>0.24299999999999999</v>
      </c>
      <c r="N44" s="347"/>
      <c r="O44" s="43"/>
      <c r="U44" s="118"/>
      <c r="Z44" s="31">
        <v>19</v>
      </c>
    </row>
    <row r="45" spans="1:26" ht="15.75" customHeight="1" outlineLevel="1">
      <c r="A45" s="59" t="str">
        <f>工程進度表!C44</f>
        <v>四</v>
      </c>
      <c r="B45" s="356" t="str">
        <f>工程進度表!D44</f>
        <v>包商利潤及管理費(約壹*7%)</v>
      </c>
      <c r="C45" s="357"/>
      <c r="D45" s="357"/>
      <c r="E45" s="357"/>
      <c r="F45" s="357"/>
      <c r="G45" s="358"/>
      <c r="H45" s="203" t="str">
        <f>工程進度表!E44</f>
        <v>式</v>
      </c>
      <c r="I45" s="344">
        <f>工程進度表!F44</f>
        <v>1</v>
      </c>
      <c r="J45" s="344"/>
      <c r="K45" s="347">
        <f>工程進度表!A44</f>
        <v>0.02</v>
      </c>
      <c r="L45" s="347"/>
      <c r="M45" s="347">
        <f>工程進度表!B44</f>
        <v>0.60399999999999998</v>
      </c>
      <c r="N45" s="347"/>
      <c r="O45" s="43"/>
      <c r="Z45" s="31">
        <v>17</v>
      </c>
    </row>
    <row r="46" spans="1:26" ht="15.75" customHeight="1" outlineLevel="1">
      <c r="A46" s="59" t="str">
        <f>工程進度表!C45</f>
        <v>五</v>
      </c>
      <c r="B46" s="356" t="str">
        <f>工程進度表!D45</f>
        <v xml:space="preserve">營造綜合保險費 </v>
      </c>
      <c r="C46" s="357"/>
      <c r="D46" s="357"/>
      <c r="E46" s="357"/>
      <c r="F46" s="357"/>
      <c r="G46" s="358"/>
      <c r="H46" s="203" t="str">
        <f>工程進度表!E45</f>
        <v>式</v>
      </c>
      <c r="I46" s="344">
        <f>工程進度表!F45</f>
        <v>1</v>
      </c>
      <c r="J46" s="344"/>
      <c r="K46" s="347">
        <f>工程進度表!A45</f>
        <v>0</v>
      </c>
      <c r="L46" s="347"/>
      <c r="M46" s="347">
        <f>工程進度表!B45</f>
        <v>1</v>
      </c>
      <c r="N46" s="347"/>
      <c r="O46" s="43"/>
      <c r="U46" s="125">
        <f>L7+210</f>
        <v>46607</v>
      </c>
      <c r="Z46" s="31">
        <v>18</v>
      </c>
    </row>
    <row r="47" spans="1:26" ht="15.75" customHeight="1" outlineLevel="1" thickBot="1">
      <c r="A47" s="59" t="str">
        <f>工程進度表!C46</f>
        <v>六</v>
      </c>
      <c r="B47" s="356" t="str">
        <f>工程進度表!D46</f>
        <v>營業稅((壹~伍)*5%)</v>
      </c>
      <c r="C47" s="357"/>
      <c r="D47" s="357"/>
      <c r="E47" s="357"/>
      <c r="F47" s="357"/>
      <c r="G47" s="358"/>
      <c r="H47" s="203" t="str">
        <f>工程進度表!E46</f>
        <v>式</v>
      </c>
      <c r="I47" s="344">
        <f>工程進度表!F46</f>
        <v>1</v>
      </c>
      <c r="J47" s="344"/>
      <c r="K47" s="347">
        <f>工程進度表!A46</f>
        <v>0</v>
      </c>
      <c r="L47" s="347"/>
      <c r="M47" s="347">
        <f>工程進度表!B46</f>
        <v>0</v>
      </c>
      <c r="N47" s="347"/>
      <c r="O47" s="43"/>
      <c r="U47" s="118"/>
      <c r="Z47" s="31">
        <v>19</v>
      </c>
    </row>
    <row r="48" spans="1:26" ht="20.100000000000001" hidden="1" customHeight="1" outlineLevel="1">
      <c r="A48" s="142" t="e">
        <f>工程進度表!#REF!</f>
        <v>#REF!</v>
      </c>
      <c r="B48" s="341" t="e">
        <f>工程進度表!#REF!</f>
        <v>#REF!</v>
      </c>
      <c r="C48" s="342"/>
      <c r="D48" s="342"/>
      <c r="E48" s="342"/>
      <c r="F48" s="342"/>
      <c r="G48" s="343"/>
      <c r="H48" s="29" t="e">
        <f>工程進度表!#REF!</f>
        <v>#REF!</v>
      </c>
      <c r="I48" s="344">
        <f>工程進度表!F47</f>
        <v>0</v>
      </c>
      <c r="J48" s="344"/>
      <c r="K48" s="345" t="e">
        <f>工程進度表!#REF!</f>
        <v>#REF!</v>
      </c>
      <c r="L48" s="346"/>
      <c r="M48" s="347" t="e">
        <f>工程進度表!#REF!</f>
        <v>#REF!</v>
      </c>
      <c r="N48" s="347"/>
      <c r="O48" s="143"/>
      <c r="Z48" s="31">
        <v>50</v>
      </c>
    </row>
    <row r="49" spans="1:26" ht="20.100000000000001" hidden="1" customHeight="1" outlineLevel="1">
      <c r="A49" s="142" t="e">
        <f>工程進度表!#REF!</f>
        <v>#REF!</v>
      </c>
      <c r="B49" s="341" t="e">
        <f>工程進度表!#REF!</f>
        <v>#REF!</v>
      </c>
      <c r="C49" s="342"/>
      <c r="D49" s="342"/>
      <c r="E49" s="342"/>
      <c r="F49" s="342"/>
      <c r="G49" s="343"/>
      <c r="H49" s="29" t="e">
        <f>工程進度表!#REF!</f>
        <v>#REF!</v>
      </c>
      <c r="I49" s="344">
        <f>工程進度表!F48</f>
        <v>0</v>
      </c>
      <c r="J49" s="344"/>
      <c r="K49" s="345" t="e">
        <f>工程進度表!#REF!</f>
        <v>#REF!</v>
      </c>
      <c r="L49" s="346"/>
      <c r="M49" s="347" t="e">
        <f>工程進度表!#REF!</f>
        <v>#REF!</v>
      </c>
      <c r="N49" s="347"/>
      <c r="O49" s="143"/>
      <c r="Z49" s="31">
        <v>51</v>
      </c>
    </row>
    <row r="50" spans="1:26" ht="20.100000000000001" hidden="1" customHeight="1" outlineLevel="1">
      <c r="A50" s="142" t="e">
        <f>工程進度表!#REF!</f>
        <v>#REF!</v>
      </c>
      <c r="B50" s="341" t="e">
        <f>工程進度表!#REF!</f>
        <v>#REF!</v>
      </c>
      <c r="C50" s="342"/>
      <c r="D50" s="342"/>
      <c r="E50" s="342"/>
      <c r="F50" s="342"/>
      <c r="G50" s="343"/>
      <c r="H50" s="29" t="e">
        <f>工程進度表!#REF!</f>
        <v>#REF!</v>
      </c>
      <c r="I50" s="344">
        <f>工程進度表!F49</f>
        <v>0</v>
      </c>
      <c r="J50" s="344"/>
      <c r="K50" s="345" t="e">
        <f>工程進度表!#REF!</f>
        <v>#REF!</v>
      </c>
      <c r="L50" s="346"/>
      <c r="M50" s="347" t="e">
        <f>工程進度表!#REF!</f>
        <v>#REF!</v>
      </c>
      <c r="N50" s="347"/>
      <c r="O50" s="143"/>
      <c r="Z50" s="31">
        <v>52</v>
      </c>
    </row>
    <row r="51" spans="1:26" ht="20.100000000000001" hidden="1" customHeight="1">
      <c r="A51" s="142" t="e">
        <f>工程進度表!#REF!</f>
        <v>#REF!</v>
      </c>
      <c r="B51" s="341" t="e">
        <f>工程進度表!#REF!</f>
        <v>#REF!</v>
      </c>
      <c r="C51" s="342"/>
      <c r="D51" s="342"/>
      <c r="E51" s="342"/>
      <c r="F51" s="342"/>
      <c r="G51" s="343"/>
      <c r="H51" s="29" t="e">
        <f>工程進度表!#REF!</f>
        <v>#REF!</v>
      </c>
      <c r="I51" s="344">
        <f>工程進度表!F50</f>
        <v>0</v>
      </c>
      <c r="J51" s="344"/>
      <c r="K51" s="345" t="e">
        <f>工程進度表!#REF!</f>
        <v>#REF!</v>
      </c>
      <c r="L51" s="346"/>
      <c r="M51" s="347" t="e">
        <f>工程進度表!#REF!</f>
        <v>#REF!</v>
      </c>
      <c r="N51" s="347"/>
      <c r="O51" s="143"/>
      <c r="Z51" s="31">
        <v>53</v>
      </c>
    </row>
    <row r="52" spans="1:26" ht="20.100000000000001" hidden="1" customHeight="1" thickBot="1">
      <c r="A52" s="142" t="e">
        <f>工程進度表!#REF!</f>
        <v>#REF!</v>
      </c>
      <c r="B52" s="341" t="e">
        <f>工程進度表!#REF!</f>
        <v>#REF!</v>
      </c>
      <c r="C52" s="342"/>
      <c r="D52" s="342"/>
      <c r="E52" s="342"/>
      <c r="F52" s="342"/>
      <c r="G52" s="343"/>
      <c r="H52" s="29" t="e">
        <f>工程進度表!#REF!</f>
        <v>#REF!</v>
      </c>
      <c r="I52" s="344">
        <f>工程進度表!F51</f>
        <v>0</v>
      </c>
      <c r="J52" s="344"/>
      <c r="K52" s="348" t="e">
        <f>工程進度表!#REF!</f>
        <v>#REF!</v>
      </c>
      <c r="L52" s="349"/>
      <c r="M52" s="347" t="e">
        <f>工程進度表!#REF!</f>
        <v>#REF!</v>
      </c>
      <c r="N52" s="347"/>
      <c r="O52" s="143"/>
      <c r="Z52" s="31">
        <v>54</v>
      </c>
    </row>
    <row r="53" spans="1:26" ht="20.100000000000001" customHeight="1">
      <c r="A53" s="350" t="s">
        <v>60</v>
      </c>
      <c r="B53" s="351"/>
      <c r="C53" s="351"/>
      <c r="D53" s="351"/>
      <c r="E53" s="351"/>
      <c r="F53" s="351"/>
      <c r="G53" s="352"/>
      <c r="H53" s="34"/>
      <c r="I53" s="353"/>
      <c r="J53" s="354"/>
      <c r="K53" s="324"/>
      <c r="L53" s="325"/>
      <c r="M53" s="324"/>
      <c r="N53" s="325"/>
      <c r="O53" s="35"/>
      <c r="Z53" s="31">
        <v>356</v>
      </c>
    </row>
    <row r="54" spans="1:26" ht="20.100000000000001" customHeight="1">
      <c r="A54" s="36" t="s">
        <v>61</v>
      </c>
      <c r="B54" s="326"/>
      <c r="C54" s="326"/>
      <c r="D54" s="326"/>
      <c r="E54" s="326"/>
      <c r="F54" s="326"/>
      <c r="G54" s="327"/>
      <c r="H54" s="37"/>
      <c r="I54" s="328"/>
      <c r="J54" s="329"/>
      <c r="K54" s="330"/>
      <c r="L54" s="331"/>
      <c r="M54" s="330"/>
      <c r="N54" s="331"/>
      <c r="O54" s="33"/>
      <c r="Z54" s="31">
        <v>357</v>
      </c>
    </row>
    <row r="55" spans="1:26" ht="20.100000000000001" customHeight="1" thickBot="1">
      <c r="A55" s="38" t="s">
        <v>62</v>
      </c>
      <c r="B55" s="332"/>
      <c r="C55" s="332"/>
      <c r="D55" s="332"/>
      <c r="E55" s="332"/>
      <c r="F55" s="332"/>
      <c r="G55" s="333"/>
      <c r="H55" s="39"/>
      <c r="I55" s="334"/>
      <c r="J55" s="335"/>
      <c r="K55" s="336"/>
      <c r="L55" s="337"/>
      <c r="M55" s="336"/>
      <c r="N55" s="337"/>
      <c r="O55" s="40"/>
      <c r="Z55" s="31">
        <v>358</v>
      </c>
    </row>
    <row r="56" spans="1:26" ht="20.100000000000001" customHeight="1">
      <c r="A56" s="338" t="s">
        <v>63</v>
      </c>
      <c r="B56" s="339"/>
      <c r="C56" s="339"/>
      <c r="D56" s="339"/>
      <c r="E56" s="339"/>
      <c r="F56" s="339"/>
      <c r="G56" s="339"/>
      <c r="H56" s="339"/>
      <c r="I56" s="339"/>
      <c r="J56" s="339"/>
      <c r="K56" s="339"/>
      <c r="L56" s="339"/>
      <c r="M56" s="339"/>
      <c r="N56" s="339"/>
      <c r="O56" s="340"/>
      <c r="Z56" s="31">
        <v>359</v>
      </c>
    </row>
    <row r="57" spans="1:26" s="32" customFormat="1" ht="20.100000000000001" customHeight="1">
      <c r="A57" s="275" t="s">
        <v>64</v>
      </c>
      <c r="B57" s="276"/>
      <c r="C57" s="276"/>
      <c r="D57" s="277"/>
      <c r="E57" s="266" t="s">
        <v>57</v>
      </c>
      <c r="F57" s="267"/>
      <c r="G57" s="261" t="s">
        <v>65</v>
      </c>
      <c r="H57" s="273"/>
      <c r="I57" s="266" t="s">
        <v>66</v>
      </c>
      <c r="J57" s="278"/>
      <c r="K57" s="267"/>
      <c r="L57" s="266" t="s">
        <v>67</v>
      </c>
      <c r="M57" s="267"/>
      <c r="N57" s="261" t="s">
        <v>59</v>
      </c>
      <c r="O57" s="262"/>
      <c r="Z57" s="31">
        <v>360</v>
      </c>
    </row>
    <row r="58" spans="1:26" ht="20.100000000000001" customHeight="1">
      <c r="A58" s="263"/>
      <c r="B58" s="264"/>
      <c r="C58" s="264"/>
      <c r="D58" s="265"/>
      <c r="E58" s="266"/>
      <c r="F58" s="267"/>
      <c r="G58" s="268"/>
      <c r="H58" s="269"/>
      <c r="I58" s="270"/>
      <c r="J58" s="271"/>
      <c r="K58" s="272"/>
      <c r="L58" s="261"/>
      <c r="M58" s="273"/>
      <c r="N58" s="268"/>
      <c r="O58" s="274"/>
      <c r="Z58" s="31">
        <v>361</v>
      </c>
    </row>
    <row r="59" spans="1:26" ht="20.100000000000001" customHeight="1">
      <c r="A59" s="279" t="s">
        <v>68</v>
      </c>
      <c r="B59" s="280"/>
      <c r="C59" s="280"/>
      <c r="D59" s="280"/>
      <c r="E59" s="280"/>
      <c r="F59" s="280"/>
      <c r="G59" s="280"/>
      <c r="H59" s="280"/>
      <c r="I59" s="280"/>
      <c r="J59" s="280"/>
      <c r="K59" s="280"/>
      <c r="L59" s="280"/>
      <c r="M59" s="280"/>
      <c r="N59" s="280"/>
      <c r="O59" s="281"/>
      <c r="Z59" s="31">
        <v>367</v>
      </c>
    </row>
    <row r="60" spans="1:26" ht="20.100000000000001" customHeight="1">
      <c r="A60" s="282" t="s">
        <v>69</v>
      </c>
      <c r="B60" s="267"/>
      <c r="C60" s="266" t="s">
        <v>70</v>
      </c>
      <c r="D60" s="267"/>
      <c r="E60" s="266" t="s">
        <v>71</v>
      </c>
      <c r="F60" s="278"/>
      <c r="G60" s="278"/>
      <c r="H60" s="267"/>
      <c r="I60" s="144" t="s">
        <v>72</v>
      </c>
      <c r="J60" s="266" t="s">
        <v>66</v>
      </c>
      <c r="K60" s="267"/>
      <c r="L60" s="266" t="s">
        <v>67</v>
      </c>
      <c r="M60" s="278"/>
      <c r="N60" s="278"/>
      <c r="O60" s="283"/>
      <c r="Z60" s="31">
        <v>368</v>
      </c>
    </row>
    <row r="61" spans="1:26" ht="20.100000000000001" customHeight="1">
      <c r="A61" s="287" t="str">
        <f>工程進度表!D54</f>
        <v>現場工程師</v>
      </c>
      <c r="B61" s="288"/>
      <c r="C61" s="289">
        <f>工程進度表!A54</f>
        <v>0</v>
      </c>
      <c r="D61" s="290"/>
      <c r="E61" s="289">
        <f>工程進度表!B54</f>
        <v>0</v>
      </c>
      <c r="F61" s="291"/>
      <c r="G61" s="291"/>
      <c r="H61" s="290"/>
      <c r="I61" s="145" t="str">
        <f>工程進度表!D61</f>
        <v>打除機</v>
      </c>
      <c r="J61" s="289">
        <f>工程進度表!A61</f>
        <v>0</v>
      </c>
      <c r="K61" s="291"/>
      <c r="L61" s="289">
        <f>工程進度表!B61</f>
        <v>0</v>
      </c>
      <c r="M61" s="291"/>
      <c r="N61" s="291"/>
      <c r="O61" s="292"/>
      <c r="Z61" s="31">
        <v>369</v>
      </c>
    </row>
    <row r="62" spans="1:26" ht="20.100000000000001" customHeight="1">
      <c r="A62" s="287" t="str">
        <f>工程進度表!D55</f>
        <v>打除工</v>
      </c>
      <c r="B62" s="288"/>
      <c r="C62" s="289">
        <f>工程進度表!A55</f>
        <v>0</v>
      </c>
      <c r="D62" s="290"/>
      <c r="E62" s="289">
        <f>工程進度表!B55</f>
        <v>29</v>
      </c>
      <c r="F62" s="291"/>
      <c r="G62" s="291"/>
      <c r="H62" s="290"/>
      <c r="I62" s="163" t="str">
        <f>工程進度表!D62</f>
        <v>磨地機</v>
      </c>
      <c r="J62" s="289">
        <f>工程進度表!A62</f>
        <v>0</v>
      </c>
      <c r="K62" s="291"/>
      <c r="L62" s="289">
        <f>工程進度表!B62</f>
        <v>0</v>
      </c>
      <c r="M62" s="291"/>
      <c r="N62" s="291"/>
      <c r="O62" s="292"/>
      <c r="Z62" s="31">
        <v>370</v>
      </c>
    </row>
    <row r="63" spans="1:26" ht="20.100000000000001" customHeight="1">
      <c r="A63" s="287" t="str">
        <f>工程進度表!D56</f>
        <v>技術工</v>
      </c>
      <c r="B63" s="288"/>
      <c r="C63" s="289">
        <f>工程進度表!A56</f>
        <v>0</v>
      </c>
      <c r="D63" s="290"/>
      <c r="E63" s="289">
        <f>工程進度表!B56</f>
        <v>38</v>
      </c>
      <c r="F63" s="291"/>
      <c r="G63" s="291"/>
      <c r="H63" s="290"/>
      <c r="I63" s="163" t="str">
        <f>工程進度表!D63</f>
        <v>其他</v>
      </c>
      <c r="J63" s="289">
        <f>工程進度表!A63</f>
        <v>0</v>
      </c>
      <c r="K63" s="291"/>
      <c r="L63" s="289">
        <f>工程進度表!B63</f>
        <v>0</v>
      </c>
      <c r="M63" s="291"/>
      <c r="N63" s="291"/>
      <c r="O63" s="292"/>
      <c r="Z63" s="31">
        <v>371</v>
      </c>
    </row>
    <row r="64" spans="1:26" ht="20.100000000000001" customHeight="1">
      <c r="A64" s="287" t="str">
        <f>工程進度表!D57</f>
        <v>泥水工</v>
      </c>
      <c r="B64" s="288"/>
      <c r="C64" s="289">
        <f>工程進度表!A57</f>
        <v>0</v>
      </c>
      <c r="D64" s="290"/>
      <c r="E64" s="289">
        <f>工程進度表!B57</f>
        <v>16</v>
      </c>
      <c r="F64" s="291"/>
      <c r="G64" s="291"/>
      <c r="H64" s="290"/>
      <c r="I64" s="169" t="str">
        <f>工程進度表!D64</f>
        <v>吊車</v>
      </c>
      <c r="J64" s="289">
        <f>工程進度表!A64</f>
        <v>0</v>
      </c>
      <c r="K64" s="291"/>
      <c r="L64" s="289">
        <f>工程進度表!B64</f>
        <v>0</v>
      </c>
      <c r="M64" s="291"/>
      <c r="N64" s="291"/>
      <c r="O64" s="292"/>
    </row>
    <row r="65" spans="1:26" ht="20.100000000000001" customHeight="1" thickBot="1">
      <c r="A65" s="287" t="str">
        <f>工程進度表!D58</f>
        <v>小工</v>
      </c>
      <c r="B65" s="288"/>
      <c r="C65" s="289">
        <f>工程進度表!A58</f>
        <v>0</v>
      </c>
      <c r="D65" s="290"/>
      <c r="E65" s="289">
        <f>工程進度表!B58</f>
        <v>8</v>
      </c>
      <c r="F65" s="291"/>
      <c r="G65" s="291"/>
      <c r="H65" s="290"/>
      <c r="I65" s="120"/>
      <c r="J65" s="284"/>
      <c r="K65" s="323"/>
      <c r="L65" s="284"/>
      <c r="M65" s="285"/>
      <c r="N65" s="285"/>
      <c r="O65" s="286"/>
    </row>
    <row r="66" spans="1:26" ht="51.75" customHeight="1" thickBot="1">
      <c r="A66" s="296" t="s">
        <v>144</v>
      </c>
      <c r="B66" s="297"/>
      <c r="C66" s="297"/>
      <c r="D66" s="297"/>
      <c r="E66" s="297"/>
      <c r="F66" s="297"/>
      <c r="G66" s="297"/>
      <c r="H66" s="297"/>
      <c r="I66" s="297"/>
      <c r="J66" s="297"/>
      <c r="K66" s="297"/>
      <c r="L66" s="297"/>
      <c r="M66" s="297"/>
      <c r="N66" s="297"/>
      <c r="O66" s="298"/>
      <c r="Z66" s="31">
        <v>373</v>
      </c>
    </row>
    <row r="67" spans="1:26" ht="132" customHeight="1" thickBot="1">
      <c r="A67" s="299" t="s">
        <v>145</v>
      </c>
      <c r="B67" s="300"/>
      <c r="C67" s="300"/>
      <c r="D67" s="300"/>
      <c r="E67" s="300"/>
      <c r="F67" s="300"/>
      <c r="G67" s="300"/>
      <c r="H67" s="300"/>
      <c r="I67" s="300"/>
      <c r="J67" s="300"/>
      <c r="K67" s="300"/>
      <c r="L67" s="300"/>
      <c r="M67" s="300"/>
      <c r="N67" s="300"/>
      <c r="O67" s="301"/>
      <c r="Z67" s="31">
        <v>374</v>
      </c>
    </row>
    <row r="68" spans="1:26" ht="20.100000000000001" customHeight="1">
      <c r="A68" s="302" t="s">
        <v>73</v>
      </c>
      <c r="B68" s="303"/>
      <c r="C68" s="303"/>
      <c r="D68" s="303"/>
      <c r="E68" s="303"/>
      <c r="F68" s="303"/>
      <c r="G68" s="303"/>
      <c r="H68" s="303"/>
      <c r="I68" s="303"/>
      <c r="J68" s="303"/>
      <c r="K68" s="303"/>
      <c r="L68" s="303"/>
      <c r="M68" s="303"/>
      <c r="N68" s="303"/>
      <c r="O68" s="304"/>
      <c r="Z68" s="31">
        <v>376</v>
      </c>
    </row>
    <row r="69" spans="1:26" s="116" customFormat="1" ht="20.100000000000001" customHeight="1">
      <c r="A69" s="305">
        <f>工程進度表!A75</f>
        <v>0</v>
      </c>
      <c r="B69" s="306"/>
      <c r="C69" s="306"/>
      <c r="D69" s="306"/>
      <c r="E69" s="306"/>
      <c r="F69" s="306"/>
      <c r="G69" s="306"/>
      <c r="H69" s="306"/>
      <c r="I69" s="306"/>
      <c r="J69" s="306"/>
      <c r="K69" s="306"/>
      <c r="L69" s="306"/>
      <c r="M69" s="306"/>
      <c r="N69" s="306"/>
      <c r="O69" s="307"/>
      <c r="Z69" s="116">
        <v>377</v>
      </c>
    </row>
    <row r="70" spans="1:26" ht="20.100000000000001" customHeight="1">
      <c r="A70" s="308" t="s">
        <v>74</v>
      </c>
      <c r="B70" s="309"/>
      <c r="C70" s="309"/>
      <c r="D70" s="309"/>
      <c r="E70" s="309"/>
      <c r="F70" s="309"/>
      <c r="G70" s="309"/>
      <c r="H70" s="309"/>
      <c r="I70" s="309"/>
      <c r="J70" s="309"/>
      <c r="K70" s="309"/>
      <c r="L70" s="309"/>
      <c r="M70" s="309"/>
      <c r="N70" s="309"/>
      <c r="O70" s="310"/>
      <c r="Z70" s="31">
        <v>378</v>
      </c>
    </row>
    <row r="71" spans="1:26" s="116" customFormat="1" ht="20.100000000000001" customHeight="1">
      <c r="A71" s="305">
        <f>工程進度表!A77</f>
        <v>0</v>
      </c>
      <c r="B71" s="306"/>
      <c r="C71" s="306"/>
      <c r="D71" s="306"/>
      <c r="E71" s="306"/>
      <c r="F71" s="306"/>
      <c r="G71" s="306"/>
      <c r="H71" s="306"/>
      <c r="I71" s="306"/>
      <c r="J71" s="306"/>
      <c r="K71" s="306"/>
      <c r="L71" s="306"/>
      <c r="M71" s="306"/>
      <c r="N71" s="306"/>
      <c r="O71" s="307"/>
      <c r="Z71" s="116">
        <v>379</v>
      </c>
    </row>
    <row r="72" spans="1:26" ht="27" customHeight="1">
      <c r="A72" s="311" t="s">
        <v>75</v>
      </c>
      <c r="B72" s="312"/>
      <c r="C72" s="312"/>
      <c r="D72" s="312"/>
      <c r="E72" s="312"/>
      <c r="F72" s="312"/>
      <c r="G72" s="312"/>
      <c r="H72" s="312"/>
      <c r="I72" s="312"/>
      <c r="J72" s="312"/>
      <c r="K72" s="312"/>
      <c r="L72" s="312"/>
      <c r="M72" s="312"/>
      <c r="N72" s="312"/>
      <c r="O72" s="313"/>
      <c r="Z72" s="31">
        <v>380</v>
      </c>
    </row>
    <row r="73" spans="1:26" s="116" customFormat="1" ht="24.75" customHeight="1">
      <c r="A73" s="314">
        <f>工程進度表!A79</f>
        <v>0</v>
      </c>
      <c r="B73" s="315"/>
      <c r="C73" s="315"/>
      <c r="D73" s="315"/>
      <c r="E73" s="315"/>
      <c r="F73" s="315"/>
      <c r="G73" s="315"/>
      <c r="H73" s="315"/>
      <c r="I73" s="315"/>
      <c r="J73" s="315"/>
      <c r="K73" s="315"/>
      <c r="L73" s="315"/>
      <c r="M73" s="315"/>
      <c r="N73" s="315"/>
      <c r="O73" s="316"/>
      <c r="Z73" s="116">
        <v>381</v>
      </c>
    </row>
    <row r="74" spans="1:26" ht="15" customHeight="1">
      <c r="A74" s="317" t="s">
        <v>76</v>
      </c>
      <c r="B74" s="318"/>
      <c r="C74" s="318"/>
      <c r="D74" s="318"/>
      <c r="E74" s="318"/>
      <c r="F74" s="318"/>
      <c r="G74" s="318"/>
      <c r="H74" s="318"/>
      <c r="I74" s="318"/>
      <c r="J74" s="318"/>
      <c r="K74" s="318"/>
      <c r="L74" s="318"/>
      <c r="M74" s="318"/>
      <c r="N74" s="318"/>
      <c r="O74" s="319"/>
      <c r="Z74" s="31">
        <v>382</v>
      </c>
    </row>
    <row r="75" spans="1:26" ht="15" customHeight="1" thickBot="1">
      <c r="A75" s="320"/>
      <c r="B75" s="321"/>
      <c r="C75" s="321"/>
      <c r="D75" s="321"/>
      <c r="E75" s="321"/>
      <c r="F75" s="321"/>
      <c r="G75" s="321"/>
      <c r="H75" s="321"/>
      <c r="I75" s="321"/>
      <c r="J75" s="321"/>
      <c r="K75" s="321"/>
      <c r="L75" s="321"/>
      <c r="M75" s="321"/>
      <c r="N75" s="321"/>
      <c r="O75" s="322"/>
      <c r="Z75" s="31">
        <v>383</v>
      </c>
    </row>
    <row r="76" spans="1:26" ht="144.75" customHeight="1" thickBot="1">
      <c r="A76" s="293" t="s">
        <v>132</v>
      </c>
      <c r="B76" s="294"/>
      <c r="C76" s="294"/>
      <c r="D76" s="294"/>
      <c r="E76" s="294"/>
      <c r="F76" s="294"/>
      <c r="G76" s="294"/>
      <c r="H76" s="294"/>
      <c r="I76" s="294"/>
      <c r="J76" s="294"/>
      <c r="K76" s="294"/>
      <c r="L76" s="294"/>
      <c r="M76" s="294"/>
      <c r="N76" s="294"/>
      <c r="O76" s="295"/>
      <c r="P76" s="42"/>
      <c r="Z76" s="31">
        <v>384</v>
      </c>
    </row>
    <row r="77" spans="1:26">
      <c r="Z77" s="31">
        <v>385</v>
      </c>
    </row>
    <row r="78" spans="1:26">
      <c r="Z78" s="31">
        <v>386</v>
      </c>
    </row>
    <row r="79" spans="1:26">
      <c r="Z79" s="31">
        <v>387</v>
      </c>
    </row>
    <row r="80" spans="1:26">
      <c r="Z80" s="31">
        <v>388</v>
      </c>
    </row>
    <row r="81" spans="1:26">
      <c r="Z81" s="31">
        <v>389</v>
      </c>
    </row>
    <row r="82" spans="1:26">
      <c r="Z82" s="31">
        <v>390</v>
      </c>
    </row>
    <row r="83" spans="1:26">
      <c r="Z83" s="31">
        <v>391</v>
      </c>
    </row>
    <row r="84" spans="1:26">
      <c r="Z84" s="31">
        <v>392</v>
      </c>
    </row>
    <row r="85" spans="1:26">
      <c r="Z85" s="31">
        <v>393</v>
      </c>
    </row>
    <row r="86" spans="1:26">
      <c r="Z86" s="31">
        <v>394</v>
      </c>
    </row>
    <row r="87" spans="1:26">
      <c r="Z87" s="31">
        <v>395</v>
      </c>
    </row>
    <row r="88" spans="1:26">
      <c r="A88" s="31"/>
      <c r="Z88" s="31">
        <v>396</v>
      </c>
    </row>
    <row r="89" spans="1:26">
      <c r="A89" s="31"/>
      <c r="Z89" s="31">
        <v>397</v>
      </c>
    </row>
    <row r="90" spans="1:26">
      <c r="A90" s="31"/>
      <c r="Z90" s="31">
        <v>398</v>
      </c>
    </row>
    <row r="91" spans="1:26">
      <c r="A91" s="31"/>
      <c r="Z91" s="31">
        <v>399</v>
      </c>
    </row>
    <row r="92" spans="1:26">
      <c r="A92" s="31"/>
      <c r="Z92" s="31">
        <v>400</v>
      </c>
    </row>
    <row r="93" spans="1:26">
      <c r="A93" s="31"/>
      <c r="Z93" s="31">
        <v>401</v>
      </c>
    </row>
    <row r="94" spans="1:26">
      <c r="A94" s="31"/>
      <c r="Z94" s="31">
        <v>402</v>
      </c>
    </row>
    <row r="95" spans="1:26">
      <c r="A95" s="31"/>
      <c r="Z95" s="31">
        <v>403</v>
      </c>
    </row>
    <row r="96" spans="1:26">
      <c r="A96" s="31"/>
      <c r="Z96" s="31">
        <v>404</v>
      </c>
    </row>
    <row r="97" spans="1:26">
      <c r="A97" s="31"/>
      <c r="Z97" s="31">
        <v>405</v>
      </c>
    </row>
    <row r="98" spans="1:26">
      <c r="A98" s="31"/>
      <c r="Z98" s="31">
        <v>406</v>
      </c>
    </row>
    <row r="99" spans="1:26">
      <c r="A99" s="31"/>
      <c r="Z99" s="31">
        <v>407</v>
      </c>
    </row>
    <row r="100" spans="1:26">
      <c r="A100" s="31"/>
      <c r="Z100" s="31">
        <v>408</v>
      </c>
    </row>
    <row r="101" spans="1:26">
      <c r="A101" s="31"/>
      <c r="Z101" s="31">
        <v>409</v>
      </c>
    </row>
    <row r="102" spans="1:26">
      <c r="A102" s="31"/>
      <c r="Z102" s="31">
        <v>410</v>
      </c>
    </row>
    <row r="103" spans="1:26">
      <c r="A103" s="31"/>
      <c r="Z103" s="31">
        <v>411</v>
      </c>
    </row>
    <row r="104" spans="1:26">
      <c r="A104" s="31"/>
      <c r="Z104" s="31">
        <v>412</v>
      </c>
    </row>
    <row r="105" spans="1:26">
      <c r="A105" s="31"/>
      <c r="Z105" s="31">
        <v>413</v>
      </c>
    </row>
    <row r="106" spans="1:26">
      <c r="A106" s="31"/>
      <c r="Z106" s="31">
        <v>414</v>
      </c>
    </row>
    <row r="107" spans="1:26">
      <c r="A107" s="31"/>
      <c r="Z107" s="31">
        <v>415</v>
      </c>
    </row>
    <row r="108" spans="1:26">
      <c r="A108" s="31"/>
      <c r="Z108" s="31">
        <v>416</v>
      </c>
    </row>
    <row r="109" spans="1:26">
      <c r="A109" s="31"/>
      <c r="Z109" s="31">
        <v>417</v>
      </c>
    </row>
    <row r="110" spans="1:26">
      <c r="A110" s="31"/>
      <c r="Z110" s="31">
        <v>418</v>
      </c>
    </row>
    <row r="111" spans="1:26">
      <c r="A111" s="31"/>
      <c r="Z111" s="31">
        <v>419</v>
      </c>
    </row>
    <row r="112" spans="1:26">
      <c r="A112" s="31"/>
      <c r="Z112" s="31">
        <v>420</v>
      </c>
    </row>
    <row r="113" spans="1:26">
      <c r="A113" s="31"/>
      <c r="Z113" s="31">
        <v>421</v>
      </c>
    </row>
    <row r="114" spans="1:26">
      <c r="A114" s="31"/>
      <c r="Z114" s="31">
        <v>422</v>
      </c>
    </row>
    <row r="115" spans="1:26">
      <c r="A115" s="31"/>
      <c r="Z115" s="31">
        <v>423</v>
      </c>
    </row>
    <row r="116" spans="1:26">
      <c r="A116" s="31"/>
      <c r="Z116" s="31">
        <v>424</v>
      </c>
    </row>
    <row r="117" spans="1:26">
      <c r="A117" s="31"/>
      <c r="Z117" s="31">
        <v>425</v>
      </c>
    </row>
    <row r="118" spans="1:26">
      <c r="A118" s="31"/>
      <c r="Z118" s="31">
        <v>426</v>
      </c>
    </row>
    <row r="119" spans="1:26">
      <c r="A119" s="31"/>
      <c r="Z119" s="31">
        <v>427</v>
      </c>
    </row>
    <row r="120" spans="1:26">
      <c r="A120" s="31"/>
      <c r="Z120" s="31">
        <v>428</v>
      </c>
    </row>
    <row r="121" spans="1:26">
      <c r="A121" s="31"/>
      <c r="Z121" s="31">
        <v>429</v>
      </c>
    </row>
    <row r="122" spans="1:26">
      <c r="A122" s="31"/>
      <c r="Z122" s="31">
        <v>430</v>
      </c>
    </row>
    <row r="123" spans="1:26">
      <c r="A123" s="31"/>
      <c r="Z123" s="31">
        <v>431</v>
      </c>
    </row>
    <row r="124" spans="1:26">
      <c r="A124" s="31"/>
      <c r="Z124" s="31">
        <v>432</v>
      </c>
    </row>
    <row r="125" spans="1:26">
      <c r="A125" s="31"/>
      <c r="Z125" s="31">
        <v>433</v>
      </c>
    </row>
    <row r="126" spans="1:26">
      <c r="A126" s="31"/>
      <c r="Z126" s="31">
        <v>434</v>
      </c>
    </row>
    <row r="127" spans="1:26">
      <c r="A127" s="31"/>
      <c r="Z127" s="31">
        <v>435</v>
      </c>
    </row>
    <row r="128" spans="1:26">
      <c r="A128" s="31"/>
      <c r="Z128" s="31">
        <v>436</v>
      </c>
    </row>
    <row r="129" spans="1:26">
      <c r="A129" s="31"/>
      <c r="Z129" s="31">
        <v>437</v>
      </c>
    </row>
    <row r="130" spans="1:26">
      <c r="A130" s="31"/>
      <c r="Z130" s="31">
        <v>438</v>
      </c>
    </row>
    <row r="131" spans="1:26">
      <c r="A131" s="31"/>
      <c r="Z131" s="31">
        <v>439</v>
      </c>
    </row>
    <row r="132" spans="1:26">
      <c r="A132" s="31"/>
      <c r="Z132" s="31">
        <v>440</v>
      </c>
    </row>
    <row r="133" spans="1:26">
      <c r="A133" s="31"/>
      <c r="Z133" s="31">
        <v>441</v>
      </c>
    </row>
    <row r="134" spans="1:26">
      <c r="A134" s="31"/>
      <c r="Z134" s="31">
        <v>442</v>
      </c>
    </row>
    <row r="135" spans="1:26">
      <c r="A135" s="31"/>
      <c r="Z135" s="31">
        <v>443</v>
      </c>
    </row>
    <row r="136" spans="1:26">
      <c r="A136" s="31"/>
      <c r="Z136" s="31">
        <v>444</v>
      </c>
    </row>
    <row r="137" spans="1:26">
      <c r="A137" s="31"/>
      <c r="Z137" s="31">
        <v>445</v>
      </c>
    </row>
    <row r="138" spans="1:26">
      <c r="A138" s="31"/>
      <c r="Z138" s="31">
        <v>446</v>
      </c>
    </row>
    <row r="139" spans="1:26">
      <c r="A139" s="31"/>
      <c r="Z139" s="31">
        <v>447</v>
      </c>
    </row>
    <row r="140" spans="1:26">
      <c r="A140" s="31"/>
      <c r="Z140" s="31">
        <v>448</v>
      </c>
    </row>
    <row r="141" spans="1:26">
      <c r="A141" s="31"/>
      <c r="Z141" s="31">
        <v>449</v>
      </c>
    </row>
    <row r="142" spans="1:26">
      <c r="A142" s="31"/>
      <c r="Z142" s="31">
        <v>450</v>
      </c>
    </row>
    <row r="143" spans="1:26">
      <c r="A143" s="31"/>
      <c r="Z143" s="31">
        <v>451</v>
      </c>
    </row>
    <row r="144" spans="1:26">
      <c r="A144" s="31"/>
      <c r="Z144" s="31">
        <v>452</v>
      </c>
    </row>
    <row r="145" spans="1:26">
      <c r="A145" s="31"/>
      <c r="Z145" s="31">
        <v>453</v>
      </c>
    </row>
    <row r="146" spans="1:26">
      <c r="A146" s="31"/>
      <c r="Z146" s="31">
        <v>454</v>
      </c>
    </row>
    <row r="147" spans="1:26">
      <c r="A147" s="31"/>
      <c r="Z147" s="31">
        <v>455</v>
      </c>
    </row>
    <row r="148" spans="1:26">
      <c r="A148" s="31"/>
      <c r="Z148" s="31">
        <v>456</v>
      </c>
    </row>
    <row r="149" spans="1:26">
      <c r="A149" s="31"/>
      <c r="Z149" s="31">
        <v>457</v>
      </c>
    </row>
    <row r="150" spans="1:26">
      <c r="A150" s="31"/>
      <c r="Z150" s="31">
        <v>458</v>
      </c>
    </row>
    <row r="151" spans="1:26">
      <c r="A151" s="31"/>
      <c r="Z151" s="31">
        <v>459</v>
      </c>
    </row>
    <row r="152" spans="1:26">
      <c r="A152" s="31"/>
      <c r="Z152" s="31">
        <v>460</v>
      </c>
    </row>
    <row r="153" spans="1:26">
      <c r="A153" s="31"/>
      <c r="Z153" s="31">
        <v>461</v>
      </c>
    </row>
    <row r="154" spans="1:26">
      <c r="A154" s="31"/>
      <c r="Z154" s="31">
        <v>462</v>
      </c>
    </row>
    <row r="155" spans="1:26">
      <c r="A155" s="31"/>
      <c r="Z155" s="31">
        <v>463</v>
      </c>
    </row>
    <row r="156" spans="1:26">
      <c r="A156" s="31"/>
      <c r="Z156" s="31">
        <v>464</v>
      </c>
    </row>
    <row r="157" spans="1:26">
      <c r="A157" s="31"/>
      <c r="Z157" s="31">
        <v>465</v>
      </c>
    </row>
    <row r="158" spans="1:26">
      <c r="A158" s="31"/>
      <c r="Z158" s="31">
        <v>466</v>
      </c>
    </row>
    <row r="159" spans="1:26">
      <c r="A159" s="31"/>
      <c r="Z159" s="31">
        <v>467</v>
      </c>
    </row>
    <row r="160" spans="1:26">
      <c r="A160" s="31"/>
      <c r="Z160" s="31">
        <v>468</v>
      </c>
    </row>
    <row r="161" spans="1:26">
      <c r="A161" s="31"/>
      <c r="Z161" s="31">
        <v>469</v>
      </c>
    </row>
    <row r="162" spans="1:26">
      <c r="A162" s="31"/>
      <c r="Z162" s="31">
        <v>470</v>
      </c>
    </row>
    <row r="163" spans="1:26">
      <c r="A163" s="31"/>
      <c r="Z163" s="31">
        <v>471</v>
      </c>
    </row>
    <row r="164" spans="1:26">
      <c r="A164" s="31"/>
      <c r="Z164" s="31">
        <v>472</v>
      </c>
    </row>
    <row r="165" spans="1:26">
      <c r="A165" s="31"/>
      <c r="Z165" s="31">
        <v>473</v>
      </c>
    </row>
    <row r="166" spans="1:26">
      <c r="A166" s="31"/>
      <c r="Z166" s="31">
        <v>474</v>
      </c>
    </row>
    <row r="167" spans="1:26">
      <c r="A167" s="31"/>
      <c r="Z167" s="31">
        <v>475</v>
      </c>
    </row>
    <row r="168" spans="1:26">
      <c r="A168" s="31"/>
      <c r="Z168" s="31">
        <v>476</v>
      </c>
    </row>
    <row r="169" spans="1:26">
      <c r="A169" s="31"/>
      <c r="Z169" s="31">
        <v>477</v>
      </c>
    </row>
    <row r="170" spans="1:26">
      <c r="A170" s="31"/>
      <c r="Z170" s="31">
        <v>478</v>
      </c>
    </row>
    <row r="171" spans="1:26">
      <c r="A171" s="31"/>
      <c r="Z171" s="31">
        <v>479</v>
      </c>
    </row>
    <row r="172" spans="1:26">
      <c r="A172" s="31"/>
      <c r="Z172" s="31">
        <v>480</v>
      </c>
    </row>
    <row r="173" spans="1:26">
      <c r="A173" s="31"/>
      <c r="Z173" s="31">
        <v>481</v>
      </c>
    </row>
    <row r="174" spans="1:26">
      <c r="A174" s="31"/>
      <c r="Z174" s="31">
        <v>482</v>
      </c>
    </row>
    <row r="175" spans="1:26">
      <c r="A175" s="31"/>
      <c r="Z175" s="31">
        <v>483</v>
      </c>
    </row>
    <row r="176" spans="1:26">
      <c r="A176" s="31"/>
      <c r="Z176" s="31">
        <v>484</v>
      </c>
    </row>
    <row r="177" spans="1:26">
      <c r="A177" s="31"/>
      <c r="Z177" s="31">
        <v>485</v>
      </c>
    </row>
    <row r="178" spans="1:26">
      <c r="A178" s="31"/>
      <c r="Z178" s="31">
        <v>486</v>
      </c>
    </row>
    <row r="179" spans="1:26">
      <c r="A179" s="31"/>
      <c r="Z179" s="31">
        <v>487</v>
      </c>
    </row>
    <row r="180" spans="1:26">
      <c r="A180" s="31"/>
      <c r="Z180" s="31">
        <v>488</v>
      </c>
    </row>
    <row r="181" spans="1:26">
      <c r="A181" s="31"/>
      <c r="Z181" s="31">
        <v>489</v>
      </c>
    </row>
    <row r="182" spans="1:26">
      <c r="A182" s="31"/>
      <c r="Z182" s="31">
        <v>490</v>
      </c>
    </row>
    <row r="183" spans="1:26">
      <c r="A183" s="31"/>
      <c r="Z183" s="31">
        <v>491</v>
      </c>
    </row>
    <row r="184" spans="1:26">
      <c r="A184" s="31"/>
      <c r="Z184" s="31">
        <v>492</v>
      </c>
    </row>
    <row r="185" spans="1:26">
      <c r="A185" s="31"/>
      <c r="Z185" s="31">
        <v>493</v>
      </c>
    </row>
    <row r="186" spans="1:26">
      <c r="A186" s="31"/>
      <c r="Z186" s="31">
        <v>494</v>
      </c>
    </row>
    <row r="187" spans="1:26">
      <c r="A187" s="31"/>
      <c r="Z187" s="31">
        <v>495</v>
      </c>
    </row>
    <row r="188" spans="1:26">
      <c r="A188" s="31"/>
      <c r="Z188" s="31">
        <v>496</v>
      </c>
    </row>
    <row r="189" spans="1:26">
      <c r="A189" s="31"/>
      <c r="Z189" s="31">
        <v>497</v>
      </c>
    </row>
    <row r="190" spans="1:26">
      <c r="A190" s="31"/>
      <c r="Z190" s="31">
        <v>498</v>
      </c>
    </row>
    <row r="191" spans="1:26">
      <c r="A191" s="31"/>
      <c r="Z191" s="31">
        <v>499</v>
      </c>
    </row>
    <row r="192" spans="1:26">
      <c r="A192" s="31"/>
      <c r="Z192" s="31">
        <v>500</v>
      </c>
    </row>
    <row r="193" spans="1:26">
      <c r="A193" s="31"/>
      <c r="Z193" s="31">
        <v>501</v>
      </c>
    </row>
    <row r="194" spans="1:26">
      <c r="A194" s="31"/>
      <c r="Z194" s="31">
        <v>502</v>
      </c>
    </row>
    <row r="195" spans="1:26">
      <c r="A195" s="31"/>
      <c r="Z195" s="31">
        <v>503</v>
      </c>
    </row>
    <row r="196" spans="1:26">
      <c r="A196" s="31"/>
      <c r="Z196" s="31">
        <v>504</v>
      </c>
    </row>
    <row r="197" spans="1:26">
      <c r="A197" s="31"/>
      <c r="Z197" s="31">
        <v>505</v>
      </c>
    </row>
    <row r="198" spans="1:26">
      <c r="A198" s="31"/>
      <c r="Z198" s="31">
        <v>506</v>
      </c>
    </row>
    <row r="199" spans="1:26">
      <c r="A199" s="31"/>
      <c r="Z199" s="31">
        <v>507</v>
      </c>
    </row>
    <row r="200" spans="1:26">
      <c r="A200" s="31"/>
      <c r="Z200" s="31">
        <v>508</v>
      </c>
    </row>
    <row r="201" spans="1:26">
      <c r="A201" s="31"/>
      <c r="Z201" s="31">
        <v>509</v>
      </c>
    </row>
    <row r="202" spans="1:26">
      <c r="A202" s="31"/>
      <c r="Z202" s="31">
        <v>510</v>
      </c>
    </row>
    <row r="203" spans="1:26">
      <c r="A203" s="31"/>
      <c r="Z203" s="31">
        <v>511</v>
      </c>
    </row>
    <row r="204" spans="1:26">
      <c r="A204" s="31"/>
      <c r="Z204" s="31">
        <v>512</v>
      </c>
    </row>
    <row r="205" spans="1:26">
      <c r="A205" s="31"/>
      <c r="Z205" s="31">
        <v>513</v>
      </c>
    </row>
    <row r="206" spans="1:26">
      <c r="A206" s="31"/>
      <c r="Z206" s="31">
        <v>514</v>
      </c>
    </row>
    <row r="207" spans="1:26">
      <c r="A207" s="31"/>
      <c r="Z207" s="31">
        <v>515</v>
      </c>
    </row>
    <row r="208" spans="1:26">
      <c r="A208" s="31"/>
      <c r="Z208" s="31">
        <v>516</v>
      </c>
    </row>
    <row r="209" spans="1:26">
      <c r="A209" s="31"/>
      <c r="Z209" s="31">
        <v>517</v>
      </c>
    </row>
    <row r="210" spans="1:26">
      <c r="A210" s="31"/>
      <c r="Z210" s="31">
        <v>518</v>
      </c>
    </row>
    <row r="211" spans="1:26">
      <c r="A211" s="31"/>
      <c r="Z211" s="31">
        <v>519</v>
      </c>
    </row>
    <row r="212" spans="1:26">
      <c r="A212" s="31"/>
      <c r="Z212" s="31">
        <v>520</v>
      </c>
    </row>
    <row r="213" spans="1:26">
      <c r="A213" s="31"/>
      <c r="Z213" s="31">
        <v>521</v>
      </c>
    </row>
    <row r="214" spans="1:26">
      <c r="A214" s="31"/>
      <c r="Z214" s="31">
        <v>522</v>
      </c>
    </row>
    <row r="215" spans="1:26">
      <c r="A215" s="31"/>
      <c r="Z215" s="31">
        <v>523</v>
      </c>
    </row>
    <row r="216" spans="1:26">
      <c r="A216" s="31"/>
      <c r="Z216" s="31">
        <v>524</v>
      </c>
    </row>
    <row r="217" spans="1:26">
      <c r="A217" s="31"/>
      <c r="Z217" s="31">
        <v>525</v>
      </c>
    </row>
    <row r="218" spans="1:26">
      <c r="A218" s="31"/>
      <c r="Z218" s="31">
        <v>526</v>
      </c>
    </row>
    <row r="219" spans="1:26">
      <c r="A219" s="31"/>
      <c r="Z219" s="31">
        <v>527</v>
      </c>
    </row>
    <row r="220" spans="1:26">
      <c r="A220" s="31"/>
      <c r="Z220" s="31">
        <v>528</v>
      </c>
    </row>
    <row r="221" spans="1:26">
      <c r="A221" s="31"/>
      <c r="Z221" s="31">
        <v>529</v>
      </c>
    </row>
    <row r="222" spans="1:26">
      <c r="A222" s="31"/>
      <c r="Z222" s="31">
        <v>530</v>
      </c>
    </row>
    <row r="223" spans="1:26">
      <c r="A223" s="31"/>
      <c r="Z223" s="31">
        <v>531</v>
      </c>
    </row>
    <row r="224" spans="1:26">
      <c r="A224" s="31"/>
      <c r="Z224" s="31">
        <v>532</v>
      </c>
    </row>
    <row r="225" spans="1:26">
      <c r="A225" s="31"/>
      <c r="Z225" s="31">
        <v>533</v>
      </c>
    </row>
    <row r="226" spans="1:26">
      <c r="A226" s="31"/>
      <c r="Z226" s="31">
        <v>534</v>
      </c>
    </row>
    <row r="227" spans="1:26">
      <c r="A227" s="31"/>
      <c r="Z227" s="31">
        <v>535</v>
      </c>
    </row>
    <row r="228" spans="1:26">
      <c r="A228" s="31"/>
      <c r="Z228" s="31">
        <v>536</v>
      </c>
    </row>
    <row r="229" spans="1:26">
      <c r="A229" s="31"/>
      <c r="Z229" s="31">
        <v>537</v>
      </c>
    </row>
    <row r="230" spans="1:26">
      <c r="A230" s="31"/>
      <c r="Z230" s="31">
        <v>538</v>
      </c>
    </row>
    <row r="231" spans="1:26">
      <c r="A231" s="31"/>
      <c r="Z231" s="31">
        <v>539</v>
      </c>
    </row>
    <row r="232" spans="1:26">
      <c r="A232" s="31"/>
      <c r="Z232" s="31">
        <v>540</v>
      </c>
    </row>
    <row r="233" spans="1:26">
      <c r="A233" s="31"/>
    </row>
    <row r="234" spans="1:26">
      <c r="A234" s="31"/>
    </row>
    <row r="235" spans="1:26">
      <c r="A235" s="31"/>
    </row>
  </sheetData>
  <mergeCells count="258">
    <mergeCell ref="M37:N37"/>
    <mergeCell ref="B45:G45"/>
    <mergeCell ref="I45:J45"/>
    <mergeCell ref="K45:L45"/>
    <mergeCell ref="M45:N45"/>
    <mergeCell ref="B40:G40"/>
    <mergeCell ref="I40:J40"/>
    <mergeCell ref="K40:L40"/>
    <mergeCell ref="M40:N40"/>
    <mergeCell ref="B41:G41"/>
    <mergeCell ref="I41:J41"/>
    <mergeCell ref="K41:L41"/>
    <mergeCell ref="M41:N41"/>
    <mergeCell ref="B42:G42"/>
    <mergeCell ref="I42:J42"/>
    <mergeCell ref="K42:L42"/>
    <mergeCell ref="M42:N42"/>
    <mergeCell ref="B43:G43"/>
    <mergeCell ref="I43:J43"/>
    <mergeCell ref="K43:L43"/>
    <mergeCell ref="M43:N43"/>
    <mergeCell ref="B44:G44"/>
    <mergeCell ref="I44:J44"/>
    <mergeCell ref="K44:L44"/>
    <mergeCell ref="B38:G38"/>
    <mergeCell ref="I38:J38"/>
    <mergeCell ref="K38:L38"/>
    <mergeCell ref="M38:N38"/>
    <mergeCell ref="B39:G39"/>
    <mergeCell ref="I39:J39"/>
    <mergeCell ref="K39:L39"/>
    <mergeCell ref="M39:N39"/>
    <mergeCell ref="M44:N44"/>
    <mergeCell ref="B30:G30"/>
    <mergeCell ref="I30:J30"/>
    <mergeCell ref="K30:L30"/>
    <mergeCell ref="M30:N30"/>
    <mergeCell ref="M34:N34"/>
    <mergeCell ref="B35:G35"/>
    <mergeCell ref="I35:J35"/>
    <mergeCell ref="K35:L35"/>
    <mergeCell ref="M35:N35"/>
    <mergeCell ref="B36:G36"/>
    <mergeCell ref="I36:J36"/>
    <mergeCell ref="K36:L36"/>
    <mergeCell ref="M36:N36"/>
    <mergeCell ref="B37:G37"/>
    <mergeCell ref="I37:J37"/>
    <mergeCell ref="K37:L37"/>
    <mergeCell ref="B24:G24"/>
    <mergeCell ref="I24:J24"/>
    <mergeCell ref="K24:L24"/>
    <mergeCell ref="M24:N24"/>
    <mergeCell ref="B25:G25"/>
    <mergeCell ref="I25:J25"/>
    <mergeCell ref="K25:L25"/>
    <mergeCell ref="M25:N25"/>
    <mergeCell ref="B29:G29"/>
    <mergeCell ref="I29:J29"/>
    <mergeCell ref="K29:L29"/>
    <mergeCell ref="M29:N29"/>
    <mergeCell ref="B26:G26"/>
    <mergeCell ref="I26:J26"/>
    <mergeCell ref="K26:L26"/>
    <mergeCell ref="M26:N26"/>
    <mergeCell ref="B27:G27"/>
    <mergeCell ref="I27:J27"/>
    <mergeCell ref="K27:L27"/>
    <mergeCell ref="M27:N27"/>
    <mergeCell ref="M28:N28"/>
    <mergeCell ref="I21:J21"/>
    <mergeCell ref="K21:L21"/>
    <mergeCell ref="M21:N21"/>
    <mergeCell ref="B22:G22"/>
    <mergeCell ref="I22:J22"/>
    <mergeCell ref="K22:L22"/>
    <mergeCell ref="M22:N22"/>
    <mergeCell ref="B23:G23"/>
    <mergeCell ref="I23:J23"/>
    <mergeCell ref="K23:L23"/>
    <mergeCell ref="M23:N23"/>
    <mergeCell ref="B46:G46"/>
    <mergeCell ref="I46:J46"/>
    <mergeCell ref="K46:L46"/>
    <mergeCell ref="M46:N46"/>
    <mergeCell ref="I17:J17"/>
    <mergeCell ref="K17:L17"/>
    <mergeCell ref="M17:N17"/>
    <mergeCell ref="B18:G18"/>
    <mergeCell ref="I18:J18"/>
    <mergeCell ref="K18:L18"/>
    <mergeCell ref="M18:N18"/>
    <mergeCell ref="B19:G19"/>
    <mergeCell ref="I19:J19"/>
    <mergeCell ref="K19:L19"/>
    <mergeCell ref="M19:N19"/>
    <mergeCell ref="B17:G17"/>
    <mergeCell ref="B20:G20"/>
    <mergeCell ref="I20:J20"/>
    <mergeCell ref="K20:L20"/>
    <mergeCell ref="M20:N20"/>
    <mergeCell ref="B28:G28"/>
    <mergeCell ref="I28:J28"/>
    <mergeCell ref="K28:L28"/>
    <mergeCell ref="B21:G21"/>
    <mergeCell ref="C8:G9"/>
    <mergeCell ref="H8:I9"/>
    <mergeCell ref="J8:O9"/>
    <mergeCell ref="A7:D7"/>
    <mergeCell ref="K13:L13"/>
    <mergeCell ref="M13:N13"/>
    <mergeCell ref="B15:G15"/>
    <mergeCell ref="I15:J15"/>
    <mergeCell ref="K15:L15"/>
    <mergeCell ref="M15:N15"/>
    <mergeCell ref="K11:L12"/>
    <mergeCell ref="M11:N12"/>
    <mergeCell ref="O11:O12"/>
    <mergeCell ref="B13:G13"/>
    <mergeCell ref="A10:O10"/>
    <mergeCell ref="A11:A12"/>
    <mergeCell ref="B11:G12"/>
    <mergeCell ref="H11:H12"/>
    <mergeCell ref="I11:J12"/>
    <mergeCell ref="A1:O2"/>
    <mergeCell ref="A3:B3"/>
    <mergeCell ref="M3:N3"/>
    <mergeCell ref="A4:B4"/>
    <mergeCell ref="E4:F4"/>
    <mergeCell ref="I4:J4"/>
    <mergeCell ref="K4:M4"/>
    <mergeCell ref="N4:O4"/>
    <mergeCell ref="B14:G14"/>
    <mergeCell ref="I14:J14"/>
    <mergeCell ref="K14:L14"/>
    <mergeCell ref="M14:N14"/>
    <mergeCell ref="E7:I7"/>
    <mergeCell ref="J7:K7"/>
    <mergeCell ref="L7:O7"/>
    <mergeCell ref="A8:B9"/>
    <mergeCell ref="C3:D3"/>
    <mergeCell ref="A5:B5"/>
    <mergeCell ref="C5:H5"/>
    <mergeCell ref="J5:O5"/>
    <mergeCell ref="A6:B6"/>
    <mergeCell ref="C6:D6"/>
    <mergeCell ref="E6:F6"/>
    <mergeCell ref="L6:N6"/>
    <mergeCell ref="B16:G16"/>
    <mergeCell ref="I16:J16"/>
    <mergeCell ref="K16:L16"/>
    <mergeCell ref="M16:N16"/>
    <mergeCell ref="I13:J13"/>
    <mergeCell ref="B47:G47"/>
    <mergeCell ref="I47:J47"/>
    <mergeCell ref="K47:L47"/>
    <mergeCell ref="M47:N47"/>
    <mergeCell ref="B31:G31"/>
    <mergeCell ref="I31:J31"/>
    <mergeCell ref="K31:L31"/>
    <mergeCell ref="M31:N31"/>
    <mergeCell ref="B32:G32"/>
    <mergeCell ref="I32:J32"/>
    <mergeCell ref="K32:L32"/>
    <mergeCell ref="M32:N32"/>
    <mergeCell ref="B33:G33"/>
    <mergeCell ref="I33:J33"/>
    <mergeCell ref="K33:L33"/>
    <mergeCell ref="M33:N33"/>
    <mergeCell ref="B34:G34"/>
    <mergeCell ref="I34:J34"/>
    <mergeCell ref="K34:L34"/>
    <mergeCell ref="A56:O56"/>
    <mergeCell ref="B48:G48"/>
    <mergeCell ref="I48:J48"/>
    <mergeCell ref="K48:L48"/>
    <mergeCell ref="M48:N48"/>
    <mergeCell ref="B51:G51"/>
    <mergeCell ref="I51:J51"/>
    <mergeCell ref="K51:L51"/>
    <mergeCell ref="M51:N51"/>
    <mergeCell ref="B52:G52"/>
    <mergeCell ref="I52:J52"/>
    <mergeCell ref="K52:L52"/>
    <mergeCell ref="M52:N52"/>
    <mergeCell ref="B49:G49"/>
    <mergeCell ref="I49:J49"/>
    <mergeCell ref="K49:L49"/>
    <mergeCell ref="M49:N49"/>
    <mergeCell ref="M50:N50"/>
    <mergeCell ref="K50:L50"/>
    <mergeCell ref="I50:J50"/>
    <mergeCell ref="B50:G50"/>
    <mergeCell ref="A53:G53"/>
    <mergeCell ref="I53:J53"/>
    <mergeCell ref="K53:L53"/>
    <mergeCell ref="M53:N53"/>
    <mergeCell ref="B54:G54"/>
    <mergeCell ref="I54:J54"/>
    <mergeCell ref="K54:L54"/>
    <mergeCell ref="M54:N54"/>
    <mergeCell ref="B55:G55"/>
    <mergeCell ref="I55:J55"/>
    <mergeCell ref="K55:L55"/>
    <mergeCell ref="M55:N55"/>
    <mergeCell ref="A76:O76"/>
    <mergeCell ref="A66:O66"/>
    <mergeCell ref="A67:O67"/>
    <mergeCell ref="A68:O68"/>
    <mergeCell ref="A69:O69"/>
    <mergeCell ref="A70:O70"/>
    <mergeCell ref="A63:B63"/>
    <mergeCell ref="C63:D63"/>
    <mergeCell ref="E63:H63"/>
    <mergeCell ref="J63:K63"/>
    <mergeCell ref="L63:O63"/>
    <mergeCell ref="A64:B64"/>
    <mergeCell ref="C64:D64"/>
    <mergeCell ref="E64:H64"/>
    <mergeCell ref="J64:K64"/>
    <mergeCell ref="L64:O64"/>
    <mergeCell ref="A71:O71"/>
    <mergeCell ref="A72:O72"/>
    <mergeCell ref="A73:O73"/>
    <mergeCell ref="A74:O75"/>
    <mergeCell ref="A65:B65"/>
    <mergeCell ref="C65:D65"/>
    <mergeCell ref="E65:H65"/>
    <mergeCell ref="J65:K65"/>
    <mergeCell ref="A59:O59"/>
    <mergeCell ref="A60:B60"/>
    <mergeCell ref="C60:D60"/>
    <mergeCell ref="E60:H60"/>
    <mergeCell ref="J60:K60"/>
    <mergeCell ref="L60:O60"/>
    <mergeCell ref="L65:O65"/>
    <mergeCell ref="A61:B61"/>
    <mergeCell ref="C61:D61"/>
    <mergeCell ref="E61:H61"/>
    <mergeCell ref="J61:K61"/>
    <mergeCell ref="L61:O61"/>
    <mergeCell ref="A62:B62"/>
    <mergeCell ref="C62:D62"/>
    <mergeCell ref="E62:H62"/>
    <mergeCell ref="J62:K62"/>
    <mergeCell ref="L62:O62"/>
    <mergeCell ref="N57:O57"/>
    <mergeCell ref="A58:D58"/>
    <mergeCell ref="E58:F58"/>
    <mergeCell ref="G58:H58"/>
    <mergeCell ref="I58:K58"/>
    <mergeCell ref="L58:M58"/>
    <mergeCell ref="N58:O58"/>
    <mergeCell ref="A57:D57"/>
    <mergeCell ref="E57:F57"/>
    <mergeCell ref="G57:H57"/>
    <mergeCell ref="I57:K57"/>
    <mergeCell ref="L57:M57"/>
  </mergeCells>
  <phoneticPr fontId="1" type="noConversion"/>
  <printOptions horizontalCentered="1"/>
  <pageMargins left="0.39370078740157483" right="0.39370078740157483" top="0.19685039370078741" bottom="0.19685039370078741" header="0.19685039370078741" footer="0.19685039370078741"/>
  <pageSetup paperSize="9" scale="50" orientation="portrait" r:id="rId1"/>
  <headerFooter>
    <oddHeader>&amp;R第 &amp;P 頁，共 &amp;N 頁</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5121" r:id="rId4" name="Spinner 1">
              <controlPr defaultSize="0" print="0" autoPict="0">
                <anchor moveWithCells="1" sizeWithCells="1">
                  <from>
                    <xdr:col>15</xdr:col>
                    <xdr:colOff>304800</xdr:colOff>
                    <xdr:row>2</xdr:row>
                    <xdr:rowOff>257175</xdr:rowOff>
                  </from>
                  <to>
                    <xdr:col>16</xdr:col>
                    <xdr:colOff>409575</xdr:colOff>
                    <xdr:row>5</xdr:row>
                    <xdr:rowOff>314325</xdr:rowOff>
                  </to>
                </anchor>
              </controlPr>
            </control>
          </mc:Choice>
        </mc:AlternateContent>
        <mc:AlternateContent xmlns:mc="http://schemas.openxmlformats.org/markup-compatibility/2006">
          <mc:Choice Requires="x14">
            <control shapeId="5122" r:id="rId5" name="Drop Down 2">
              <controlPr defaultSize="0" print="0" autoLine="0" autoPict="0">
                <anchor moveWithCells="1" sizeWithCells="1">
                  <from>
                    <xdr:col>15</xdr:col>
                    <xdr:colOff>361950</xdr:colOff>
                    <xdr:row>7</xdr:row>
                    <xdr:rowOff>104775</xdr:rowOff>
                  </from>
                  <to>
                    <xdr:col>18</xdr:col>
                    <xdr:colOff>447675</xdr:colOff>
                    <xdr:row>9</xdr:row>
                    <xdr:rowOff>209550</xdr:rowOff>
                  </to>
                </anchor>
              </controlPr>
            </control>
          </mc:Choice>
        </mc:AlternateContent>
        <mc:AlternateContent xmlns:mc="http://schemas.openxmlformats.org/markup-compatibility/2006">
          <mc:Choice Requires="x14">
            <control shapeId="5123" r:id="rId6" name="Button 3">
              <controlPr defaultSize="0" print="0" autoFill="0" autoPict="0" macro="[0]!列印1份雙">
                <anchor moveWithCells="1" sizeWithCells="1">
                  <from>
                    <xdr:col>18</xdr:col>
                    <xdr:colOff>504825</xdr:colOff>
                    <xdr:row>3</xdr:row>
                    <xdr:rowOff>57150</xdr:rowOff>
                  </from>
                  <to>
                    <xdr:col>20</xdr:col>
                    <xdr:colOff>485775</xdr:colOff>
                    <xdr:row>5</xdr:row>
                    <xdr:rowOff>66675</xdr:rowOff>
                  </to>
                </anchor>
              </controlPr>
            </control>
          </mc:Choice>
        </mc:AlternateContent>
        <mc:AlternateContent xmlns:mc="http://schemas.openxmlformats.org/markup-compatibility/2006">
          <mc:Choice Requires="x14">
            <control shapeId="5124" r:id="rId7" name="Button 4">
              <controlPr defaultSize="0" print="0" autoFill="0" autoPict="0" macro="[0]!當日報表存PDF">
                <anchor moveWithCells="1" sizeWithCells="1">
                  <from>
                    <xdr:col>18</xdr:col>
                    <xdr:colOff>504825</xdr:colOff>
                    <xdr:row>5</xdr:row>
                    <xdr:rowOff>57150</xdr:rowOff>
                  </from>
                  <to>
                    <xdr:col>20</xdr:col>
                    <xdr:colOff>485775</xdr:colOff>
                    <xdr:row>7</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工作表5">
    <tabColor rgb="FF00B050"/>
    <pageSetUpPr fitToPage="1"/>
  </sheetPr>
  <dimension ref="A1:P37"/>
  <sheetViews>
    <sheetView view="pageBreakPreview" zoomScaleNormal="100" zoomScaleSheetLayoutView="100" workbookViewId="0">
      <selection activeCell="S21" sqref="S21"/>
    </sheetView>
  </sheetViews>
  <sheetFormatPr defaultRowHeight="16.5"/>
  <cols>
    <col min="1" max="1" width="10.375" style="63" customWidth="1"/>
    <col min="2" max="2" width="9" style="63"/>
    <col min="3" max="3" width="6.875" style="63" customWidth="1"/>
    <col min="4" max="4" width="9.375" style="63" customWidth="1"/>
    <col min="5" max="6" width="9" style="63"/>
    <col min="7" max="8" width="7.75" style="63" customWidth="1"/>
    <col min="9" max="9" width="9.75" style="63" customWidth="1"/>
    <col min="10" max="10" width="9" style="63"/>
    <col min="11" max="11" width="9.5" style="63" bestFit="1" customWidth="1"/>
    <col min="12" max="12" width="6.875" style="63" customWidth="1"/>
    <col min="13" max="13" width="8" style="63" customWidth="1"/>
    <col min="14" max="256" width="9" style="63"/>
    <col min="257" max="257" width="10.375" style="63" customWidth="1"/>
    <col min="258" max="258" width="9" style="63"/>
    <col min="259" max="259" width="6.875" style="63" customWidth="1"/>
    <col min="260" max="260" width="9.375" style="63" customWidth="1"/>
    <col min="261" max="262" width="9" style="63"/>
    <col min="263" max="264" width="7.75" style="63" customWidth="1"/>
    <col min="265" max="265" width="9.75" style="63" customWidth="1"/>
    <col min="266" max="266" width="9" style="63"/>
    <col min="267" max="267" width="9.5" style="63" bestFit="1" customWidth="1"/>
    <col min="268" max="268" width="6.875" style="63" customWidth="1"/>
    <col min="269" max="269" width="8" style="63" customWidth="1"/>
    <col min="270" max="512" width="9" style="63"/>
    <col min="513" max="513" width="10.375" style="63" customWidth="1"/>
    <col min="514" max="514" width="9" style="63"/>
    <col min="515" max="515" width="6.875" style="63" customWidth="1"/>
    <col min="516" max="516" width="9.375" style="63" customWidth="1"/>
    <col min="517" max="518" width="9" style="63"/>
    <col min="519" max="520" width="7.75" style="63" customWidth="1"/>
    <col min="521" max="521" width="9.75" style="63" customWidth="1"/>
    <col min="522" max="522" width="9" style="63"/>
    <col min="523" max="523" width="9.5" style="63" bestFit="1" customWidth="1"/>
    <col min="524" max="524" width="6.875" style="63" customWidth="1"/>
    <col min="525" max="525" width="8" style="63" customWidth="1"/>
    <col min="526" max="768" width="9" style="63"/>
    <col min="769" max="769" width="10.375" style="63" customWidth="1"/>
    <col min="770" max="770" width="9" style="63"/>
    <col min="771" max="771" width="6.875" style="63" customWidth="1"/>
    <col min="772" max="772" width="9.375" style="63" customWidth="1"/>
    <col min="773" max="774" width="9" style="63"/>
    <col min="775" max="776" width="7.75" style="63" customWidth="1"/>
    <col min="777" max="777" width="9.75" style="63" customWidth="1"/>
    <col min="778" max="778" width="9" style="63"/>
    <col min="779" max="779" width="9.5" style="63" bestFit="1" customWidth="1"/>
    <col min="780" max="780" width="6.875" style="63" customWidth="1"/>
    <col min="781" max="781" width="8" style="63" customWidth="1"/>
    <col min="782" max="1024" width="9" style="63"/>
    <col min="1025" max="1025" width="10.375" style="63" customWidth="1"/>
    <col min="1026" max="1026" width="9" style="63"/>
    <col min="1027" max="1027" width="6.875" style="63" customWidth="1"/>
    <col min="1028" max="1028" width="9.375" style="63" customWidth="1"/>
    <col min="1029" max="1030" width="9" style="63"/>
    <col min="1031" max="1032" width="7.75" style="63" customWidth="1"/>
    <col min="1033" max="1033" width="9.75" style="63" customWidth="1"/>
    <col min="1034" max="1034" width="9" style="63"/>
    <col min="1035" max="1035" width="9.5" style="63" bestFit="1" customWidth="1"/>
    <col min="1036" max="1036" width="6.875" style="63" customWidth="1"/>
    <col min="1037" max="1037" width="8" style="63" customWidth="1"/>
    <col min="1038" max="1280" width="9" style="63"/>
    <col min="1281" max="1281" width="10.375" style="63" customWidth="1"/>
    <col min="1282" max="1282" width="9" style="63"/>
    <col min="1283" max="1283" width="6.875" style="63" customWidth="1"/>
    <col min="1284" max="1284" width="9.375" style="63" customWidth="1"/>
    <col min="1285" max="1286" width="9" style="63"/>
    <col min="1287" max="1288" width="7.75" style="63" customWidth="1"/>
    <col min="1289" max="1289" width="9.75" style="63" customWidth="1"/>
    <col min="1290" max="1290" width="9" style="63"/>
    <col min="1291" max="1291" width="9.5" style="63" bestFit="1" customWidth="1"/>
    <col min="1292" max="1292" width="6.875" style="63" customWidth="1"/>
    <col min="1293" max="1293" width="8" style="63" customWidth="1"/>
    <col min="1294" max="1536" width="9" style="63"/>
    <col min="1537" max="1537" width="10.375" style="63" customWidth="1"/>
    <col min="1538" max="1538" width="9" style="63"/>
    <col min="1539" max="1539" width="6.875" style="63" customWidth="1"/>
    <col min="1540" max="1540" width="9.375" style="63" customWidth="1"/>
    <col min="1541" max="1542" width="9" style="63"/>
    <col min="1543" max="1544" width="7.75" style="63" customWidth="1"/>
    <col min="1545" max="1545" width="9.75" style="63" customWidth="1"/>
    <col min="1546" max="1546" width="9" style="63"/>
    <col min="1547" max="1547" width="9.5" style="63" bestFit="1" customWidth="1"/>
    <col min="1548" max="1548" width="6.875" style="63" customWidth="1"/>
    <col min="1549" max="1549" width="8" style="63" customWidth="1"/>
    <col min="1550" max="1792" width="9" style="63"/>
    <col min="1793" max="1793" width="10.375" style="63" customWidth="1"/>
    <col min="1794" max="1794" width="9" style="63"/>
    <col min="1795" max="1795" width="6.875" style="63" customWidth="1"/>
    <col min="1796" max="1796" width="9.375" style="63" customWidth="1"/>
    <col min="1797" max="1798" width="9" style="63"/>
    <col min="1799" max="1800" width="7.75" style="63" customWidth="1"/>
    <col min="1801" max="1801" width="9.75" style="63" customWidth="1"/>
    <col min="1802" max="1802" width="9" style="63"/>
    <col min="1803" max="1803" width="9.5" style="63" bestFit="1" customWidth="1"/>
    <col min="1804" max="1804" width="6.875" style="63" customWidth="1"/>
    <col min="1805" max="1805" width="8" style="63" customWidth="1"/>
    <col min="1806" max="2048" width="9" style="63"/>
    <col min="2049" max="2049" width="10.375" style="63" customWidth="1"/>
    <col min="2050" max="2050" width="9" style="63"/>
    <col min="2051" max="2051" width="6.875" style="63" customWidth="1"/>
    <col min="2052" max="2052" width="9.375" style="63" customWidth="1"/>
    <col min="2053" max="2054" width="9" style="63"/>
    <col min="2055" max="2056" width="7.75" style="63" customWidth="1"/>
    <col min="2057" max="2057" width="9.75" style="63" customWidth="1"/>
    <col min="2058" max="2058" width="9" style="63"/>
    <col min="2059" max="2059" width="9.5" style="63" bestFit="1" customWidth="1"/>
    <col min="2060" max="2060" width="6.875" style="63" customWidth="1"/>
    <col min="2061" max="2061" width="8" style="63" customWidth="1"/>
    <col min="2062" max="2304" width="9" style="63"/>
    <col min="2305" max="2305" width="10.375" style="63" customWidth="1"/>
    <col min="2306" max="2306" width="9" style="63"/>
    <col min="2307" max="2307" width="6.875" style="63" customWidth="1"/>
    <col min="2308" max="2308" width="9.375" style="63" customWidth="1"/>
    <col min="2309" max="2310" width="9" style="63"/>
    <col min="2311" max="2312" width="7.75" style="63" customWidth="1"/>
    <col min="2313" max="2313" width="9.75" style="63" customWidth="1"/>
    <col min="2314" max="2314" width="9" style="63"/>
    <col min="2315" max="2315" width="9.5" style="63" bestFit="1" customWidth="1"/>
    <col min="2316" max="2316" width="6.875" style="63" customWidth="1"/>
    <col min="2317" max="2317" width="8" style="63" customWidth="1"/>
    <col min="2318" max="2560" width="9" style="63"/>
    <col min="2561" max="2561" width="10.375" style="63" customWidth="1"/>
    <col min="2562" max="2562" width="9" style="63"/>
    <col min="2563" max="2563" width="6.875" style="63" customWidth="1"/>
    <col min="2564" max="2564" width="9.375" style="63" customWidth="1"/>
    <col min="2565" max="2566" width="9" style="63"/>
    <col min="2567" max="2568" width="7.75" style="63" customWidth="1"/>
    <col min="2569" max="2569" width="9.75" style="63" customWidth="1"/>
    <col min="2570" max="2570" width="9" style="63"/>
    <col min="2571" max="2571" width="9.5" style="63" bestFit="1" customWidth="1"/>
    <col min="2572" max="2572" width="6.875" style="63" customWidth="1"/>
    <col min="2573" max="2573" width="8" style="63" customWidth="1"/>
    <col min="2574" max="2816" width="9" style="63"/>
    <col min="2817" max="2817" width="10.375" style="63" customWidth="1"/>
    <col min="2818" max="2818" width="9" style="63"/>
    <col min="2819" max="2819" width="6.875" style="63" customWidth="1"/>
    <col min="2820" max="2820" width="9.375" style="63" customWidth="1"/>
    <col min="2821" max="2822" width="9" style="63"/>
    <col min="2823" max="2824" width="7.75" style="63" customWidth="1"/>
    <col min="2825" max="2825" width="9.75" style="63" customWidth="1"/>
    <col min="2826" max="2826" width="9" style="63"/>
    <col min="2827" max="2827" width="9.5" style="63" bestFit="1" customWidth="1"/>
    <col min="2828" max="2828" width="6.875" style="63" customWidth="1"/>
    <col min="2829" max="2829" width="8" style="63" customWidth="1"/>
    <col min="2830" max="3072" width="9" style="63"/>
    <col min="3073" max="3073" width="10.375" style="63" customWidth="1"/>
    <col min="3074" max="3074" width="9" style="63"/>
    <col min="3075" max="3075" width="6.875" style="63" customWidth="1"/>
    <col min="3076" max="3076" width="9.375" style="63" customWidth="1"/>
    <col min="3077" max="3078" width="9" style="63"/>
    <col min="3079" max="3080" width="7.75" style="63" customWidth="1"/>
    <col min="3081" max="3081" width="9.75" style="63" customWidth="1"/>
    <col min="3082" max="3082" width="9" style="63"/>
    <col min="3083" max="3083" width="9.5" style="63" bestFit="1" customWidth="1"/>
    <col min="3084" max="3084" width="6.875" style="63" customWidth="1"/>
    <col min="3085" max="3085" width="8" style="63" customWidth="1"/>
    <col min="3086" max="3328" width="9" style="63"/>
    <col min="3329" max="3329" width="10.375" style="63" customWidth="1"/>
    <col min="3330" max="3330" width="9" style="63"/>
    <col min="3331" max="3331" width="6.875" style="63" customWidth="1"/>
    <col min="3332" max="3332" width="9.375" style="63" customWidth="1"/>
    <col min="3333" max="3334" width="9" style="63"/>
    <col min="3335" max="3336" width="7.75" style="63" customWidth="1"/>
    <col min="3337" max="3337" width="9.75" style="63" customWidth="1"/>
    <col min="3338" max="3338" width="9" style="63"/>
    <col min="3339" max="3339" width="9.5" style="63" bestFit="1" customWidth="1"/>
    <col min="3340" max="3340" width="6.875" style="63" customWidth="1"/>
    <col min="3341" max="3341" width="8" style="63" customWidth="1"/>
    <col min="3342" max="3584" width="9" style="63"/>
    <col min="3585" max="3585" width="10.375" style="63" customWidth="1"/>
    <col min="3586" max="3586" width="9" style="63"/>
    <col min="3587" max="3587" width="6.875" style="63" customWidth="1"/>
    <col min="3588" max="3588" width="9.375" style="63" customWidth="1"/>
    <col min="3589" max="3590" width="9" style="63"/>
    <col min="3591" max="3592" width="7.75" style="63" customWidth="1"/>
    <col min="3593" max="3593" width="9.75" style="63" customWidth="1"/>
    <col min="3594" max="3594" width="9" style="63"/>
    <col min="3595" max="3595" width="9.5" style="63" bestFit="1" customWidth="1"/>
    <col min="3596" max="3596" width="6.875" style="63" customWidth="1"/>
    <col min="3597" max="3597" width="8" style="63" customWidth="1"/>
    <col min="3598" max="3840" width="9" style="63"/>
    <col min="3841" max="3841" width="10.375" style="63" customWidth="1"/>
    <col min="3842" max="3842" width="9" style="63"/>
    <col min="3843" max="3843" width="6.875" style="63" customWidth="1"/>
    <col min="3844" max="3844" width="9.375" style="63" customWidth="1"/>
    <col min="3845" max="3846" width="9" style="63"/>
    <col min="3847" max="3848" width="7.75" style="63" customWidth="1"/>
    <col min="3849" max="3849" width="9.75" style="63" customWidth="1"/>
    <col min="3850" max="3850" width="9" style="63"/>
    <col min="3851" max="3851" width="9.5" style="63" bestFit="1" customWidth="1"/>
    <col min="3852" max="3852" width="6.875" style="63" customWidth="1"/>
    <col min="3853" max="3853" width="8" style="63" customWidth="1"/>
    <col min="3854" max="4096" width="9" style="63"/>
    <col min="4097" max="4097" width="10.375" style="63" customWidth="1"/>
    <col min="4098" max="4098" width="9" style="63"/>
    <col min="4099" max="4099" width="6.875" style="63" customWidth="1"/>
    <col min="4100" max="4100" width="9.375" style="63" customWidth="1"/>
    <col min="4101" max="4102" width="9" style="63"/>
    <col min="4103" max="4104" width="7.75" style="63" customWidth="1"/>
    <col min="4105" max="4105" width="9.75" style="63" customWidth="1"/>
    <col min="4106" max="4106" width="9" style="63"/>
    <col min="4107" max="4107" width="9.5" style="63" bestFit="1" customWidth="1"/>
    <col min="4108" max="4108" width="6.875" style="63" customWidth="1"/>
    <col min="4109" max="4109" width="8" style="63" customWidth="1"/>
    <col min="4110" max="4352" width="9" style="63"/>
    <col min="4353" max="4353" width="10.375" style="63" customWidth="1"/>
    <col min="4354" max="4354" width="9" style="63"/>
    <col min="4355" max="4355" width="6.875" style="63" customWidth="1"/>
    <col min="4356" max="4356" width="9.375" style="63" customWidth="1"/>
    <col min="4357" max="4358" width="9" style="63"/>
    <col min="4359" max="4360" width="7.75" style="63" customWidth="1"/>
    <col min="4361" max="4361" width="9.75" style="63" customWidth="1"/>
    <col min="4362" max="4362" width="9" style="63"/>
    <col min="4363" max="4363" width="9.5" style="63" bestFit="1" customWidth="1"/>
    <col min="4364" max="4364" width="6.875" style="63" customWidth="1"/>
    <col min="4365" max="4365" width="8" style="63" customWidth="1"/>
    <col min="4366" max="4608" width="9" style="63"/>
    <col min="4609" max="4609" width="10.375" style="63" customWidth="1"/>
    <col min="4610" max="4610" width="9" style="63"/>
    <col min="4611" max="4611" width="6.875" style="63" customWidth="1"/>
    <col min="4612" max="4612" width="9.375" style="63" customWidth="1"/>
    <col min="4613" max="4614" width="9" style="63"/>
    <col min="4615" max="4616" width="7.75" style="63" customWidth="1"/>
    <col min="4617" max="4617" width="9.75" style="63" customWidth="1"/>
    <col min="4618" max="4618" width="9" style="63"/>
    <col min="4619" max="4619" width="9.5" style="63" bestFit="1" customWidth="1"/>
    <col min="4620" max="4620" width="6.875" style="63" customWidth="1"/>
    <col min="4621" max="4621" width="8" style="63" customWidth="1"/>
    <col min="4622" max="4864" width="9" style="63"/>
    <col min="4865" max="4865" width="10.375" style="63" customWidth="1"/>
    <col min="4866" max="4866" width="9" style="63"/>
    <col min="4867" max="4867" width="6.875" style="63" customWidth="1"/>
    <col min="4868" max="4868" width="9.375" style="63" customWidth="1"/>
    <col min="4869" max="4870" width="9" style="63"/>
    <col min="4871" max="4872" width="7.75" style="63" customWidth="1"/>
    <col min="4873" max="4873" width="9.75" style="63" customWidth="1"/>
    <col min="4874" max="4874" width="9" style="63"/>
    <col min="4875" max="4875" width="9.5" style="63" bestFit="1" customWidth="1"/>
    <col min="4876" max="4876" width="6.875" style="63" customWidth="1"/>
    <col min="4877" max="4877" width="8" style="63" customWidth="1"/>
    <col min="4878" max="5120" width="9" style="63"/>
    <col min="5121" max="5121" width="10.375" style="63" customWidth="1"/>
    <col min="5122" max="5122" width="9" style="63"/>
    <col min="5123" max="5123" width="6.875" style="63" customWidth="1"/>
    <col min="5124" max="5124" width="9.375" style="63" customWidth="1"/>
    <col min="5125" max="5126" width="9" style="63"/>
    <col min="5127" max="5128" width="7.75" style="63" customWidth="1"/>
    <col min="5129" max="5129" width="9.75" style="63" customWidth="1"/>
    <col min="5130" max="5130" width="9" style="63"/>
    <col min="5131" max="5131" width="9.5" style="63" bestFit="1" customWidth="1"/>
    <col min="5132" max="5132" width="6.875" style="63" customWidth="1"/>
    <col min="5133" max="5133" width="8" style="63" customWidth="1"/>
    <col min="5134" max="5376" width="9" style="63"/>
    <col min="5377" max="5377" width="10.375" style="63" customWidth="1"/>
    <col min="5378" max="5378" width="9" style="63"/>
    <col min="5379" max="5379" width="6.875" style="63" customWidth="1"/>
    <col min="5380" max="5380" width="9.375" style="63" customWidth="1"/>
    <col min="5381" max="5382" width="9" style="63"/>
    <col min="5383" max="5384" width="7.75" style="63" customWidth="1"/>
    <col min="5385" max="5385" width="9.75" style="63" customWidth="1"/>
    <col min="5386" max="5386" width="9" style="63"/>
    <col min="5387" max="5387" width="9.5" style="63" bestFit="1" customWidth="1"/>
    <col min="5388" max="5388" width="6.875" style="63" customWidth="1"/>
    <col min="5389" max="5389" width="8" style="63" customWidth="1"/>
    <col min="5390" max="5632" width="9" style="63"/>
    <col min="5633" max="5633" width="10.375" style="63" customWidth="1"/>
    <col min="5634" max="5634" width="9" style="63"/>
    <col min="5635" max="5635" width="6.875" style="63" customWidth="1"/>
    <col min="5636" max="5636" width="9.375" style="63" customWidth="1"/>
    <col min="5637" max="5638" width="9" style="63"/>
    <col min="5639" max="5640" width="7.75" style="63" customWidth="1"/>
    <col min="5641" max="5641" width="9.75" style="63" customWidth="1"/>
    <col min="5642" max="5642" width="9" style="63"/>
    <col min="5643" max="5643" width="9.5" style="63" bestFit="1" customWidth="1"/>
    <col min="5644" max="5644" width="6.875" style="63" customWidth="1"/>
    <col min="5645" max="5645" width="8" style="63" customWidth="1"/>
    <col min="5646" max="5888" width="9" style="63"/>
    <col min="5889" max="5889" width="10.375" style="63" customWidth="1"/>
    <col min="5890" max="5890" width="9" style="63"/>
    <col min="5891" max="5891" width="6.875" style="63" customWidth="1"/>
    <col min="5892" max="5892" width="9.375" style="63" customWidth="1"/>
    <col min="5893" max="5894" width="9" style="63"/>
    <col min="5895" max="5896" width="7.75" style="63" customWidth="1"/>
    <col min="5897" max="5897" width="9.75" style="63" customWidth="1"/>
    <col min="5898" max="5898" width="9" style="63"/>
    <col min="5899" max="5899" width="9.5" style="63" bestFit="1" customWidth="1"/>
    <col min="5900" max="5900" width="6.875" style="63" customWidth="1"/>
    <col min="5901" max="5901" width="8" style="63" customWidth="1"/>
    <col min="5902" max="6144" width="9" style="63"/>
    <col min="6145" max="6145" width="10.375" style="63" customWidth="1"/>
    <col min="6146" max="6146" width="9" style="63"/>
    <col min="6147" max="6147" width="6.875" style="63" customWidth="1"/>
    <col min="6148" max="6148" width="9.375" style="63" customWidth="1"/>
    <col min="6149" max="6150" width="9" style="63"/>
    <col min="6151" max="6152" width="7.75" style="63" customWidth="1"/>
    <col min="6153" max="6153" width="9.75" style="63" customWidth="1"/>
    <col min="6154" max="6154" width="9" style="63"/>
    <col min="6155" max="6155" width="9.5" style="63" bestFit="1" customWidth="1"/>
    <col min="6156" max="6156" width="6.875" style="63" customWidth="1"/>
    <col min="6157" max="6157" width="8" style="63" customWidth="1"/>
    <col min="6158" max="6400" width="9" style="63"/>
    <col min="6401" max="6401" width="10.375" style="63" customWidth="1"/>
    <col min="6402" max="6402" width="9" style="63"/>
    <col min="6403" max="6403" width="6.875" style="63" customWidth="1"/>
    <col min="6404" max="6404" width="9.375" style="63" customWidth="1"/>
    <col min="6405" max="6406" width="9" style="63"/>
    <col min="6407" max="6408" width="7.75" style="63" customWidth="1"/>
    <col min="6409" max="6409" width="9.75" style="63" customWidth="1"/>
    <col min="6410" max="6410" width="9" style="63"/>
    <col min="6411" max="6411" width="9.5" style="63" bestFit="1" customWidth="1"/>
    <col min="6412" max="6412" width="6.875" style="63" customWidth="1"/>
    <col min="6413" max="6413" width="8" style="63" customWidth="1"/>
    <col min="6414" max="6656" width="9" style="63"/>
    <col min="6657" max="6657" width="10.375" style="63" customWidth="1"/>
    <col min="6658" max="6658" width="9" style="63"/>
    <col min="6659" max="6659" width="6.875" style="63" customWidth="1"/>
    <col min="6660" max="6660" width="9.375" style="63" customWidth="1"/>
    <col min="6661" max="6662" width="9" style="63"/>
    <col min="6663" max="6664" width="7.75" style="63" customWidth="1"/>
    <col min="6665" max="6665" width="9.75" style="63" customWidth="1"/>
    <col min="6666" max="6666" width="9" style="63"/>
    <col min="6667" max="6667" width="9.5" style="63" bestFit="1" customWidth="1"/>
    <col min="6668" max="6668" width="6.875" style="63" customWidth="1"/>
    <col min="6669" max="6669" width="8" style="63" customWidth="1"/>
    <col min="6670" max="6912" width="9" style="63"/>
    <col min="6913" max="6913" width="10.375" style="63" customWidth="1"/>
    <col min="6914" max="6914" width="9" style="63"/>
    <col min="6915" max="6915" width="6.875" style="63" customWidth="1"/>
    <col min="6916" max="6916" width="9.375" style="63" customWidth="1"/>
    <col min="6917" max="6918" width="9" style="63"/>
    <col min="6919" max="6920" width="7.75" style="63" customWidth="1"/>
    <col min="6921" max="6921" width="9.75" style="63" customWidth="1"/>
    <col min="6922" max="6922" width="9" style="63"/>
    <col min="6923" max="6923" width="9.5" style="63" bestFit="1" customWidth="1"/>
    <col min="6924" max="6924" width="6.875" style="63" customWidth="1"/>
    <col min="6925" max="6925" width="8" style="63" customWidth="1"/>
    <col min="6926" max="7168" width="9" style="63"/>
    <col min="7169" max="7169" width="10.375" style="63" customWidth="1"/>
    <col min="7170" max="7170" width="9" style="63"/>
    <col min="7171" max="7171" width="6.875" style="63" customWidth="1"/>
    <col min="7172" max="7172" width="9.375" style="63" customWidth="1"/>
    <col min="7173" max="7174" width="9" style="63"/>
    <col min="7175" max="7176" width="7.75" style="63" customWidth="1"/>
    <col min="7177" max="7177" width="9.75" style="63" customWidth="1"/>
    <col min="7178" max="7178" width="9" style="63"/>
    <col min="7179" max="7179" width="9.5" style="63" bestFit="1" customWidth="1"/>
    <col min="7180" max="7180" width="6.875" style="63" customWidth="1"/>
    <col min="7181" max="7181" width="8" style="63" customWidth="1"/>
    <col min="7182" max="7424" width="9" style="63"/>
    <col min="7425" max="7425" width="10.375" style="63" customWidth="1"/>
    <col min="7426" max="7426" width="9" style="63"/>
    <col min="7427" max="7427" width="6.875" style="63" customWidth="1"/>
    <col min="7428" max="7428" width="9.375" style="63" customWidth="1"/>
    <col min="7429" max="7430" width="9" style="63"/>
    <col min="7431" max="7432" width="7.75" style="63" customWidth="1"/>
    <col min="7433" max="7433" width="9.75" style="63" customWidth="1"/>
    <col min="7434" max="7434" width="9" style="63"/>
    <col min="7435" max="7435" width="9.5" style="63" bestFit="1" customWidth="1"/>
    <col min="7436" max="7436" width="6.875" style="63" customWidth="1"/>
    <col min="7437" max="7437" width="8" style="63" customWidth="1"/>
    <col min="7438" max="7680" width="9" style="63"/>
    <col min="7681" max="7681" width="10.375" style="63" customWidth="1"/>
    <col min="7682" max="7682" width="9" style="63"/>
    <col min="7683" max="7683" width="6.875" style="63" customWidth="1"/>
    <col min="7684" max="7684" width="9.375" style="63" customWidth="1"/>
    <col min="7685" max="7686" width="9" style="63"/>
    <col min="7687" max="7688" width="7.75" style="63" customWidth="1"/>
    <col min="7689" max="7689" width="9.75" style="63" customWidth="1"/>
    <col min="7690" max="7690" width="9" style="63"/>
    <col min="7691" max="7691" width="9.5" style="63" bestFit="1" customWidth="1"/>
    <col min="7692" max="7692" width="6.875" style="63" customWidth="1"/>
    <col min="7693" max="7693" width="8" style="63" customWidth="1"/>
    <col min="7694" max="7936" width="9" style="63"/>
    <col min="7937" max="7937" width="10.375" style="63" customWidth="1"/>
    <col min="7938" max="7938" width="9" style="63"/>
    <col min="7939" max="7939" width="6.875" style="63" customWidth="1"/>
    <col min="7940" max="7940" width="9.375" style="63" customWidth="1"/>
    <col min="7941" max="7942" width="9" style="63"/>
    <col min="7943" max="7944" width="7.75" style="63" customWidth="1"/>
    <col min="7945" max="7945" width="9.75" style="63" customWidth="1"/>
    <col min="7946" max="7946" width="9" style="63"/>
    <col min="7947" max="7947" width="9.5" style="63" bestFit="1" customWidth="1"/>
    <col min="7948" max="7948" width="6.875" style="63" customWidth="1"/>
    <col min="7949" max="7949" width="8" style="63" customWidth="1"/>
    <col min="7950" max="8192" width="9" style="63"/>
    <col min="8193" max="8193" width="10.375" style="63" customWidth="1"/>
    <col min="8194" max="8194" width="9" style="63"/>
    <col min="8195" max="8195" width="6.875" style="63" customWidth="1"/>
    <col min="8196" max="8196" width="9.375" style="63" customWidth="1"/>
    <col min="8197" max="8198" width="9" style="63"/>
    <col min="8199" max="8200" width="7.75" style="63" customWidth="1"/>
    <col min="8201" max="8201" width="9.75" style="63" customWidth="1"/>
    <col min="8202" max="8202" width="9" style="63"/>
    <col min="8203" max="8203" width="9.5" style="63" bestFit="1" customWidth="1"/>
    <col min="8204" max="8204" width="6.875" style="63" customWidth="1"/>
    <col min="8205" max="8205" width="8" style="63" customWidth="1"/>
    <col min="8206" max="8448" width="9" style="63"/>
    <col min="8449" max="8449" width="10.375" style="63" customWidth="1"/>
    <col min="8450" max="8450" width="9" style="63"/>
    <col min="8451" max="8451" width="6.875" style="63" customWidth="1"/>
    <col min="8452" max="8452" width="9.375" style="63" customWidth="1"/>
    <col min="8453" max="8454" width="9" style="63"/>
    <col min="8455" max="8456" width="7.75" style="63" customWidth="1"/>
    <col min="8457" max="8457" width="9.75" style="63" customWidth="1"/>
    <col min="8458" max="8458" width="9" style="63"/>
    <col min="8459" max="8459" width="9.5" style="63" bestFit="1" customWidth="1"/>
    <col min="8460" max="8460" width="6.875" style="63" customWidth="1"/>
    <col min="8461" max="8461" width="8" style="63" customWidth="1"/>
    <col min="8462" max="8704" width="9" style="63"/>
    <col min="8705" max="8705" width="10.375" style="63" customWidth="1"/>
    <col min="8706" max="8706" width="9" style="63"/>
    <col min="8707" max="8707" width="6.875" style="63" customWidth="1"/>
    <col min="8708" max="8708" width="9.375" style="63" customWidth="1"/>
    <col min="8709" max="8710" width="9" style="63"/>
    <col min="8711" max="8712" width="7.75" style="63" customWidth="1"/>
    <col min="8713" max="8713" width="9.75" style="63" customWidth="1"/>
    <col min="8714" max="8714" width="9" style="63"/>
    <col min="8715" max="8715" width="9.5" style="63" bestFit="1" customWidth="1"/>
    <col min="8716" max="8716" width="6.875" style="63" customWidth="1"/>
    <col min="8717" max="8717" width="8" style="63" customWidth="1"/>
    <col min="8718" max="8960" width="9" style="63"/>
    <col min="8961" max="8961" width="10.375" style="63" customWidth="1"/>
    <col min="8962" max="8962" width="9" style="63"/>
    <col min="8963" max="8963" width="6.875" style="63" customWidth="1"/>
    <col min="8964" max="8964" width="9.375" style="63" customWidth="1"/>
    <col min="8965" max="8966" width="9" style="63"/>
    <col min="8967" max="8968" width="7.75" style="63" customWidth="1"/>
    <col min="8969" max="8969" width="9.75" style="63" customWidth="1"/>
    <col min="8970" max="8970" width="9" style="63"/>
    <col min="8971" max="8971" width="9.5" style="63" bestFit="1" customWidth="1"/>
    <col min="8972" max="8972" width="6.875" style="63" customWidth="1"/>
    <col min="8973" max="8973" width="8" style="63" customWidth="1"/>
    <col min="8974" max="9216" width="9" style="63"/>
    <col min="9217" max="9217" width="10.375" style="63" customWidth="1"/>
    <col min="9218" max="9218" width="9" style="63"/>
    <col min="9219" max="9219" width="6.875" style="63" customWidth="1"/>
    <col min="9220" max="9220" width="9.375" style="63" customWidth="1"/>
    <col min="9221" max="9222" width="9" style="63"/>
    <col min="9223" max="9224" width="7.75" style="63" customWidth="1"/>
    <col min="9225" max="9225" width="9.75" style="63" customWidth="1"/>
    <col min="9226" max="9226" width="9" style="63"/>
    <col min="9227" max="9227" width="9.5" style="63" bestFit="1" customWidth="1"/>
    <col min="9228" max="9228" width="6.875" style="63" customWidth="1"/>
    <col min="9229" max="9229" width="8" style="63" customWidth="1"/>
    <col min="9230" max="9472" width="9" style="63"/>
    <col min="9473" max="9473" width="10.375" style="63" customWidth="1"/>
    <col min="9474" max="9474" width="9" style="63"/>
    <col min="9475" max="9475" width="6.875" style="63" customWidth="1"/>
    <col min="9476" max="9476" width="9.375" style="63" customWidth="1"/>
    <col min="9477" max="9478" width="9" style="63"/>
    <col min="9479" max="9480" width="7.75" style="63" customWidth="1"/>
    <col min="9481" max="9481" width="9.75" style="63" customWidth="1"/>
    <col min="9482" max="9482" width="9" style="63"/>
    <col min="9483" max="9483" width="9.5" style="63" bestFit="1" customWidth="1"/>
    <col min="9484" max="9484" width="6.875" style="63" customWidth="1"/>
    <col min="9485" max="9485" width="8" style="63" customWidth="1"/>
    <col min="9486" max="9728" width="9" style="63"/>
    <col min="9729" max="9729" width="10.375" style="63" customWidth="1"/>
    <col min="9730" max="9730" width="9" style="63"/>
    <col min="9731" max="9731" width="6.875" style="63" customWidth="1"/>
    <col min="9732" max="9732" width="9.375" style="63" customWidth="1"/>
    <col min="9733" max="9734" width="9" style="63"/>
    <col min="9735" max="9736" width="7.75" style="63" customWidth="1"/>
    <col min="9737" max="9737" width="9.75" style="63" customWidth="1"/>
    <col min="9738" max="9738" width="9" style="63"/>
    <col min="9739" max="9739" width="9.5" style="63" bestFit="1" customWidth="1"/>
    <col min="9740" max="9740" width="6.875" style="63" customWidth="1"/>
    <col min="9741" max="9741" width="8" style="63" customWidth="1"/>
    <col min="9742" max="9984" width="9" style="63"/>
    <col min="9985" max="9985" width="10.375" style="63" customWidth="1"/>
    <col min="9986" max="9986" width="9" style="63"/>
    <col min="9987" max="9987" width="6.875" style="63" customWidth="1"/>
    <col min="9988" max="9988" width="9.375" style="63" customWidth="1"/>
    <col min="9989" max="9990" width="9" style="63"/>
    <col min="9991" max="9992" width="7.75" style="63" customWidth="1"/>
    <col min="9993" max="9993" width="9.75" style="63" customWidth="1"/>
    <col min="9994" max="9994" width="9" style="63"/>
    <col min="9995" max="9995" width="9.5" style="63" bestFit="1" customWidth="1"/>
    <col min="9996" max="9996" width="6.875" style="63" customWidth="1"/>
    <col min="9997" max="9997" width="8" style="63" customWidth="1"/>
    <col min="9998" max="10240" width="9" style="63"/>
    <col min="10241" max="10241" width="10.375" style="63" customWidth="1"/>
    <col min="10242" max="10242" width="9" style="63"/>
    <col min="10243" max="10243" width="6.875" style="63" customWidth="1"/>
    <col min="10244" max="10244" width="9.375" style="63" customWidth="1"/>
    <col min="10245" max="10246" width="9" style="63"/>
    <col min="10247" max="10248" width="7.75" style="63" customWidth="1"/>
    <col min="10249" max="10249" width="9.75" style="63" customWidth="1"/>
    <col min="10250" max="10250" width="9" style="63"/>
    <col min="10251" max="10251" width="9.5" style="63" bestFit="1" customWidth="1"/>
    <col min="10252" max="10252" width="6.875" style="63" customWidth="1"/>
    <col min="10253" max="10253" width="8" style="63" customWidth="1"/>
    <col min="10254" max="10496" width="9" style="63"/>
    <col min="10497" max="10497" width="10.375" style="63" customWidth="1"/>
    <col min="10498" max="10498" width="9" style="63"/>
    <col min="10499" max="10499" width="6.875" style="63" customWidth="1"/>
    <col min="10500" max="10500" width="9.375" style="63" customWidth="1"/>
    <col min="10501" max="10502" width="9" style="63"/>
    <col min="10503" max="10504" width="7.75" style="63" customWidth="1"/>
    <col min="10505" max="10505" width="9.75" style="63" customWidth="1"/>
    <col min="10506" max="10506" width="9" style="63"/>
    <col min="10507" max="10507" width="9.5" style="63" bestFit="1" customWidth="1"/>
    <col min="10508" max="10508" width="6.875" style="63" customWidth="1"/>
    <col min="10509" max="10509" width="8" style="63" customWidth="1"/>
    <col min="10510" max="10752" width="9" style="63"/>
    <col min="10753" max="10753" width="10.375" style="63" customWidth="1"/>
    <col min="10754" max="10754" width="9" style="63"/>
    <col min="10755" max="10755" width="6.875" style="63" customWidth="1"/>
    <col min="10756" max="10756" width="9.375" style="63" customWidth="1"/>
    <col min="10757" max="10758" width="9" style="63"/>
    <col min="10759" max="10760" width="7.75" style="63" customWidth="1"/>
    <col min="10761" max="10761" width="9.75" style="63" customWidth="1"/>
    <col min="10762" max="10762" width="9" style="63"/>
    <col min="10763" max="10763" width="9.5" style="63" bestFit="1" customWidth="1"/>
    <col min="10764" max="10764" width="6.875" style="63" customWidth="1"/>
    <col min="10765" max="10765" width="8" style="63" customWidth="1"/>
    <col min="10766" max="11008" width="9" style="63"/>
    <col min="11009" max="11009" width="10.375" style="63" customWidth="1"/>
    <col min="11010" max="11010" width="9" style="63"/>
    <col min="11011" max="11011" width="6.875" style="63" customWidth="1"/>
    <col min="11012" max="11012" width="9.375" style="63" customWidth="1"/>
    <col min="11013" max="11014" width="9" style="63"/>
    <col min="11015" max="11016" width="7.75" style="63" customWidth="1"/>
    <col min="11017" max="11017" width="9.75" style="63" customWidth="1"/>
    <col min="11018" max="11018" width="9" style="63"/>
    <col min="11019" max="11019" width="9.5" style="63" bestFit="1" customWidth="1"/>
    <col min="11020" max="11020" width="6.875" style="63" customWidth="1"/>
    <col min="11021" max="11021" width="8" style="63" customWidth="1"/>
    <col min="11022" max="11264" width="9" style="63"/>
    <col min="11265" max="11265" width="10.375" style="63" customWidth="1"/>
    <col min="11266" max="11266" width="9" style="63"/>
    <col min="11267" max="11267" width="6.875" style="63" customWidth="1"/>
    <col min="11268" max="11268" width="9.375" style="63" customWidth="1"/>
    <col min="11269" max="11270" width="9" style="63"/>
    <col min="11271" max="11272" width="7.75" style="63" customWidth="1"/>
    <col min="11273" max="11273" width="9.75" style="63" customWidth="1"/>
    <col min="11274" max="11274" width="9" style="63"/>
    <col min="11275" max="11275" width="9.5" style="63" bestFit="1" customWidth="1"/>
    <col min="11276" max="11276" width="6.875" style="63" customWidth="1"/>
    <col min="11277" max="11277" width="8" style="63" customWidth="1"/>
    <col min="11278" max="11520" width="9" style="63"/>
    <col min="11521" max="11521" width="10.375" style="63" customWidth="1"/>
    <col min="11522" max="11522" width="9" style="63"/>
    <col min="11523" max="11523" width="6.875" style="63" customWidth="1"/>
    <col min="11524" max="11524" width="9.375" style="63" customWidth="1"/>
    <col min="11525" max="11526" width="9" style="63"/>
    <col min="11527" max="11528" width="7.75" style="63" customWidth="1"/>
    <col min="11529" max="11529" width="9.75" style="63" customWidth="1"/>
    <col min="11530" max="11530" width="9" style="63"/>
    <col min="11531" max="11531" width="9.5" style="63" bestFit="1" customWidth="1"/>
    <col min="11532" max="11532" width="6.875" style="63" customWidth="1"/>
    <col min="11533" max="11533" width="8" style="63" customWidth="1"/>
    <col min="11534" max="11776" width="9" style="63"/>
    <col min="11777" max="11777" width="10.375" style="63" customWidth="1"/>
    <col min="11778" max="11778" width="9" style="63"/>
    <col min="11779" max="11779" width="6.875" style="63" customWidth="1"/>
    <col min="11780" max="11780" width="9.375" style="63" customWidth="1"/>
    <col min="11781" max="11782" width="9" style="63"/>
    <col min="11783" max="11784" width="7.75" style="63" customWidth="1"/>
    <col min="11785" max="11785" width="9.75" style="63" customWidth="1"/>
    <col min="11786" max="11786" width="9" style="63"/>
    <col min="11787" max="11787" width="9.5" style="63" bestFit="1" customWidth="1"/>
    <col min="11788" max="11788" width="6.875" style="63" customWidth="1"/>
    <col min="11789" max="11789" width="8" style="63" customWidth="1"/>
    <col min="11790" max="12032" width="9" style="63"/>
    <col min="12033" max="12033" width="10.375" style="63" customWidth="1"/>
    <col min="12034" max="12034" width="9" style="63"/>
    <col min="12035" max="12035" width="6.875" style="63" customWidth="1"/>
    <col min="12036" max="12036" width="9.375" style="63" customWidth="1"/>
    <col min="12037" max="12038" width="9" style="63"/>
    <col min="12039" max="12040" width="7.75" style="63" customWidth="1"/>
    <col min="12041" max="12041" width="9.75" style="63" customWidth="1"/>
    <col min="12042" max="12042" width="9" style="63"/>
    <col min="12043" max="12043" width="9.5" style="63" bestFit="1" customWidth="1"/>
    <col min="12044" max="12044" width="6.875" style="63" customWidth="1"/>
    <col min="12045" max="12045" width="8" style="63" customWidth="1"/>
    <col min="12046" max="12288" width="9" style="63"/>
    <col min="12289" max="12289" width="10.375" style="63" customWidth="1"/>
    <col min="12290" max="12290" width="9" style="63"/>
    <col min="12291" max="12291" width="6.875" style="63" customWidth="1"/>
    <col min="12292" max="12292" width="9.375" style="63" customWidth="1"/>
    <col min="12293" max="12294" width="9" style="63"/>
    <col min="12295" max="12296" width="7.75" style="63" customWidth="1"/>
    <col min="12297" max="12297" width="9.75" style="63" customWidth="1"/>
    <col min="12298" max="12298" width="9" style="63"/>
    <col min="12299" max="12299" width="9.5" style="63" bestFit="1" customWidth="1"/>
    <col min="12300" max="12300" width="6.875" style="63" customWidth="1"/>
    <col min="12301" max="12301" width="8" style="63" customWidth="1"/>
    <col min="12302" max="12544" width="9" style="63"/>
    <col min="12545" max="12545" width="10.375" style="63" customWidth="1"/>
    <col min="12546" max="12546" width="9" style="63"/>
    <col min="12547" max="12547" width="6.875" style="63" customWidth="1"/>
    <col min="12548" max="12548" width="9.375" style="63" customWidth="1"/>
    <col min="12549" max="12550" width="9" style="63"/>
    <col min="12551" max="12552" width="7.75" style="63" customWidth="1"/>
    <col min="12553" max="12553" width="9.75" style="63" customWidth="1"/>
    <col min="12554" max="12554" width="9" style="63"/>
    <col min="12555" max="12555" width="9.5" style="63" bestFit="1" customWidth="1"/>
    <col min="12556" max="12556" width="6.875" style="63" customWidth="1"/>
    <col min="12557" max="12557" width="8" style="63" customWidth="1"/>
    <col min="12558" max="12800" width="9" style="63"/>
    <col min="12801" max="12801" width="10.375" style="63" customWidth="1"/>
    <col min="12802" max="12802" width="9" style="63"/>
    <col min="12803" max="12803" width="6.875" style="63" customWidth="1"/>
    <col min="12804" max="12804" width="9.375" style="63" customWidth="1"/>
    <col min="12805" max="12806" width="9" style="63"/>
    <col min="12807" max="12808" width="7.75" style="63" customWidth="1"/>
    <col min="12809" max="12809" width="9.75" style="63" customWidth="1"/>
    <col min="12810" max="12810" width="9" style="63"/>
    <col min="12811" max="12811" width="9.5" style="63" bestFit="1" customWidth="1"/>
    <col min="12812" max="12812" width="6.875" style="63" customWidth="1"/>
    <col min="12813" max="12813" width="8" style="63" customWidth="1"/>
    <col min="12814" max="13056" width="9" style="63"/>
    <col min="13057" max="13057" width="10.375" style="63" customWidth="1"/>
    <col min="13058" max="13058" width="9" style="63"/>
    <col min="13059" max="13059" width="6.875" style="63" customWidth="1"/>
    <col min="13060" max="13060" width="9.375" style="63" customWidth="1"/>
    <col min="13061" max="13062" width="9" style="63"/>
    <col min="13063" max="13064" width="7.75" style="63" customWidth="1"/>
    <col min="13065" max="13065" width="9.75" style="63" customWidth="1"/>
    <col min="13066" max="13066" width="9" style="63"/>
    <col min="13067" max="13067" width="9.5" style="63" bestFit="1" customWidth="1"/>
    <col min="13068" max="13068" width="6.875" style="63" customWidth="1"/>
    <col min="13069" max="13069" width="8" style="63" customWidth="1"/>
    <col min="13070" max="13312" width="9" style="63"/>
    <col min="13313" max="13313" width="10.375" style="63" customWidth="1"/>
    <col min="13314" max="13314" width="9" style="63"/>
    <col min="13315" max="13315" width="6.875" style="63" customWidth="1"/>
    <col min="13316" max="13316" width="9.375" style="63" customWidth="1"/>
    <col min="13317" max="13318" width="9" style="63"/>
    <col min="13319" max="13320" width="7.75" style="63" customWidth="1"/>
    <col min="13321" max="13321" width="9.75" style="63" customWidth="1"/>
    <col min="13322" max="13322" width="9" style="63"/>
    <col min="13323" max="13323" width="9.5" style="63" bestFit="1" customWidth="1"/>
    <col min="13324" max="13324" width="6.875" style="63" customWidth="1"/>
    <col min="13325" max="13325" width="8" style="63" customWidth="1"/>
    <col min="13326" max="13568" width="9" style="63"/>
    <col min="13569" max="13569" width="10.375" style="63" customWidth="1"/>
    <col min="13570" max="13570" width="9" style="63"/>
    <col min="13571" max="13571" width="6.875" style="63" customWidth="1"/>
    <col min="13572" max="13572" width="9.375" style="63" customWidth="1"/>
    <col min="13573" max="13574" width="9" style="63"/>
    <col min="13575" max="13576" width="7.75" style="63" customWidth="1"/>
    <col min="13577" max="13577" width="9.75" style="63" customWidth="1"/>
    <col min="13578" max="13578" width="9" style="63"/>
    <col min="13579" max="13579" width="9.5" style="63" bestFit="1" customWidth="1"/>
    <col min="13580" max="13580" width="6.875" style="63" customWidth="1"/>
    <col min="13581" max="13581" width="8" style="63" customWidth="1"/>
    <col min="13582" max="13824" width="9" style="63"/>
    <col min="13825" max="13825" width="10.375" style="63" customWidth="1"/>
    <col min="13826" max="13826" width="9" style="63"/>
    <col min="13827" max="13827" width="6.875" style="63" customWidth="1"/>
    <col min="13828" max="13828" width="9.375" style="63" customWidth="1"/>
    <col min="13829" max="13830" width="9" style="63"/>
    <col min="13831" max="13832" width="7.75" style="63" customWidth="1"/>
    <col min="13833" max="13833" width="9.75" style="63" customWidth="1"/>
    <col min="13834" max="13834" width="9" style="63"/>
    <col min="13835" max="13835" width="9.5" style="63" bestFit="1" customWidth="1"/>
    <col min="13836" max="13836" width="6.875" style="63" customWidth="1"/>
    <col min="13837" max="13837" width="8" style="63" customWidth="1"/>
    <col min="13838" max="14080" width="9" style="63"/>
    <col min="14081" max="14081" width="10.375" style="63" customWidth="1"/>
    <col min="14082" max="14082" width="9" style="63"/>
    <col min="14083" max="14083" width="6.875" style="63" customWidth="1"/>
    <col min="14084" max="14084" width="9.375" style="63" customWidth="1"/>
    <col min="14085" max="14086" width="9" style="63"/>
    <col min="14087" max="14088" width="7.75" style="63" customWidth="1"/>
    <col min="14089" max="14089" width="9.75" style="63" customWidth="1"/>
    <col min="14090" max="14090" width="9" style="63"/>
    <col min="14091" max="14091" width="9.5" style="63" bestFit="1" customWidth="1"/>
    <col min="14092" max="14092" width="6.875" style="63" customWidth="1"/>
    <col min="14093" max="14093" width="8" style="63" customWidth="1"/>
    <col min="14094" max="14336" width="9" style="63"/>
    <col min="14337" max="14337" width="10.375" style="63" customWidth="1"/>
    <col min="14338" max="14338" width="9" style="63"/>
    <col min="14339" max="14339" width="6.875" style="63" customWidth="1"/>
    <col min="14340" max="14340" width="9.375" style="63" customWidth="1"/>
    <col min="14341" max="14342" width="9" style="63"/>
    <col min="14343" max="14344" width="7.75" style="63" customWidth="1"/>
    <col min="14345" max="14345" width="9.75" style="63" customWidth="1"/>
    <col min="14346" max="14346" width="9" style="63"/>
    <col min="14347" max="14347" width="9.5" style="63" bestFit="1" customWidth="1"/>
    <col min="14348" max="14348" width="6.875" style="63" customWidth="1"/>
    <col min="14349" max="14349" width="8" style="63" customWidth="1"/>
    <col min="14350" max="14592" width="9" style="63"/>
    <col min="14593" max="14593" width="10.375" style="63" customWidth="1"/>
    <col min="14594" max="14594" width="9" style="63"/>
    <col min="14595" max="14595" width="6.875" style="63" customWidth="1"/>
    <col min="14596" max="14596" width="9.375" style="63" customWidth="1"/>
    <col min="14597" max="14598" width="9" style="63"/>
    <col min="14599" max="14600" width="7.75" style="63" customWidth="1"/>
    <col min="14601" max="14601" width="9.75" style="63" customWidth="1"/>
    <col min="14602" max="14602" width="9" style="63"/>
    <col min="14603" max="14603" width="9.5" style="63" bestFit="1" customWidth="1"/>
    <col min="14604" max="14604" width="6.875" style="63" customWidth="1"/>
    <col min="14605" max="14605" width="8" style="63" customWidth="1"/>
    <col min="14606" max="14848" width="9" style="63"/>
    <col min="14849" max="14849" width="10.375" style="63" customWidth="1"/>
    <col min="14850" max="14850" width="9" style="63"/>
    <col min="14851" max="14851" width="6.875" style="63" customWidth="1"/>
    <col min="14852" max="14852" width="9.375" style="63" customWidth="1"/>
    <col min="14853" max="14854" width="9" style="63"/>
    <col min="14855" max="14856" width="7.75" style="63" customWidth="1"/>
    <col min="14857" max="14857" width="9.75" style="63" customWidth="1"/>
    <col min="14858" max="14858" width="9" style="63"/>
    <col min="14859" max="14859" width="9.5" style="63" bestFit="1" customWidth="1"/>
    <col min="14860" max="14860" width="6.875" style="63" customWidth="1"/>
    <col min="14861" max="14861" width="8" style="63" customWidth="1"/>
    <col min="14862" max="15104" width="9" style="63"/>
    <col min="15105" max="15105" width="10.375" style="63" customWidth="1"/>
    <col min="15106" max="15106" width="9" style="63"/>
    <col min="15107" max="15107" width="6.875" style="63" customWidth="1"/>
    <col min="15108" max="15108" width="9.375" style="63" customWidth="1"/>
    <col min="15109" max="15110" width="9" style="63"/>
    <col min="15111" max="15112" width="7.75" style="63" customWidth="1"/>
    <col min="15113" max="15113" width="9.75" style="63" customWidth="1"/>
    <col min="15114" max="15114" width="9" style="63"/>
    <col min="15115" max="15115" width="9.5" style="63" bestFit="1" customWidth="1"/>
    <col min="15116" max="15116" width="6.875" style="63" customWidth="1"/>
    <col min="15117" max="15117" width="8" style="63" customWidth="1"/>
    <col min="15118" max="15360" width="9" style="63"/>
    <col min="15361" max="15361" width="10.375" style="63" customWidth="1"/>
    <col min="15362" max="15362" width="9" style="63"/>
    <col min="15363" max="15363" width="6.875" style="63" customWidth="1"/>
    <col min="15364" max="15364" width="9.375" style="63" customWidth="1"/>
    <col min="15365" max="15366" width="9" style="63"/>
    <col min="15367" max="15368" width="7.75" style="63" customWidth="1"/>
    <col min="15369" max="15369" width="9.75" style="63" customWidth="1"/>
    <col min="15370" max="15370" width="9" style="63"/>
    <col min="15371" max="15371" width="9.5" style="63" bestFit="1" customWidth="1"/>
    <col min="15372" max="15372" width="6.875" style="63" customWidth="1"/>
    <col min="15373" max="15373" width="8" style="63" customWidth="1"/>
    <col min="15374" max="15616" width="9" style="63"/>
    <col min="15617" max="15617" width="10.375" style="63" customWidth="1"/>
    <col min="15618" max="15618" width="9" style="63"/>
    <col min="15619" max="15619" width="6.875" style="63" customWidth="1"/>
    <col min="15620" max="15620" width="9.375" style="63" customWidth="1"/>
    <col min="15621" max="15622" width="9" style="63"/>
    <col min="15623" max="15624" width="7.75" style="63" customWidth="1"/>
    <col min="15625" max="15625" width="9.75" style="63" customWidth="1"/>
    <col min="15626" max="15626" width="9" style="63"/>
    <col min="15627" max="15627" width="9.5" style="63" bestFit="1" customWidth="1"/>
    <col min="15628" max="15628" width="6.875" style="63" customWidth="1"/>
    <col min="15629" max="15629" width="8" style="63" customWidth="1"/>
    <col min="15630" max="15872" width="9" style="63"/>
    <col min="15873" max="15873" width="10.375" style="63" customWidth="1"/>
    <col min="15874" max="15874" width="9" style="63"/>
    <col min="15875" max="15875" width="6.875" style="63" customWidth="1"/>
    <col min="15876" max="15876" width="9.375" style="63" customWidth="1"/>
    <col min="15877" max="15878" width="9" style="63"/>
    <col min="15879" max="15880" width="7.75" style="63" customWidth="1"/>
    <col min="15881" max="15881" width="9.75" style="63" customWidth="1"/>
    <col min="15882" max="15882" width="9" style="63"/>
    <col min="15883" max="15883" width="9.5" style="63" bestFit="1" customWidth="1"/>
    <col min="15884" max="15884" width="6.875" style="63" customWidth="1"/>
    <col min="15885" max="15885" width="8" style="63" customWidth="1"/>
    <col min="15886" max="16128" width="9" style="63"/>
    <col min="16129" max="16129" width="10.375" style="63" customWidth="1"/>
    <col min="16130" max="16130" width="9" style="63"/>
    <col min="16131" max="16131" width="6.875" style="63" customWidth="1"/>
    <col min="16132" max="16132" width="9.375" style="63" customWidth="1"/>
    <col min="16133" max="16134" width="9" style="63"/>
    <col min="16135" max="16136" width="7.75" style="63" customWidth="1"/>
    <col min="16137" max="16137" width="9.75" style="63" customWidth="1"/>
    <col min="16138" max="16138" width="9" style="63"/>
    <col min="16139" max="16139" width="9.5" style="63" bestFit="1" customWidth="1"/>
    <col min="16140" max="16140" width="6.875" style="63" customWidth="1"/>
    <col min="16141" max="16141" width="8" style="63" customWidth="1"/>
    <col min="16142" max="16384" width="9" style="63"/>
  </cols>
  <sheetData>
    <row r="1" spans="1:13" ht="27.75">
      <c r="A1" s="401" t="s">
        <v>89</v>
      </c>
      <c r="B1" s="401"/>
      <c r="C1" s="401"/>
      <c r="D1" s="401"/>
      <c r="E1" s="401"/>
      <c r="F1" s="401"/>
      <c r="G1" s="401"/>
      <c r="H1" s="401"/>
      <c r="I1" s="401"/>
      <c r="J1" s="401"/>
      <c r="K1" s="401"/>
      <c r="L1" s="401"/>
      <c r="M1" s="401"/>
    </row>
    <row r="2" spans="1:13">
      <c r="A2" s="64" t="s">
        <v>90</v>
      </c>
      <c r="B2" s="65"/>
      <c r="C2" s="66"/>
      <c r="D2" s="64"/>
      <c r="E2" s="64"/>
      <c r="F2" s="64"/>
      <c r="G2" s="64"/>
      <c r="H2" s="64"/>
      <c r="I2" s="64"/>
      <c r="J2" s="64"/>
      <c r="K2" s="64"/>
      <c r="L2" s="64"/>
      <c r="M2" s="67"/>
    </row>
    <row r="3" spans="1:13">
      <c r="A3" s="64" t="s">
        <v>91</v>
      </c>
      <c r="B3" s="68" t="s">
        <v>92</v>
      </c>
      <c r="C3" s="68"/>
      <c r="D3" s="68" t="s">
        <v>93</v>
      </c>
      <c r="E3" s="68"/>
      <c r="F3" s="64"/>
      <c r="G3" s="64"/>
      <c r="H3" s="69" t="s">
        <v>94</v>
      </c>
      <c r="I3" s="402"/>
      <c r="J3" s="402"/>
      <c r="K3" s="70">
        <f>I3</f>
        <v>0</v>
      </c>
      <c r="L3" s="70"/>
      <c r="M3" s="71"/>
    </row>
    <row r="4" spans="1:13">
      <c r="A4" s="72" t="s">
        <v>95</v>
      </c>
      <c r="B4" s="403"/>
      <c r="C4" s="403"/>
      <c r="D4" s="403"/>
      <c r="E4" s="403"/>
      <c r="F4" s="403"/>
      <c r="G4" s="403"/>
      <c r="H4" s="403"/>
      <c r="I4" s="403"/>
      <c r="J4" s="403"/>
      <c r="K4" s="403"/>
      <c r="L4" s="404"/>
      <c r="M4" s="404"/>
    </row>
    <row r="5" spans="1:13">
      <c r="A5" s="405" t="s">
        <v>96</v>
      </c>
      <c r="B5" s="407"/>
      <c r="C5" s="407" t="s">
        <v>97</v>
      </c>
      <c r="D5" s="409"/>
      <c r="E5" s="411"/>
      <c r="F5" s="412"/>
      <c r="G5" s="415" t="s">
        <v>98</v>
      </c>
      <c r="H5" s="409"/>
      <c r="I5" s="411"/>
      <c r="J5" s="412"/>
      <c r="K5" s="416" t="s">
        <v>99</v>
      </c>
      <c r="L5" s="419"/>
      <c r="M5" s="420"/>
    </row>
    <row r="6" spans="1:13">
      <c r="A6" s="406"/>
      <c r="B6" s="408"/>
      <c r="C6" s="408"/>
      <c r="D6" s="410"/>
      <c r="E6" s="413"/>
      <c r="F6" s="414"/>
      <c r="G6" s="408"/>
      <c r="H6" s="410"/>
      <c r="I6" s="413"/>
      <c r="J6" s="414"/>
      <c r="K6" s="417"/>
      <c r="L6" s="421"/>
      <c r="M6" s="422"/>
    </row>
    <row r="7" spans="1:13">
      <c r="A7" s="423" t="s">
        <v>100</v>
      </c>
      <c r="B7" s="423"/>
      <c r="C7" s="424"/>
      <c r="D7" s="425"/>
      <c r="E7" s="73" t="s">
        <v>101</v>
      </c>
      <c r="F7" s="426" t="s">
        <v>102</v>
      </c>
      <c r="G7" s="427"/>
      <c r="H7" s="74">
        <v>432</v>
      </c>
      <c r="I7" s="73" t="s">
        <v>48</v>
      </c>
      <c r="J7" s="423" t="s">
        <v>103</v>
      </c>
      <c r="K7" s="428" t="s">
        <v>104</v>
      </c>
      <c r="L7" s="429"/>
      <c r="M7" s="429"/>
    </row>
    <row r="8" spans="1:13">
      <c r="A8" s="423" t="s">
        <v>105</v>
      </c>
      <c r="B8" s="423"/>
      <c r="C8" s="430"/>
      <c r="D8" s="431"/>
      <c r="E8" s="432"/>
      <c r="F8" s="423" t="s">
        <v>106</v>
      </c>
      <c r="G8" s="423"/>
      <c r="H8" s="433"/>
      <c r="I8" s="423"/>
      <c r="J8" s="423"/>
      <c r="K8" s="428" t="str">
        <f>"變更後契約："&amp;" 元整"</f>
        <v>變更後契約： 元整</v>
      </c>
      <c r="L8" s="434"/>
      <c r="M8" s="434"/>
    </row>
    <row r="9" spans="1:13">
      <c r="A9" s="418" t="s">
        <v>107</v>
      </c>
      <c r="B9" s="418"/>
      <c r="C9" s="418"/>
      <c r="D9" s="418"/>
      <c r="E9" s="418"/>
      <c r="F9" s="418"/>
      <c r="G9" s="418"/>
      <c r="H9" s="418"/>
      <c r="I9" s="418"/>
      <c r="J9" s="418"/>
      <c r="K9" s="418"/>
      <c r="L9" s="418"/>
      <c r="M9" s="418"/>
    </row>
    <row r="10" spans="1:13">
      <c r="A10" s="435"/>
      <c r="B10" s="436"/>
      <c r="C10" s="436"/>
      <c r="D10" s="436"/>
      <c r="E10" s="436"/>
      <c r="F10" s="436"/>
      <c r="G10" s="436"/>
      <c r="H10" s="436"/>
      <c r="I10" s="436"/>
      <c r="J10" s="436"/>
      <c r="K10" s="436"/>
      <c r="L10" s="436"/>
      <c r="M10" s="437"/>
    </row>
    <row r="11" spans="1:13">
      <c r="A11" s="438"/>
      <c r="B11" s="439"/>
      <c r="C11" s="439"/>
      <c r="D11" s="439"/>
      <c r="E11" s="439"/>
      <c r="F11" s="439"/>
      <c r="G11" s="439"/>
      <c r="H11" s="439"/>
      <c r="I11" s="439"/>
      <c r="J11" s="439"/>
      <c r="K11" s="439"/>
      <c r="L11" s="439"/>
      <c r="M11" s="440"/>
    </row>
    <row r="12" spans="1:13">
      <c r="A12" s="438"/>
      <c r="B12" s="439"/>
      <c r="C12" s="439"/>
      <c r="D12" s="439"/>
      <c r="E12" s="439"/>
      <c r="F12" s="439"/>
      <c r="G12" s="439"/>
      <c r="H12" s="439"/>
      <c r="I12" s="439"/>
      <c r="J12" s="439"/>
      <c r="K12" s="439"/>
      <c r="L12" s="439"/>
      <c r="M12" s="440"/>
    </row>
    <row r="13" spans="1:13">
      <c r="A13" s="438"/>
      <c r="B13" s="439"/>
      <c r="C13" s="439"/>
      <c r="D13" s="439"/>
      <c r="E13" s="439"/>
      <c r="F13" s="439"/>
      <c r="G13" s="439"/>
      <c r="H13" s="439"/>
      <c r="I13" s="439"/>
      <c r="J13" s="439"/>
      <c r="K13" s="439"/>
      <c r="L13" s="439"/>
      <c r="M13" s="440"/>
    </row>
    <row r="14" spans="1:13">
      <c r="A14" s="438"/>
      <c r="B14" s="439"/>
      <c r="C14" s="439"/>
      <c r="D14" s="439"/>
      <c r="E14" s="439"/>
      <c r="F14" s="439"/>
      <c r="G14" s="439"/>
      <c r="H14" s="439"/>
      <c r="I14" s="439"/>
      <c r="J14" s="439"/>
      <c r="K14" s="439"/>
      <c r="L14" s="439"/>
      <c r="M14" s="440"/>
    </row>
    <row r="15" spans="1:13">
      <c r="A15" s="441"/>
      <c r="B15" s="442"/>
      <c r="C15" s="442"/>
      <c r="D15" s="442"/>
      <c r="E15" s="442"/>
      <c r="F15" s="442"/>
      <c r="G15" s="442"/>
      <c r="H15" s="442"/>
      <c r="I15" s="442"/>
      <c r="J15" s="442"/>
      <c r="K15" s="442"/>
      <c r="L15" s="442"/>
      <c r="M15" s="443"/>
    </row>
    <row r="16" spans="1:13">
      <c r="A16" s="418" t="s">
        <v>108</v>
      </c>
      <c r="B16" s="418"/>
      <c r="C16" s="418"/>
      <c r="D16" s="418"/>
      <c r="E16" s="418"/>
      <c r="F16" s="418"/>
      <c r="G16" s="418"/>
      <c r="H16" s="418"/>
      <c r="I16" s="418"/>
      <c r="J16" s="418"/>
      <c r="K16" s="418"/>
      <c r="L16" s="418"/>
      <c r="M16" s="418"/>
    </row>
    <row r="17" spans="1:13">
      <c r="A17" s="435"/>
      <c r="B17" s="436"/>
      <c r="C17" s="436"/>
      <c r="D17" s="436"/>
      <c r="E17" s="436"/>
      <c r="F17" s="436"/>
      <c r="G17" s="436"/>
      <c r="H17" s="436"/>
      <c r="I17" s="436"/>
      <c r="J17" s="436"/>
      <c r="K17" s="436"/>
      <c r="L17" s="436"/>
      <c r="M17" s="437"/>
    </row>
    <row r="18" spans="1:13">
      <c r="A18" s="438"/>
      <c r="B18" s="439"/>
      <c r="C18" s="439"/>
      <c r="D18" s="439"/>
      <c r="E18" s="439"/>
      <c r="F18" s="439"/>
      <c r="G18" s="439"/>
      <c r="H18" s="439"/>
      <c r="I18" s="439"/>
      <c r="J18" s="439"/>
      <c r="K18" s="439"/>
      <c r="L18" s="439"/>
      <c r="M18" s="440"/>
    </row>
    <row r="19" spans="1:13">
      <c r="A19" s="438"/>
      <c r="B19" s="439"/>
      <c r="C19" s="439"/>
      <c r="D19" s="439"/>
      <c r="E19" s="439"/>
      <c r="F19" s="439"/>
      <c r="G19" s="439"/>
      <c r="H19" s="439"/>
      <c r="I19" s="439"/>
      <c r="J19" s="439"/>
      <c r="K19" s="439"/>
      <c r="L19" s="439"/>
      <c r="M19" s="440"/>
    </row>
    <row r="20" spans="1:13">
      <c r="A20" s="438"/>
      <c r="B20" s="439"/>
      <c r="C20" s="439"/>
      <c r="D20" s="439"/>
      <c r="E20" s="439"/>
      <c r="F20" s="439"/>
      <c r="G20" s="439"/>
      <c r="H20" s="439"/>
      <c r="I20" s="439"/>
      <c r="J20" s="439"/>
      <c r="K20" s="439"/>
      <c r="L20" s="439"/>
      <c r="M20" s="440"/>
    </row>
    <row r="21" spans="1:13">
      <c r="A21" s="438"/>
      <c r="B21" s="439"/>
      <c r="C21" s="439"/>
      <c r="D21" s="439"/>
      <c r="E21" s="439"/>
      <c r="F21" s="439"/>
      <c r="G21" s="439"/>
      <c r="H21" s="439"/>
      <c r="I21" s="439"/>
      <c r="J21" s="439"/>
      <c r="K21" s="439"/>
      <c r="L21" s="439"/>
      <c r="M21" s="440"/>
    </row>
    <row r="22" spans="1:13">
      <c r="A22" s="441"/>
      <c r="B22" s="442"/>
      <c r="C22" s="442"/>
      <c r="D22" s="442"/>
      <c r="E22" s="442"/>
      <c r="F22" s="442"/>
      <c r="G22" s="442"/>
      <c r="H22" s="442"/>
      <c r="I22" s="442"/>
      <c r="J22" s="442"/>
      <c r="K22" s="442"/>
      <c r="L22" s="442"/>
      <c r="M22" s="443"/>
    </row>
    <row r="23" spans="1:13">
      <c r="A23" s="418" t="s">
        <v>109</v>
      </c>
      <c r="B23" s="418"/>
      <c r="C23" s="418"/>
      <c r="D23" s="418"/>
      <c r="E23" s="418"/>
      <c r="F23" s="418"/>
      <c r="G23" s="418"/>
      <c r="H23" s="418"/>
      <c r="I23" s="418"/>
      <c r="J23" s="418"/>
      <c r="K23" s="418"/>
      <c r="L23" s="418"/>
      <c r="M23" s="418"/>
    </row>
    <row r="24" spans="1:13">
      <c r="A24" s="448"/>
      <c r="B24" s="449"/>
      <c r="C24" s="449"/>
      <c r="D24" s="449"/>
      <c r="E24" s="449"/>
      <c r="F24" s="449"/>
      <c r="G24" s="449"/>
      <c r="H24" s="449"/>
      <c r="I24" s="449"/>
      <c r="J24" s="449"/>
      <c r="K24" s="449"/>
      <c r="L24" s="449"/>
      <c r="M24" s="450"/>
    </row>
    <row r="25" spans="1:13">
      <c r="A25" s="451"/>
      <c r="B25" s="452"/>
      <c r="C25" s="452"/>
      <c r="D25" s="452"/>
      <c r="E25" s="452"/>
      <c r="F25" s="452"/>
      <c r="G25" s="452"/>
      <c r="H25" s="452"/>
      <c r="I25" s="452"/>
      <c r="J25" s="452"/>
      <c r="K25" s="452"/>
      <c r="L25" s="452"/>
      <c r="M25" s="453"/>
    </row>
    <row r="26" spans="1:13">
      <c r="A26" s="451"/>
      <c r="B26" s="452"/>
      <c r="C26" s="452"/>
      <c r="D26" s="452"/>
      <c r="E26" s="452"/>
      <c r="F26" s="452"/>
      <c r="G26" s="452"/>
      <c r="H26" s="452"/>
      <c r="I26" s="452"/>
      <c r="J26" s="452"/>
      <c r="K26" s="452"/>
      <c r="L26" s="452"/>
      <c r="M26" s="453"/>
    </row>
    <row r="27" spans="1:13">
      <c r="A27" s="451"/>
      <c r="B27" s="452"/>
      <c r="C27" s="452"/>
      <c r="D27" s="452"/>
      <c r="E27" s="452"/>
      <c r="F27" s="452"/>
      <c r="G27" s="452"/>
      <c r="H27" s="452"/>
      <c r="I27" s="452"/>
      <c r="J27" s="452"/>
      <c r="K27" s="452"/>
      <c r="L27" s="452"/>
      <c r="M27" s="453"/>
    </row>
    <row r="28" spans="1:13">
      <c r="A28" s="451"/>
      <c r="B28" s="452"/>
      <c r="C28" s="452"/>
      <c r="D28" s="452"/>
      <c r="E28" s="452"/>
      <c r="F28" s="452"/>
      <c r="G28" s="452"/>
      <c r="H28" s="452"/>
      <c r="I28" s="452"/>
      <c r="J28" s="452"/>
      <c r="K28" s="452"/>
      <c r="L28" s="452"/>
      <c r="M28" s="453"/>
    </row>
    <row r="29" spans="1:13">
      <c r="A29" s="454"/>
      <c r="B29" s="455"/>
      <c r="C29" s="455"/>
      <c r="D29" s="455"/>
      <c r="E29" s="455"/>
      <c r="F29" s="455"/>
      <c r="G29" s="455"/>
      <c r="H29" s="455"/>
      <c r="I29" s="455"/>
      <c r="J29" s="455"/>
      <c r="K29" s="455"/>
      <c r="L29" s="455"/>
      <c r="M29" s="456"/>
    </row>
    <row r="30" spans="1:13">
      <c r="A30" s="418" t="s">
        <v>110</v>
      </c>
      <c r="B30" s="418"/>
      <c r="C30" s="418"/>
      <c r="D30" s="418"/>
      <c r="E30" s="418"/>
      <c r="F30" s="418"/>
      <c r="G30" s="418"/>
      <c r="H30" s="418"/>
      <c r="I30" s="418"/>
      <c r="J30" s="418"/>
      <c r="K30" s="418"/>
      <c r="L30" s="418"/>
      <c r="M30" s="418"/>
    </row>
    <row r="31" spans="1:13" ht="16.5" customHeight="1">
      <c r="A31" s="435" t="s">
        <v>111</v>
      </c>
      <c r="B31" s="436"/>
      <c r="C31" s="436"/>
      <c r="D31" s="436"/>
      <c r="E31" s="436"/>
      <c r="F31" s="436"/>
      <c r="G31" s="436"/>
      <c r="H31" s="436"/>
      <c r="I31" s="436"/>
      <c r="J31" s="436"/>
      <c r="K31" s="436"/>
      <c r="L31" s="436"/>
      <c r="M31" s="437"/>
    </row>
    <row r="32" spans="1:13" ht="33" customHeight="1">
      <c r="A32" s="457" t="s">
        <v>112</v>
      </c>
      <c r="B32" s="458"/>
      <c r="C32" s="458"/>
      <c r="D32" s="458"/>
      <c r="E32" s="455"/>
      <c r="F32" s="455"/>
      <c r="G32" s="455"/>
      <c r="H32" s="455"/>
      <c r="I32" s="455"/>
      <c r="J32" s="455"/>
      <c r="K32" s="455"/>
      <c r="L32" s="455"/>
      <c r="M32" s="456"/>
    </row>
    <row r="33" spans="1:16">
      <c r="A33" s="459" t="s">
        <v>113</v>
      </c>
      <c r="B33" s="459"/>
      <c r="C33" s="459"/>
      <c r="D33" s="459"/>
      <c r="E33" s="459"/>
      <c r="F33" s="459"/>
      <c r="G33" s="459"/>
      <c r="H33" s="459"/>
      <c r="I33" s="459"/>
      <c r="J33" s="459"/>
      <c r="K33" s="459"/>
      <c r="L33" s="459"/>
      <c r="M33" s="459"/>
    </row>
    <row r="34" spans="1:16" ht="99.95" customHeight="1">
      <c r="A34" s="444"/>
      <c r="B34" s="445"/>
      <c r="C34" s="445"/>
      <c r="D34" s="445"/>
      <c r="E34" s="445"/>
      <c r="F34" s="445"/>
      <c r="G34" s="445"/>
      <c r="H34" s="445"/>
      <c r="I34" s="445"/>
      <c r="J34" s="445"/>
      <c r="K34" s="445"/>
      <c r="L34" s="445"/>
      <c r="M34" s="446"/>
    </row>
    <row r="35" spans="1:16" ht="50.1" customHeight="1">
      <c r="A35" s="435" t="s">
        <v>114</v>
      </c>
      <c r="B35" s="436"/>
      <c r="C35" s="436"/>
      <c r="D35" s="436"/>
      <c r="E35" s="436"/>
      <c r="F35" s="436"/>
      <c r="G35" s="436"/>
      <c r="H35" s="436"/>
      <c r="I35" s="436"/>
      <c r="J35" s="436"/>
      <c r="K35" s="436"/>
      <c r="L35" s="436"/>
      <c r="M35" s="437"/>
      <c r="P35" s="75"/>
    </row>
    <row r="36" spans="1:16">
      <c r="A36" s="441"/>
      <c r="B36" s="442"/>
      <c r="C36" s="442"/>
      <c r="D36" s="442"/>
      <c r="E36" s="442"/>
      <c r="F36" s="442"/>
      <c r="G36" s="442"/>
      <c r="H36" s="442"/>
      <c r="I36" s="442"/>
      <c r="J36" s="442"/>
      <c r="K36" s="442"/>
      <c r="L36" s="442"/>
      <c r="M36" s="443"/>
    </row>
    <row r="37" spans="1:16" ht="150" customHeight="1">
      <c r="A37" s="447" t="s">
        <v>115</v>
      </c>
      <c r="B37" s="447"/>
      <c r="C37" s="447"/>
      <c r="D37" s="447"/>
      <c r="E37" s="447"/>
      <c r="F37" s="447"/>
      <c r="G37" s="447"/>
      <c r="H37" s="447"/>
      <c r="I37" s="447"/>
      <c r="J37" s="447"/>
      <c r="K37" s="447"/>
      <c r="L37" s="447"/>
      <c r="M37" s="447"/>
    </row>
  </sheetData>
  <mergeCells count="35">
    <mergeCell ref="A34:M34"/>
    <mergeCell ref="A35:M36"/>
    <mergeCell ref="A37:M37"/>
    <mergeCell ref="A24:M29"/>
    <mergeCell ref="A30:M30"/>
    <mergeCell ref="A31:M31"/>
    <mergeCell ref="A32:D32"/>
    <mergeCell ref="E32:M32"/>
    <mergeCell ref="A33:M33"/>
    <mergeCell ref="A23:M23"/>
    <mergeCell ref="L5:M6"/>
    <mergeCell ref="A7:B7"/>
    <mergeCell ref="C7:D7"/>
    <mergeCell ref="F7:G7"/>
    <mergeCell ref="J7:J8"/>
    <mergeCell ref="K7:M7"/>
    <mergeCell ref="A8:B8"/>
    <mergeCell ref="C8:E8"/>
    <mergeCell ref="F8:G8"/>
    <mergeCell ref="H8:I8"/>
    <mergeCell ref="K8:M8"/>
    <mergeCell ref="A9:M9"/>
    <mergeCell ref="A10:M15"/>
    <mergeCell ref="A16:M16"/>
    <mergeCell ref="A17:M22"/>
    <mergeCell ref="A1:M1"/>
    <mergeCell ref="I3:J3"/>
    <mergeCell ref="B4:M4"/>
    <mergeCell ref="A5:A6"/>
    <mergeCell ref="B5:B6"/>
    <mergeCell ref="C5:D6"/>
    <mergeCell ref="E5:F6"/>
    <mergeCell ref="G5:H6"/>
    <mergeCell ref="I5:J6"/>
    <mergeCell ref="K5:K6"/>
  </mergeCells>
  <phoneticPr fontId="1" type="noConversion"/>
  <pageMargins left="0.59055118110236227" right="0.39370078740157483" top="0.39370078740157483" bottom="0.39370078740157483" header="0.31496062992125984" footer="0.31496062992125984"/>
  <pageSetup paperSize="9" scale="8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Spinner 1">
              <controlPr defaultSize="0" print="0" autoPict="0">
                <anchor moveWithCells="1" sizeWithCells="1">
                  <from>
                    <xdr:col>14</xdr:col>
                    <xdr:colOff>0</xdr:colOff>
                    <xdr:row>5</xdr:row>
                    <xdr:rowOff>123825</xdr:rowOff>
                  </from>
                  <to>
                    <xdr:col>15</xdr:col>
                    <xdr:colOff>104775</xdr:colOff>
                    <xdr:row>9</xdr:row>
                    <xdr:rowOff>200025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tabColor rgb="FFFF0000"/>
  </sheetPr>
  <dimension ref="A1:FY7"/>
  <sheetViews>
    <sheetView topLeftCell="AK1" zoomScale="110" zoomScaleNormal="110" workbookViewId="0">
      <selection activeCell="BT5" sqref="BT5"/>
    </sheetView>
  </sheetViews>
  <sheetFormatPr defaultRowHeight="16.5"/>
  <cols>
    <col min="1" max="1" width="9" style="133"/>
    <col min="2" max="2" width="9" style="134"/>
    <col min="3" max="3" width="9" style="135"/>
    <col min="4" max="4" width="9" style="133"/>
  </cols>
  <sheetData>
    <row r="1" spans="1:181" s="133" customFormat="1">
      <c r="B1" s="134"/>
      <c r="C1" s="135" t="s">
        <v>124</v>
      </c>
      <c r="D1" s="133" t="s">
        <v>133</v>
      </c>
    </row>
    <row r="2" spans="1:181" s="133" customFormat="1">
      <c r="B2" s="460">
        <v>10</v>
      </c>
      <c r="C2" s="460"/>
      <c r="D2" s="460"/>
      <c r="E2" s="460"/>
      <c r="F2" s="460"/>
      <c r="G2" s="460"/>
      <c r="H2" s="460"/>
      <c r="I2" s="460"/>
      <c r="J2" s="460"/>
      <c r="K2" s="460"/>
      <c r="L2" s="460">
        <v>20</v>
      </c>
      <c r="M2" s="460"/>
      <c r="N2" s="460"/>
      <c r="O2" s="460"/>
      <c r="P2" s="460"/>
      <c r="Q2" s="460"/>
      <c r="R2" s="460"/>
      <c r="S2" s="460"/>
      <c r="T2" s="460"/>
      <c r="U2" s="460"/>
      <c r="V2" s="460">
        <v>30</v>
      </c>
      <c r="W2" s="460"/>
      <c r="X2" s="460"/>
      <c r="Y2" s="460"/>
      <c r="Z2" s="460"/>
      <c r="AA2" s="460"/>
      <c r="AB2" s="460"/>
      <c r="AC2" s="460"/>
      <c r="AD2" s="460"/>
      <c r="AE2" s="460"/>
      <c r="AF2" s="460">
        <v>40</v>
      </c>
      <c r="AG2" s="460"/>
      <c r="AH2" s="460"/>
      <c r="AI2" s="460"/>
      <c r="AJ2" s="460"/>
      <c r="AK2" s="460"/>
      <c r="AL2" s="460"/>
      <c r="AM2" s="460"/>
      <c r="AN2" s="460"/>
      <c r="AO2" s="460"/>
      <c r="AP2" s="460">
        <v>50</v>
      </c>
      <c r="AQ2" s="460"/>
      <c r="AR2" s="460"/>
      <c r="AS2" s="460"/>
      <c r="AT2" s="460"/>
      <c r="AU2" s="460"/>
      <c r="AV2" s="460"/>
      <c r="AW2" s="460"/>
      <c r="AX2" s="460"/>
      <c r="AY2" s="460"/>
      <c r="AZ2" s="460">
        <v>60</v>
      </c>
      <c r="BA2" s="460"/>
      <c r="BB2" s="460"/>
      <c r="BC2" s="460"/>
      <c r="BD2" s="460"/>
      <c r="BE2" s="460"/>
      <c r="BF2" s="460"/>
      <c r="BG2" s="460"/>
      <c r="BH2" s="460"/>
      <c r="BI2" s="460"/>
      <c r="BJ2" s="460">
        <v>70</v>
      </c>
      <c r="BK2" s="460"/>
      <c r="BL2" s="460"/>
      <c r="BM2" s="460"/>
      <c r="BN2" s="460"/>
      <c r="BO2" s="460"/>
      <c r="BP2" s="460"/>
      <c r="BQ2" s="460"/>
      <c r="BR2" s="460"/>
      <c r="BS2" s="460"/>
      <c r="BT2" s="460">
        <v>80</v>
      </c>
      <c r="BU2" s="460"/>
      <c r="BV2" s="460"/>
      <c r="BW2" s="460"/>
      <c r="BX2" s="460"/>
      <c r="BY2" s="460"/>
      <c r="BZ2" s="460"/>
      <c r="CA2" s="460"/>
      <c r="CB2" s="460"/>
      <c r="CC2" s="460"/>
      <c r="CD2" s="460">
        <v>90</v>
      </c>
      <c r="CE2" s="460"/>
      <c r="CF2" s="460"/>
      <c r="CG2" s="460"/>
      <c r="CH2" s="460"/>
      <c r="CI2" s="460"/>
      <c r="CJ2" s="460"/>
      <c r="CK2" s="460"/>
      <c r="CL2" s="460"/>
      <c r="CM2" s="460"/>
      <c r="CN2" s="460">
        <v>100</v>
      </c>
      <c r="CO2" s="460"/>
      <c r="CP2" s="460"/>
      <c r="CQ2" s="460"/>
      <c r="CR2" s="460"/>
      <c r="CS2" s="460"/>
      <c r="CT2" s="460"/>
      <c r="CU2" s="460"/>
      <c r="CV2" s="460"/>
      <c r="CW2" s="460"/>
      <c r="CX2" s="460">
        <v>110</v>
      </c>
      <c r="CY2" s="460"/>
      <c r="CZ2" s="460"/>
      <c r="DA2" s="460"/>
      <c r="DB2" s="460"/>
      <c r="DC2" s="460"/>
      <c r="DD2" s="460"/>
      <c r="DE2" s="460"/>
      <c r="DF2" s="460"/>
      <c r="DG2" s="460"/>
      <c r="DH2" s="460">
        <v>120</v>
      </c>
      <c r="DI2" s="460"/>
      <c r="DJ2" s="460"/>
      <c r="DK2" s="460"/>
      <c r="DL2" s="460"/>
      <c r="DM2" s="460"/>
      <c r="DN2" s="460"/>
      <c r="DO2" s="460"/>
      <c r="DP2" s="460"/>
      <c r="DQ2" s="460"/>
      <c r="DR2" s="460">
        <v>130</v>
      </c>
      <c r="DS2" s="460"/>
      <c r="DT2" s="460"/>
      <c r="DU2" s="460"/>
      <c r="DV2" s="460"/>
      <c r="DW2" s="460"/>
      <c r="DX2" s="460"/>
      <c r="DY2" s="460"/>
      <c r="DZ2" s="460"/>
      <c r="EA2" s="460"/>
      <c r="EB2" s="460">
        <v>140</v>
      </c>
      <c r="EC2" s="460"/>
      <c r="ED2" s="460"/>
      <c r="EE2" s="460"/>
      <c r="EF2" s="460"/>
      <c r="EG2" s="460"/>
      <c r="EH2" s="460"/>
      <c r="EI2" s="460"/>
      <c r="EJ2" s="460"/>
      <c r="EK2" s="460"/>
      <c r="EL2" s="460">
        <v>150</v>
      </c>
      <c r="EM2" s="460"/>
      <c r="EN2" s="460"/>
      <c r="EO2" s="460"/>
      <c r="EP2" s="460"/>
      <c r="EQ2" s="460"/>
      <c r="ER2" s="460"/>
      <c r="ES2" s="460"/>
      <c r="ET2" s="460"/>
      <c r="EU2" s="460"/>
      <c r="EV2" s="460">
        <v>160</v>
      </c>
      <c r="EW2" s="460"/>
      <c r="EX2" s="460"/>
      <c r="EY2" s="460"/>
      <c r="EZ2" s="460"/>
      <c r="FA2" s="460"/>
      <c r="FB2" s="460"/>
      <c r="FC2" s="460"/>
      <c r="FD2" s="460"/>
      <c r="FE2" s="460"/>
      <c r="FF2" s="460">
        <v>170</v>
      </c>
      <c r="FG2" s="460"/>
      <c r="FH2" s="460"/>
      <c r="FI2" s="460"/>
      <c r="FJ2" s="460"/>
      <c r="FK2" s="460"/>
      <c r="FL2" s="460"/>
      <c r="FM2" s="460"/>
      <c r="FN2" s="460"/>
      <c r="FO2" s="460"/>
      <c r="FP2" s="460">
        <v>180</v>
      </c>
      <c r="FQ2" s="460"/>
      <c r="FR2" s="460"/>
      <c r="FS2" s="460"/>
      <c r="FT2" s="460"/>
      <c r="FU2" s="460"/>
      <c r="FV2" s="460"/>
      <c r="FW2" s="460"/>
      <c r="FX2" s="460"/>
      <c r="FY2" s="460"/>
    </row>
    <row r="3" spans="1:181" s="174" customFormat="1">
      <c r="B3" s="175" t="s">
        <v>296</v>
      </c>
      <c r="C3" s="175" t="s">
        <v>297</v>
      </c>
      <c r="D3" s="175" t="s">
        <v>298</v>
      </c>
      <c r="E3" s="175" t="s">
        <v>299</v>
      </c>
      <c r="F3" s="175" t="s">
        <v>300</v>
      </c>
      <c r="G3" s="175" t="s">
        <v>301</v>
      </c>
      <c r="H3" s="175" t="s">
        <v>302</v>
      </c>
      <c r="I3" s="175" t="s">
        <v>303</v>
      </c>
      <c r="J3" s="175" t="s">
        <v>304</v>
      </c>
      <c r="K3" s="175" t="s">
        <v>305</v>
      </c>
      <c r="L3" s="175" t="s">
        <v>306</v>
      </c>
      <c r="M3" s="175" t="s">
        <v>307</v>
      </c>
      <c r="N3" s="175" t="s">
        <v>308</v>
      </c>
      <c r="O3" s="175" t="s">
        <v>309</v>
      </c>
      <c r="P3" s="175" t="s">
        <v>310</v>
      </c>
      <c r="Q3" s="175" t="s">
        <v>311</v>
      </c>
      <c r="R3" s="175" t="s">
        <v>312</v>
      </c>
      <c r="S3" s="175" t="s">
        <v>313</v>
      </c>
      <c r="T3" s="175" t="s">
        <v>324</v>
      </c>
      <c r="U3" s="175" t="s">
        <v>325</v>
      </c>
      <c r="V3" s="175" t="s">
        <v>326</v>
      </c>
      <c r="W3" s="175" t="s">
        <v>327</v>
      </c>
      <c r="X3" s="175" t="s">
        <v>328</v>
      </c>
      <c r="Y3" s="175" t="s">
        <v>329</v>
      </c>
      <c r="Z3" s="175" t="s">
        <v>330</v>
      </c>
      <c r="AA3" s="175" t="s">
        <v>331</v>
      </c>
      <c r="AB3" s="175" t="s">
        <v>332</v>
      </c>
      <c r="AC3" s="175" t="s">
        <v>333</v>
      </c>
      <c r="AD3" s="175" t="s">
        <v>334</v>
      </c>
      <c r="AE3" s="175" t="s">
        <v>335</v>
      </c>
      <c r="AF3" s="175" t="s">
        <v>336</v>
      </c>
      <c r="AG3" s="175" t="s">
        <v>337</v>
      </c>
      <c r="AH3" s="175" t="s">
        <v>338</v>
      </c>
      <c r="AI3" s="175" t="s">
        <v>339</v>
      </c>
      <c r="AJ3" s="175" t="s">
        <v>340</v>
      </c>
      <c r="AK3" s="175" t="s">
        <v>341</v>
      </c>
      <c r="AL3" s="175" t="s">
        <v>342</v>
      </c>
      <c r="AM3" s="175" t="s">
        <v>343</v>
      </c>
      <c r="AN3" s="175" t="s">
        <v>344</v>
      </c>
      <c r="AO3" s="175" t="s">
        <v>345</v>
      </c>
      <c r="AP3" s="175" t="s">
        <v>346</v>
      </c>
      <c r="AQ3" s="175" t="s">
        <v>347</v>
      </c>
      <c r="AR3" s="175" t="s">
        <v>348</v>
      </c>
      <c r="AS3" s="175" t="s">
        <v>349</v>
      </c>
      <c r="AT3" s="175" t="s">
        <v>350</v>
      </c>
      <c r="AU3" s="175" t="s">
        <v>351</v>
      </c>
      <c r="AV3" s="175" t="s">
        <v>352</v>
      </c>
      <c r="AW3" s="175" t="s">
        <v>353</v>
      </c>
      <c r="AX3" s="175" t="s">
        <v>354</v>
      </c>
      <c r="AY3" s="175" t="s">
        <v>355</v>
      </c>
      <c r="AZ3" s="175" t="s">
        <v>356</v>
      </c>
      <c r="BA3" s="175" t="s">
        <v>357</v>
      </c>
      <c r="BB3" s="175" t="s">
        <v>358</v>
      </c>
      <c r="BC3" s="175" t="s">
        <v>359</v>
      </c>
      <c r="BD3" s="175" t="s">
        <v>360</v>
      </c>
      <c r="BE3" s="175" t="s">
        <v>361</v>
      </c>
      <c r="BF3" s="175" t="s">
        <v>362</v>
      </c>
      <c r="BG3" s="175" t="s">
        <v>363</v>
      </c>
      <c r="BH3" s="175" t="s">
        <v>364</v>
      </c>
      <c r="BI3" s="175" t="s">
        <v>365</v>
      </c>
      <c r="BJ3" s="175" t="s">
        <v>366</v>
      </c>
      <c r="BK3" s="175" t="s">
        <v>367</v>
      </c>
      <c r="BL3" s="175" t="s">
        <v>368</v>
      </c>
      <c r="BM3" s="175" t="s">
        <v>369</v>
      </c>
      <c r="BN3" s="175" t="s">
        <v>370</v>
      </c>
      <c r="BO3" s="175" t="s">
        <v>371</v>
      </c>
      <c r="BP3" s="175" t="s">
        <v>372</v>
      </c>
      <c r="BQ3" s="175" t="s">
        <v>373</v>
      </c>
      <c r="BR3" s="175" t="s">
        <v>374</v>
      </c>
      <c r="BS3" s="175" t="s">
        <v>375</v>
      </c>
      <c r="BT3" s="175" t="s">
        <v>157</v>
      </c>
      <c r="BU3" s="175" t="s">
        <v>158</v>
      </c>
      <c r="BV3" s="175" t="s">
        <v>159</v>
      </c>
      <c r="BW3" s="175" t="s">
        <v>160</v>
      </c>
      <c r="BX3" s="175" t="s">
        <v>161</v>
      </c>
      <c r="BY3" s="175" t="s">
        <v>162</v>
      </c>
      <c r="BZ3" s="175" t="s">
        <v>163</v>
      </c>
      <c r="CA3" s="175" t="s">
        <v>164</v>
      </c>
      <c r="CB3" s="175" t="s">
        <v>376</v>
      </c>
      <c r="CC3" s="175" t="s">
        <v>165</v>
      </c>
      <c r="CD3" s="175" t="s">
        <v>166</v>
      </c>
      <c r="CE3" s="175" t="s">
        <v>167</v>
      </c>
      <c r="CF3" s="175" t="s">
        <v>168</v>
      </c>
      <c r="CG3" s="175" t="s">
        <v>169</v>
      </c>
      <c r="CH3" s="175" t="s">
        <v>170</v>
      </c>
      <c r="CI3" s="175" t="s">
        <v>171</v>
      </c>
      <c r="CJ3" s="175" t="s">
        <v>172</v>
      </c>
      <c r="CK3" s="175" t="s">
        <v>173</v>
      </c>
      <c r="CL3" s="175" t="s">
        <v>174</v>
      </c>
      <c r="CM3" s="175" t="s">
        <v>175</v>
      </c>
      <c r="CN3" s="175" t="s">
        <v>176</v>
      </c>
      <c r="CO3" s="175" t="s">
        <v>177</v>
      </c>
      <c r="CP3" s="175" t="s">
        <v>178</v>
      </c>
      <c r="CQ3" s="175" t="s">
        <v>179</v>
      </c>
      <c r="CR3" s="175" t="s">
        <v>180</v>
      </c>
      <c r="CS3" s="175" t="s">
        <v>181</v>
      </c>
      <c r="CT3" s="175" t="s">
        <v>182</v>
      </c>
      <c r="CU3" s="175" t="s">
        <v>183</v>
      </c>
      <c r="CV3" s="175" t="s">
        <v>184</v>
      </c>
      <c r="CW3" s="175" t="s">
        <v>185</v>
      </c>
      <c r="CX3" s="175" t="s">
        <v>186</v>
      </c>
      <c r="CY3" s="175" t="s">
        <v>187</v>
      </c>
      <c r="CZ3" s="175" t="s">
        <v>188</v>
      </c>
      <c r="DA3" s="175" t="s">
        <v>189</v>
      </c>
      <c r="DB3" s="175" t="s">
        <v>190</v>
      </c>
      <c r="DC3" s="175" t="s">
        <v>191</v>
      </c>
      <c r="DD3" s="175" t="s">
        <v>192</v>
      </c>
      <c r="DE3" s="175" t="s">
        <v>193</v>
      </c>
      <c r="DF3" s="175" t="s">
        <v>194</v>
      </c>
      <c r="DG3" s="175" t="s">
        <v>377</v>
      </c>
      <c r="DH3" s="175" t="s">
        <v>195</v>
      </c>
      <c r="DI3" s="175" t="s">
        <v>196</v>
      </c>
      <c r="DJ3" s="175" t="s">
        <v>197</v>
      </c>
      <c r="DK3" s="175" t="s">
        <v>198</v>
      </c>
      <c r="DL3" s="175" t="s">
        <v>199</v>
      </c>
      <c r="DM3" s="175" t="s">
        <v>200</v>
      </c>
      <c r="DN3" s="175" t="s">
        <v>201</v>
      </c>
      <c r="DO3" s="175" t="s">
        <v>202</v>
      </c>
      <c r="DP3" s="175" t="s">
        <v>203</v>
      </c>
      <c r="DQ3" s="175" t="s">
        <v>204</v>
      </c>
      <c r="DR3" s="175" t="s">
        <v>205</v>
      </c>
      <c r="DS3" s="175" t="s">
        <v>206</v>
      </c>
      <c r="DT3" s="175" t="s">
        <v>207</v>
      </c>
      <c r="DU3" s="175" t="s">
        <v>208</v>
      </c>
      <c r="DV3" s="175" t="s">
        <v>209</v>
      </c>
      <c r="DW3" s="175" t="s">
        <v>210</v>
      </c>
      <c r="DX3" s="175" t="s">
        <v>211</v>
      </c>
      <c r="DY3" s="175" t="s">
        <v>212</v>
      </c>
      <c r="DZ3" s="175" t="s">
        <v>213</v>
      </c>
      <c r="EA3" s="175" t="s">
        <v>214</v>
      </c>
      <c r="EB3" s="175" t="s">
        <v>215</v>
      </c>
      <c r="EC3" s="175" t="s">
        <v>216</v>
      </c>
      <c r="ED3" s="175" t="s">
        <v>217</v>
      </c>
      <c r="EE3" s="175" t="s">
        <v>218</v>
      </c>
      <c r="EF3" s="175" t="s">
        <v>219</v>
      </c>
      <c r="EG3" s="175" t="s">
        <v>220</v>
      </c>
      <c r="EH3" s="175" t="s">
        <v>221</v>
      </c>
      <c r="EI3" s="175" t="s">
        <v>222</v>
      </c>
      <c r="EJ3" s="175" t="s">
        <v>223</v>
      </c>
      <c r="EK3" s="174" t="s">
        <v>378</v>
      </c>
      <c r="EL3" s="174" t="s">
        <v>224</v>
      </c>
      <c r="EM3" s="174" t="s">
        <v>225</v>
      </c>
      <c r="EN3" s="174" t="s">
        <v>226</v>
      </c>
      <c r="EO3" s="174" t="s">
        <v>227</v>
      </c>
      <c r="EP3" s="174" t="s">
        <v>228</v>
      </c>
      <c r="EQ3" s="174" t="s">
        <v>229</v>
      </c>
      <c r="ER3" s="174" t="s">
        <v>230</v>
      </c>
      <c r="ES3" s="174" t="s">
        <v>231</v>
      </c>
      <c r="ET3" s="174" t="s">
        <v>232</v>
      </c>
      <c r="EU3" s="174" t="s">
        <v>233</v>
      </c>
      <c r="EV3" s="174" t="s">
        <v>234</v>
      </c>
      <c r="EW3" s="174" t="s">
        <v>235</v>
      </c>
      <c r="EX3" s="174" t="s">
        <v>236</v>
      </c>
      <c r="EY3" s="174" t="s">
        <v>237</v>
      </c>
      <c r="EZ3" s="174" t="s">
        <v>238</v>
      </c>
      <c r="FA3" s="174" t="s">
        <v>239</v>
      </c>
      <c r="FB3" s="174" t="s">
        <v>240</v>
      </c>
      <c r="FC3" s="174" t="s">
        <v>241</v>
      </c>
      <c r="FD3" s="174" t="s">
        <v>242</v>
      </c>
      <c r="FE3" s="174" t="s">
        <v>243</v>
      </c>
      <c r="FF3" s="174" t="s">
        <v>244</v>
      </c>
      <c r="FG3" s="174" t="s">
        <v>245</v>
      </c>
      <c r="FH3" s="174" t="s">
        <v>246</v>
      </c>
      <c r="FI3" s="174" t="s">
        <v>247</v>
      </c>
      <c r="FJ3" s="174" t="s">
        <v>248</v>
      </c>
      <c r="FK3" s="174" t="s">
        <v>249</v>
      </c>
      <c r="FL3" s="174" t="s">
        <v>250</v>
      </c>
      <c r="FM3" s="174" t="s">
        <v>251</v>
      </c>
      <c r="FN3" s="174" t="s">
        <v>252</v>
      </c>
      <c r="FO3" s="174" t="s">
        <v>253</v>
      </c>
      <c r="FP3" s="174" t="s">
        <v>314</v>
      </c>
      <c r="FQ3" s="174" t="s">
        <v>315</v>
      </c>
      <c r="FR3" s="174" t="s">
        <v>316</v>
      </c>
      <c r="FS3" s="174" t="s">
        <v>317</v>
      </c>
      <c r="FT3" s="174" t="s">
        <v>318</v>
      </c>
      <c r="FU3" s="174" t="s">
        <v>319</v>
      </c>
      <c r="FV3" s="174" t="s">
        <v>320</v>
      </c>
      <c r="FW3" s="174" t="s">
        <v>321</v>
      </c>
      <c r="FX3" s="174" t="s">
        <v>322</v>
      </c>
      <c r="FY3" s="174" t="s">
        <v>323</v>
      </c>
    </row>
    <row r="4" spans="1:181" s="136" customFormat="1">
      <c r="B4" s="462">
        <v>2.2429999999999999E-2</v>
      </c>
      <c r="C4" s="462"/>
      <c r="D4" s="462"/>
      <c r="E4" s="462"/>
      <c r="F4" s="462"/>
      <c r="G4" s="462"/>
      <c r="H4" s="462"/>
      <c r="I4" s="462"/>
      <c r="J4" s="462"/>
      <c r="K4" s="462"/>
      <c r="L4" s="461">
        <v>3.823E-2</v>
      </c>
      <c r="M4" s="461"/>
      <c r="N4" s="461"/>
      <c r="O4" s="461"/>
      <c r="P4" s="461"/>
      <c r="Q4" s="461"/>
      <c r="R4" s="461"/>
      <c r="S4" s="461"/>
      <c r="T4" s="461"/>
      <c r="U4" s="461"/>
      <c r="V4" s="462">
        <v>3.7409999999999999E-2</v>
      </c>
      <c r="W4" s="462"/>
      <c r="X4" s="462"/>
      <c r="Y4" s="462"/>
      <c r="Z4" s="462"/>
      <c r="AA4" s="462"/>
      <c r="AB4" s="462"/>
      <c r="AC4" s="462"/>
      <c r="AD4" s="462"/>
      <c r="AE4" s="462"/>
      <c r="AF4" s="461">
        <v>8.3970000000000003E-2</v>
      </c>
      <c r="AG4" s="461"/>
      <c r="AH4" s="461"/>
      <c r="AI4" s="461"/>
      <c r="AJ4" s="461"/>
      <c r="AK4" s="461"/>
      <c r="AL4" s="461"/>
      <c r="AM4" s="461"/>
      <c r="AN4" s="461"/>
      <c r="AO4" s="461"/>
      <c r="AP4" s="462">
        <v>7.5069999999999998E-2</v>
      </c>
      <c r="AQ4" s="462"/>
      <c r="AR4" s="462"/>
      <c r="AS4" s="462"/>
      <c r="AT4" s="462"/>
      <c r="AU4" s="462"/>
      <c r="AV4" s="462"/>
      <c r="AW4" s="462"/>
      <c r="AX4" s="462"/>
      <c r="AY4" s="462"/>
      <c r="AZ4" s="461">
        <v>5.0000000000000001E-3</v>
      </c>
      <c r="BA4" s="461"/>
      <c r="BB4" s="461"/>
      <c r="BC4" s="461"/>
      <c r="BD4" s="461"/>
      <c r="BE4" s="461"/>
      <c r="BF4" s="461"/>
      <c r="BG4" s="461"/>
      <c r="BH4" s="461"/>
      <c r="BI4" s="461"/>
      <c r="BJ4" s="462">
        <v>5.0000000000000001E-3</v>
      </c>
      <c r="BK4" s="462"/>
      <c r="BL4" s="462"/>
      <c r="BM4" s="462"/>
      <c r="BN4" s="462"/>
      <c r="BO4" s="462"/>
      <c r="BP4" s="462"/>
      <c r="BQ4" s="462"/>
      <c r="BR4" s="462"/>
      <c r="BS4" s="462"/>
      <c r="BT4" s="461">
        <v>5.0000000000000001E-3</v>
      </c>
      <c r="BU4" s="461"/>
      <c r="BV4" s="461"/>
      <c r="BW4" s="461"/>
      <c r="BX4" s="461"/>
      <c r="BY4" s="461"/>
      <c r="BZ4" s="461"/>
      <c r="CA4" s="461"/>
      <c r="CB4" s="461"/>
      <c r="CC4" s="461"/>
      <c r="CD4" s="462">
        <v>4.4790000000000003E-2</v>
      </c>
      <c r="CE4" s="462"/>
      <c r="CF4" s="462"/>
      <c r="CG4" s="462"/>
      <c r="CH4" s="462"/>
      <c r="CI4" s="462"/>
      <c r="CJ4" s="462"/>
      <c r="CK4" s="462"/>
      <c r="CL4" s="462"/>
      <c r="CM4" s="462"/>
      <c r="CN4" s="461">
        <v>0.15823000000000001</v>
      </c>
      <c r="CO4" s="461"/>
      <c r="CP4" s="461"/>
      <c r="CQ4" s="461"/>
      <c r="CR4" s="461"/>
      <c r="CS4" s="461"/>
      <c r="CT4" s="461"/>
      <c r="CU4" s="461"/>
      <c r="CV4" s="461"/>
      <c r="CW4" s="461"/>
      <c r="CX4" s="462">
        <v>2.564E-2</v>
      </c>
      <c r="CY4" s="462"/>
      <c r="CZ4" s="462"/>
      <c r="DA4" s="462"/>
      <c r="DB4" s="462"/>
      <c r="DC4" s="462"/>
      <c r="DD4" s="462"/>
      <c r="DE4" s="462"/>
      <c r="DF4" s="462"/>
      <c r="DG4" s="462"/>
      <c r="DH4" s="461">
        <v>2.4209999999999999E-2</v>
      </c>
      <c r="DI4" s="461"/>
      <c r="DJ4" s="461"/>
      <c r="DK4" s="461"/>
      <c r="DL4" s="461"/>
      <c r="DM4" s="461"/>
      <c r="DN4" s="461"/>
      <c r="DO4" s="461"/>
      <c r="DP4" s="461"/>
      <c r="DQ4" s="461"/>
      <c r="DR4" s="461">
        <v>2.6120000000000001E-2</v>
      </c>
      <c r="DS4" s="461"/>
      <c r="DT4" s="461"/>
      <c r="DU4" s="461"/>
      <c r="DV4" s="461"/>
      <c r="DW4" s="461"/>
      <c r="DX4" s="461"/>
      <c r="DY4" s="461"/>
      <c r="DZ4" s="461"/>
      <c r="EA4" s="461"/>
      <c r="EB4" s="461">
        <v>0.10922999999999999</v>
      </c>
      <c r="EC4" s="461"/>
      <c r="ED4" s="461"/>
      <c r="EE4" s="461"/>
      <c r="EF4" s="461"/>
      <c r="EG4" s="461"/>
      <c r="EH4" s="461"/>
      <c r="EI4" s="461"/>
      <c r="EJ4" s="461"/>
      <c r="EK4" s="461"/>
      <c r="EL4" s="462">
        <v>0.11171</v>
      </c>
      <c r="EM4" s="462"/>
      <c r="EN4" s="462"/>
      <c r="EO4" s="462"/>
      <c r="EP4" s="462"/>
      <c r="EQ4" s="462"/>
      <c r="ER4" s="462"/>
      <c r="ES4" s="462"/>
      <c r="ET4" s="462"/>
      <c r="EU4" s="462"/>
      <c r="EV4" s="461">
        <v>8.5349999999999995E-2</v>
      </c>
      <c r="EW4" s="461"/>
      <c r="EX4" s="461"/>
      <c r="EY4" s="461"/>
      <c r="EZ4" s="461"/>
      <c r="FA4" s="461"/>
      <c r="FB4" s="461"/>
      <c r="FC4" s="461"/>
      <c r="FD4" s="461"/>
      <c r="FE4" s="461"/>
      <c r="FF4" s="462">
        <v>8.5000000000000006E-2</v>
      </c>
      <c r="FG4" s="462"/>
      <c r="FH4" s="462"/>
      <c r="FI4" s="462"/>
      <c r="FJ4" s="462"/>
      <c r="FK4" s="462"/>
      <c r="FL4" s="462"/>
      <c r="FM4" s="462"/>
      <c r="FN4" s="462"/>
      <c r="FO4" s="462"/>
      <c r="FP4" s="461">
        <v>4.2599999999999999E-2</v>
      </c>
      <c r="FQ4" s="461"/>
      <c r="FR4" s="461"/>
      <c r="FS4" s="461"/>
      <c r="FT4" s="461"/>
      <c r="FU4" s="461"/>
      <c r="FV4" s="461"/>
      <c r="FW4" s="461"/>
      <c r="FX4" s="461"/>
      <c r="FY4" s="461"/>
    </row>
    <row r="5" spans="1:181" s="136" customFormat="1">
      <c r="A5" s="136" t="s">
        <v>124</v>
      </c>
      <c r="B5" s="149">
        <f t="shared" ref="B5:K5" si="0">$B$4/10*1</f>
        <v>2.2429999999999998E-3</v>
      </c>
      <c r="C5" s="173">
        <f t="shared" si="0"/>
        <v>2.2429999999999998E-3</v>
      </c>
      <c r="D5" s="173">
        <f t="shared" si="0"/>
        <v>2.2429999999999998E-3</v>
      </c>
      <c r="E5" s="173">
        <f t="shared" si="0"/>
        <v>2.2429999999999998E-3</v>
      </c>
      <c r="F5" s="173">
        <f t="shared" si="0"/>
        <v>2.2429999999999998E-3</v>
      </c>
      <c r="G5" s="173">
        <f t="shared" si="0"/>
        <v>2.2429999999999998E-3</v>
      </c>
      <c r="H5" s="173">
        <f t="shared" si="0"/>
        <v>2.2429999999999998E-3</v>
      </c>
      <c r="I5" s="173">
        <f t="shared" si="0"/>
        <v>2.2429999999999998E-3</v>
      </c>
      <c r="J5" s="173">
        <f t="shared" si="0"/>
        <v>2.2429999999999998E-3</v>
      </c>
      <c r="K5" s="173">
        <f t="shared" si="0"/>
        <v>2.2429999999999998E-3</v>
      </c>
      <c r="L5" s="173">
        <f t="shared" ref="L5:U5" si="1">$L$4/10*1</f>
        <v>3.823E-3</v>
      </c>
      <c r="M5" s="173">
        <f t="shared" si="1"/>
        <v>3.823E-3</v>
      </c>
      <c r="N5" s="173">
        <f t="shared" si="1"/>
        <v>3.823E-3</v>
      </c>
      <c r="O5" s="173">
        <f t="shared" si="1"/>
        <v>3.823E-3</v>
      </c>
      <c r="P5" s="173">
        <f t="shared" si="1"/>
        <v>3.823E-3</v>
      </c>
      <c r="Q5" s="173">
        <f t="shared" si="1"/>
        <v>3.823E-3</v>
      </c>
      <c r="R5" s="173">
        <f t="shared" si="1"/>
        <v>3.823E-3</v>
      </c>
      <c r="S5" s="173">
        <f t="shared" si="1"/>
        <v>3.823E-3</v>
      </c>
      <c r="T5" s="173">
        <f t="shared" si="1"/>
        <v>3.823E-3</v>
      </c>
      <c r="U5" s="173">
        <f t="shared" si="1"/>
        <v>3.823E-3</v>
      </c>
      <c r="V5" s="173">
        <f t="shared" ref="V5:AE5" si="2">$V$4/10*1</f>
        <v>3.741E-3</v>
      </c>
      <c r="W5" s="173">
        <f t="shared" si="2"/>
        <v>3.741E-3</v>
      </c>
      <c r="X5" s="173">
        <f t="shared" si="2"/>
        <v>3.741E-3</v>
      </c>
      <c r="Y5" s="173">
        <f t="shared" si="2"/>
        <v>3.741E-3</v>
      </c>
      <c r="Z5" s="173">
        <f t="shared" si="2"/>
        <v>3.741E-3</v>
      </c>
      <c r="AA5" s="173">
        <f t="shared" si="2"/>
        <v>3.741E-3</v>
      </c>
      <c r="AB5" s="173">
        <f t="shared" si="2"/>
        <v>3.741E-3</v>
      </c>
      <c r="AC5" s="173">
        <f t="shared" si="2"/>
        <v>3.741E-3</v>
      </c>
      <c r="AD5" s="173">
        <f t="shared" si="2"/>
        <v>3.741E-3</v>
      </c>
      <c r="AE5" s="173">
        <f t="shared" si="2"/>
        <v>3.741E-3</v>
      </c>
      <c r="AF5" s="173">
        <f t="shared" ref="AF5:AO5" si="3">$AF$4/10*1</f>
        <v>8.397E-3</v>
      </c>
      <c r="AG5" s="173">
        <f t="shared" si="3"/>
        <v>8.397E-3</v>
      </c>
      <c r="AH5" s="173">
        <f t="shared" si="3"/>
        <v>8.397E-3</v>
      </c>
      <c r="AI5" s="173">
        <f t="shared" si="3"/>
        <v>8.397E-3</v>
      </c>
      <c r="AJ5" s="173">
        <f t="shared" si="3"/>
        <v>8.397E-3</v>
      </c>
      <c r="AK5" s="173">
        <f t="shared" si="3"/>
        <v>8.397E-3</v>
      </c>
      <c r="AL5" s="173">
        <f t="shared" si="3"/>
        <v>8.397E-3</v>
      </c>
      <c r="AM5" s="173">
        <f t="shared" si="3"/>
        <v>8.397E-3</v>
      </c>
      <c r="AN5" s="173">
        <f t="shared" si="3"/>
        <v>8.397E-3</v>
      </c>
      <c r="AO5" s="173">
        <f t="shared" si="3"/>
        <v>8.397E-3</v>
      </c>
      <c r="AP5" s="173">
        <f t="shared" ref="AP5:AY5" si="4">$AP$4/10*1</f>
        <v>7.5069999999999998E-3</v>
      </c>
      <c r="AQ5" s="173">
        <f t="shared" si="4"/>
        <v>7.5069999999999998E-3</v>
      </c>
      <c r="AR5" s="173">
        <f t="shared" si="4"/>
        <v>7.5069999999999998E-3</v>
      </c>
      <c r="AS5" s="173">
        <f t="shared" si="4"/>
        <v>7.5069999999999998E-3</v>
      </c>
      <c r="AT5" s="173">
        <f t="shared" si="4"/>
        <v>7.5069999999999998E-3</v>
      </c>
      <c r="AU5" s="173">
        <f t="shared" si="4"/>
        <v>7.5069999999999998E-3</v>
      </c>
      <c r="AV5" s="173">
        <f t="shared" si="4"/>
        <v>7.5069999999999998E-3</v>
      </c>
      <c r="AW5" s="173">
        <f t="shared" si="4"/>
        <v>7.5069999999999998E-3</v>
      </c>
      <c r="AX5" s="173">
        <f t="shared" si="4"/>
        <v>7.5069999999999998E-3</v>
      </c>
      <c r="AY5" s="173">
        <f t="shared" si="4"/>
        <v>7.5069999999999998E-3</v>
      </c>
      <c r="AZ5" s="173">
        <f t="shared" ref="AZ5:BI5" si="5">$AZ$4/10*1</f>
        <v>5.0000000000000001E-4</v>
      </c>
      <c r="BA5" s="173">
        <f t="shared" si="5"/>
        <v>5.0000000000000001E-4</v>
      </c>
      <c r="BB5" s="173">
        <f t="shared" si="5"/>
        <v>5.0000000000000001E-4</v>
      </c>
      <c r="BC5" s="173">
        <f t="shared" si="5"/>
        <v>5.0000000000000001E-4</v>
      </c>
      <c r="BD5" s="173">
        <f t="shared" si="5"/>
        <v>5.0000000000000001E-4</v>
      </c>
      <c r="BE5" s="173">
        <f t="shared" si="5"/>
        <v>5.0000000000000001E-4</v>
      </c>
      <c r="BF5" s="173">
        <f t="shared" si="5"/>
        <v>5.0000000000000001E-4</v>
      </c>
      <c r="BG5" s="173">
        <f t="shared" si="5"/>
        <v>5.0000000000000001E-4</v>
      </c>
      <c r="BH5" s="173">
        <f t="shared" si="5"/>
        <v>5.0000000000000001E-4</v>
      </c>
      <c r="BI5" s="173">
        <f t="shared" si="5"/>
        <v>5.0000000000000001E-4</v>
      </c>
      <c r="BJ5" s="173">
        <f t="shared" ref="BJ5:BS5" si="6">$BJ$4/10*1</f>
        <v>5.0000000000000001E-4</v>
      </c>
      <c r="BK5" s="173">
        <f t="shared" si="6"/>
        <v>5.0000000000000001E-4</v>
      </c>
      <c r="BL5" s="173">
        <f t="shared" si="6"/>
        <v>5.0000000000000001E-4</v>
      </c>
      <c r="BM5" s="173">
        <f t="shared" si="6"/>
        <v>5.0000000000000001E-4</v>
      </c>
      <c r="BN5" s="173">
        <f t="shared" si="6"/>
        <v>5.0000000000000001E-4</v>
      </c>
      <c r="BO5" s="173">
        <f t="shared" si="6"/>
        <v>5.0000000000000001E-4</v>
      </c>
      <c r="BP5" s="173">
        <f t="shared" si="6"/>
        <v>5.0000000000000001E-4</v>
      </c>
      <c r="BQ5" s="173">
        <f t="shared" si="6"/>
        <v>5.0000000000000001E-4</v>
      </c>
      <c r="BR5" s="173">
        <f t="shared" si="6"/>
        <v>5.0000000000000001E-4</v>
      </c>
      <c r="BS5" s="173">
        <f t="shared" si="6"/>
        <v>5.0000000000000001E-4</v>
      </c>
      <c r="BT5" s="173">
        <f t="shared" ref="BT5:CC5" si="7">$BT$4/10*1</f>
        <v>5.0000000000000001E-4</v>
      </c>
      <c r="BU5" s="173">
        <f t="shared" si="7"/>
        <v>5.0000000000000001E-4</v>
      </c>
      <c r="BV5" s="173">
        <f t="shared" si="7"/>
        <v>5.0000000000000001E-4</v>
      </c>
      <c r="BW5" s="173">
        <f t="shared" si="7"/>
        <v>5.0000000000000001E-4</v>
      </c>
      <c r="BX5" s="173">
        <f t="shared" si="7"/>
        <v>5.0000000000000001E-4</v>
      </c>
      <c r="BY5" s="173">
        <f t="shared" si="7"/>
        <v>5.0000000000000001E-4</v>
      </c>
      <c r="BZ5" s="173">
        <f t="shared" si="7"/>
        <v>5.0000000000000001E-4</v>
      </c>
      <c r="CA5" s="173">
        <f t="shared" si="7"/>
        <v>5.0000000000000001E-4</v>
      </c>
      <c r="CB5" s="173">
        <f t="shared" si="7"/>
        <v>5.0000000000000001E-4</v>
      </c>
      <c r="CC5" s="173">
        <f t="shared" si="7"/>
        <v>5.0000000000000001E-4</v>
      </c>
      <c r="CD5" s="173">
        <f t="shared" ref="CD5:CM5" si="8">$CD$4/10*1</f>
        <v>4.4790000000000003E-3</v>
      </c>
      <c r="CE5" s="173">
        <f t="shared" si="8"/>
        <v>4.4790000000000003E-3</v>
      </c>
      <c r="CF5" s="173">
        <f t="shared" si="8"/>
        <v>4.4790000000000003E-3</v>
      </c>
      <c r="CG5" s="173">
        <f t="shared" si="8"/>
        <v>4.4790000000000003E-3</v>
      </c>
      <c r="CH5" s="173">
        <f t="shared" si="8"/>
        <v>4.4790000000000003E-3</v>
      </c>
      <c r="CI5" s="173">
        <f t="shared" si="8"/>
        <v>4.4790000000000003E-3</v>
      </c>
      <c r="CJ5" s="173">
        <f t="shared" si="8"/>
        <v>4.4790000000000003E-3</v>
      </c>
      <c r="CK5" s="173">
        <f t="shared" si="8"/>
        <v>4.4790000000000003E-3</v>
      </c>
      <c r="CL5" s="173">
        <f t="shared" si="8"/>
        <v>4.4790000000000003E-3</v>
      </c>
      <c r="CM5" s="173">
        <f t="shared" si="8"/>
        <v>4.4790000000000003E-3</v>
      </c>
      <c r="CN5" s="173">
        <f t="shared" ref="CN5:CW5" si="9">$CN$4/10*1</f>
        <v>1.5823E-2</v>
      </c>
      <c r="CO5" s="173">
        <f t="shared" si="9"/>
        <v>1.5823E-2</v>
      </c>
      <c r="CP5" s="173">
        <f t="shared" si="9"/>
        <v>1.5823E-2</v>
      </c>
      <c r="CQ5" s="173">
        <f t="shared" si="9"/>
        <v>1.5823E-2</v>
      </c>
      <c r="CR5" s="173">
        <f t="shared" si="9"/>
        <v>1.5823E-2</v>
      </c>
      <c r="CS5" s="173">
        <f t="shared" si="9"/>
        <v>1.5823E-2</v>
      </c>
      <c r="CT5" s="173">
        <f t="shared" si="9"/>
        <v>1.5823E-2</v>
      </c>
      <c r="CU5" s="173">
        <f t="shared" si="9"/>
        <v>1.5823E-2</v>
      </c>
      <c r="CV5" s="173">
        <f t="shared" si="9"/>
        <v>1.5823E-2</v>
      </c>
      <c r="CW5" s="173">
        <f t="shared" si="9"/>
        <v>1.5823E-2</v>
      </c>
      <c r="CX5" s="173">
        <f>$CX$4/10*1</f>
        <v>2.5639999999999999E-3</v>
      </c>
      <c r="CY5" s="173">
        <f>$CX$4/10*1</f>
        <v>2.5639999999999999E-3</v>
      </c>
      <c r="CZ5" s="173">
        <f>$CX$4/10*1</f>
        <v>2.5639999999999999E-3</v>
      </c>
      <c r="DA5" s="173">
        <f>$CX$4/10*1</f>
        <v>2.5639999999999999E-3</v>
      </c>
      <c r="DB5" s="173">
        <f>$CX$4/10*1</f>
        <v>2.5639999999999999E-3</v>
      </c>
      <c r="DC5" s="205">
        <f t="shared" ref="DC5:DG5" si="10">$CX$4/10*1</f>
        <v>2.5639999999999999E-3</v>
      </c>
      <c r="DD5" s="205">
        <f t="shared" si="10"/>
        <v>2.5639999999999999E-3</v>
      </c>
      <c r="DE5" s="205">
        <f t="shared" si="10"/>
        <v>2.5639999999999999E-3</v>
      </c>
      <c r="DF5" s="205">
        <f t="shared" si="10"/>
        <v>2.5639999999999999E-3</v>
      </c>
      <c r="DG5" s="205">
        <f t="shared" si="10"/>
        <v>2.5639999999999999E-3</v>
      </c>
      <c r="DH5" s="205">
        <f>$DH$4/10*1</f>
        <v>2.421E-3</v>
      </c>
      <c r="DI5" s="205">
        <f t="shared" ref="DI5:DQ5" si="11">$DH$4/10*1</f>
        <v>2.421E-3</v>
      </c>
      <c r="DJ5" s="205">
        <f t="shared" si="11"/>
        <v>2.421E-3</v>
      </c>
      <c r="DK5" s="205">
        <f t="shared" si="11"/>
        <v>2.421E-3</v>
      </c>
      <c r="DL5" s="205">
        <f t="shared" si="11"/>
        <v>2.421E-3</v>
      </c>
      <c r="DM5" s="205">
        <f t="shared" si="11"/>
        <v>2.421E-3</v>
      </c>
      <c r="DN5" s="205">
        <f t="shared" si="11"/>
        <v>2.421E-3</v>
      </c>
      <c r="DO5" s="205">
        <f t="shared" si="11"/>
        <v>2.421E-3</v>
      </c>
      <c r="DP5" s="205">
        <f t="shared" si="11"/>
        <v>2.421E-3</v>
      </c>
      <c r="DQ5" s="205">
        <f t="shared" si="11"/>
        <v>2.421E-3</v>
      </c>
      <c r="DR5" s="204">
        <f>$DR$4/10*1</f>
        <v>2.6120000000000002E-3</v>
      </c>
      <c r="DS5" s="204">
        <f t="shared" ref="DS5:EA5" si="12">$DR$4/10*1</f>
        <v>2.6120000000000002E-3</v>
      </c>
      <c r="DT5" s="204">
        <f t="shared" si="12"/>
        <v>2.6120000000000002E-3</v>
      </c>
      <c r="DU5" s="204">
        <f t="shared" si="12"/>
        <v>2.6120000000000002E-3</v>
      </c>
      <c r="DV5" s="204">
        <f t="shared" si="12"/>
        <v>2.6120000000000002E-3</v>
      </c>
      <c r="DW5" s="204">
        <f t="shared" si="12"/>
        <v>2.6120000000000002E-3</v>
      </c>
      <c r="DX5" s="204">
        <f t="shared" si="12"/>
        <v>2.6120000000000002E-3</v>
      </c>
      <c r="DY5" s="204">
        <f t="shared" si="12"/>
        <v>2.6120000000000002E-3</v>
      </c>
      <c r="DZ5" s="204">
        <f t="shared" si="12"/>
        <v>2.6120000000000002E-3</v>
      </c>
      <c r="EA5" s="204">
        <f t="shared" si="12"/>
        <v>2.6120000000000002E-3</v>
      </c>
      <c r="EB5" s="205">
        <f>$EB$4/10*1</f>
        <v>1.0922999999999999E-2</v>
      </c>
      <c r="EC5" s="205">
        <f t="shared" ref="EC5:EK5" si="13">$EB$4/10*1</f>
        <v>1.0922999999999999E-2</v>
      </c>
      <c r="ED5" s="205">
        <f t="shared" si="13"/>
        <v>1.0922999999999999E-2</v>
      </c>
      <c r="EE5" s="205">
        <f t="shared" si="13"/>
        <v>1.0922999999999999E-2</v>
      </c>
      <c r="EF5" s="205">
        <f t="shared" si="13"/>
        <v>1.0922999999999999E-2</v>
      </c>
      <c r="EG5" s="205">
        <f t="shared" si="13"/>
        <v>1.0922999999999999E-2</v>
      </c>
      <c r="EH5" s="205">
        <f t="shared" si="13"/>
        <v>1.0922999999999999E-2</v>
      </c>
      <c r="EI5" s="205">
        <f t="shared" si="13"/>
        <v>1.0922999999999999E-2</v>
      </c>
      <c r="EJ5" s="205">
        <f t="shared" si="13"/>
        <v>1.0922999999999999E-2</v>
      </c>
      <c r="EK5" s="205">
        <f t="shared" si="13"/>
        <v>1.0922999999999999E-2</v>
      </c>
      <c r="EL5" s="205">
        <f>$EL$4/10*1</f>
        <v>1.1171E-2</v>
      </c>
      <c r="EM5" s="205">
        <f t="shared" ref="EM5:EU5" si="14">$EL$4/10*1</f>
        <v>1.1171E-2</v>
      </c>
      <c r="EN5" s="205">
        <f t="shared" si="14"/>
        <v>1.1171E-2</v>
      </c>
      <c r="EO5" s="205">
        <f t="shared" si="14"/>
        <v>1.1171E-2</v>
      </c>
      <c r="EP5" s="205">
        <f t="shared" si="14"/>
        <v>1.1171E-2</v>
      </c>
      <c r="EQ5" s="205">
        <f t="shared" si="14"/>
        <v>1.1171E-2</v>
      </c>
      <c r="ER5" s="205">
        <f t="shared" si="14"/>
        <v>1.1171E-2</v>
      </c>
      <c r="ES5" s="205">
        <f t="shared" si="14"/>
        <v>1.1171E-2</v>
      </c>
      <c r="ET5" s="205">
        <f t="shared" si="14"/>
        <v>1.1171E-2</v>
      </c>
      <c r="EU5" s="205">
        <f t="shared" si="14"/>
        <v>1.1171E-2</v>
      </c>
      <c r="EV5" s="205">
        <f>$EV$4/10*1</f>
        <v>8.5349999999999992E-3</v>
      </c>
      <c r="EW5" s="205">
        <f t="shared" ref="EW5:FE5" si="15">$EV$4/10*1</f>
        <v>8.5349999999999992E-3</v>
      </c>
      <c r="EX5" s="205">
        <f t="shared" si="15"/>
        <v>8.5349999999999992E-3</v>
      </c>
      <c r="EY5" s="205">
        <f t="shared" si="15"/>
        <v>8.5349999999999992E-3</v>
      </c>
      <c r="EZ5" s="205">
        <f t="shared" si="15"/>
        <v>8.5349999999999992E-3</v>
      </c>
      <c r="FA5" s="205">
        <f t="shared" si="15"/>
        <v>8.5349999999999992E-3</v>
      </c>
      <c r="FB5" s="205">
        <f t="shared" si="15"/>
        <v>8.5349999999999992E-3</v>
      </c>
      <c r="FC5" s="205">
        <f t="shared" si="15"/>
        <v>8.5349999999999992E-3</v>
      </c>
      <c r="FD5" s="205">
        <f t="shared" si="15"/>
        <v>8.5349999999999992E-3</v>
      </c>
      <c r="FE5" s="205">
        <f t="shared" si="15"/>
        <v>8.5349999999999992E-3</v>
      </c>
      <c r="FF5" s="205">
        <f>$FF$4/10*1</f>
        <v>8.5000000000000006E-3</v>
      </c>
      <c r="FG5" s="205">
        <f t="shared" ref="FG5:FO5" si="16">$FF$4/10*1</f>
        <v>8.5000000000000006E-3</v>
      </c>
      <c r="FH5" s="205">
        <f t="shared" si="16"/>
        <v>8.5000000000000006E-3</v>
      </c>
      <c r="FI5" s="205">
        <f t="shared" si="16"/>
        <v>8.5000000000000006E-3</v>
      </c>
      <c r="FJ5" s="205">
        <f t="shared" si="16"/>
        <v>8.5000000000000006E-3</v>
      </c>
      <c r="FK5" s="205">
        <f t="shared" si="16"/>
        <v>8.5000000000000006E-3</v>
      </c>
      <c r="FL5" s="205">
        <f t="shared" si="16"/>
        <v>8.5000000000000006E-3</v>
      </c>
      <c r="FM5" s="205">
        <f t="shared" si="16"/>
        <v>8.5000000000000006E-3</v>
      </c>
      <c r="FN5" s="205">
        <f t="shared" si="16"/>
        <v>8.5000000000000006E-3</v>
      </c>
      <c r="FO5" s="205">
        <f t="shared" si="16"/>
        <v>8.5000000000000006E-3</v>
      </c>
      <c r="FP5" s="205">
        <f>$FP$4/10*1</f>
        <v>4.2599999999999999E-3</v>
      </c>
      <c r="FQ5" s="205">
        <f t="shared" ref="FQ5:FY5" si="17">$FP$4/10*1</f>
        <v>4.2599999999999999E-3</v>
      </c>
      <c r="FR5" s="205">
        <f t="shared" si="17"/>
        <v>4.2599999999999999E-3</v>
      </c>
      <c r="FS5" s="205">
        <f t="shared" si="17"/>
        <v>4.2599999999999999E-3</v>
      </c>
      <c r="FT5" s="205">
        <f t="shared" si="17"/>
        <v>4.2599999999999999E-3</v>
      </c>
      <c r="FU5" s="205">
        <f t="shared" si="17"/>
        <v>4.2599999999999999E-3</v>
      </c>
      <c r="FV5" s="205">
        <f t="shared" si="17"/>
        <v>4.2599999999999999E-3</v>
      </c>
      <c r="FW5" s="205">
        <f t="shared" si="17"/>
        <v>4.2599999999999999E-3</v>
      </c>
      <c r="FX5" s="205">
        <f t="shared" si="17"/>
        <v>4.2599999999999999E-3</v>
      </c>
      <c r="FY5" s="205">
        <f t="shared" si="17"/>
        <v>4.2599999999999999E-3</v>
      </c>
    </row>
    <row r="6" spans="1:181" s="136" customFormat="1">
      <c r="A6" s="136" t="s">
        <v>125</v>
      </c>
      <c r="B6" s="149">
        <f>B5</f>
        <v>2.2429999999999998E-3</v>
      </c>
      <c r="C6" s="136">
        <f>C5+B6</f>
        <v>4.4859999999999995E-3</v>
      </c>
      <c r="D6" s="136">
        <f t="shared" ref="D6" si="18">D5+C6</f>
        <v>6.7289999999999989E-3</v>
      </c>
      <c r="E6" s="136">
        <f t="shared" ref="E6:F6" si="19">E5+D6</f>
        <v>8.9719999999999991E-3</v>
      </c>
      <c r="F6" s="136">
        <f t="shared" si="19"/>
        <v>1.1214999999999999E-2</v>
      </c>
      <c r="G6" s="136">
        <f t="shared" ref="G6" si="20">G5+F6</f>
        <v>1.3457999999999999E-2</v>
      </c>
      <c r="H6" s="136">
        <f t="shared" ref="H6:I6" si="21">H5+G6</f>
        <v>1.5701E-2</v>
      </c>
      <c r="I6" s="136">
        <f t="shared" si="21"/>
        <v>1.7943999999999998E-2</v>
      </c>
      <c r="J6" s="136">
        <f t="shared" ref="J6" si="22">J5+I6</f>
        <v>2.0186999999999997E-2</v>
      </c>
      <c r="K6" s="136">
        <f t="shared" ref="K6:L6" si="23">K5+J6</f>
        <v>2.2429999999999995E-2</v>
      </c>
      <c r="L6" s="136">
        <f t="shared" si="23"/>
        <v>2.6252999999999995E-2</v>
      </c>
      <c r="M6" s="136">
        <f t="shared" ref="M6" si="24">M5+L6</f>
        <v>3.0075999999999995E-2</v>
      </c>
      <c r="N6" s="136">
        <f t="shared" ref="N6:O6" si="25">N5+M6</f>
        <v>3.3898999999999999E-2</v>
      </c>
      <c r="O6" s="136">
        <f t="shared" si="25"/>
        <v>3.7721999999999999E-2</v>
      </c>
      <c r="P6" s="136">
        <f t="shared" ref="P6" si="26">P5+O6</f>
        <v>4.1544999999999999E-2</v>
      </c>
      <c r="Q6" s="136">
        <f t="shared" ref="Q6:R6" si="27">Q5+P6</f>
        <v>4.5367999999999999E-2</v>
      </c>
      <c r="R6" s="136">
        <f t="shared" si="27"/>
        <v>4.9190999999999999E-2</v>
      </c>
      <c r="S6" s="136">
        <f t="shared" ref="S6" si="28">S5+R6</f>
        <v>5.3013999999999999E-2</v>
      </c>
      <c r="T6" s="136">
        <f t="shared" ref="T6:U6" si="29">T5+S6</f>
        <v>5.6836999999999999E-2</v>
      </c>
      <c r="U6" s="136">
        <f t="shared" si="29"/>
        <v>6.0659999999999999E-2</v>
      </c>
      <c r="V6" s="136">
        <f t="shared" ref="V6" si="30">V5+U6</f>
        <v>6.4401E-2</v>
      </c>
      <c r="W6" s="136">
        <f t="shared" ref="W6:X6" si="31">W5+V6</f>
        <v>6.8141999999999994E-2</v>
      </c>
      <c r="X6" s="136">
        <f t="shared" si="31"/>
        <v>7.1882999999999989E-2</v>
      </c>
      <c r="Y6" s="136">
        <f t="shared" ref="Y6" si="32">Y5+X6</f>
        <v>7.5623999999999983E-2</v>
      </c>
      <c r="Z6" s="136">
        <f t="shared" ref="Z6:AA6" si="33">Z5+Y6</f>
        <v>7.9364999999999977E-2</v>
      </c>
      <c r="AA6" s="136">
        <f t="shared" si="33"/>
        <v>8.3105999999999972E-2</v>
      </c>
      <c r="AB6" s="136">
        <f t="shared" ref="AB6" si="34">AB5+AA6</f>
        <v>8.6846999999999966E-2</v>
      </c>
      <c r="AC6" s="136">
        <f t="shared" ref="AC6:AD6" si="35">AC5+AB6</f>
        <v>9.058799999999996E-2</v>
      </c>
      <c r="AD6" s="136">
        <f t="shared" si="35"/>
        <v>9.4328999999999955E-2</v>
      </c>
      <c r="AE6" s="136">
        <f t="shared" ref="AE6" si="36">AE5+AD6</f>
        <v>9.8069999999999949E-2</v>
      </c>
      <c r="AF6" s="136">
        <f t="shared" ref="AF6:AG6" si="37">AF5+AE6</f>
        <v>0.10646699999999995</v>
      </c>
      <c r="AG6" s="136">
        <f t="shared" si="37"/>
        <v>0.11486399999999995</v>
      </c>
      <c r="AH6" s="136">
        <f t="shared" ref="AH6" si="38">AH5+AG6</f>
        <v>0.12326099999999995</v>
      </c>
      <c r="AI6" s="136">
        <f t="shared" ref="AI6:AJ6" si="39">AI5+AH6</f>
        <v>0.13165799999999994</v>
      </c>
      <c r="AJ6" s="136">
        <f t="shared" si="39"/>
        <v>0.14005499999999993</v>
      </c>
      <c r="AK6" s="136">
        <f t="shared" ref="AK6" si="40">AK5+AJ6</f>
        <v>0.14845199999999992</v>
      </c>
      <c r="AL6" s="136">
        <f t="shared" ref="AL6:AM6" si="41">AL5+AK6</f>
        <v>0.15684899999999991</v>
      </c>
      <c r="AM6" s="136">
        <f t="shared" si="41"/>
        <v>0.16524599999999989</v>
      </c>
      <c r="AN6" s="136">
        <f t="shared" ref="AN6" si="42">AN5+AM6</f>
        <v>0.17364299999999988</v>
      </c>
      <c r="AO6" s="136">
        <f t="shared" ref="AO6:AP6" si="43">AO5+AN6</f>
        <v>0.18203999999999987</v>
      </c>
      <c r="AP6" s="136">
        <f t="shared" si="43"/>
        <v>0.18954699999999985</v>
      </c>
      <c r="AQ6" s="136">
        <f t="shared" ref="AQ6" si="44">AQ5+AP6</f>
        <v>0.19705399999999984</v>
      </c>
      <c r="AR6" s="136">
        <f t="shared" ref="AR6:AS6" si="45">AR5+AQ6</f>
        <v>0.20456099999999983</v>
      </c>
      <c r="AS6" s="136">
        <f t="shared" si="45"/>
        <v>0.21206799999999981</v>
      </c>
      <c r="AT6" s="136">
        <f t="shared" ref="AT6" si="46">AT5+AS6</f>
        <v>0.2195749999999998</v>
      </c>
      <c r="AU6" s="136">
        <f t="shared" ref="AU6:AV6" si="47">AU5+AT6</f>
        <v>0.22708199999999978</v>
      </c>
      <c r="AV6" s="136">
        <f t="shared" si="47"/>
        <v>0.23458899999999977</v>
      </c>
      <c r="AW6" s="136">
        <f t="shared" ref="AW6" si="48">AW5+AV6</f>
        <v>0.24209599999999976</v>
      </c>
      <c r="AX6" s="136">
        <f t="shared" ref="AX6:AY6" si="49">AX5+AW6</f>
        <v>0.24960299999999974</v>
      </c>
      <c r="AY6" s="136">
        <f t="shared" si="49"/>
        <v>0.25710999999999973</v>
      </c>
      <c r="AZ6" s="136">
        <f t="shared" ref="AZ6" si="50">AZ5+AY6</f>
        <v>0.25760999999999973</v>
      </c>
      <c r="BA6" s="136">
        <f t="shared" ref="BA6:BB6" si="51">BA5+AZ6</f>
        <v>0.25810999999999973</v>
      </c>
      <c r="BB6" s="136">
        <f t="shared" si="51"/>
        <v>0.25860999999999973</v>
      </c>
      <c r="BC6" s="136">
        <f t="shared" ref="BC6" si="52">BC5+BB6</f>
        <v>0.25910999999999973</v>
      </c>
      <c r="BD6" s="136">
        <f t="shared" ref="BD6:BE6" si="53">BD5+BC6</f>
        <v>0.25960999999999973</v>
      </c>
      <c r="BE6" s="136">
        <f t="shared" si="53"/>
        <v>0.26010999999999973</v>
      </c>
      <c r="BF6" s="136">
        <f t="shared" ref="BF6" si="54">BF5+BE6</f>
        <v>0.26060999999999973</v>
      </c>
      <c r="BG6" s="136">
        <f t="shared" ref="BG6:BH6" si="55">BG5+BF6</f>
        <v>0.26110999999999973</v>
      </c>
      <c r="BH6" s="136">
        <f t="shared" si="55"/>
        <v>0.26160999999999973</v>
      </c>
      <c r="BI6" s="136">
        <f t="shared" ref="BI6" si="56">BI5+BH6</f>
        <v>0.26210999999999973</v>
      </c>
      <c r="BJ6" s="136">
        <f t="shared" ref="BJ6:BK6" si="57">BJ5+BI6</f>
        <v>0.26260999999999973</v>
      </c>
      <c r="BK6" s="136">
        <f t="shared" si="57"/>
        <v>0.26310999999999973</v>
      </c>
      <c r="BL6" s="136">
        <f t="shared" ref="BL6" si="58">BL5+BK6</f>
        <v>0.26360999999999973</v>
      </c>
      <c r="BM6" s="136">
        <f t="shared" ref="BM6:BN6" si="59">BM5+BL6</f>
        <v>0.26410999999999973</v>
      </c>
      <c r="BN6" s="136">
        <f t="shared" si="59"/>
        <v>0.26460999999999973</v>
      </c>
      <c r="BO6" s="136">
        <f t="shared" ref="BO6" si="60">BO5+BN6</f>
        <v>0.26510999999999973</v>
      </c>
      <c r="BP6" s="136">
        <f t="shared" ref="BP6:BQ6" si="61">BP5+BO6</f>
        <v>0.26560999999999974</v>
      </c>
      <c r="BQ6" s="136">
        <f t="shared" si="61"/>
        <v>0.26610999999999974</v>
      </c>
      <c r="BR6" s="136">
        <f t="shared" ref="BR6" si="62">BR5+BQ6</f>
        <v>0.26660999999999974</v>
      </c>
      <c r="BS6" s="136">
        <f t="shared" ref="BS6:BT6" si="63">BS5+BR6</f>
        <v>0.26710999999999974</v>
      </c>
      <c r="BT6" s="136">
        <f t="shared" si="63"/>
        <v>0.26760999999999974</v>
      </c>
      <c r="BU6" s="136">
        <f t="shared" ref="BU6" si="64">BU5+BT6</f>
        <v>0.26810999999999974</v>
      </c>
      <c r="BV6" s="136">
        <f t="shared" ref="BV6:BW6" si="65">BV5+BU6</f>
        <v>0.26860999999999974</v>
      </c>
      <c r="BW6" s="136">
        <f t="shared" si="65"/>
        <v>0.26910999999999974</v>
      </c>
      <c r="BX6" s="136">
        <f t="shared" ref="BX6" si="66">BX5+BW6</f>
        <v>0.26960999999999974</v>
      </c>
      <c r="BY6" s="136">
        <f t="shared" ref="BY6:BZ6" si="67">BY5+BX6</f>
        <v>0.27010999999999974</v>
      </c>
      <c r="BZ6" s="136">
        <f t="shared" si="67"/>
        <v>0.27060999999999974</v>
      </c>
      <c r="CA6" s="136">
        <f t="shared" ref="CA6" si="68">CA5+BZ6</f>
        <v>0.27110999999999974</v>
      </c>
      <c r="CB6" s="136">
        <f t="shared" ref="CB6:CC6" si="69">CB5+CA6</f>
        <v>0.27160999999999974</v>
      </c>
      <c r="CC6" s="136">
        <f t="shared" si="69"/>
        <v>0.27210999999999974</v>
      </c>
      <c r="CD6" s="136">
        <f t="shared" ref="CD6" si="70">CD5+CC6</f>
        <v>0.27658899999999975</v>
      </c>
      <c r="CE6" s="136">
        <f t="shared" ref="CE6" si="71">CE5+CD6</f>
        <v>0.28106799999999976</v>
      </c>
      <c r="CF6" s="136">
        <f>CF5+CE6</f>
        <v>0.28554699999999977</v>
      </c>
      <c r="CG6" s="136">
        <f t="shared" ref="CG6" si="72">CG5+CF6</f>
        <v>0.29002599999999978</v>
      </c>
      <c r="CH6" s="136">
        <f t="shared" ref="CH6" si="73">CH5+CG6</f>
        <v>0.29450499999999979</v>
      </c>
      <c r="CI6" s="136">
        <f t="shared" ref="CI6" si="74">CI5+CH6</f>
        <v>0.29898399999999981</v>
      </c>
      <c r="CJ6" s="136">
        <f t="shared" ref="CJ6" si="75">CJ5+CI6</f>
        <v>0.30346299999999982</v>
      </c>
      <c r="CK6" s="136">
        <f t="shared" ref="CK6" si="76">CK5+CJ6</f>
        <v>0.30794199999999983</v>
      </c>
      <c r="CL6" s="136">
        <f t="shared" ref="CL6" si="77">CL5+CK6</f>
        <v>0.31242099999999984</v>
      </c>
      <c r="CM6" s="136">
        <f t="shared" ref="CM6" si="78">CM5+CL6</f>
        <v>0.31689999999999985</v>
      </c>
      <c r="CN6" s="136">
        <f>CN5+CM6</f>
        <v>0.33272299999999982</v>
      </c>
      <c r="CO6" s="136">
        <f t="shared" ref="CO6" si="79">CO5+CN6</f>
        <v>0.3485459999999998</v>
      </c>
      <c r="CP6" s="136">
        <f t="shared" ref="CP6" si="80">CP5+CO6</f>
        <v>0.36436899999999978</v>
      </c>
      <c r="CQ6" s="136">
        <f t="shared" ref="CQ6" si="81">CQ5+CP6</f>
        <v>0.38019199999999975</v>
      </c>
      <c r="CR6" s="136">
        <f t="shared" ref="CR6" si="82">CR5+CQ6</f>
        <v>0.39601499999999973</v>
      </c>
      <c r="CS6" s="136">
        <f t="shared" ref="CS6" si="83">CS5+CR6</f>
        <v>0.4118379999999997</v>
      </c>
      <c r="CT6" s="136">
        <f t="shared" ref="CT6" si="84">CT5+CS6</f>
        <v>0.42766099999999968</v>
      </c>
      <c r="CU6" s="136">
        <f t="shared" ref="CU6" si="85">CU5+CT6</f>
        <v>0.44348399999999966</v>
      </c>
      <c r="CV6" s="136">
        <f t="shared" ref="CV6" si="86">CV5+CU6</f>
        <v>0.45930699999999963</v>
      </c>
      <c r="CW6" s="136">
        <f t="shared" ref="CW6" si="87">CW5+CV6</f>
        <v>0.47512999999999961</v>
      </c>
      <c r="CX6" s="136">
        <f t="shared" ref="CX6" si="88">CX5+CW6</f>
        <v>0.47769399999999962</v>
      </c>
      <c r="CY6" s="136">
        <f t="shared" ref="CY6" si="89">CY5+CX6</f>
        <v>0.48025799999999963</v>
      </c>
      <c r="CZ6" s="136">
        <f>CZ5+CY6</f>
        <v>0.48282199999999964</v>
      </c>
      <c r="DA6" s="136">
        <f t="shared" ref="DA6" si="90">DA5+CZ6</f>
        <v>0.48538599999999965</v>
      </c>
      <c r="DB6" s="136">
        <f t="shared" ref="DB6" si="91">DB5+DA6</f>
        <v>0.48794999999999966</v>
      </c>
      <c r="DC6" s="136">
        <f t="shared" ref="DC6" si="92">DC5+DB6</f>
        <v>0.49051399999999967</v>
      </c>
      <c r="DD6" s="136">
        <f t="shared" ref="DD6" si="93">DD5+DC6</f>
        <v>0.49307799999999968</v>
      </c>
      <c r="DE6" s="136">
        <f t="shared" ref="DE6" si="94">DE5+DD6</f>
        <v>0.49564199999999969</v>
      </c>
      <c r="DF6" s="136">
        <f t="shared" ref="DF6" si="95">DF5+DE6</f>
        <v>0.4982059999999997</v>
      </c>
      <c r="DG6" s="136">
        <f t="shared" ref="DG6" si="96">DG5+DF6</f>
        <v>0.50076999999999972</v>
      </c>
      <c r="DH6" s="136">
        <f t="shared" ref="DH6" si="97">DH5+DG6</f>
        <v>0.50319099999999972</v>
      </c>
      <c r="DI6" s="136">
        <f t="shared" ref="DI6" si="98">DI5+DH6</f>
        <v>0.50561199999999973</v>
      </c>
      <c r="DJ6" s="136">
        <f t="shared" ref="DJ6" si="99">DJ5+DI6</f>
        <v>0.50803299999999973</v>
      </c>
      <c r="DK6" s="136">
        <f t="shared" ref="DK6" si="100">DK5+DJ6</f>
        <v>0.51045399999999974</v>
      </c>
      <c r="DL6" s="136">
        <f t="shared" ref="DL6" si="101">DL5+DK6</f>
        <v>0.51287499999999975</v>
      </c>
      <c r="DM6" s="136">
        <f t="shared" ref="DM6" si="102">DM5+DL6</f>
        <v>0.51529599999999975</v>
      </c>
      <c r="DN6" s="136">
        <f t="shared" ref="DN6" si="103">DN5+DM6</f>
        <v>0.51771699999999976</v>
      </c>
      <c r="DO6" s="136">
        <f t="shared" ref="DO6" si="104">DO5+DN6</f>
        <v>0.52013799999999977</v>
      </c>
      <c r="DP6" s="136">
        <f t="shared" ref="DP6" si="105">DP5+DO6</f>
        <v>0.52255899999999977</v>
      </c>
      <c r="DQ6" s="136">
        <f t="shared" ref="DQ6" si="106">DQ5+DP6</f>
        <v>0.52497999999999978</v>
      </c>
      <c r="DR6" s="136">
        <f t="shared" ref="DR6" si="107">DR5+DQ6</f>
        <v>0.52759199999999973</v>
      </c>
      <c r="DS6" s="136">
        <f t="shared" ref="DS6" si="108">DS5+DR6</f>
        <v>0.53020399999999968</v>
      </c>
      <c r="DT6" s="136">
        <f t="shared" ref="DT6" si="109">DT5+DS6</f>
        <v>0.53281599999999962</v>
      </c>
      <c r="DU6" s="136">
        <f t="shared" ref="DU6" si="110">DU5+DT6</f>
        <v>0.53542799999999957</v>
      </c>
      <c r="DV6" s="136">
        <f t="shared" ref="DV6" si="111">DV5+DU6</f>
        <v>0.53803999999999952</v>
      </c>
      <c r="DW6" s="136">
        <f t="shared" ref="DW6" si="112">DW5+DV6</f>
        <v>0.54065199999999947</v>
      </c>
      <c r="DX6" s="136">
        <f t="shared" ref="DX6" si="113">DX5+DW6</f>
        <v>0.54326399999999941</v>
      </c>
      <c r="DY6" s="136">
        <f t="shared" ref="DY6" si="114">DY5+DX6</f>
        <v>0.54587599999999936</v>
      </c>
      <c r="DZ6" s="136">
        <f t="shared" ref="DZ6" si="115">DZ5+DY6</f>
        <v>0.54848799999999931</v>
      </c>
      <c r="EA6" s="136">
        <f t="shared" ref="EA6" si="116">EA5+DZ6</f>
        <v>0.55109999999999926</v>
      </c>
      <c r="EB6" s="136">
        <f t="shared" ref="EB6" si="117">EB5+EA6</f>
        <v>0.56202299999999927</v>
      </c>
      <c r="EC6" s="136">
        <f t="shared" ref="EC6" si="118">EC5+EB6</f>
        <v>0.57294599999999929</v>
      </c>
      <c r="ED6" s="136">
        <f t="shared" ref="ED6" si="119">ED5+EC6</f>
        <v>0.58386899999999931</v>
      </c>
      <c r="EE6" s="136">
        <f t="shared" ref="EE6" si="120">EE5+ED6</f>
        <v>0.59479199999999932</v>
      </c>
      <c r="EF6" s="136">
        <f t="shared" ref="EF6" si="121">EF5+EE6</f>
        <v>0.60571499999999934</v>
      </c>
      <c r="EG6" s="136">
        <f t="shared" ref="EG6" si="122">EG5+EF6</f>
        <v>0.61663799999999935</v>
      </c>
      <c r="EH6" s="136">
        <f t="shared" ref="EH6" si="123">EH5+EG6</f>
        <v>0.62756099999999937</v>
      </c>
      <c r="EI6" s="136">
        <f t="shared" ref="EI6" si="124">EI5+EH6</f>
        <v>0.63848399999999939</v>
      </c>
      <c r="EJ6" s="136">
        <f t="shared" ref="EJ6" si="125">EJ5+EI6</f>
        <v>0.6494069999999994</v>
      </c>
      <c r="EK6" s="136">
        <f t="shared" ref="EK6" si="126">EK5+EJ6</f>
        <v>0.66032999999999942</v>
      </c>
      <c r="EL6" s="136">
        <f t="shared" ref="EL6" si="127">EL5+EK6</f>
        <v>0.67150099999999946</v>
      </c>
      <c r="EM6" s="136">
        <f t="shared" ref="EM6" si="128">EM5+EL6</f>
        <v>0.6826719999999995</v>
      </c>
      <c r="EN6" s="136">
        <f t="shared" ref="EN6" si="129">EN5+EM6</f>
        <v>0.69384299999999954</v>
      </c>
      <c r="EO6" s="136">
        <f t="shared" ref="EO6" si="130">EO5+EN6</f>
        <v>0.70501399999999959</v>
      </c>
      <c r="EP6" s="136">
        <f t="shared" ref="EP6" si="131">EP5+EO6</f>
        <v>0.71618499999999963</v>
      </c>
      <c r="EQ6" s="136">
        <f t="shared" ref="EQ6" si="132">EQ5+EP6</f>
        <v>0.72735599999999967</v>
      </c>
      <c r="ER6" s="136">
        <f t="shared" ref="ER6" si="133">ER5+EQ6</f>
        <v>0.73852699999999971</v>
      </c>
      <c r="ES6" s="136">
        <f t="shared" ref="ES6" si="134">ES5+ER6</f>
        <v>0.74969799999999975</v>
      </c>
      <c r="ET6" s="136">
        <f t="shared" ref="ET6" si="135">ET5+ES6</f>
        <v>0.7608689999999998</v>
      </c>
      <c r="EU6" s="136">
        <f t="shared" ref="EU6" si="136">EU5+ET6</f>
        <v>0.77203999999999984</v>
      </c>
      <c r="EV6" s="136">
        <f t="shared" ref="EV6" si="137">EV5+EU6</f>
        <v>0.7805749999999998</v>
      </c>
      <c r="EW6" s="136">
        <f t="shared" ref="EW6" si="138">EW5+EV6</f>
        <v>0.78910999999999976</v>
      </c>
      <c r="EX6" s="136">
        <f t="shared" ref="EX6" si="139">EX5+EW6</f>
        <v>0.79764499999999972</v>
      </c>
      <c r="EY6" s="136">
        <f t="shared" ref="EY6" si="140">EY5+EX6</f>
        <v>0.80617999999999967</v>
      </c>
      <c r="EZ6" s="136">
        <f t="shared" ref="EZ6" si="141">EZ5+EY6</f>
        <v>0.81471499999999963</v>
      </c>
      <c r="FA6" s="136">
        <f t="shared" ref="FA6" si="142">FA5+EZ6</f>
        <v>0.82324999999999959</v>
      </c>
      <c r="FB6" s="136">
        <f t="shared" ref="FB6" si="143">FB5+FA6</f>
        <v>0.83178499999999955</v>
      </c>
      <c r="FC6" s="136">
        <f t="shared" ref="FC6" si="144">FC5+FB6</f>
        <v>0.84031999999999951</v>
      </c>
      <c r="FD6" s="136">
        <f t="shared" ref="FD6" si="145">FD5+FC6</f>
        <v>0.84885499999999947</v>
      </c>
      <c r="FE6" s="136">
        <f t="shared" ref="FE6" si="146">FE5+FD6</f>
        <v>0.85738999999999943</v>
      </c>
      <c r="FF6" s="136">
        <f t="shared" ref="FF6" si="147">FF5+FE6</f>
        <v>0.86588999999999938</v>
      </c>
      <c r="FG6" s="136">
        <f t="shared" ref="FG6" si="148">FG5+FF6</f>
        <v>0.87438999999999933</v>
      </c>
      <c r="FH6" s="136">
        <f t="shared" ref="FH6" si="149">FH5+FG6</f>
        <v>0.88288999999999929</v>
      </c>
      <c r="FI6" s="136">
        <f t="shared" ref="FI6" si="150">FI5+FH6</f>
        <v>0.89138999999999924</v>
      </c>
      <c r="FJ6" s="136">
        <f t="shared" ref="FJ6" si="151">FJ5+FI6</f>
        <v>0.89988999999999919</v>
      </c>
      <c r="FK6" s="136">
        <f t="shared" ref="FK6" si="152">FK5+FJ6</f>
        <v>0.90838999999999914</v>
      </c>
      <c r="FL6" s="136">
        <f t="shared" ref="FL6" si="153">FL5+FK6</f>
        <v>0.91688999999999909</v>
      </c>
      <c r="FM6" s="136">
        <f t="shared" ref="FM6" si="154">FM5+FL6</f>
        <v>0.92538999999999905</v>
      </c>
      <c r="FN6" s="136">
        <f t="shared" ref="FN6" si="155">FN5+FM6</f>
        <v>0.933889999999999</v>
      </c>
      <c r="FO6" s="136">
        <f t="shared" ref="FO6" si="156">FO5+FN6</f>
        <v>0.94238999999999895</v>
      </c>
      <c r="FP6" s="136">
        <f t="shared" ref="FP6" si="157">FP5+FO6</f>
        <v>0.94664999999999899</v>
      </c>
      <c r="FQ6" s="136">
        <f t="shared" ref="FQ6" si="158">FQ5+FP6</f>
        <v>0.95090999999999903</v>
      </c>
      <c r="FR6" s="136">
        <f t="shared" ref="FR6" si="159">FR5+FQ6</f>
        <v>0.95516999999999908</v>
      </c>
      <c r="FS6" s="136">
        <f t="shared" ref="FS6" si="160">FS5+FR6</f>
        <v>0.95942999999999912</v>
      </c>
      <c r="FT6" s="136">
        <f t="shared" ref="FT6" si="161">FT5+FS6</f>
        <v>0.96368999999999916</v>
      </c>
      <c r="FU6" s="136">
        <f t="shared" ref="FU6" si="162">FU5+FT6</f>
        <v>0.9679499999999992</v>
      </c>
      <c r="FV6" s="136">
        <f t="shared" ref="FV6" si="163">FV5+FU6</f>
        <v>0.97220999999999924</v>
      </c>
      <c r="FW6" s="136">
        <f t="shared" ref="FW6" si="164">FW5+FV6</f>
        <v>0.97646999999999928</v>
      </c>
      <c r="FX6" s="136">
        <f t="shared" ref="FX6" si="165">FX5+FW6</f>
        <v>0.98072999999999932</v>
      </c>
      <c r="FY6" s="136">
        <f t="shared" ref="FY6" si="166">FY5+FX6</f>
        <v>0.98498999999999937</v>
      </c>
    </row>
    <row r="7" spans="1:181">
      <c r="A7" s="133" t="s">
        <v>131</v>
      </c>
    </row>
  </sheetData>
  <mergeCells count="36">
    <mergeCell ref="CX2:DG2"/>
    <mergeCell ref="DH4:DQ4"/>
    <mergeCell ref="DR4:EA4"/>
    <mergeCell ref="CX4:DG4"/>
    <mergeCell ref="CD2:CM2"/>
    <mergeCell ref="CN2:CW2"/>
    <mergeCell ref="CD4:CM4"/>
    <mergeCell ref="CN4:CW4"/>
    <mergeCell ref="EB4:EK4"/>
    <mergeCell ref="FP4:FY4"/>
    <mergeCell ref="FF4:FO4"/>
    <mergeCell ref="EV4:FE4"/>
    <mergeCell ref="EL4:EU4"/>
    <mergeCell ref="FF2:FO2"/>
    <mergeCell ref="FP2:FY2"/>
    <mergeCell ref="DH2:DQ2"/>
    <mergeCell ref="DR2:EA2"/>
    <mergeCell ref="EB2:EK2"/>
    <mergeCell ref="EL2:EU2"/>
    <mergeCell ref="EV2:FE2"/>
    <mergeCell ref="L4:U4"/>
    <mergeCell ref="B4:K4"/>
    <mergeCell ref="AP2:AY2"/>
    <mergeCell ref="B2:K2"/>
    <mergeCell ref="L2:U2"/>
    <mergeCell ref="V2:AE2"/>
    <mergeCell ref="AF2:AO2"/>
    <mergeCell ref="AP4:AY4"/>
    <mergeCell ref="AF4:AO4"/>
    <mergeCell ref="V4:AE4"/>
    <mergeCell ref="AZ2:BI2"/>
    <mergeCell ref="BJ2:BS2"/>
    <mergeCell ref="BT2:CC2"/>
    <mergeCell ref="AZ4:BI4"/>
    <mergeCell ref="BJ4:BS4"/>
    <mergeCell ref="BT4:CC4"/>
  </mergeCells>
  <phoneticPr fontId="1" type="noConversion"/>
  <printOptions horizontalCentered="1"/>
  <pageMargins left="0.70866141732283472" right="0.70866141732283472" top="0.74803149606299213" bottom="0.74803149606299213" header="0.31496062992125984" footer="0.31496062992125984"/>
  <pageSetup paperSize="9" scale="150" orientation="landscape" r:id="rId1"/>
  <headerFooter>
    <oddFooter>&amp;R2023/7/12</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已命名的範圍</vt:lpstr>
      </vt:variant>
      <vt:variant>
        <vt:i4>2</vt:i4>
      </vt:variant>
    </vt:vector>
  </HeadingPairs>
  <TitlesOfParts>
    <vt:vector size="8" baseType="lpstr">
      <vt:lpstr>工程資料表</vt:lpstr>
      <vt:lpstr>原契約</vt:lpstr>
      <vt:lpstr>工程進度表</vt:lpstr>
      <vt:lpstr>施工日誌</vt:lpstr>
      <vt:lpstr>監造報表</vt:lpstr>
      <vt:lpstr>進度百分比</vt:lpstr>
      <vt:lpstr>施工日誌!Print_Area</vt:lpstr>
      <vt:lpstr>監造報表!Print_Area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林志遠</dc:creator>
  <cp:lastModifiedBy>user</cp:lastModifiedBy>
  <cp:lastPrinted>2026-09-30T10:37:26Z</cp:lastPrinted>
  <dcterms:created xsi:type="dcterms:W3CDTF">2022-01-11T07:23:30Z</dcterms:created>
  <dcterms:modified xsi:type="dcterms:W3CDTF">2026-10-01T03:22:19Z</dcterms:modified>
</cp:coreProperties>
</file>