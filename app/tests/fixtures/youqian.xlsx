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d.docs.live.net/0fc25a19c0c04c7e/桌面/元長國小/"/>
    </mc:Choice>
  </mc:AlternateContent>
  <xr:revisionPtr revIDLastSave="256" documentId="8_{C93A8CA4-000C-41DE-AA3A-992EB66FA179}" xr6:coauthVersionLast="47" xr6:coauthVersionMax="47" xr10:uidLastSave="{79A3A5FC-54AA-45B2-97B1-AD19053A7DA0}"/>
  <bookViews>
    <workbookView xWindow="-108" yWindow="-108" windowWidth="23256" windowHeight="12456" xr2:uid="{00000000-000D-0000-FFFF-FFFF00000000}"/>
  </bookViews>
  <sheets>
    <sheet name="施工日誌1" sheetId="1" r:id="rId1"/>
  </sheets>
  <externalReferences>
    <externalReference r:id="rId2"/>
  </externalReferences>
  <definedNames>
    <definedName name="_xlnm.Print_Area" localSheetId="0">施工日誌1!$A$1:$N$1412</definedName>
    <definedName name="_xlnm.Print_Titles" localSheetId="0">施工日誌1!$1:$1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75" i="1" l="1"/>
  <c r="M174" i="1"/>
  <c r="M114" i="1"/>
  <c r="M113" i="1"/>
  <c r="K7" i="1"/>
  <c r="E114" i="1"/>
  <c r="M1823" i="1"/>
  <c r="Q1813" i="1"/>
  <c r="L1813" i="1"/>
  <c r="R1813" i="1" s="1"/>
  <c r="Q1812" i="1"/>
  <c r="R1811" i="1"/>
  <c r="Q1811" i="1"/>
  <c r="L1811" i="1"/>
  <c r="R1810" i="1"/>
  <c r="Q1810" i="1"/>
  <c r="L1810" i="1"/>
  <c r="Q1809" i="1"/>
  <c r="L1809" i="1"/>
  <c r="R1809" i="1" s="1"/>
  <c r="Q1808" i="1"/>
  <c r="L1808" i="1"/>
  <c r="R1808" i="1" s="1"/>
  <c r="Q1807" i="1"/>
  <c r="L1807" i="1"/>
  <c r="R1807" i="1" s="1"/>
  <c r="R1806" i="1"/>
  <c r="Q1806" i="1"/>
  <c r="L1806" i="1"/>
  <c r="Q1805" i="1"/>
  <c r="L1805" i="1"/>
  <c r="R1805" i="1" s="1"/>
  <c r="Q1804" i="1"/>
  <c r="L1804" i="1"/>
  <c r="R1804" i="1" s="1"/>
  <c r="Q1803" i="1"/>
  <c r="L1803" i="1"/>
  <c r="R1803" i="1" s="1"/>
  <c r="Q1802" i="1"/>
  <c r="L1802" i="1"/>
  <c r="R1802" i="1" s="1"/>
  <c r="Q1801" i="1"/>
  <c r="L1801" i="1"/>
  <c r="R1801" i="1" s="1"/>
  <c r="Q1800" i="1"/>
  <c r="Q1799" i="1"/>
  <c r="Q1798" i="1"/>
  <c r="Q1797" i="1"/>
  <c r="Q1796" i="1"/>
  <c r="L1796" i="1"/>
  <c r="R1796" i="1" s="1"/>
  <c r="Q1795" i="1"/>
  <c r="R1794" i="1"/>
  <c r="Q1794" i="1"/>
  <c r="L1794" i="1"/>
  <c r="Q1793" i="1"/>
  <c r="L1793" i="1"/>
  <c r="R1793" i="1" s="1"/>
  <c r="Q1792" i="1"/>
  <c r="Q1791" i="1"/>
  <c r="Q1790" i="1"/>
  <c r="Q1814" i="1" s="1"/>
  <c r="Q1789" i="1"/>
  <c r="Q1788" i="1"/>
  <c r="D1784" i="1"/>
  <c r="K1783" i="1"/>
  <c r="F1782" i="1"/>
  <c r="I1782" i="1" s="1"/>
  <c r="B1781" i="1"/>
  <c r="J1780" i="1"/>
  <c r="M1780" i="1" s="1"/>
  <c r="B1779" i="1"/>
  <c r="M1762" i="1"/>
  <c r="Q1752" i="1"/>
  <c r="L1752" i="1"/>
  <c r="R1752" i="1" s="1"/>
  <c r="Q1751" i="1"/>
  <c r="R1750" i="1"/>
  <c r="Q1750" i="1"/>
  <c r="L1750" i="1"/>
  <c r="Q1749" i="1"/>
  <c r="L1749" i="1"/>
  <c r="R1749" i="1" s="1"/>
  <c r="Q1748" i="1"/>
  <c r="L1748" i="1"/>
  <c r="R1748" i="1" s="1"/>
  <c r="Q1747" i="1"/>
  <c r="L1747" i="1"/>
  <c r="R1747" i="1" s="1"/>
  <c r="Q1746" i="1"/>
  <c r="L1746" i="1"/>
  <c r="R1746" i="1" s="1"/>
  <c r="Q1745" i="1"/>
  <c r="L1745" i="1"/>
  <c r="R1745" i="1" s="1"/>
  <c r="Q1744" i="1"/>
  <c r="L1744" i="1"/>
  <c r="R1744" i="1" s="1"/>
  <c r="R1743" i="1"/>
  <c r="Q1743" i="1"/>
  <c r="L1743" i="1"/>
  <c r="Q1742" i="1"/>
  <c r="L1742" i="1"/>
  <c r="R1742" i="1" s="1"/>
  <c r="Q1741" i="1"/>
  <c r="L1741" i="1"/>
  <c r="R1741" i="1" s="1"/>
  <c r="Q1740" i="1"/>
  <c r="L1740" i="1"/>
  <c r="R1740" i="1" s="1"/>
  <c r="Q1739" i="1"/>
  <c r="Q1738" i="1"/>
  <c r="Q1737" i="1"/>
  <c r="Q1736" i="1"/>
  <c r="Q1735" i="1"/>
  <c r="L1735" i="1"/>
  <c r="R1735" i="1" s="1"/>
  <c r="Q1734" i="1"/>
  <c r="Q1733" i="1"/>
  <c r="L1733" i="1"/>
  <c r="R1733" i="1" s="1"/>
  <c r="Q1732" i="1"/>
  <c r="L1732" i="1"/>
  <c r="R1732" i="1" s="1"/>
  <c r="Q1731" i="1"/>
  <c r="Q1730" i="1"/>
  <c r="Q1729" i="1"/>
  <c r="Q1753" i="1" s="1"/>
  <c r="Q1728" i="1"/>
  <c r="Q1727" i="1"/>
  <c r="D1723" i="1"/>
  <c r="K1722" i="1"/>
  <c r="F1721" i="1"/>
  <c r="I1721" i="1" s="1"/>
  <c r="B1720" i="1"/>
  <c r="J1719" i="1"/>
  <c r="M1719" i="1" s="1"/>
  <c r="B1718" i="1"/>
  <c r="M1701" i="1"/>
  <c r="Q1691" i="1"/>
  <c r="L1691" i="1"/>
  <c r="R1691" i="1" s="1"/>
  <c r="Q1690" i="1"/>
  <c r="R1689" i="1"/>
  <c r="Q1689" i="1"/>
  <c r="L1689" i="1"/>
  <c r="R1688" i="1"/>
  <c r="Q1688" i="1"/>
  <c r="L1688" i="1"/>
  <c r="Q1687" i="1"/>
  <c r="L1687" i="1"/>
  <c r="R1687" i="1" s="1"/>
  <c r="Q1686" i="1"/>
  <c r="L1686" i="1"/>
  <c r="R1686" i="1" s="1"/>
  <c r="Q1685" i="1"/>
  <c r="L1685" i="1"/>
  <c r="R1685" i="1" s="1"/>
  <c r="Q1684" i="1"/>
  <c r="L1684" i="1"/>
  <c r="R1684" i="1" s="1"/>
  <c r="Q1683" i="1"/>
  <c r="L1683" i="1"/>
  <c r="R1683" i="1" s="1"/>
  <c r="Q1682" i="1"/>
  <c r="L1682" i="1"/>
  <c r="R1682" i="1" s="1"/>
  <c r="Q1681" i="1"/>
  <c r="L1681" i="1"/>
  <c r="R1681" i="1" s="1"/>
  <c r="Q1680" i="1"/>
  <c r="L1680" i="1"/>
  <c r="R1680" i="1" s="1"/>
  <c r="Q1679" i="1"/>
  <c r="L1679" i="1"/>
  <c r="R1679" i="1" s="1"/>
  <c r="Q1678" i="1"/>
  <c r="Q1677" i="1"/>
  <c r="Q1676" i="1"/>
  <c r="Q1675" i="1"/>
  <c r="Q1674" i="1"/>
  <c r="L1674" i="1"/>
  <c r="R1674" i="1" s="1"/>
  <c r="Q1673" i="1"/>
  <c r="R1672" i="1"/>
  <c r="Q1672" i="1"/>
  <c r="L1672" i="1"/>
  <c r="Q1671" i="1"/>
  <c r="L1671" i="1"/>
  <c r="R1671" i="1" s="1"/>
  <c r="Q1670" i="1"/>
  <c r="Q1669" i="1"/>
  <c r="Q1668" i="1"/>
  <c r="Q1692" i="1" s="1"/>
  <c r="Q1667" i="1"/>
  <c r="Q1666" i="1"/>
  <c r="D1662" i="1"/>
  <c r="K1661" i="1"/>
  <c r="F1660" i="1"/>
  <c r="I1660" i="1" s="1"/>
  <c r="B1659" i="1"/>
  <c r="J1658" i="1"/>
  <c r="M1658" i="1" s="1"/>
  <c r="B1657" i="1"/>
  <c r="M1640" i="1"/>
  <c r="Q1630" i="1"/>
  <c r="L1630" i="1"/>
  <c r="R1630" i="1" s="1"/>
  <c r="Q1629" i="1"/>
  <c r="R1628" i="1"/>
  <c r="Q1628" i="1"/>
  <c r="L1628" i="1"/>
  <c r="Q1627" i="1"/>
  <c r="L1627" i="1"/>
  <c r="R1627" i="1" s="1"/>
  <c r="Q1626" i="1"/>
  <c r="L1626" i="1"/>
  <c r="R1626" i="1" s="1"/>
  <c r="Q1625" i="1"/>
  <c r="L1625" i="1"/>
  <c r="R1625" i="1" s="1"/>
  <c r="Q1624" i="1"/>
  <c r="L1624" i="1"/>
  <c r="R1624" i="1" s="1"/>
  <c r="Q1623" i="1"/>
  <c r="L1623" i="1"/>
  <c r="R1623" i="1" s="1"/>
  <c r="Q1622" i="1"/>
  <c r="L1622" i="1"/>
  <c r="R1622" i="1" s="1"/>
  <c r="Q1621" i="1"/>
  <c r="L1621" i="1"/>
  <c r="R1621" i="1" s="1"/>
  <c r="Q1620" i="1"/>
  <c r="L1620" i="1"/>
  <c r="R1620" i="1" s="1"/>
  <c r="Q1619" i="1"/>
  <c r="L1619" i="1"/>
  <c r="R1619" i="1" s="1"/>
  <c r="Q1618" i="1"/>
  <c r="L1618" i="1"/>
  <c r="R1618" i="1" s="1"/>
  <c r="Q1617" i="1"/>
  <c r="Q1616" i="1"/>
  <c r="Q1615" i="1"/>
  <c r="Q1614" i="1"/>
  <c r="Q1613" i="1"/>
  <c r="L1613" i="1"/>
  <c r="R1613" i="1" s="1"/>
  <c r="Q1612" i="1"/>
  <c r="Q1611" i="1"/>
  <c r="L1611" i="1"/>
  <c r="R1611" i="1" s="1"/>
  <c r="Q1610" i="1"/>
  <c r="L1610" i="1"/>
  <c r="R1610" i="1" s="1"/>
  <c r="Q1609" i="1"/>
  <c r="Q1608" i="1"/>
  <c r="Q1607" i="1"/>
  <c r="Q1631" i="1" s="1"/>
  <c r="Q1606" i="1"/>
  <c r="Q1605" i="1"/>
  <c r="D1601" i="1"/>
  <c r="K1600" i="1"/>
  <c r="F1599" i="1"/>
  <c r="I1599" i="1" s="1"/>
  <c r="B1598" i="1"/>
  <c r="J1597" i="1"/>
  <c r="M1597" i="1" s="1"/>
  <c r="B1596" i="1"/>
  <c r="D1540" i="1"/>
  <c r="M1579" i="1"/>
  <c r="Q1569" i="1"/>
  <c r="L1569" i="1"/>
  <c r="R1569" i="1" s="1"/>
  <c r="Q1568" i="1"/>
  <c r="R1567" i="1"/>
  <c r="Q1567" i="1"/>
  <c r="L1567" i="1"/>
  <c r="Q1566" i="1"/>
  <c r="L1566" i="1"/>
  <c r="R1566" i="1" s="1"/>
  <c r="Q1565" i="1"/>
  <c r="L1565" i="1"/>
  <c r="R1565" i="1" s="1"/>
  <c r="Q1564" i="1"/>
  <c r="L1564" i="1"/>
  <c r="R1564" i="1" s="1"/>
  <c r="R1563" i="1"/>
  <c r="Q1563" i="1"/>
  <c r="L1563" i="1"/>
  <c r="Q1562" i="1"/>
  <c r="L1562" i="1"/>
  <c r="R1562" i="1" s="1"/>
  <c r="Q1561" i="1"/>
  <c r="L1561" i="1"/>
  <c r="R1561" i="1" s="1"/>
  <c r="Q1560" i="1"/>
  <c r="L1560" i="1"/>
  <c r="R1560" i="1" s="1"/>
  <c r="Q1559" i="1"/>
  <c r="L1559" i="1"/>
  <c r="R1559" i="1" s="1"/>
  <c r="Q1558" i="1"/>
  <c r="L1558" i="1"/>
  <c r="R1558" i="1" s="1"/>
  <c r="Q1557" i="1"/>
  <c r="L1557" i="1"/>
  <c r="R1557" i="1" s="1"/>
  <c r="Q1556" i="1"/>
  <c r="Q1555" i="1"/>
  <c r="Q1554" i="1"/>
  <c r="Q1553" i="1"/>
  <c r="Q1552" i="1"/>
  <c r="L1552" i="1"/>
  <c r="R1552" i="1" s="1"/>
  <c r="Q1551" i="1"/>
  <c r="Q1550" i="1"/>
  <c r="L1550" i="1"/>
  <c r="R1550" i="1" s="1"/>
  <c r="Q1549" i="1"/>
  <c r="L1549" i="1"/>
  <c r="R1549" i="1" s="1"/>
  <c r="Q1548" i="1"/>
  <c r="Q1547" i="1"/>
  <c r="Q1546" i="1"/>
  <c r="Q1570" i="1" s="1"/>
  <c r="Q1545" i="1"/>
  <c r="Q1544" i="1"/>
  <c r="K1539" i="1"/>
  <c r="F1538" i="1"/>
  <c r="I1538" i="1" s="1"/>
  <c r="B1537" i="1"/>
  <c r="J1536" i="1"/>
  <c r="M1536" i="1" s="1"/>
  <c r="B1535" i="1"/>
  <c r="M1518" i="1"/>
  <c r="Q1508" i="1"/>
  <c r="L1508" i="1"/>
  <c r="R1508" i="1" s="1"/>
  <c r="Q1507" i="1"/>
  <c r="R1506" i="1"/>
  <c r="Q1506" i="1"/>
  <c r="L1506" i="1"/>
  <c r="Q1505" i="1"/>
  <c r="L1505" i="1"/>
  <c r="R1505" i="1" s="1"/>
  <c r="Q1504" i="1"/>
  <c r="L1504" i="1"/>
  <c r="R1504" i="1" s="1"/>
  <c r="Q1503" i="1"/>
  <c r="L1503" i="1"/>
  <c r="R1503" i="1" s="1"/>
  <c r="Q1502" i="1"/>
  <c r="L1502" i="1"/>
  <c r="R1502" i="1" s="1"/>
  <c r="Q1501" i="1"/>
  <c r="L1501" i="1"/>
  <c r="R1501" i="1" s="1"/>
  <c r="Q1500" i="1"/>
  <c r="L1500" i="1"/>
  <c r="R1500" i="1" s="1"/>
  <c r="Q1499" i="1"/>
  <c r="L1499" i="1"/>
  <c r="R1499" i="1" s="1"/>
  <c r="R1498" i="1"/>
  <c r="Q1498" i="1"/>
  <c r="L1498" i="1"/>
  <c r="Q1497" i="1"/>
  <c r="L1497" i="1"/>
  <c r="R1497" i="1" s="1"/>
  <c r="Q1496" i="1"/>
  <c r="L1496" i="1"/>
  <c r="R1496" i="1" s="1"/>
  <c r="Q1495" i="1"/>
  <c r="Q1494" i="1"/>
  <c r="Q1493" i="1"/>
  <c r="Q1492" i="1"/>
  <c r="Q1491" i="1"/>
  <c r="L1491" i="1"/>
  <c r="R1491" i="1" s="1"/>
  <c r="Q1490" i="1"/>
  <c r="Q1489" i="1"/>
  <c r="L1489" i="1"/>
  <c r="R1489" i="1" s="1"/>
  <c r="Q1488" i="1"/>
  <c r="L1488" i="1"/>
  <c r="R1488" i="1" s="1"/>
  <c r="Q1487" i="1"/>
  <c r="Q1486" i="1"/>
  <c r="Q1485" i="1"/>
  <c r="Q1484" i="1"/>
  <c r="Q1483" i="1"/>
  <c r="Q1509" i="1" s="1"/>
  <c r="D1479" i="1"/>
  <c r="K1478" i="1"/>
  <c r="F1477" i="1"/>
  <c r="I1477" i="1" s="1"/>
  <c r="B1476" i="1"/>
  <c r="J1475" i="1"/>
  <c r="M1475" i="1" s="1"/>
  <c r="B1474" i="1"/>
  <c r="M1457" i="1"/>
  <c r="Q1447" i="1"/>
  <c r="L1447" i="1"/>
  <c r="R1447" i="1" s="1"/>
  <c r="Q1446" i="1"/>
  <c r="R1445" i="1"/>
  <c r="Q1445" i="1"/>
  <c r="L1445" i="1"/>
  <c r="Q1444" i="1"/>
  <c r="L1444" i="1"/>
  <c r="R1444" i="1" s="1"/>
  <c r="Q1443" i="1"/>
  <c r="L1443" i="1"/>
  <c r="R1443" i="1" s="1"/>
  <c r="Q1442" i="1"/>
  <c r="L1442" i="1"/>
  <c r="R1442" i="1" s="1"/>
  <c r="Q1441" i="1"/>
  <c r="L1441" i="1"/>
  <c r="R1441" i="1" s="1"/>
  <c r="Q1440" i="1"/>
  <c r="L1440" i="1"/>
  <c r="R1440" i="1" s="1"/>
  <c r="Q1439" i="1"/>
  <c r="L1439" i="1"/>
  <c r="R1439" i="1" s="1"/>
  <c r="Q1438" i="1"/>
  <c r="L1438" i="1"/>
  <c r="R1438" i="1" s="1"/>
  <c r="Q1437" i="1"/>
  <c r="L1437" i="1"/>
  <c r="R1437" i="1" s="1"/>
  <c r="Q1436" i="1"/>
  <c r="L1436" i="1"/>
  <c r="R1436" i="1" s="1"/>
  <c r="Q1435" i="1"/>
  <c r="L1435" i="1"/>
  <c r="R1435" i="1" s="1"/>
  <c r="Q1434" i="1"/>
  <c r="Q1433" i="1"/>
  <c r="Q1432" i="1"/>
  <c r="Q1431" i="1"/>
  <c r="Q1430" i="1"/>
  <c r="L1430" i="1"/>
  <c r="R1430" i="1" s="1"/>
  <c r="Q1429" i="1"/>
  <c r="Q1428" i="1"/>
  <c r="L1428" i="1"/>
  <c r="R1428" i="1" s="1"/>
  <c r="Q1427" i="1"/>
  <c r="L1427" i="1"/>
  <c r="R1427" i="1" s="1"/>
  <c r="Q1426" i="1"/>
  <c r="Q1425" i="1"/>
  <c r="Q1424" i="1"/>
  <c r="Q1448" i="1" s="1"/>
  <c r="Q1423" i="1"/>
  <c r="Q1422" i="1"/>
  <c r="D1418" i="1"/>
  <c r="K1417" i="1"/>
  <c r="F1416" i="1"/>
  <c r="I1416" i="1" s="1"/>
  <c r="B1415" i="1"/>
  <c r="J1414" i="1"/>
  <c r="M1414" i="1" s="1"/>
  <c r="B1413" i="1"/>
  <c r="M1396" i="1"/>
  <c r="Q1386" i="1"/>
  <c r="L1386" i="1"/>
  <c r="R1386" i="1" s="1"/>
  <c r="Q1385" i="1"/>
  <c r="R1384" i="1"/>
  <c r="Q1384" i="1"/>
  <c r="L1384" i="1"/>
  <c r="Q1383" i="1"/>
  <c r="L1383" i="1"/>
  <c r="R1383" i="1" s="1"/>
  <c r="Q1382" i="1"/>
  <c r="L1382" i="1"/>
  <c r="R1382" i="1" s="1"/>
  <c r="Q1381" i="1"/>
  <c r="L1381" i="1"/>
  <c r="R1381" i="1" s="1"/>
  <c r="Q1380" i="1"/>
  <c r="L1380" i="1"/>
  <c r="R1380" i="1" s="1"/>
  <c r="Q1379" i="1"/>
  <c r="L1379" i="1"/>
  <c r="R1379" i="1" s="1"/>
  <c r="Q1378" i="1"/>
  <c r="L1378" i="1"/>
  <c r="R1378" i="1" s="1"/>
  <c r="R1377" i="1"/>
  <c r="Q1377" i="1"/>
  <c r="L1377" i="1"/>
  <c r="Q1376" i="1"/>
  <c r="L1376" i="1"/>
  <c r="R1376" i="1" s="1"/>
  <c r="Q1375" i="1"/>
  <c r="L1375" i="1"/>
  <c r="R1375" i="1" s="1"/>
  <c r="Q1374" i="1"/>
  <c r="L1374" i="1"/>
  <c r="R1374" i="1" s="1"/>
  <c r="Q1373" i="1"/>
  <c r="Q1372" i="1"/>
  <c r="Q1371" i="1"/>
  <c r="Q1370" i="1"/>
  <c r="Q1369" i="1"/>
  <c r="L1369" i="1"/>
  <c r="R1369" i="1" s="1"/>
  <c r="Q1368" i="1"/>
  <c r="Q1367" i="1"/>
  <c r="L1367" i="1"/>
  <c r="R1367" i="1" s="1"/>
  <c r="Q1366" i="1"/>
  <c r="L1366" i="1"/>
  <c r="R1366" i="1" s="1"/>
  <c r="Q1365" i="1"/>
  <c r="Q1364" i="1"/>
  <c r="Q1363" i="1"/>
  <c r="Q1387" i="1" s="1"/>
  <c r="Q1362" i="1"/>
  <c r="Q1361" i="1"/>
  <c r="D1357" i="1"/>
  <c r="K1356" i="1"/>
  <c r="F1355" i="1"/>
  <c r="I1355" i="1" s="1"/>
  <c r="B1354" i="1"/>
  <c r="J1353" i="1"/>
  <c r="M1353" i="1" s="1"/>
  <c r="B1352" i="1"/>
  <c r="M1335" i="1"/>
  <c r="Q1325" i="1"/>
  <c r="L1325" i="1"/>
  <c r="R1325" i="1" s="1"/>
  <c r="Q1324" i="1"/>
  <c r="R1323" i="1"/>
  <c r="Q1323" i="1"/>
  <c r="L1323" i="1"/>
  <c r="Q1322" i="1"/>
  <c r="L1322" i="1"/>
  <c r="R1322" i="1" s="1"/>
  <c r="Q1321" i="1"/>
  <c r="L1321" i="1"/>
  <c r="R1321" i="1" s="1"/>
  <c r="Q1320" i="1"/>
  <c r="L1320" i="1"/>
  <c r="R1320" i="1" s="1"/>
  <c r="Q1319" i="1"/>
  <c r="L1319" i="1"/>
  <c r="R1319" i="1" s="1"/>
  <c r="Q1318" i="1"/>
  <c r="L1318" i="1"/>
  <c r="R1318" i="1" s="1"/>
  <c r="Q1317" i="1"/>
  <c r="L1317" i="1"/>
  <c r="R1317" i="1" s="1"/>
  <c r="Q1316" i="1"/>
  <c r="L1316" i="1"/>
  <c r="R1316" i="1" s="1"/>
  <c r="R1315" i="1"/>
  <c r="Q1315" i="1"/>
  <c r="L1315" i="1"/>
  <c r="Q1314" i="1"/>
  <c r="L1314" i="1"/>
  <c r="R1314" i="1" s="1"/>
  <c r="Q1313" i="1"/>
  <c r="L1313" i="1"/>
  <c r="R1313" i="1" s="1"/>
  <c r="Q1312" i="1"/>
  <c r="Q1311" i="1"/>
  <c r="Q1310" i="1"/>
  <c r="Q1309" i="1"/>
  <c r="Q1308" i="1"/>
  <c r="L1308" i="1"/>
  <c r="R1308" i="1" s="1"/>
  <c r="Q1307" i="1"/>
  <c r="Q1306" i="1"/>
  <c r="L1306" i="1"/>
  <c r="R1306" i="1" s="1"/>
  <c r="Q1305" i="1"/>
  <c r="L1305" i="1"/>
  <c r="R1305" i="1" s="1"/>
  <c r="Q1304" i="1"/>
  <c r="Q1303" i="1"/>
  <c r="Q1302" i="1"/>
  <c r="Q1301" i="1"/>
  <c r="Q1300" i="1"/>
  <c r="Q1326" i="1" s="1"/>
  <c r="D1296" i="1"/>
  <c r="K1295" i="1"/>
  <c r="F1294" i="1"/>
  <c r="I1294" i="1" s="1"/>
  <c r="B1293" i="1"/>
  <c r="J1292" i="1"/>
  <c r="M1292" i="1" s="1"/>
  <c r="B1291" i="1"/>
  <c r="D1235" i="1"/>
  <c r="D1174" i="1"/>
  <c r="D1113" i="1"/>
  <c r="D1052" i="1"/>
  <c r="D991" i="1"/>
  <c r="D930" i="1"/>
  <c r="D869" i="1"/>
  <c r="D808" i="1"/>
  <c r="D747" i="1"/>
  <c r="D686" i="1"/>
  <c r="D625" i="1"/>
  <c r="D564" i="1"/>
  <c r="D503" i="1"/>
  <c r="D442" i="1"/>
  <c r="D381" i="1"/>
  <c r="D320" i="1"/>
  <c r="M1274" i="1"/>
  <c r="Q1264" i="1"/>
  <c r="L1264" i="1"/>
  <c r="R1264" i="1" s="1"/>
  <c r="Q1263" i="1"/>
  <c r="R1262" i="1"/>
  <c r="Q1262" i="1"/>
  <c r="L1262" i="1"/>
  <c r="Q1261" i="1"/>
  <c r="L1261" i="1"/>
  <c r="R1261" i="1" s="1"/>
  <c r="Q1260" i="1"/>
  <c r="L1260" i="1"/>
  <c r="R1260" i="1" s="1"/>
  <c r="Q1259" i="1"/>
  <c r="L1259" i="1"/>
  <c r="R1259" i="1" s="1"/>
  <c r="Q1258" i="1"/>
  <c r="L1258" i="1"/>
  <c r="R1258" i="1" s="1"/>
  <c r="Q1257" i="1"/>
  <c r="L1257" i="1"/>
  <c r="R1257" i="1" s="1"/>
  <c r="Q1256" i="1"/>
  <c r="L1256" i="1"/>
  <c r="R1256" i="1" s="1"/>
  <c r="R1255" i="1"/>
  <c r="Q1255" i="1"/>
  <c r="L1255" i="1"/>
  <c r="R1254" i="1"/>
  <c r="Q1254" i="1"/>
  <c r="L1254" i="1"/>
  <c r="R1253" i="1"/>
  <c r="Q1253" i="1"/>
  <c r="L1253" i="1"/>
  <c r="Q1252" i="1"/>
  <c r="L1252" i="1"/>
  <c r="R1252" i="1" s="1"/>
  <c r="Q1251" i="1"/>
  <c r="Q1250" i="1"/>
  <c r="Q1249" i="1"/>
  <c r="Q1248" i="1"/>
  <c r="Q1247" i="1"/>
  <c r="L1247" i="1"/>
  <c r="R1247" i="1" s="1"/>
  <c r="Q1246" i="1"/>
  <c r="Q1245" i="1"/>
  <c r="L1245" i="1"/>
  <c r="R1245" i="1" s="1"/>
  <c r="Q1244" i="1"/>
  <c r="L1244" i="1"/>
  <c r="R1244" i="1" s="1"/>
  <c r="Q1243" i="1"/>
  <c r="Q1242" i="1"/>
  <c r="Q1241" i="1"/>
  <c r="Q1265" i="1" s="1"/>
  <c r="Q1240" i="1"/>
  <c r="Q1239" i="1"/>
  <c r="K1234" i="1"/>
  <c r="I1233" i="1"/>
  <c r="F1233" i="1"/>
  <c r="B1232" i="1"/>
  <c r="J1231" i="1"/>
  <c r="M1231" i="1" s="1"/>
  <c r="B1230" i="1"/>
  <c r="M1213" i="1"/>
  <c r="Q1203" i="1"/>
  <c r="L1203" i="1"/>
  <c r="R1203" i="1" s="1"/>
  <c r="Q1202" i="1"/>
  <c r="R1201" i="1"/>
  <c r="Q1201" i="1"/>
  <c r="L1201" i="1"/>
  <c r="Q1200" i="1"/>
  <c r="L1200" i="1"/>
  <c r="R1200" i="1" s="1"/>
  <c r="R1199" i="1"/>
  <c r="Q1199" i="1"/>
  <c r="L1199" i="1"/>
  <c r="Q1198" i="1"/>
  <c r="L1198" i="1"/>
  <c r="R1198" i="1" s="1"/>
  <c r="Q1197" i="1"/>
  <c r="L1197" i="1"/>
  <c r="R1197" i="1" s="1"/>
  <c r="Q1196" i="1"/>
  <c r="L1196" i="1"/>
  <c r="R1196" i="1" s="1"/>
  <c r="Q1195" i="1"/>
  <c r="L1195" i="1"/>
  <c r="R1195" i="1" s="1"/>
  <c r="Q1194" i="1"/>
  <c r="L1194" i="1"/>
  <c r="R1194" i="1" s="1"/>
  <c r="Q1193" i="1"/>
  <c r="L1193" i="1"/>
  <c r="R1193" i="1" s="1"/>
  <c r="Q1192" i="1"/>
  <c r="L1192" i="1"/>
  <c r="R1192" i="1" s="1"/>
  <c r="Q1191" i="1"/>
  <c r="L1191" i="1"/>
  <c r="R1191" i="1" s="1"/>
  <c r="Q1190" i="1"/>
  <c r="L1190" i="1"/>
  <c r="R1190" i="1" s="1"/>
  <c r="Q1189" i="1"/>
  <c r="Q1188" i="1"/>
  <c r="Q1187" i="1"/>
  <c r="Q1186" i="1"/>
  <c r="L1186" i="1"/>
  <c r="R1186" i="1" s="1"/>
  <c r="Q1185" i="1"/>
  <c r="Q1184" i="1"/>
  <c r="L1184" i="1"/>
  <c r="R1184" i="1" s="1"/>
  <c r="R1183" i="1"/>
  <c r="Q1183" i="1"/>
  <c r="L1183" i="1"/>
  <c r="Q1182" i="1"/>
  <c r="Q1181" i="1"/>
  <c r="Q1180" i="1"/>
  <c r="Q1179" i="1"/>
  <c r="Q1178" i="1"/>
  <c r="Q1204" i="1" s="1"/>
  <c r="K1173" i="1"/>
  <c r="F1172" i="1"/>
  <c r="I1172" i="1" s="1"/>
  <c r="B1171" i="1"/>
  <c r="J1170" i="1"/>
  <c r="M1170" i="1" s="1"/>
  <c r="B1169" i="1"/>
  <c r="M1152" i="1"/>
  <c r="Q1142" i="1"/>
  <c r="L1142" i="1"/>
  <c r="R1142" i="1" s="1"/>
  <c r="Q1141" i="1"/>
  <c r="R1140" i="1"/>
  <c r="Q1140" i="1"/>
  <c r="L1140" i="1"/>
  <c r="Q1139" i="1"/>
  <c r="L1139" i="1"/>
  <c r="R1139" i="1" s="1"/>
  <c r="R1138" i="1"/>
  <c r="Q1138" i="1"/>
  <c r="L1138" i="1"/>
  <c r="Q1137" i="1"/>
  <c r="L1137" i="1"/>
  <c r="R1137" i="1" s="1"/>
  <c r="Q1136" i="1"/>
  <c r="L1136" i="1"/>
  <c r="R1136" i="1" s="1"/>
  <c r="Q1135" i="1"/>
  <c r="L1135" i="1"/>
  <c r="R1135" i="1" s="1"/>
  <c r="Q1134" i="1"/>
  <c r="L1134" i="1"/>
  <c r="R1134" i="1" s="1"/>
  <c r="Q1133" i="1"/>
  <c r="L1133" i="1"/>
  <c r="R1133" i="1" s="1"/>
  <c r="Q1132" i="1"/>
  <c r="L1132" i="1"/>
  <c r="R1132" i="1" s="1"/>
  <c r="Q1131" i="1"/>
  <c r="L1131" i="1"/>
  <c r="R1131" i="1" s="1"/>
  <c r="Q1130" i="1"/>
  <c r="L1130" i="1"/>
  <c r="R1130" i="1" s="1"/>
  <c r="Q1129" i="1"/>
  <c r="L1129" i="1"/>
  <c r="R1129" i="1" s="1"/>
  <c r="Q1128" i="1"/>
  <c r="Q1127" i="1"/>
  <c r="Q1126" i="1"/>
  <c r="Q1125" i="1"/>
  <c r="L1125" i="1"/>
  <c r="R1125" i="1" s="1"/>
  <c r="Q1124" i="1"/>
  <c r="Q1123" i="1"/>
  <c r="L1123" i="1"/>
  <c r="R1123" i="1" s="1"/>
  <c r="R1122" i="1"/>
  <c r="Q1122" i="1"/>
  <c r="L1122" i="1"/>
  <c r="Q1121" i="1"/>
  <c r="Q1120" i="1"/>
  <c r="Q1119" i="1"/>
  <c r="Q1118" i="1"/>
  <c r="Q1117" i="1"/>
  <c r="Q1143" i="1" s="1"/>
  <c r="K1112" i="1"/>
  <c r="F1111" i="1"/>
  <c r="I1111" i="1" s="1"/>
  <c r="B1110" i="1"/>
  <c r="J1109" i="1"/>
  <c r="M1109" i="1" s="1"/>
  <c r="B1108" i="1"/>
  <c r="M1091" i="1"/>
  <c r="Q1081" i="1"/>
  <c r="L1081" i="1"/>
  <c r="R1081" i="1" s="1"/>
  <c r="Q1080" i="1"/>
  <c r="R1079" i="1"/>
  <c r="Q1079" i="1"/>
  <c r="L1079" i="1"/>
  <c r="Q1078" i="1"/>
  <c r="L1078" i="1"/>
  <c r="R1078" i="1" s="1"/>
  <c r="R1077" i="1"/>
  <c r="Q1077" i="1"/>
  <c r="L1077" i="1"/>
  <c r="Q1076" i="1"/>
  <c r="L1076" i="1"/>
  <c r="R1076" i="1" s="1"/>
  <c r="Q1075" i="1"/>
  <c r="L1075" i="1"/>
  <c r="R1075" i="1" s="1"/>
  <c r="Q1074" i="1"/>
  <c r="L1074" i="1"/>
  <c r="R1074" i="1" s="1"/>
  <c r="Q1073" i="1"/>
  <c r="L1073" i="1"/>
  <c r="R1073" i="1" s="1"/>
  <c r="R1072" i="1"/>
  <c r="Q1072" i="1"/>
  <c r="L1072" i="1"/>
  <c r="Q1071" i="1"/>
  <c r="L1071" i="1"/>
  <c r="R1071" i="1" s="1"/>
  <c r="Q1070" i="1"/>
  <c r="L1070" i="1"/>
  <c r="R1070" i="1" s="1"/>
  <c r="Q1069" i="1"/>
  <c r="L1069" i="1"/>
  <c r="R1069" i="1" s="1"/>
  <c r="R1068" i="1"/>
  <c r="Q1068" i="1"/>
  <c r="L1068" i="1"/>
  <c r="Q1067" i="1"/>
  <c r="Q1066" i="1"/>
  <c r="Q1065" i="1"/>
  <c r="Q1064" i="1"/>
  <c r="L1064" i="1"/>
  <c r="R1064" i="1" s="1"/>
  <c r="Q1063" i="1"/>
  <c r="Q1062" i="1"/>
  <c r="L1062" i="1"/>
  <c r="R1062" i="1" s="1"/>
  <c r="R1061" i="1"/>
  <c r="Q1061" i="1"/>
  <c r="L1061" i="1"/>
  <c r="Q1060" i="1"/>
  <c r="Q1059" i="1"/>
  <c r="Q1058" i="1"/>
  <c r="Q1057" i="1"/>
  <c r="Q1056" i="1"/>
  <c r="Q1082" i="1" s="1"/>
  <c r="K1051" i="1"/>
  <c r="F1050" i="1"/>
  <c r="I1050" i="1" s="1"/>
  <c r="B1049" i="1"/>
  <c r="J1048" i="1"/>
  <c r="M1048" i="1" s="1"/>
  <c r="B1047" i="1"/>
  <c r="M1030" i="1"/>
  <c r="R1020" i="1"/>
  <c r="Q1020" i="1"/>
  <c r="L1020" i="1"/>
  <c r="Q1019" i="1"/>
  <c r="R1018" i="1"/>
  <c r="Q1018" i="1"/>
  <c r="L1018" i="1"/>
  <c r="Q1017" i="1"/>
  <c r="L1017" i="1"/>
  <c r="R1017" i="1" s="1"/>
  <c r="Q1016" i="1"/>
  <c r="L1016" i="1"/>
  <c r="R1016" i="1" s="1"/>
  <c r="Q1015" i="1"/>
  <c r="L1015" i="1"/>
  <c r="R1015" i="1" s="1"/>
  <c r="Q1014" i="1"/>
  <c r="L1014" i="1"/>
  <c r="R1014" i="1" s="1"/>
  <c r="Q1013" i="1"/>
  <c r="L1013" i="1"/>
  <c r="R1013" i="1" s="1"/>
  <c r="Q1012" i="1"/>
  <c r="L1012" i="1"/>
  <c r="R1012" i="1" s="1"/>
  <c r="Q1011" i="1"/>
  <c r="L1011" i="1"/>
  <c r="R1011" i="1" s="1"/>
  <c r="Q1010" i="1"/>
  <c r="L1010" i="1"/>
  <c r="R1010" i="1" s="1"/>
  <c r="R1009" i="1"/>
  <c r="Q1009" i="1"/>
  <c r="L1009" i="1"/>
  <c r="Q1008" i="1"/>
  <c r="L1008" i="1"/>
  <c r="R1008" i="1" s="1"/>
  <c r="R1007" i="1"/>
  <c r="Q1007" i="1"/>
  <c r="L1007" i="1"/>
  <c r="Q1006" i="1"/>
  <c r="Q1005" i="1"/>
  <c r="Q1004" i="1"/>
  <c r="Q1003" i="1"/>
  <c r="L1003" i="1"/>
  <c r="R1003" i="1" s="1"/>
  <c r="Q1002" i="1"/>
  <c r="Q1001" i="1"/>
  <c r="L1001" i="1"/>
  <c r="R1001" i="1" s="1"/>
  <c r="Q1000" i="1"/>
  <c r="L1000" i="1"/>
  <c r="R1000" i="1" s="1"/>
  <c r="Q999" i="1"/>
  <c r="Q998" i="1"/>
  <c r="Q997" i="1"/>
  <c r="Q1021" i="1" s="1"/>
  <c r="Q996" i="1"/>
  <c r="Q995" i="1"/>
  <c r="K990" i="1"/>
  <c r="I989" i="1"/>
  <c r="F989" i="1"/>
  <c r="B988" i="1"/>
  <c r="J987" i="1"/>
  <c r="M987" i="1" s="1"/>
  <c r="B986" i="1"/>
  <c r="M969" i="1"/>
  <c r="Q959" i="1"/>
  <c r="L959" i="1"/>
  <c r="R959" i="1" s="1"/>
  <c r="Q958" i="1"/>
  <c r="R957" i="1"/>
  <c r="Q957" i="1"/>
  <c r="L957" i="1"/>
  <c r="R956" i="1"/>
  <c r="Q956" i="1"/>
  <c r="L956" i="1"/>
  <c r="Q955" i="1"/>
  <c r="L955" i="1"/>
  <c r="R955" i="1" s="1"/>
  <c r="Q954" i="1"/>
  <c r="L954" i="1"/>
  <c r="R954" i="1" s="1"/>
  <c r="Q953" i="1"/>
  <c r="L953" i="1"/>
  <c r="R953" i="1" s="1"/>
  <c r="Q952" i="1"/>
  <c r="L952" i="1"/>
  <c r="R952" i="1" s="1"/>
  <c r="R951" i="1"/>
  <c r="Q951" i="1"/>
  <c r="L951" i="1"/>
  <c r="Q950" i="1"/>
  <c r="L950" i="1"/>
  <c r="R950" i="1" s="1"/>
  <c r="R949" i="1"/>
  <c r="Q949" i="1"/>
  <c r="L949" i="1"/>
  <c r="Q948" i="1"/>
  <c r="L948" i="1"/>
  <c r="R948" i="1" s="1"/>
  <c r="Q947" i="1"/>
  <c r="L947" i="1"/>
  <c r="R947" i="1" s="1"/>
  <c r="R946" i="1"/>
  <c r="Q946" i="1"/>
  <c r="L946" i="1"/>
  <c r="Q945" i="1"/>
  <c r="Q944" i="1"/>
  <c r="Q943" i="1"/>
  <c r="Q942" i="1"/>
  <c r="L942" i="1"/>
  <c r="R942" i="1" s="1"/>
  <c r="Q941" i="1"/>
  <c r="R940" i="1"/>
  <c r="Q940" i="1"/>
  <c r="L940" i="1"/>
  <c r="Q939" i="1"/>
  <c r="L939" i="1"/>
  <c r="R939" i="1" s="1"/>
  <c r="Q938" i="1"/>
  <c r="Q937" i="1"/>
  <c r="Q936" i="1"/>
  <c r="Q935" i="1"/>
  <c r="Q934" i="1"/>
  <c r="Q960" i="1" s="1"/>
  <c r="K929" i="1"/>
  <c r="F928" i="1"/>
  <c r="I928" i="1" s="1"/>
  <c r="B927" i="1"/>
  <c r="J926" i="1"/>
  <c r="M926" i="1" s="1"/>
  <c r="B925" i="1"/>
  <c r="M908" i="1"/>
  <c r="Q898" i="1"/>
  <c r="L898" i="1"/>
  <c r="R898" i="1" s="1"/>
  <c r="Q897" i="1"/>
  <c r="R896" i="1"/>
  <c r="Q896" i="1"/>
  <c r="L896" i="1"/>
  <c r="Q895" i="1"/>
  <c r="L895" i="1"/>
  <c r="R895" i="1" s="1"/>
  <c r="R894" i="1"/>
  <c r="Q894" i="1"/>
  <c r="L894" i="1"/>
  <c r="Q893" i="1"/>
  <c r="L893" i="1"/>
  <c r="R893" i="1" s="1"/>
  <c r="Q892" i="1"/>
  <c r="L892" i="1"/>
  <c r="R892" i="1" s="1"/>
  <c r="Q891" i="1"/>
  <c r="L891" i="1"/>
  <c r="R891" i="1" s="1"/>
  <c r="Q890" i="1"/>
  <c r="L890" i="1"/>
  <c r="R890" i="1" s="1"/>
  <c r="R889" i="1"/>
  <c r="Q889" i="1"/>
  <c r="L889" i="1"/>
  <c r="Q888" i="1"/>
  <c r="L888" i="1"/>
  <c r="R888" i="1" s="1"/>
  <c r="Q887" i="1"/>
  <c r="L887" i="1"/>
  <c r="R887" i="1" s="1"/>
  <c r="Q886" i="1"/>
  <c r="L886" i="1"/>
  <c r="R886" i="1" s="1"/>
  <c r="R885" i="1"/>
  <c r="Q885" i="1"/>
  <c r="L885" i="1"/>
  <c r="Q884" i="1"/>
  <c r="L884" i="1"/>
  <c r="R884" i="1" s="1"/>
  <c r="Q883" i="1"/>
  <c r="L883" i="1"/>
  <c r="R883" i="1" s="1"/>
  <c r="Q882" i="1"/>
  <c r="L882" i="1"/>
  <c r="R882" i="1" s="1"/>
  <c r="Q881" i="1"/>
  <c r="L881" i="1"/>
  <c r="R881" i="1" s="1"/>
  <c r="Q880" i="1"/>
  <c r="Q879" i="1"/>
  <c r="L879" i="1"/>
  <c r="R879" i="1" s="1"/>
  <c r="R878" i="1"/>
  <c r="Q878" i="1"/>
  <c r="L878" i="1"/>
  <c r="Q877" i="1"/>
  <c r="Q876" i="1"/>
  <c r="Q875" i="1"/>
  <c r="Q874" i="1"/>
  <c r="Q873" i="1"/>
  <c r="Q899" i="1" s="1"/>
  <c r="K868" i="1"/>
  <c r="F867" i="1"/>
  <c r="I867" i="1" s="1"/>
  <c r="B866" i="1"/>
  <c r="J865" i="1"/>
  <c r="M865" i="1" s="1"/>
  <c r="B864" i="1"/>
  <c r="M847" i="1"/>
  <c r="Q837" i="1"/>
  <c r="L837" i="1"/>
  <c r="R837" i="1" s="1"/>
  <c r="Q836" i="1"/>
  <c r="R835" i="1"/>
  <c r="Q835" i="1"/>
  <c r="L835" i="1"/>
  <c r="Q834" i="1"/>
  <c r="L834" i="1"/>
  <c r="R834" i="1" s="1"/>
  <c r="Q833" i="1"/>
  <c r="L833" i="1"/>
  <c r="R833" i="1" s="1"/>
  <c r="Q832" i="1"/>
  <c r="L832" i="1"/>
  <c r="R832" i="1" s="1"/>
  <c r="Q831" i="1"/>
  <c r="L831" i="1"/>
  <c r="R831" i="1" s="1"/>
  <c r="Q830" i="1"/>
  <c r="L830" i="1"/>
  <c r="R830" i="1" s="1"/>
  <c r="Q829" i="1"/>
  <c r="L829" i="1"/>
  <c r="R829" i="1" s="1"/>
  <c r="Q828" i="1"/>
  <c r="L828" i="1"/>
  <c r="R828" i="1" s="1"/>
  <c r="Q827" i="1"/>
  <c r="L827" i="1"/>
  <c r="R827" i="1" s="1"/>
  <c r="Q826" i="1"/>
  <c r="L826" i="1"/>
  <c r="R826" i="1" s="1"/>
  <c r="Q825" i="1"/>
  <c r="L825" i="1"/>
  <c r="R825" i="1" s="1"/>
  <c r="R824" i="1"/>
  <c r="Q824" i="1"/>
  <c r="L824" i="1"/>
  <c r="Q823" i="1"/>
  <c r="L823" i="1"/>
  <c r="R823" i="1" s="1"/>
  <c r="Q822" i="1"/>
  <c r="L822" i="1"/>
  <c r="R822" i="1" s="1"/>
  <c r="Q821" i="1"/>
  <c r="L821" i="1"/>
  <c r="R821" i="1" s="1"/>
  <c r="Q820" i="1"/>
  <c r="L820" i="1"/>
  <c r="R820" i="1" s="1"/>
  <c r="Q819" i="1"/>
  <c r="Q818" i="1"/>
  <c r="L818" i="1"/>
  <c r="R818" i="1" s="1"/>
  <c r="Q817" i="1"/>
  <c r="L817" i="1"/>
  <c r="R817" i="1" s="1"/>
  <c r="Q816" i="1"/>
  <c r="Q815" i="1"/>
  <c r="Q814" i="1"/>
  <c r="Q838" i="1" s="1"/>
  <c r="Q813" i="1"/>
  <c r="Q812" i="1"/>
  <c r="K807" i="1"/>
  <c r="F806" i="1"/>
  <c r="I806" i="1" s="1"/>
  <c r="B805" i="1"/>
  <c r="J804" i="1"/>
  <c r="M804" i="1" s="1"/>
  <c r="B803" i="1"/>
  <c r="M786" i="1"/>
  <c r="Q776" i="1"/>
  <c r="L776" i="1"/>
  <c r="R776" i="1" s="1"/>
  <c r="Q775" i="1"/>
  <c r="Q774" i="1"/>
  <c r="L774" i="1"/>
  <c r="R774" i="1" s="1"/>
  <c r="Q773" i="1"/>
  <c r="L773" i="1"/>
  <c r="R773" i="1" s="1"/>
  <c r="R772" i="1"/>
  <c r="Q772" i="1"/>
  <c r="L772" i="1"/>
  <c r="Q771" i="1"/>
  <c r="L771" i="1"/>
  <c r="R771" i="1" s="1"/>
  <c r="Q770" i="1"/>
  <c r="L770" i="1"/>
  <c r="R770" i="1" s="1"/>
  <c r="Q769" i="1"/>
  <c r="L769" i="1"/>
  <c r="R769" i="1" s="1"/>
  <c r="R768" i="1"/>
  <c r="Q768" i="1"/>
  <c r="L768" i="1"/>
  <c r="Q767" i="1"/>
  <c r="L767" i="1"/>
  <c r="R767" i="1" s="1"/>
  <c r="Q766" i="1"/>
  <c r="L766" i="1"/>
  <c r="R766" i="1" s="1"/>
  <c r="Q765" i="1"/>
  <c r="L765" i="1"/>
  <c r="R765" i="1" s="1"/>
  <c r="Q764" i="1"/>
  <c r="L764" i="1"/>
  <c r="R764" i="1" s="1"/>
  <c r="R763" i="1"/>
  <c r="Q763" i="1"/>
  <c r="L763" i="1"/>
  <c r="Q762" i="1"/>
  <c r="L762" i="1"/>
  <c r="R762" i="1" s="1"/>
  <c r="R761" i="1"/>
  <c r="Q761" i="1"/>
  <c r="L761" i="1"/>
  <c r="Q760" i="1"/>
  <c r="L760" i="1"/>
  <c r="R760" i="1" s="1"/>
  <c r="Q759" i="1"/>
  <c r="L759" i="1"/>
  <c r="R759" i="1" s="1"/>
  <c r="Q758" i="1"/>
  <c r="L758" i="1"/>
  <c r="R758" i="1" s="1"/>
  <c r="Q757" i="1"/>
  <c r="L757" i="1"/>
  <c r="R757" i="1" s="1"/>
  <c r="R756" i="1"/>
  <c r="Q756" i="1"/>
  <c r="L756" i="1"/>
  <c r="Q755" i="1"/>
  <c r="Q754" i="1"/>
  <c r="Q753" i="1"/>
  <c r="Q752" i="1"/>
  <c r="L752" i="1"/>
  <c r="R752" i="1" s="1"/>
  <c r="Q751" i="1"/>
  <c r="Q777" i="1" s="1"/>
  <c r="K746" i="1"/>
  <c r="F745" i="1"/>
  <c r="I745" i="1" s="1"/>
  <c r="B744" i="1"/>
  <c r="J743" i="1"/>
  <c r="M743" i="1" s="1"/>
  <c r="B742" i="1"/>
  <c r="M725" i="1"/>
  <c r="Q715" i="1"/>
  <c r="L715" i="1"/>
  <c r="R715" i="1" s="1"/>
  <c r="Q714" i="1"/>
  <c r="R713" i="1"/>
  <c r="Q713" i="1"/>
  <c r="L713" i="1"/>
  <c r="Q712" i="1"/>
  <c r="L712" i="1"/>
  <c r="R712" i="1" s="1"/>
  <c r="Q711" i="1"/>
  <c r="L711" i="1"/>
  <c r="R711" i="1" s="1"/>
  <c r="Q710" i="1"/>
  <c r="L710" i="1"/>
  <c r="R710" i="1" s="1"/>
  <c r="Q709" i="1"/>
  <c r="L709" i="1"/>
  <c r="R709" i="1" s="1"/>
  <c r="Q708" i="1"/>
  <c r="L708" i="1"/>
  <c r="R708" i="1" s="1"/>
  <c r="Q707" i="1"/>
  <c r="L707" i="1"/>
  <c r="R707" i="1" s="1"/>
  <c r="Q706" i="1"/>
  <c r="L706" i="1"/>
  <c r="R706" i="1" s="1"/>
  <c r="R705" i="1"/>
  <c r="Q705" i="1"/>
  <c r="L705" i="1"/>
  <c r="Q704" i="1"/>
  <c r="L704" i="1"/>
  <c r="R704" i="1" s="1"/>
  <c r="Q703" i="1"/>
  <c r="L703" i="1"/>
  <c r="R703" i="1" s="1"/>
  <c r="R702" i="1"/>
  <c r="Q702" i="1"/>
  <c r="L702" i="1"/>
  <c r="Q701" i="1"/>
  <c r="L701" i="1"/>
  <c r="R701" i="1" s="1"/>
  <c r="R700" i="1"/>
  <c r="Q700" i="1"/>
  <c r="L700" i="1"/>
  <c r="Q699" i="1"/>
  <c r="L699" i="1"/>
  <c r="R699" i="1" s="1"/>
  <c r="Q698" i="1"/>
  <c r="L698" i="1"/>
  <c r="R698" i="1" s="1"/>
  <c r="R697" i="1"/>
  <c r="Q697" i="1"/>
  <c r="L697" i="1"/>
  <c r="Q696" i="1"/>
  <c r="L696" i="1"/>
  <c r="R696" i="1" s="1"/>
  <c r="Q695" i="1"/>
  <c r="L695" i="1"/>
  <c r="R695" i="1" s="1"/>
  <c r="Q694" i="1"/>
  <c r="Q693" i="1"/>
  <c r="Q692" i="1"/>
  <c r="L692" i="1"/>
  <c r="R692" i="1" s="1"/>
  <c r="Q691" i="1"/>
  <c r="L691" i="1"/>
  <c r="R691" i="1" s="1"/>
  <c r="Q690" i="1"/>
  <c r="Q716" i="1" s="1"/>
  <c r="K685" i="1"/>
  <c r="F684" i="1"/>
  <c r="I684" i="1" s="1"/>
  <c r="B683" i="1"/>
  <c r="J682" i="1"/>
  <c r="M682" i="1" s="1"/>
  <c r="B681" i="1"/>
  <c r="M664" i="1"/>
  <c r="Q654" i="1"/>
  <c r="L654" i="1"/>
  <c r="R654" i="1" s="1"/>
  <c r="Q653" i="1"/>
  <c r="R652" i="1"/>
  <c r="Q652" i="1"/>
  <c r="L652" i="1"/>
  <c r="Q651" i="1"/>
  <c r="L651" i="1"/>
  <c r="R651" i="1" s="1"/>
  <c r="Q650" i="1"/>
  <c r="L650" i="1"/>
  <c r="R650" i="1" s="1"/>
  <c r="Q649" i="1"/>
  <c r="L649" i="1"/>
  <c r="R649" i="1" s="1"/>
  <c r="Q648" i="1"/>
  <c r="L648" i="1"/>
  <c r="R648" i="1" s="1"/>
  <c r="Q647" i="1"/>
  <c r="L647" i="1"/>
  <c r="R647" i="1" s="1"/>
  <c r="Q646" i="1"/>
  <c r="L646" i="1"/>
  <c r="R646" i="1" s="1"/>
  <c r="Q645" i="1"/>
  <c r="L645" i="1"/>
  <c r="R645" i="1" s="1"/>
  <c r="Q644" i="1"/>
  <c r="L644" i="1"/>
  <c r="R644" i="1" s="1"/>
  <c r="Q643" i="1"/>
  <c r="L643" i="1"/>
  <c r="R643" i="1" s="1"/>
  <c r="Q642" i="1"/>
  <c r="L642" i="1"/>
  <c r="R642" i="1" s="1"/>
  <c r="R641" i="1"/>
  <c r="Q641" i="1"/>
  <c r="L641" i="1"/>
  <c r="Q640" i="1"/>
  <c r="L640" i="1"/>
  <c r="R640" i="1" s="1"/>
  <c r="Q639" i="1"/>
  <c r="L639" i="1"/>
  <c r="R639" i="1" s="1"/>
  <c r="Q638" i="1"/>
  <c r="L638" i="1"/>
  <c r="R638" i="1" s="1"/>
  <c r="Q637" i="1"/>
  <c r="L637" i="1"/>
  <c r="R637" i="1" s="1"/>
  <c r="R636" i="1"/>
  <c r="Q636" i="1"/>
  <c r="L636" i="1"/>
  <c r="Q635" i="1"/>
  <c r="L635" i="1"/>
  <c r="R635" i="1" s="1"/>
  <c r="Q634" i="1"/>
  <c r="L634" i="1"/>
  <c r="R634" i="1" s="1"/>
  <c r="Q633" i="1"/>
  <c r="Q632" i="1"/>
  <c r="Q631" i="1"/>
  <c r="Q655" i="1" s="1"/>
  <c r="L631" i="1"/>
  <c r="R631" i="1" s="1"/>
  <c r="Q630" i="1"/>
  <c r="L630" i="1"/>
  <c r="R630" i="1" s="1"/>
  <c r="Q629" i="1"/>
  <c r="K624" i="1"/>
  <c r="F623" i="1"/>
  <c r="I623" i="1" s="1"/>
  <c r="B622" i="1"/>
  <c r="J621" i="1"/>
  <c r="M621" i="1" s="1"/>
  <c r="B620" i="1"/>
  <c r="M603" i="1"/>
  <c r="Q593" i="1"/>
  <c r="L593" i="1"/>
  <c r="R593" i="1" s="1"/>
  <c r="Q592" i="1"/>
  <c r="R591" i="1"/>
  <c r="Q591" i="1"/>
  <c r="L591" i="1"/>
  <c r="Q590" i="1"/>
  <c r="L590" i="1"/>
  <c r="R590" i="1" s="1"/>
  <c r="R589" i="1"/>
  <c r="Q589" i="1"/>
  <c r="L589" i="1"/>
  <c r="Q588" i="1"/>
  <c r="L588" i="1"/>
  <c r="R588" i="1" s="1"/>
  <c r="Q587" i="1"/>
  <c r="L587" i="1"/>
  <c r="R587" i="1" s="1"/>
  <c r="Q586" i="1"/>
  <c r="L586" i="1"/>
  <c r="R586" i="1" s="1"/>
  <c r="Q585" i="1"/>
  <c r="L585" i="1"/>
  <c r="R585" i="1" s="1"/>
  <c r="Q584" i="1"/>
  <c r="L584" i="1"/>
  <c r="R584" i="1" s="1"/>
  <c r="Q583" i="1"/>
  <c r="L583" i="1"/>
  <c r="R583" i="1" s="1"/>
  <c r="Q582" i="1"/>
  <c r="L582" i="1"/>
  <c r="R582" i="1" s="1"/>
  <c r="Q581" i="1"/>
  <c r="L581" i="1"/>
  <c r="R581" i="1" s="1"/>
  <c r="R580" i="1"/>
  <c r="Q580" i="1"/>
  <c r="L580" i="1"/>
  <c r="Q579" i="1"/>
  <c r="L579" i="1"/>
  <c r="R579" i="1" s="1"/>
  <c r="R578" i="1"/>
  <c r="Q578" i="1"/>
  <c r="L578" i="1"/>
  <c r="Q577" i="1"/>
  <c r="L577" i="1"/>
  <c r="R577" i="1" s="1"/>
  <c r="Q576" i="1"/>
  <c r="L576" i="1"/>
  <c r="R576" i="1" s="1"/>
  <c r="R575" i="1"/>
  <c r="Q575" i="1"/>
  <c r="L575" i="1"/>
  <c r="Q574" i="1"/>
  <c r="L574" i="1"/>
  <c r="R574" i="1" s="1"/>
  <c r="R573" i="1"/>
  <c r="Q573" i="1"/>
  <c r="L573" i="1"/>
  <c r="Q572" i="1"/>
  <c r="Q571" i="1"/>
  <c r="Q570" i="1"/>
  <c r="L570" i="1"/>
  <c r="R570" i="1" s="1"/>
  <c r="Q569" i="1"/>
  <c r="L569" i="1"/>
  <c r="R569" i="1" s="1"/>
  <c r="Q568" i="1"/>
  <c r="Q594" i="1" s="1"/>
  <c r="K563" i="1"/>
  <c r="F562" i="1"/>
  <c r="I562" i="1" s="1"/>
  <c r="B561" i="1"/>
  <c r="J560" i="1"/>
  <c r="M560" i="1" s="1"/>
  <c r="B559" i="1"/>
  <c r="M542" i="1"/>
  <c r="Q532" i="1"/>
  <c r="L532" i="1"/>
  <c r="R532" i="1" s="1"/>
  <c r="Q531" i="1"/>
  <c r="R530" i="1"/>
  <c r="Q530" i="1"/>
  <c r="L530" i="1"/>
  <c r="Q529" i="1"/>
  <c r="L529" i="1"/>
  <c r="R529" i="1" s="1"/>
  <c r="R528" i="1"/>
  <c r="Q528" i="1"/>
  <c r="L528" i="1"/>
  <c r="Q527" i="1"/>
  <c r="L527" i="1"/>
  <c r="R527" i="1" s="1"/>
  <c r="Q526" i="1"/>
  <c r="L526" i="1"/>
  <c r="R526" i="1" s="1"/>
  <c r="Q525" i="1"/>
  <c r="L525" i="1"/>
  <c r="R525" i="1" s="1"/>
  <c r="Q524" i="1"/>
  <c r="L524" i="1"/>
  <c r="R524" i="1" s="1"/>
  <c r="Q523" i="1"/>
  <c r="L523" i="1"/>
  <c r="R523" i="1" s="1"/>
  <c r="Q522" i="1"/>
  <c r="L522" i="1"/>
  <c r="R522" i="1" s="1"/>
  <c r="Q521" i="1"/>
  <c r="L521" i="1"/>
  <c r="R521" i="1" s="1"/>
  <c r="Q520" i="1"/>
  <c r="L520" i="1"/>
  <c r="R520" i="1" s="1"/>
  <c r="R519" i="1"/>
  <c r="Q519" i="1"/>
  <c r="L519" i="1"/>
  <c r="Q518" i="1"/>
  <c r="L518" i="1"/>
  <c r="R518" i="1" s="1"/>
  <c r="R517" i="1"/>
  <c r="Q517" i="1"/>
  <c r="L517" i="1"/>
  <c r="Q516" i="1"/>
  <c r="L516" i="1"/>
  <c r="R516" i="1" s="1"/>
  <c r="Q515" i="1"/>
  <c r="L515" i="1"/>
  <c r="R515" i="1" s="1"/>
  <c r="R514" i="1"/>
  <c r="Q514" i="1"/>
  <c r="L514" i="1"/>
  <c r="Q513" i="1"/>
  <c r="L513" i="1"/>
  <c r="R513" i="1" s="1"/>
  <c r="R512" i="1"/>
  <c r="Q512" i="1"/>
  <c r="L512" i="1"/>
  <c r="Q511" i="1"/>
  <c r="Q510" i="1"/>
  <c r="Q509" i="1"/>
  <c r="L509" i="1"/>
  <c r="R509" i="1" s="1"/>
  <c r="Q508" i="1"/>
  <c r="L508" i="1"/>
  <c r="R508" i="1" s="1"/>
  <c r="Q507" i="1"/>
  <c r="Q533" i="1" s="1"/>
  <c r="K502" i="1"/>
  <c r="F501" i="1"/>
  <c r="I501" i="1" s="1"/>
  <c r="B500" i="1"/>
  <c r="J499" i="1"/>
  <c r="M499" i="1" s="1"/>
  <c r="B498" i="1"/>
  <c r="M481" i="1"/>
  <c r="Q471" i="1"/>
  <c r="L471" i="1"/>
  <c r="R471" i="1" s="1"/>
  <c r="Q470" i="1"/>
  <c r="R469" i="1"/>
  <c r="Q469" i="1"/>
  <c r="L469" i="1"/>
  <c r="R468" i="1"/>
  <c r="Q468" i="1"/>
  <c r="L468" i="1"/>
  <c r="Q467" i="1"/>
  <c r="L467" i="1"/>
  <c r="R467" i="1" s="1"/>
  <c r="Q466" i="1"/>
  <c r="L466" i="1"/>
  <c r="R466" i="1" s="1"/>
  <c r="Q465" i="1"/>
  <c r="L465" i="1"/>
  <c r="R465" i="1" s="1"/>
  <c r="Q464" i="1"/>
  <c r="L464" i="1"/>
  <c r="R464" i="1" s="1"/>
  <c r="R463" i="1"/>
  <c r="Q463" i="1"/>
  <c r="L463" i="1"/>
  <c r="Q462" i="1"/>
  <c r="L462" i="1"/>
  <c r="R462" i="1" s="1"/>
  <c r="Q461" i="1"/>
  <c r="L461" i="1"/>
  <c r="R461" i="1" s="1"/>
  <c r="Q460" i="1"/>
  <c r="L460" i="1"/>
  <c r="R460" i="1" s="1"/>
  <c r="Q459" i="1"/>
  <c r="L459" i="1"/>
  <c r="R459" i="1" s="1"/>
  <c r="R458" i="1"/>
  <c r="Q458" i="1"/>
  <c r="L458" i="1"/>
  <c r="Q457" i="1"/>
  <c r="L457" i="1"/>
  <c r="R457" i="1" s="1"/>
  <c r="Q456" i="1"/>
  <c r="L456" i="1"/>
  <c r="R456" i="1" s="1"/>
  <c r="Q455" i="1"/>
  <c r="L455" i="1"/>
  <c r="R455" i="1" s="1"/>
  <c r="Q454" i="1"/>
  <c r="L454" i="1"/>
  <c r="R454" i="1" s="1"/>
  <c r="R453" i="1"/>
  <c r="Q453" i="1"/>
  <c r="L453" i="1"/>
  <c r="R452" i="1"/>
  <c r="Q452" i="1"/>
  <c r="L452" i="1"/>
  <c r="Q451" i="1"/>
  <c r="L451" i="1"/>
  <c r="R451" i="1" s="1"/>
  <c r="Q450" i="1"/>
  <c r="Q449" i="1"/>
  <c r="Q448" i="1"/>
  <c r="L448" i="1"/>
  <c r="R448" i="1" s="1"/>
  <c r="R447" i="1"/>
  <c r="Q447" i="1"/>
  <c r="Q472" i="1" s="1"/>
  <c r="L447" i="1"/>
  <c r="Q446" i="1"/>
  <c r="K441" i="1"/>
  <c r="F440" i="1"/>
  <c r="I440" i="1" s="1"/>
  <c r="B439" i="1"/>
  <c r="J438" i="1"/>
  <c r="M438" i="1" s="1"/>
  <c r="B437" i="1"/>
  <c r="M420" i="1"/>
  <c r="Q410" i="1"/>
  <c r="L410" i="1"/>
  <c r="R410" i="1" s="1"/>
  <c r="Q409" i="1"/>
  <c r="Q408" i="1"/>
  <c r="L408" i="1"/>
  <c r="R408" i="1" s="1"/>
  <c r="Q407" i="1"/>
  <c r="L407" i="1"/>
  <c r="R407" i="1" s="1"/>
  <c r="Q406" i="1"/>
  <c r="L406" i="1"/>
  <c r="R406" i="1" s="1"/>
  <c r="Q405" i="1"/>
  <c r="L405" i="1"/>
  <c r="R405" i="1" s="1"/>
  <c r="Q404" i="1"/>
  <c r="L404" i="1"/>
  <c r="R404" i="1" s="1"/>
  <c r="Q403" i="1"/>
  <c r="L403" i="1"/>
  <c r="R403" i="1" s="1"/>
  <c r="R402" i="1"/>
  <c r="Q402" i="1"/>
  <c r="L402" i="1"/>
  <c r="Q401" i="1"/>
  <c r="L401" i="1"/>
  <c r="R401" i="1" s="1"/>
  <c r="R400" i="1"/>
  <c r="Q400" i="1"/>
  <c r="L400" i="1"/>
  <c r="Q399" i="1"/>
  <c r="L399" i="1"/>
  <c r="R399" i="1" s="1"/>
  <c r="Q398" i="1"/>
  <c r="L398" i="1"/>
  <c r="R398" i="1" s="1"/>
  <c r="R397" i="1"/>
  <c r="Q397" i="1"/>
  <c r="L397" i="1"/>
  <c r="Q396" i="1"/>
  <c r="L396" i="1"/>
  <c r="R396" i="1" s="1"/>
  <c r="R395" i="1"/>
  <c r="Q395" i="1"/>
  <c r="L395" i="1"/>
  <c r="Q394" i="1"/>
  <c r="L394" i="1"/>
  <c r="R394" i="1" s="1"/>
  <c r="Q393" i="1"/>
  <c r="L393" i="1"/>
  <c r="R393" i="1" s="1"/>
  <c r="Q392" i="1"/>
  <c r="L392" i="1"/>
  <c r="R392" i="1" s="1"/>
  <c r="Q391" i="1"/>
  <c r="L391" i="1"/>
  <c r="R391" i="1" s="1"/>
  <c r="Q390" i="1"/>
  <c r="L390" i="1"/>
  <c r="R390" i="1" s="1"/>
  <c r="Q389" i="1"/>
  <c r="Q388" i="1"/>
  <c r="Q387" i="1"/>
  <c r="L387" i="1"/>
  <c r="R387" i="1" s="1"/>
  <c r="R386" i="1"/>
  <c r="Q386" i="1"/>
  <c r="L386" i="1"/>
  <c r="Q385" i="1"/>
  <c r="Q411" i="1" s="1"/>
  <c r="K380" i="1"/>
  <c r="F379" i="1"/>
  <c r="I379" i="1" s="1"/>
  <c r="B378" i="1"/>
  <c r="J377" i="1"/>
  <c r="M377" i="1" s="1"/>
  <c r="B376" i="1"/>
  <c r="M359" i="1"/>
  <c r="Q349" i="1"/>
  <c r="L349" i="1"/>
  <c r="R349" i="1" s="1"/>
  <c r="Q348" i="1"/>
  <c r="Q347" i="1"/>
  <c r="L347" i="1"/>
  <c r="R347" i="1" s="1"/>
  <c r="Q346" i="1"/>
  <c r="L346" i="1"/>
  <c r="R346" i="1" s="1"/>
  <c r="R345" i="1"/>
  <c r="Q345" i="1"/>
  <c r="L345" i="1"/>
  <c r="Q344" i="1"/>
  <c r="L344" i="1"/>
  <c r="R344" i="1" s="1"/>
  <c r="Q343" i="1"/>
  <c r="L343" i="1"/>
  <c r="R343" i="1" s="1"/>
  <c r="Q342" i="1"/>
  <c r="L342" i="1"/>
  <c r="R342" i="1" s="1"/>
  <c r="R341" i="1"/>
  <c r="Q341" i="1"/>
  <c r="L341" i="1"/>
  <c r="Q340" i="1"/>
  <c r="L340" i="1"/>
  <c r="R340" i="1" s="1"/>
  <c r="Q339" i="1"/>
  <c r="L339" i="1"/>
  <c r="R339" i="1" s="1"/>
  <c r="Q338" i="1"/>
  <c r="L338" i="1"/>
  <c r="R338" i="1" s="1"/>
  <c r="Q337" i="1"/>
  <c r="L337" i="1"/>
  <c r="R337" i="1" s="1"/>
  <c r="R336" i="1"/>
  <c r="Q336" i="1"/>
  <c r="L336" i="1"/>
  <c r="Q335" i="1"/>
  <c r="L335" i="1"/>
  <c r="R335" i="1" s="1"/>
  <c r="R334" i="1"/>
  <c r="Q334" i="1"/>
  <c r="L334" i="1"/>
  <c r="Q333" i="1"/>
  <c r="L333" i="1"/>
  <c r="R333" i="1" s="1"/>
  <c r="Q332" i="1"/>
  <c r="L332" i="1"/>
  <c r="R332" i="1" s="1"/>
  <c r="Q331" i="1"/>
  <c r="L331" i="1"/>
  <c r="R331" i="1" s="1"/>
  <c r="Q330" i="1"/>
  <c r="L330" i="1"/>
  <c r="R330" i="1" s="1"/>
  <c r="R329" i="1"/>
  <c r="Q329" i="1"/>
  <c r="L329" i="1"/>
  <c r="Q328" i="1"/>
  <c r="Q327" i="1"/>
  <c r="L327" i="1"/>
  <c r="R327" i="1" s="1"/>
  <c r="Q326" i="1"/>
  <c r="L326" i="1"/>
  <c r="R326" i="1" s="1"/>
  <c r="R325" i="1"/>
  <c r="Q325" i="1"/>
  <c r="L325" i="1"/>
  <c r="Q324" i="1"/>
  <c r="Q350" i="1" s="1"/>
  <c r="K319" i="1"/>
  <c r="F318" i="1"/>
  <c r="I318" i="1" s="1"/>
  <c r="B317" i="1"/>
  <c r="J316" i="1"/>
  <c r="M316" i="1" s="1"/>
  <c r="B315" i="1"/>
  <c r="M298" i="1"/>
  <c r="Q288" i="1"/>
  <c r="L288" i="1"/>
  <c r="R288" i="1" s="1"/>
  <c r="Q287" i="1"/>
  <c r="R286" i="1"/>
  <c r="Q286" i="1"/>
  <c r="L286" i="1"/>
  <c r="Q285" i="1"/>
  <c r="L285" i="1"/>
  <c r="R285" i="1" s="1"/>
  <c r="Q284" i="1"/>
  <c r="L284" i="1"/>
  <c r="R284" i="1" s="1"/>
  <c r="Q283" i="1"/>
  <c r="L283" i="1"/>
  <c r="R283" i="1" s="1"/>
  <c r="Q282" i="1"/>
  <c r="L282" i="1"/>
  <c r="R282" i="1" s="1"/>
  <c r="Q281" i="1"/>
  <c r="L281" i="1"/>
  <c r="R281" i="1" s="1"/>
  <c r="R280" i="1"/>
  <c r="Q280" i="1"/>
  <c r="L280" i="1"/>
  <c r="Q279" i="1"/>
  <c r="L279" i="1"/>
  <c r="R279" i="1" s="1"/>
  <c r="Q278" i="1"/>
  <c r="L278" i="1"/>
  <c r="R278" i="1" s="1"/>
  <c r="Q277" i="1"/>
  <c r="L277" i="1"/>
  <c r="R277" i="1" s="1"/>
  <c r="Q276" i="1"/>
  <c r="L276" i="1"/>
  <c r="R276" i="1" s="1"/>
  <c r="R275" i="1"/>
  <c r="Q275" i="1"/>
  <c r="L275" i="1"/>
  <c r="Q274" i="1"/>
  <c r="L274" i="1"/>
  <c r="R274" i="1" s="1"/>
  <c r="Q273" i="1"/>
  <c r="L273" i="1"/>
  <c r="R273" i="1" s="1"/>
  <c r="Q272" i="1"/>
  <c r="L272" i="1"/>
  <c r="R272" i="1" s="1"/>
  <c r="Q271" i="1"/>
  <c r="L271" i="1"/>
  <c r="R271" i="1" s="1"/>
  <c r="R270" i="1"/>
  <c r="Q270" i="1"/>
  <c r="L270" i="1"/>
  <c r="Q269" i="1"/>
  <c r="L269" i="1"/>
  <c r="R269" i="1" s="1"/>
  <c r="Q268" i="1"/>
  <c r="L268" i="1"/>
  <c r="R268" i="1" s="1"/>
  <c r="Q267" i="1"/>
  <c r="Q266" i="1"/>
  <c r="L266" i="1"/>
  <c r="R266" i="1" s="1"/>
  <c r="Q265" i="1"/>
  <c r="Q289" i="1" s="1"/>
  <c r="L265" i="1"/>
  <c r="R265" i="1" s="1"/>
  <c r="R264" i="1"/>
  <c r="Q264" i="1"/>
  <c r="L264" i="1"/>
  <c r="Q263" i="1"/>
  <c r="D259" i="1"/>
  <c r="K258" i="1"/>
  <c r="F257" i="1"/>
  <c r="I257" i="1" s="1"/>
  <c r="B256" i="1"/>
  <c r="J255" i="1"/>
  <c r="M255" i="1" s="1"/>
  <c r="B254" i="1"/>
  <c r="M237" i="1"/>
  <c r="R227" i="1"/>
  <c r="Q227" i="1"/>
  <c r="L227" i="1"/>
  <c r="Q226" i="1"/>
  <c r="R225" i="1"/>
  <c r="Q225" i="1"/>
  <c r="L225" i="1"/>
  <c r="Q224" i="1"/>
  <c r="L224" i="1"/>
  <c r="R224" i="1" s="1"/>
  <c r="Q223" i="1"/>
  <c r="L223" i="1"/>
  <c r="R223" i="1" s="1"/>
  <c r="R222" i="1"/>
  <c r="Q222" i="1"/>
  <c r="L222" i="1"/>
  <c r="Q221" i="1"/>
  <c r="L221" i="1"/>
  <c r="R221" i="1" s="1"/>
  <c r="Q220" i="1"/>
  <c r="L220" i="1"/>
  <c r="R220" i="1" s="1"/>
  <c r="Q219" i="1"/>
  <c r="L219" i="1"/>
  <c r="R219" i="1" s="1"/>
  <c r="Q218" i="1"/>
  <c r="L218" i="1"/>
  <c r="R218" i="1" s="1"/>
  <c r="Q217" i="1"/>
  <c r="L217" i="1"/>
  <c r="R217" i="1" s="1"/>
  <c r="Q216" i="1"/>
  <c r="L216" i="1"/>
  <c r="R216" i="1" s="1"/>
  <c r="Q215" i="1"/>
  <c r="L215" i="1"/>
  <c r="R215" i="1" s="1"/>
  <c r="R214" i="1"/>
  <c r="Q214" i="1"/>
  <c r="L214" i="1"/>
  <c r="Q213" i="1"/>
  <c r="L213" i="1"/>
  <c r="R213" i="1" s="1"/>
  <c r="Q212" i="1"/>
  <c r="L212" i="1"/>
  <c r="R212" i="1" s="1"/>
  <c r="R211" i="1"/>
  <c r="Q211" i="1"/>
  <c r="L211" i="1"/>
  <c r="Q210" i="1"/>
  <c r="L210" i="1"/>
  <c r="R210" i="1" s="1"/>
  <c r="R209" i="1"/>
  <c r="Q209" i="1"/>
  <c r="L209" i="1"/>
  <c r="Q208" i="1"/>
  <c r="L208" i="1"/>
  <c r="R208" i="1" s="1"/>
  <c r="Q207" i="1"/>
  <c r="L207" i="1"/>
  <c r="R207" i="1" s="1"/>
  <c r="Q206" i="1"/>
  <c r="Q205" i="1"/>
  <c r="L205" i="1"/>
  <c r="R205" i="1" s="1"/>
  <c r="Q204" i="1"/>
  <c r="L204" i="1"/>
  <c r="R204" i="1" s="1"/>
  <c r="Q203" i="1"/>
  <c r="L203" i="1"/>
  <c r="R203" i="1" s="1"/>
  <c r="Q202" i="1"/>
  <c r="Q228" i="1" s="1"/>
  <c r="D198" i="1"/>
  <c r="K197" i="1"/>
  <c r="F196" i="1"/>
  <c r="I196" i="1" s="1"/>
  <c r="B195" i="1"/>
  <c r="J194" i="1"/>
  <c r="M194" i="1" s="1"/>
  <c r="B193" i="1"/>
  <c r="L150" i="1"/>
  <c r="L151" i="1"/>
  <c r="L152" i="1"/>
  <c r="L153" i="1"/>
  <c r="L154" i="1"/>
  <c r="L155" i="1"/>
  <c r="R155" i="1" s="1"/>
  <c r="L156" i="1"/>
  <c r="R156" i="1" s="1"/>
  <c r="L157" i="1"/>
  <c r="L158" i="1"/>
  <c r="L159" i="1"/>
  <c r="L160" i="1"/>
  <c r="L161" i="1"/>
  <c r="R161" i="1" s="1"/>
  <c r="L162" i="1"/>
  <c r="L163" i="1"/>
  <c r="R163" i="1" s="1"/>
  <c r="L164" i="1"/>
  <c r="R164" i="1" s="1"/>
  <c r="L166" i="1"/>
  <c r="L142" i="1"/>
  <c r="L143" i="1"/>
  <c r="L144" i="1"/>
  <c r="L146" i="1"/>
  <c r="R146" i="1" s="1"/>
  <c r="L147" i="1"/>
  <c r="L148" i="1"/>
  <c r="R148" i="1" s="1"/>
  <c r="L149" i="1"/>
  <c r="R149" i="1" s="1"/>
  <c r="L91" i="1"/>
  <c r="L92" i="1"/>
  <c r="L93" i="1"/>
  <c r="L94" i="1"/>
  <c r="L95" i="1"/>
  <c r="L96" i="1"/>
  <c r="L97" i="1"/>
  <c r="L98" i="1"/>
  <c r="L99" i="1"/>
  <c r="L100" i="1"/>
  <c r="L101" i="1"/>
  <c r="R101" i="1" s="1"/>
  <c r="L102" i="1"/>
  <c r="L103" i="1"/>
  <c r="L104" i="1"/>
  <c r="R104" i="1" s="1"/>
  <c r="L105" i="1"/>
  <c r="R105" i="1" s="1"/>
  <c r="L81" i="1"/>
  <c r="R150" i="1" s="1"/>
  <c r="L82" i="1"/>
  <c r="L83" i="1"/>
  <c r="R152" i="1" s="1"/>
  <c r="L84" i="1"/>
  <c r="R153" i="1" s="1"/>
  <c r="L85" i="1"/>
  <c r="R154" i="1" s="1"/>
  <c r="L86" i="1"/>
  <c r="L87" i="1"/>
  <c r="L88" i="1"/>
  <c r="L89" i="1"/>
  <c r="R158" i="1" s="1"/>
  <c r="L90" i="1"/>
  <c r="R90" i="1" s="1"/>
  <c r="D137" i="1"/>
  <c r="F135" i="1"/>
  <c r="I135" i="1" s="1"/>
  <c r="J133" i="1"/>
  <c r="M133" i="1" s="1"/>
  <c r="B132" i="1"/>
  <c r="M176" i="1"/>
  <c r="M236" i="1"/>
  <c r="M297" i="1" s="1"/>
  <c r="M358" i="1" s="1"/>
  <c r="M419" i="1" s="1"/>
  <c r="M480" i="1" s="1"/>
  <c r="M541" i="1" s="1"/>
  <c r="M602" i="1" s="1"/>
  <c r="M663" i="1" s="1"/>
  <c r="M724" i="1" s="1"/>
  <c r="M785" i="1" s="1"/>
  <c r="M846" i="1" s="1"/>
  <c r="M907" i="1" s="1"/>
  <c r="M968" i="1" s="1"/>
  <c r="M1029" i="1" s="1"/>
  <c r="M1090" i="1" s="1"/>
  <c r="M1151" i="1" s="1"/>
  <c r="M1212" i="1" s="1"/>
  <c r="M1273" i="1" s="1"/>
  <c r="M1334" i="1" s="1"/>
  <c r="M1395" i="1" s="1"/>
  <c r="M1456" i="1" s="1"/>
  <c r="M1517" i="1" s="1"/>
  <c r="M1578" i="1" s="1"/>
  <c r="M1639" i="1" s="1"/>
  <c r="M1700" i="1" s="1"/>
  <c r="M1761" i="1" s="1"/>
  <c r="M1822" i="1" s="1"/>
  <c r="E175" i="1"/>
  <c r="E236" i="1" s="1"/>
  <c r="E297" i="1" s="1"/>
  <c r="E358" i="1" s="1"/>
  <c r="E419" i="1" s="1"/>
  <c r="E480" i="1" s="1"/>
  <c r="E541" i="1" s="1"/>
  <c r="E602" i="1" s="1"/>
  <c r="E663" i="1" s="1"/>
  <c r="E724" i="1" s="1"/>
  <c r="E785" i="1" s="1"/>
  <c r="E846" i="1" s="1"/>
  <c r="E907" i="1" s="1"/>
  <c r="E968" i="1" s="1"/>
  <c r="E1029" i="1" s="1"/>
  <c r="E1090" i="1" s="1"/>
  <c r="E1151" i="1" s="1"/>
  <c r="E1212" i="1" s="1"/>
  <c r="E1273" i="1" s="1"/>
  <c r="E1334" i="1" s="1"/>
  <c r="E1395" i="1" s="1"/>
  <c r="E1456" i="1" s="1"/>
  <c r="E1517" i="1" s="1"/>
  <c r="E1578" i="1" s="1"/>
  <c r="E1639" i="1" s="1"/>
  <c r="E1700" i="1" s="1"/>
  <c r="E1761" i="1" s="1"/>
  <c r="E1822" i="1" s="1"/>
  <c r="M235" i="1"/>
  <c r="M296" i="1" s="1"/>
  <c r="M357" i="1" s="1"/>
  <c r="M418" i="1" s="1"/>
  <c r="M479" i="1" s="1"/>
  <c r="M540" i="1" s="1"/>
  <c r="M601" i="1" s="1"/>
  <c r="M662" i="1" s="1"/>
  <c r="M723" i="1" s="1"/>
  <c r="M784" i="1" s="1"/>
  <c r="M845" i="1" s="1"/>
  <c r="M906" i="1" s="1"/>
  <c r="M967" i="1" s="1"/>
  <c r="M1028" i="1" s="1"/>
  <c r="M1089" i="1" s="1"/>
  <c r="M1150" i="1" s="1"/>
  <c r="M1211" i="1" s="1"/>
  <c r="M1272" i="1" s="1"/>
  <c r="M1333" i="1" s="1"/>
  <c r="M1394" i="1" s="1"/>
  <c r="M1455" i="1" s="1"/>
  <c r="M1516" i="1" s="1"/>
  <c r="M1577" i="1" s="1"/>
  <c r="M1638" i="1" s="1"/>
  <c r="M1699" i="1" s="1"/>
  <c r="M1760" i="1" s="1"/>
  <c r="M1821" i="1" s="1"/>
  <c r="R166" i="1"/>
  <c r="Q166" i="1"/>
  <c r="Q165" i="1"/>
  <c r="Q164" i="1"/>
  <c r="Q163" i="1"/>
  <c r="R162" i="1"/>
  <c r="Q162" i="1"/>
  <c r="Q161" i="1"/>
  <c r="Q160" i="1"/>
  <c r="R160" i="1"/>
  <c r="Q159" i="1"/>
  <c r="R159" i="1"/>
  <c r="Q158" i="1"/>
  <c r="Q157" i="1"/>
  <c r="R157" i="1"/>
  <c r="Q156" i="1"/>
  <c r="Q155" i="1"/>
  <c r="Q154" i="1"/>
  <c r="Q153" i="1"/>
  <c r="Q152" i="1"/>
  <c r="Q151" i="1"/>
  <c r="R151" i="1"/>
  <c r="Q150" i="1"/>
  <c r="Q149" i="1"/>
  <c r="Q148" i="1"/>
  <c r="Q147" i="1"/>
  <c r="R147" i="1"/>
  <c r="Q146" i="1"/>
  <c r="Q145" i="1"/>
  <c r="Q144" i="1"/>
  <c r="R144" i="1"/>
  <c r="Q143" i="1"/>
  <c r="R143" i="1"/>
  <c r="R142" i="1"/>
  <c r="Q142" i="1"/>
  <c r="Q141" i="1"/>
  <c r="Q167" i="1" s="1"/>
  <c r="K136" i="1"/>
  <c r="B134" i="1"/>
  <c r="D76" i="1"/>
  <c r="D7" i="1"/>
  <c r="Q105" i="1"/>
  <c r="Q104" i="1"/>
  <c r="R103" i="1"/>
  <c r="Q103" i="1"/>
  <c r="R102" i="1"/>
  <c r="Q102" i="1"/>
  <c r="Q101" i="1"/>
  <c r="R100" i="1"/>
  <c r="Q100" i="1"/>
  <c r="Q99" i="1"/>
  <c r="R98" i="1"/>
  <c r="Q98" i="1"/>
  <c r="R97" i="1"/>
  <c r="Q97" i="1"/>
  <c r="Q96" i="1"/>
  <c r="Q95" i="1"/>
  <c r="Q94" i="1"/>
  <c r="Q93" i="1"/>
  <c r="R92" i="1"/>
  <c r="Q92" i="1"/>
  <c r="R91" i="1"/>
  <c r="Q91" i="1"/>
  <c r="Q90" i="1"/>
  <c r="R89" i="1"/>
  <c r="Q89" i="1"/>
  <c r="Q88" i="1"/>
  <c r="Q87" i="1"/>
  <c r="Q86" i="1"/>
  <c r="Q85" i="1"/>
  <c r="Q84" i="1"/>
  <c r="Q83" i="1"/>
  <c r="Q82" i="1"/>
  <c r="R81" i="1"/>
  <c r="Q81" i="1"/>
  <c r="Q80" i="1"/>
  <c r="L36" i="1"/>
  <c r="L32" i="1"/>
  <c r="L33" i="1"/>
  <c r="L34" i="1"/>
  <c r="L35" i="1"/>
  <c r="R35" i="1" s="1"/>
  <c r="R32" i="1"/>
  <c r="R33" i="1"/>
  <c r="R34" i="1"/>
  <c r="R36" i="1"/>
  <c r="Q32" i="1"/>
  <c r="R26" i="1"/>
  <c r="R20" i="1"/>
  <c r="R19" i="1"/>
  <c r="R18" i="1"/>
  <c r="R17" i="1"/>
  <c r="R16" i="1"/>
  <c r="G33" i="1"/>
  <c r="Q33" i="1" s="1"/>
  <c r="G34" i="1"/>
  <c r="Q34" i="1" s="1"/>
  <c r="G35" i="1"/>
  <c r="Q35" i="1" s="1"/>
  <c r="G36" i="1"/>
  <c r="Q36" i="1" s="1"/>
  <c r="G11" i="1"/>
  <c r="Q11" i="1" s="1"/>
  <c r="G12" i="1"/>
  <c r="Q12" i="1" s="1"/>
  <c r="G13" i="1"/>
  <c r="Q13" i="1" s="1"/>
  <c r="G14" i="1"/>
  <c r="Q14" i="1" s="1"/>
  <c r="G15" i="1"/>
  <c r="Q15" i="1" s="1"/>
  <c r="G16" i="1"/>
  <c r="Q16" i="1" s="1"/>
  <c r="G17" i="1"/>
  <c r="Q17" i="1" s="1"/>
  <c r="G18" i="1"/>
  <c r="Q18" i="1" s="1"/>
  <c r="G19" i="1"/>
  <c r="Q19" i="1" s="1"/>
  <c r="G20" i="1"/>
  <c r="Q20" i="1" s="1"/>
  <c r="G21" i="1"/>
  <c r="Q21" i="1" s="1"/>
  <c r="G22" i="1"/>
  <c r="Q22" i="1" s="1"/>
  <c r="G23" i="1"/>
  <c r="Q23" i="1" s="1"/>
  <c r="G24" i="1"/>
  <c r="Q24" i="1" s="1"/>
  <c r="G25" i="1"/>
  <c r="Q25" i="1" s="1"/>
  <c r="G26" i="1"/>
  <c r="Q26" i="1" s="1"/>
  <c r="G27" i="1"/>
  <c r="Q27" i="1" s="1"/>
  <c r="G28" i="1"/>
  <c r="Q28" i="1" s="1"/>
  <c r="G29" i="1"/>
  <c r="Q29" i="1" s="1"/>
  <c r="G30" i="1"/>
  <c r="Q30" i="1" s="1"/>
  <c r="G31" i="1"/>
  <c r="Q31" i="1" s="1"/>
  <c r="A36" i="1"/>
  <c r="A33" i="1"/>
  <c r="A34" i="1"/>
  <c r="A35" i="1"/>
  <c r="A32" i="1"/>
  <c r="A21" i="1"/>
  <c r="A22" i="1"/>
  <c r="A23" i="1"/>
  <c r="A24" i="1"/>
  <c r="A25" i="1"/>
  <c r="A26" i="1"/>
  <c r="A27" i="1"/>
  <c r="A28" i="1"/>
  <c r="A29" i="1"/>
  <c r="A30" i="1"/>
  <c r="A31" i="1"/>
  <c r="A11" i="1"/>
  <c r="A12" i="1"/>
  <c r="A13" i="1"/>
  <c r="A14" i="1"/>
  <c r="A15" i="1"/>
  <c r="A16" i="1"/>
  <c r="A17" i="1"/>
  <c r="A18" i="1"/>
  <c r="A19" i="1"/>
  <c r="A20" i="1"/>
  <c r="E53" i="1"/>
  <c r="E54" i="1"/>
  <c r="K75" i="1"/>
  <c r="R21" i="1"/>
  <c r="R22" i="1"/>
  <c r="R23" i="1"/>
  <c r="R24" i="1"/>
  <c r="R25" i="1"/>
  <c r="R27" i="1"/>
  <c r="R28" i="1"/>
  <c r="K6" i="1"/>
  <c r="B74" i="1"/>
  <c r="B73" i="1"/>
  <c r="L25" i="1"/>
  <c r="L26" i="1"/>
  <c r="L27" i="1"/>
  <c r="L28" i="1"/>
  <c r="L29" i="1"/>
  <c r="L30" i="1"/>
  <c r="R99" i="1" s="1"/>
  <c r="L31" i="1"/>
  <c r="R31" i="1" s="1"/>
  <c r="L12" i="1"/>
  <c r="R12" i="1" s="1"/>
  <c r="L13" i="1"/>
  <c r="R13" i="1" s="1"/>
  <c r="L14" i="1"/>
  <c r="R14" i="1" s="1"/>
  <c r="L15" i="1"/>
  <c r="L16" i="1"/>
  <c r="L17" i="1"/>
  <c r="R86" i="1" s="1"/>
  <c r="L18" i="1"/>
  <c r="R87" i="1" s="1"/>
  <c r="L19" i="1"/>
  <c r="R88" i="1" s="1"/>
  <c r="L20" i="1"/>
  <c r="L21" i="1"/>
  <c r="L22" i="1"/>
  <c r="L23" i="1"/>
  <c r="L24" i="1"/>
  <c r="L11" i="1"/>
  <c r="L80" i="1" s="1"/>
  <c r="L1251" i="1" l="1"/>
  <c r="L943" i="1"/>
  <c r="R943" i="1" s="1"/>
  <c r="L944" i="1"/>
  <c r="L1005" i="1" s="1"/>
  <c r="L945" i="1"/>
  <c r="R1005" i="1"/>
  <c r="L1066" i="1"/>
  <c r="R944" i="1"/>
  <c r="L1004" i="1"/>
  <c r="L813" i="1"/>
  <c r="L819" i="1"/>
  <c r="L753" i="1"/>
  <c r="L388" i="1"/>
  <c r="L145" i="1"/>
  <c r="L165" i="1"/>
  <c r="L141" i="1"/>
  <c r="R80" i="1"/>
  <c r="R11" i="1"/>
  <c r="R37" i="1" s="1"/>
  <c r="R93" i="1"/>
  <c r="R96" i="1"/>
  <c r="R95" i="1"/>
  <c r="R94" i="1"/>
  <c r="R84" i="1"/>
  <c r="R85" i="1"/>
  <c r="Q37" i="1"/>
  <c r="R29" i="1"/>
  <c r="R15" i="1"/>
  <c r="R82" i="1"/>
  <c r="Q106" i="1"/>
  <c r="R30" i="1"/>
  <c r="R83" i="1"/>
  <c r="L1312" i="1" l="1"/>
  <c r="R1251" i="1"/>
  <c r="R945" i="1"/>
  <c r="L1006" i="1"/>
  <c r="R1066" i="1"/>
  <c r="L1127" i="1"/>
  <c r="R1004" i="1"/>
  <c r="L1065" i="1"/>
  <c r="R813" i="1"/>
  <c r="L874" i="1"/>
  <c r="R819" i="1"/>
  <c r="L880" i="1"/>
  <c r="R753" i="1"/>
  <c r="L814" i="1"/>
  <c r="R388" i="1"/>
  <c r="L449" i="1"/>
  <c r="L206" i="1"/>
  <c r="R145" i="1"/>
  <c r="R165" i="1"/>
  <c r="L226" i="1"/>
  <c r="R141" i="1"/>
  <c r="R167" i="1" s="1"/>
  <c r="R168" i="1" s="1"/>
  <c r="K137" i="1" s="1"/>
  <c r="L202" i="1"/>
  <c r="R106" i="1"/>
  <c r="R107" i="1" s="1"/>
  <c r="K76" i="1" s="1"/>
  <c r="R38" i="1"/>
  <c r="I5" i="1"/>
  <c r="F74" i="1"/>
  <c r="J72" i="1"/>
  <c r="B71" i="1"/>
  <c r="L1373" i="1" l="1"/>
  <c r="R1312" i="1"/>
  <c r="L1067" i="1"/>
  <c r="R1006" i="1"/>
  <c r="R1127" i="1"/>
  <c r="L1188" i="1"/>
  <c r="R1065" i="1"/>
  <c r="L1126" i="1"/>
  <c r="R874" i="1"/>
  <c r="L935" i="1"/>
  <c r="L941" i="1"/>
  <c r="R880" i="1"/>
  <c r="R814" i="1"/>
  <c r="L875" i="1"/>
  <c r="R449" i="1"/>
  <c r="L510" i="1"/>
  <c r="L267" i="1"/>
  <c r="R206" i="1"/>
  <c r="R226" i="1"/>
  <c r="L287" i="1"/>
  <c r="R202" i="1"/>
  <c r="R228" i="1" s="1"/>
  <c r="R229" i="1" s="1"/>
  <c r="K198" i="1" s="1"/>
  <c r="L263" i="1"/>
  <c r="I74" i="1"/>
  <c r="M72" i="1"/>
  <c r="L1434" i="1" l="1"/>
  <c r="R1373" i="1"/>
  <c r="R1067" i="1"/>
  <c r="L1128" i="1"/>
  <c r="L1249" i="1"/>
  <c r="R1188" i="1"/>
  <c r="R1126" i="1"/>
  <c r="L1187" i="1"/>
  <c r="R935" i="1"/>
  <c r="L996" i="1"/>
  <c r="L1002" i="1"/>
  <c r="R941" i="1"/>
  <c r="R875" i="1"/>
  <c r="L936" i="1"/>
  <c r="R510" i="1"/>
  <c r="L571" i="1"/>
  <c r="R267" i="1"/>
  <c r="L328" i="1"/>
  <c r="R287" i="1"/>
  <c r="L348" i="1"/>
  <c r="R263" i="1"/>
  <c r="R289" i="1" s="1"/>
  <c r="R290" i="1" s="1"/>
  <c r="K259" i="1" s="1"/>
  <c r="L324" i="1"/>
  <c r="M53" i="1"/>
  <c r="M54" i="1"/>
  <c r="M115" i="1" s="1"/>
  <c r="L1495" i="1" l="1"/>
  <c r="R1434" i="1"/>
  <c r="R1128" i="1"/>
  <c r="L1189" i="1"/>
  <c r="R1249" i="1"/>
  <c r="L1310" i="1"/>
  <c r="R1187" i="1"/>
  <c r="L1248" i="1"/>
  <c r="R996" i="1"/>
  <c r="L1057" i="1"/>
  <c r="L1063" i="1"/>
  <c r="R1002" i="1"/>
  <c r="R936" i="1"/>
  <c r="L997" i="1"/>
  <c r="R571" i="1"/>
  <c r="L632" i="1"/>
  <c r="R328" i="1"/>
  <c r="L389" i="1"/>
  <c r="R348" i="1"/>
  <c r="L409" i="1"/>
  <c r="R324" i="1"/>
  <c r="R350" i="1" s="1"/>
  <c r="R351" i="1" s="1"/>
  <c r="K320" i="1" s="1"/>
  <c r="L385" i="1"/>
  <c r="M52" i="1"/>
  <c r="E52" i="1"/>
  <c r="E113" i="1" s="1"/>
  <c r="E174" i="1" s="1"/>
  <c r="E235" i="1" s="1"/>
  <c r="E296" i="1" s="1"/>
  <c r="E357" i="1" s="1"/>
  <c r="E418" i="1" s="1"/>
  <c r="E479" i="1" s="1"/>
  <c r="E540" i="1" s="1"/>
  <c r="E601" i="1" s="1"/>
  <c r="E662" i="1" s="1"/>
  <c r="E723" i="1" s="1"/>
  <c r="E784" i="1" s="1"/>
  <c r="E845" i="1" s="1"/>
  <c r="E906" i="1" s="1"/>
  <c r="E967" i="1" s="1"/>
  <c r="E1028" i="1" s="1"/>
  <c r="E1089" i="1" s="1"/>
  <c r="E1150" i="1" s="1"/>
  <c r="E1211" i="1" s="1"/>
  <c r="E1272" i="1" s="1"/>
  <c r="E1333" i="1" s="1"/>
  <c r="E1394" i="1" s="1"/>
  <c r="E1455" i="1" s="1"/>
  <c r="E1516" i="1" s="1"/>
  <c r="E1577" i="1" s="1"/>
  <c r="E1638" i="1" s="1"/>
  <c r="E1699" i="1" s="1"/>
  <c r="E1760" i="1" s="1"/>
  <c r="E1821" i="1" s="1"/>
  <c r="L1556" i="1" l="1"/>
  <c r="R1495" i="1"/>
  <c r="R1189" i="1"/>
  <c r="L1250" i="1"/>
  <c r="L1371" i="1"/>
  <c r="R1310" i="1"/>
  <c r="R1248" i="1"/>
  <c r="L1309" i="1"/>
  <c r="R1057" i="1"/>
  <c r="L1118" i="1"/>
  <c r="R1063" i="1"/>
  <c r="L1124" i="1"/>
  <c r="R997" i="1"/>
  <c r="L1058" i="1"/>
  <c r="R632" i="1"/>
  <c r="L693" i="1"/>
  <c r="R389" i="1"/>
  <c r="L450" i="1"/>
  <c r="R409" i="1"/>
  <c r="L470" i="1"/>
  <c r="R385" i="1"/>
  <c r="R411" i="1" s="1"/>
  <c r="R412" i="1" s="1"/>
  <c r="K381" i="1" s="1"/>
  <c r="L446" i="1"/>
  <c r="M3" i="1"/>
  <c r="L1617" i="1" l="1"/>
  <c r="R1556" i="1"/>
  <c r="R1250" i="1"/>
  <c r="L1311" i="1"/>
  <c r="R1371" i="1"/>
  <c r="L1432" i="1"/>
  <c r="R1309" i="1"/>
  <c r="L1370" i="1"/>
  <c r="R1118" i="1"/>
  <c r="L1179" i="1"/>
  <c r="L1185" i="1"/>
  <c r="R1124" i="1"/>
  <c r="R1058" i="1"/>
  <c r="L1119" i="1"/>
  <c r="R693" i="1"/>
  <c r="L754" i="1"/>
  <c r="R450" i="1"/>
  <c r="L511" i="1"/>
  <c r="R470" i="1"/>
  <c r="L531" i="1"/>
  <c r="R446" i="1"/>
  <c r="L507" i="1"/>
  <c r="R1617" i="1" l="1"/>
  <c r="L1678" i="1"/>
  <c r="R1311" i="1"/>
  <c r="L1372" i="1"/>
  <c r="R1432" i="1"/>
  <c r="L1493" i="1"/>
  <c r="R1370" i="1"/>
  <c r="L1431" i="1"/>
  <c r="R1179" i="1"/>
  <c r="L1240" i="1"/>
  <c r="R1185" i="1"/>
  <c r="L1246" i="1"/>
  <c r="R1119" i="1"/>
  <c r="L1180" i="1"/>
  <c r="R754" i="1"/>
  <c r="L815" i="1"/>
  <c r="R472" i="1"/>
  <c r="R473" i="1" s="1"/>
  <c r="K442" i="1" s="1"/>
  <c r="R511" i="1"/>
  <c r="L572" i="1"/>
  <c r="R531" i="1"/>
  <c r="L592" i="1"/>
  <c r="R507" i="1"/>
  <c r="R533" i="1" s="1"/>
  <c r="R534" i="1" s="1"/>
  <c r="K503" i="1" s="1"/>
  <c r="L568" i="1"/>
  <c r="R1678" i="1" l="1"/>
  <c r="L1739" i="1"/>
  <c r="R1372" i="1"/>
  <c r="L1433" i="1"/>
  <c r="L1554" i="1"/>
  <c r="R1493" i="1"/>
  <c r="R1431" i="1"/>
  <c r="L1492" i="1"/>
  <c r="L1301" i="1"/>
  <c r="R1240" i="1"/>
  <c r="R1246" i="1"/>
  <c r="L1307" i="1"/>
  <c r="R1180" i="1"/>
  <c r="L1241" i="1"/>
  <c r="R815" i="1"/>
  <c r="L876" i="1"/>
  <c r="R572" i="1"/>
  <c r="L633" i="1"/>
  <c r="R592" i="1"/>
  <c r="L653" i="1"/>
  <c r="R568" i="1"/>
  <c r="R594" i="1" s="1"/>
  <c r="R595" i="1" s="1"/>
  <c r="K564" i="1" s="1"/>
  <c r="L629" i="1"/>
  <c r="L1800" i="1" l="1"/>
  <c r="R1800" i="1" s="1"/>
  <c r="R1739" i="1"/>
  <c r="R1433" i="1"/>
  <c r="L1494" i="1"/>
  <c r="R1554" i="1"/>
  <c r="L1615" i="1"/>
  <c r="R1492" i="1"/>
  <c r="L1553" i="1"/>
  <c r="R1301" i="1"/>
  <c r="L1362" i="1"/>
  <c r="R1307" i="1"/>
  <c r="L1368" i="1"/>
  <c r="R1241" i="1"/>
  <c r="L1302" i="1"/>
  <c r="R876" i="1"/>
  <c r="L937" i="1"/>
  <c r="R633" i="1"/>
  <c r="L694" i="1"/>
  <c r="R653" i="1"/>
  <c r="L714" i="1"/>
  <c r="R629" i="1"/>
  <c r="R655" i="1" s="1"/>
  <c r="R656" i="1" s="1"/>
  <c r="K625" i="1" s="1"/>
  <c r="L690" i="1"/>
  <c r="R1494" i="1" l="1"/>
  <c r="L1555" i="1"/>
  <c r="R1615" i="1"/>
  <c r="L1676" i="1"/>
  <c r="R1553" i="1"/>
  <c r="L1614" i="1"/>
  <c r="R1362" i="1"/>
  <c r="L1423" i="1"/>
  <c r="L1429" i="1"/>
  <c r="R1368" i="1"/>
  <c r="R1302" i="1"/>
  <c r="L1363" i="1"/>
  <c r="R937" i="1"/>
  <c r="L998" i="1"/>
  <c r="R694" i="1"/>
  <c r="L755" i="1"/>
  <c r="R714" i="1"/>
  <c r="L775" i="1"/>
  <c r="R690" i="1"/>
  <c r="R716" i="1" s="1"/>
  <c r="R717" i="1" s="1"/>
  <c r="K686" i="1" s="1"/>
  <c r="L751" i="1"/>
  <c r="R1555" i="1" l="1"/>
  <c r="L1616" i="1"/>
  <c r="R1676" i="1"/>
  <c r="L1737" i="1"/>
  <c r="R1614" i="1"/>
  <c r="L1675" i="1"/>
  <c r="R1423" i="1"/>
  <c r="L1484" i="1"/>
  <c r="R1429" i="1"/>
  <c r="L1490" i="1"/>
  <c r="R1363" i="1"/>
  <c r="L1424" i="1"/>
  <c r="R998" i="1"/>
  <c r="L1059" i="1"/>
  <c r="R755" i="1"/>
  <c r="L816" i="1"/>
  <c r="R775" i="1"/>
  <c r="L836" i="1"/>
  <c r="R751" i="1"/>
  <c r="R777" i="1" s="1"/>
  <c r="R778" i="1" s="1"/>
  <c r="K747" i="1" s="1"/>
  <c r="L812" i="1"/>
  <c r="R1616" i="1" l="1"/>
  <c r="L1677" i="1"/>
  <c r="R1737" i="1"/>
  <c r="L1798" i="1"/>
  <c r="R1798" i="1" s="1"/>
  <c r="R1675" i="1"/>
  <c r="L1736" i="1"/>
  <c r="R1484" i="1"/>
  <c r="L1545" i="1"/>
  <c r="R1490" i="1"/>
  <c r="L1551" i="1"/>
  <c r="R1424" i="1"/>
  <c r="L1485" i="1"/>
  <c r="R1059" i="1"/>
  <c r="L1120" i="1"/>
  <c r="R816" i="1"/>
  <c r="L877" i="1"/>
  <c r="R836" i="1"/>
  <c r="L897" i="1"/>
  <c r="R812" i="1"/>
  <c r="R838" i="1" s="1"/>
  <c r="R839" i="1" s="1"/>
  <c r="K808" i="1" s="1"/>
  <c r="L873" i="1"/>
  <c r="R1677" i="1" l="1"/>
  <c r="L1738" i="1"/>
  <c r="R1736" i="1"/>
  <c r="L1797" i="1"/>
  <c r="R1797" i="1" s="1"/>
  <c r="R1545" i="1"/>
  <c r="L1606" i="1"/>
  <c r="L1612" i="1"/>
  <c r="R1551" i="1"/>
  <c r="R1485" i="1"/>
  <c r="L1546" i="1"/>
  <c r="R1120" i="1"/>
  <c r="L1181" i="1"/>
  <c r="R877" i="1"/>
  <c r="L938" i="1"/>
  <c r="R897" i="1"/>
  <c r="L958" i="1"/>
  <c r="L934" i="1"/>
  <c r="R873" i="1"/>
  <c r="R899" i="1" s="1"/>
  <c r="R900" i="1" s="1"/>
  <c r="K869" i="1" s="1"/>
  <c r="L1799" i="1" l="1"/>
  <c r="R1799" i="1" s="1"/>
  <c r="R1738" i="1"/>
  <c r="R1606" i="1"/>
  <c r="L1667" i="1"/>
  <c r="R1612" i="1"/>
  <c r="L1673" i="1"/>
  <c r="R1546" i="1"/>
  <c r="L1607" i="1"/>
  <c r="R1181" i="1"/>
  <c r="L1242" i="1"/>
  <c r="R938" i="1"/>
  <c r="L999" i="1"/>
  <c r="R958" i="1"/>
  <c r="L1019" i="1"/>
  <c r="R934" i="1"/>
  <c r="R960" i="1" s="1"/>
  <c r="R961" i="1" s="1"/>
  <c r="K930" i="1" s="1"/>
  <c r="L995" i="1"/>
  <c r="R1667" i="1" l="1"/>
  <c r="L1728" i="1"/>
  <c r="R1673" i="1"/>
  <c r="L1734" i="1"/>
  <c r="R1607" i="1"/>
  <c r="L1668" i="1"/>
  <c r="R1242" i="1"/>
  <c r="L1303" i="1"/>
  <c r="R999" i="1"/>
  <c r="L1060" i="1"/>
  <c r="R1019" i="1"/>
  <c r="L1080" i="1"/>
  <c r="L1056" i="1"/>
  <c r="R995" i="1"/>
  <c r="R1021" i="1" s="1"/>
  <c r="R1022" i="1" s="1"/>
  <c r="K991" i="1" s="1"/>
  <c r="R1728" i="1" l="1"/>
  <c r="L1789" i="1"/>
  <c r="R1789" i="1" s="1"/>
  <c r="L1795" i="1"/>
  <c r="R1795" i="1" s="1"/>
  <c r="R1734" i="1"/>
  <c r="R1668" i="1"/>
  <c r="L1729" i="1"/>
  <c r="R1303" i="1"/>
  <c r="L1364" i="1"/>
  <c r="R1060" i="1"/>
  <c r="L1121" i="1"/>
  <c r="R1080" i="1"/>
  <c r="L1141" i="1"/>
  <c r="L1117" i="1"/>
  <c r="R1056" i="1"/>
  <c r="R1082" i="1" s="1"/>
  <c r="R1083" i="1" s="1"/>
  <c r="K1052" i="1" s="1"/>
  <c r="R1729" i="1" l="1"/>
  <c r="L1790" i="1"/>
  <c r="R1790" i="1" s="1"/>
  <c r="R1364" i="1"/>
  <c r="L1425" i="1"/>
  <c r="R1121" i="1"/>
  <c r="L1182" i="1"/>
  <c r="R1141" i="1"/>
  <c r="L1202" i="1"/>
  <c r="R1117" i="1"/>
  <c r="R1143" i="1" s="1"/>
  <c r="R1144" i="1" s="1"/>
  <c r="K1113" i="1" s="1"/>
  <c r="L1178" i="1"/>
  <c r="R1425" i="1" l="1"/>
  <c r="L1486" i="1"/>
  <c r="R1182" i="1"/>
  <c r="L1243" i="1"/>
  <c r="R1202" i="1"/>
  <c r="L1263" i="1"/>
  <c r="R1178" i="1"/>
  <c r="R1204" i="1" s="1"/>
  <c r="R1205" i="1" s="1"/>
  <c r="K1174" i="1" s="1"/>
  <c r="L1239" i="1"/>
  <c r="R1486" i="1" l="1"/>
  <c r="L1547" i="1"/>
  <c r="R1243" i="1"/>
  <c r="L1304" i="1"/>
  <c r="R1263" i="1"/>
  <c r="L1324" i="1"/>
  <c r="L1300" i="1"/>
  <c r="R1239" i="1"/>
  <c r="R1265" i="1" s="1"/>
  <c r="R1266" i="1" s="1"/>
  <c r="K1235" i="1" s="1"/>
  <c r="L1608" i="1" l="1"/>
  <c r="R1547" i="1"/>
  <c r="R1304" i="1"/>
  <c r="L1365" i="1"/>
  <c r="R1324" i="1"/>
  <c r="L1385" i="1"/>
  <c r="R1300" i="1"/>
  <c r="R1326" i="1" s="1"/>
  <c r="R1327" i="1" s="1"/>
  <c r="K1296" i="1" s="1"/>
  <c r="L1361" i="1"/>
  <c r="R1608" i="1" l="1"/>
  <c r="L1669" i="1"/>
  <c r="R1365" i="1"/>
  <c r="L1426" i="1"/>
  <c r="R1385" i="1"/>
  <c r="L1446" i="1"/>
  <c r="L1422" i="1"/>
  <c r="R1361" i="1"/>
  <c r="R1669" i="1" l="1"/>
  <c r="L1730" i="1"/>
  <c r="R1387" i="1"/>
  <c r="R1388" i="1" s="1"/>
  <c r="K1357" i="1" s="1"/>
  <c r="R1426" i="1"/>
  <c r="L1487" i="1"/>
  <c r="R1446" i="1"/>
  <c r="L1507" i="1"/>
  <c r="R1422" i="1"/>
  <c r="L1483" i="1"/>
  <c r="R1730" i="1" l="1"/>
  <c r="L1791" i="1"/>
  <c r="R1791" i="1" s="1"/>
  <c r="R1448" i="1"/>
  <c r="R1449" i="1" s="1"/>
  <c r="K1418" i="1" s="1"/>
  <c r="R1487" i="1"/>
  <c r="L1548" i="1"/>
  <c r="R1507" i="1"/>
  <c r="L1568" i="1"/>
  <c r="R1483" i="1"/>
  <c r="R1509" i="1" s="1"/>
  <c r="R1510" i="1" s="1"/>
  <c r="K1479" i="1" s="1"/>
  <c r="L1544" i="1"/>
  <c r="R1548" i="1" l="1"/>
  <c r="L1609" i="1"/>
  <c r="R1568" i="1"/>
  <c r="L1629" i="1"/>
  <c r="R1544" i="1"/>
  <c r="R1570" i="1" s="1"/>
  <c r="R1571" i="1" s="1"/>
  <c r="K1540" i="1" s="1"/>
  <c r="L1605" i="1"/>
  <c r="R1609" i="1" l="1"/>
  <c r="L1670" i="1"/>
  <c r="R1629" i="1"/>
  <c r="L1690" i="1"/>
  <c r="R1605" i="1"/>
  <c r="R1631" i="1" s="1"/>
  <c r="R1632" i="1" s="1"/>
  <c r="K1601" i="1" s="1"/>
  <c r="L1666" i="1"/>
  <c r="R1670" i="1" l="1"/>
  <c r="L1731" i="1"/>
  <c r="R1690" i="1"/>
  <c r="L1751" i="1"/>
  <c r="R1666" i="1"/>
  <c r="R1692" i="1" s="1"/>
  <c r="R1693" i="1" s="1"/>
  <c r="K1662" i="1" s="1"/>
  <c r="L1727" i="1"/>
  <c r="R1731" i="1" l="1"/>
  <c r="L1792" i="1"/>
  <c r="R1792" i="1" s="1"/>
  <c r="R1751" i="1"/>
  <c r="L1812" i="1"/>
  <c r="R1812" i="1" s="1"/>
  <c r="R1727" i="1"/>
  <c r="R1753" i="1" s="1"/>
  <c r="R1754" i="1" s="1"/>
  <c r="K1723" i="1" s="1"/>
  <c r="L1788" i="1"/>
  <c r="R1788" i="1" s="1"/>
  <c r="R1814" i="1" s="1"/>
  <c r="R1815" i="1" s="1"/>
  <c r="K1784" i="1" s="1"/>
</calcChain>
</file>

<file path=xl/sharedStrings.xml><?xml version="1.0" encoding="utf-8"?>
<sst xmlns="http://schemas.openxmlformats.org/spreadsheetml/2006/main" count="3458" uniqueCount="108">
  <si>
    <t>公共工程施工日誌</t>
    <phoneticPr fontId="4" type="noConversion"/>
  </si>
  <si>
    <t>上午：</t>
    <phoneticPr fontId="4" type="noConversion"/>
  </si>
  <si>
    <t>晴</t>
    <phoneticPr fontId="4" type="noConversion"/>
  </si>
  <si>
    <t>下午：</t>
    <phoneticPr fontId="4" type="noConversion"/>
  </si>
  <si>
    <t>填報日期：</t>
    <phoneticPr fontId="4" type="noConversion"/>
  </si>
  <si>
    <t>工程名稱</t>
    <phoneticPr fontId="4" type="noConversion"/>
  </si>
  <si>
    <t>承攬廠商名稱</t>
    <phoneticPr fontId="4" type="noConversion"/>
  </si>
  <si>
    <t>累計工期</t>
    <phoneticPr fontId="4" type="noConversion"/>
  </si>
  <si>
    <t>天</t>
    <phoneticPr fontId="4" type="noConversion"/>
  </si>
  <si>
    <t>剩餘工期</t>
    <phoneticPr fontId="4" type="noConversion"/>
  </si>
  <si>
    <t>預定進度（％）</t>
    <phoneticPr fontId="4" type="noConversion"/>
  </si>
  <si>
    <t>一、依施工計畫書執行按圖施工概況（含約定之重要施工項目及完成數量等）：</t>
    <phoneticPr fontId="4" type="noConversion"/>
  </si>
  <si>
    <t>施　工　項　目</t>
    <phoneticPr fontId="4" type="noConversion"/>
  </si>
  <si>
    <t>備註</t>
    <phoneticPr fontId="4" type="noConversion"/>
  </si>
  <si>
    <t>二、工地材料管理概況（含約定之重要材料使用狀況及數量等）：</t>
    <phoneticPr fontId="4" type="noConversion"/>
  </si>
  <si>
    <t>材料名稱</t>
    <phoneticPr fontId="4" type="noConversion"/>
  </si>
  <si>
    <t>本日使用數量</t>
    <phoneticPr fontId="4" type="noConversion"/>
  </si>
  <si>
    <t>累計使用數量</t>
    <phoneticPr fontId="4" type="noConversion"/>
  </si>
  <si>
    <t>備註</t>
    <phoneticPr fontId="4" type="noConversion"/>
  </si>
  <si>
    <t>三、工地人員及機具管理（含約定之出工人數及機具使用情形及數量）：</t>
    <phoneticPr fontId="4" type="noConversion"/>
  </si>
  <si>
    <t>工別</t>
    <phoneticPr fontId="4" type="noConversion"/>
  </si>
  <si>
    <t>本日人數</t>
    <phoneticPr fontId="4" type="noConversion"/>
  </si>
  <si>
    <t>累計人數</t>
    <phoneticPr fontId="4" type="noConversion"/>
  </si>
  <si>
    <t>機具名稱</t>
    <phoneticPr fontId="4" type="noConversion"/>
  </si>
  <si>
    <t>大工</t>
    <phoneticPr fontId="4" type="noConversion"/>
  </si>
  <si>
    <t>小工</t>
    <phoneticPr fontId="4" type="noConversion"/>
  </si>
  <si>
    <t>五、工地職業安全衛生事項之督導、公共環境與安全之維護及其他工地行政事務：</t>
    <phoneticPr fontId="4" type="noConversion"/>
  </si>
  <si>
    <t xml:space="preserve">  (一)施工前檢查事項：</t>
    <phoneticPr fontId="4" type="noConversion"/>
  </si>
  <si>
    <t xml:space="preserve">  (二)其他事項：</t>
    <phoneticPr fontId="4" type="noConversion"/>
  </si>
  <si>
    <t>六、施工取樣試驗紀錄：</t>
  </si>
  <si>
    <t>七、通知分包廠商辦理事項：</t>
  </si>
  <si>
    <t>八、重要事項紀錄：</t>
    <phoneticPr fontId="4" type="noConversion"/>
  </si>
  <si>
    <t>核定工期</t>
    <phoneticPr fontId="4" type="noConversion"/>
  </si>
  <si>
    <t>工期展延天數</t>
    <phoneticPr fontId="4" type="noConversion"/>
  </si>
  <si>
    <t>開工日期</t>
    <phoneticPr fontId="4" type="noConversion"/>
  </si>
  <si>
    <t>完工日期</t>
    <phoneticPr fontId="3" type="noConversion"/>
  </si>
  <si>
    <t>實際進度（％）</t>
    <phoneticPr fontId="3" type="noConversion"/>
  </si>
  <si>
    <t>單位</t>
    <phoneticPr fontId="3" type="noConversion"/>
  </si>
  <si>
    <t>契約數量</t>
    <phoneticPr fontId="3" type="noConversion"/>
  </si>
  <si>
    <t>本日完成數量</t>
    <phoneticPr fontId="4" type="noConversion"/>
  </si>
  <si>
    <t>累計完成數量</t>
    <phoneticPr fontId="4" type="noConversion"/>
  </si>
  <si>
    <t>簽章（工地主任）：</t>
    <phoneticPr fontId="4" type="noConversion"/>
  </si>
  <si>
    <t>本日使用數量</t>
    <phoneticPr fontId="3" type="noConversion"/>
  </si>
  <si>
    <t>日曆天</t>
    <phoneticPr fontId="4" type="noConversion"/>
  </si>
  <si>
    <t>天</t>
    <phoneticPr fontId="4" type="noConversion"/>
  </si>
  <si>
    <t>表報編號：</t>
    <phoneticPr fontId="4" type="noConversion"/>
  </si>
  <si>
    <t>本日天氣：</t>
    <phoneticPr fontId="4" type="noConversion"/>
  </si>
  <si>
    <t>單價</t>
    <phoneticPr fontId="4" type="noConversion"/>
  </si>
  <si>
    <t>複價</t>
    <phoneticPr fontId="4" type="noConversion"/>
  </si>
  <si>
    <t>實做金額</t>
    <phoneticPr fontId="4" type="noConversion"/>
  </si>
  <si>
    <t>卡車</t>
    <phoneticPr fontId="4" type="noConversion"/>
  </si>
  <si>
    <t>挖土機</t>
    <phoneticPr fontId="4" type="noConversion"/>
  </si>
  <si>
    <t>有謙營造有限公司</t>
    <phoneticPr fontId="4" type="noConversion"/>
  </si>
  <si>
    <t>四、本日施工項目是否有須依「營造業專業工程特定施工項目應置之技術士總類、比率或人數標準表」</t>
    <phoneticPr fontId="4" type="noConversion"/>
  </si>
  <si>
    <t>術士簽章表」）</t>
    <phoneticPr fontId="4" type="noConversion"/>
  </si>
  <si>
    <t>山貓</t>
    <phoneticPr fontId="4" type="noConversion"/>
  </si>
  <si>
    <t>規定應設置技術士之專業工程：□有□無 （此項如勾選“有”，則應填寫後附「公共工程施工日誌之技</t>
    <phoneticPr fontId="4" type="noConversion"/>
  </si>
  <si>
    <r>
      <t xml:space="preserve">   1.實施勤前教育(含工地預防災變及危害告知)：</t>
    </r>
    <r>
      <rPr>
        <sz val="10"/>
        <rFont val="新細明體"/>
        <family val="1"/>
        <charset val="136"/>
      </rPr>
      <t>□</t>
    </r>
    <r>
      <rPr>
        <sz val="10"/>
        <rFont val="標楷體"/>
        <family val="4"/>
        <charset val="136"/>
      </rPr>
      <t>有□無</t>
    </r>
    <phoneticPr fontId="4" type="noConversion"/>
  </si>
  <si>
    <t xml:space="preserve">   2.確認新進勞工是否提報勞工保險(或其他商業保險)資料及安全衛生教育訓練紀錄：□有□無□無新進勞工</t>
    <phoneticPr fontId="4" type="noConversion"/>
  </si>
  <si>
    <t xml:space="preserve">   3.檢查勞工個人防護具：□有□無</t>
    <phoneticPr fontId="4" type="noConversion"/>
  </si>
  <si>
    <t>式</t>
  </si>
  <si>
    <t>棵</t>
  </si>
  <si>
    <t>座</t>
  </si>
  <si>
    <t>M</t>
  </si>
  <si>
    <t>組</t>
  </si>
  <si>
    <t>M2</t>
  </si>
  <si>
    <t>元長國小辦理114年度充實設施設備-校園鋪面改善工程</t>
    <phoneticPr fontId="4" type="noConversion"/>
  </si>
  <si>
    <t>工程告示牌與職安告示牌(租用)</t>
  </si>
  <si>
    <t>施工管制措施(租用)</t>
  </si>
  <si>
    <t>施工動線開闢，整備與復原工程</t>
  </si>
  <si>
    <t>施工測量，工地放樣</t>
  </si>
  <si>
    <t>移除清運大王椰子樹(含挖樹頭，混凝土打底)</t>
  </si>
  <si>
    <t>既有水溝陰井清淤，暢通西南側圍牆外陰井暗溝排水至通路排水溝(含試水);雜項工程</t>
  </si>
  <si>
    <t>埋設RC陰井(含鍍鋅鋼材止滑細縫陰井蓋含框)</t>
  </si>
  <si>
    <t>埋設10吋排水管</t>
  </si>
  <si>
    <t>安裝專用不鏽鋼開關箱，接引既有電源附接地線，陰井內安裝不鏽鋼沉水抽水馬達，安裝排水管排水至排水溝</t>
  </si>
  <si>
    <t>挖除石板鋪面，廢棄物集中處理</t>
  </si>
  <si>
    <t>切割打除既有地坪，廢棄物集中處理</t>
  </si>
  <si>
    <t>場鑄RC緣石</t>
  </si>
  <si>
    <t>鋪設預鑄緣石</t>
  </si>
  <si>
    <t>整地底土壓實，鋪設RC地坪，面層抿石子</t>
  </si>
  <si>
    <t>鋪設碎石級配(H15cm)</t>
  </si>
  <si>
    <t>既有AC面刷毛與清潔</t>
  </si>
  <si>
    <t>鋪設透層與底層AC(平均厚4cm)</t>
  </si>
  <si>
    <t>鋪設黏層與密級配面層AC(平均厚4cm)</t>
  </si>
  <si>
    <t>整地，覆砂土，密植草皮</t>
  </si>
  <si>
    <t>材料檢驗費</t>
  </si>
  <si>
    <t>營建廢棄物清運(含清運證明)</t>
  </si>
  <si>
    <t>職業安全衛生管理費（壹*1.6%）</t>
  </si>
  <si>
    <t>公共工程品質管制作業費（壹*1.6%）</t>
  </si>
  <si>
    <t>包商管理及利潤費（壹*7%）</t>
  </si>
  <si>
    <t>保險費</t>
  </si>
  <si>
    <t>營業稅（(壹~伍)*5％）</t>
  </si>
  <si>
    <t>工程告示牌與職安告示牌(租用)</t>
    <phoneticPr fontId="4" type="noConversion"/>
  </si>
  <si>
    <r>
      <t>申報開工、保險</t>
    </r>
    <r>
      <rPr>
        <sz val="12"/>
        <rFont val="新細明體"/>
        <family val="1"/>
        <charset val="136"/>
      </rPr>
      <t>、</t>
    </r>
    <r>
      <rPr>
        <sz val="12"/>
        <rFont val="標楷體"/>
        <family val="4"/>
        <charset val="136"/>
      </rPr>
      <t>工程告示牌與職安告示牌(租用)</t>
    </r>
    <phoneticPr fontId="4" type="noConversion"/>
  </si>
  <si>
    <t>移除清運大王椰子樹(含挖樹頭，混凝土打底)</t>
    <phoneticPr fontId="4" type="noConversion"/>
  </si>
  <si>
    <t>八、重要事項紀錄：移除清運大王椰子樹(含挖樹頭，混凝土打底)</t>
    <phoneticPr fontId="4" type="noConversion"/>
  </si>
  <si>
    <t>八、重要事項紀錄：未施工</t>
    <phoneticPr fontId="4" type="noConversion"/>
  </si>
  <si>
    <t>施工測量，工地放樣</t>
    <phoneticPr fontId="4" type="noConversion"/>
  </si>
  <si>
    <t>八、重要事項紀錄：施工測量，工地放樣</t>
    <phoneticPr fontId="4" type="noConversion"/>
  </si>
  <si>
    <t>埋設10吋排水管</t>
    <phoneticPr fontId="4" type="noConversion"/>
  </si>
  <si>
    <t>八、重要事項紀錄：埋設10吋排水管</t>
    <phoneticPr fontId="4" type="noConversion"/>
  </si>
  <si>
    <t>挖除石板鋪面，廢棄物集中處理</t>
    <phoneticPr fontId="4" type="noConversion"/>
  </si>
  <si>
    <t>八、重要事項紀錄：埋設10吋排水管.</t>
    <phoneticPr fontId="4" type="noConversion"/>
  </si>
  <si>
    <t>鋪設預鑄緣石</t>
    <phoneticPr fontId="4" type="noConversion"/>
  </si>
  <si>
    <t>八、重要事項紀錄：挖除石板鋪面，廢棄物集中處理.鋪設預鑄緣石</t>
    <phoneticPr fontId="4" type="noConversion"/>
  </si>
  <si>
    <t>雨</t>
    <phoneticPr fontId="4" type="noConversion"/>
  </si>
  <si>
    <t>八、重要事項紀錄：颱風天未施工</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</si>
</sst>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1" formatCode="_-* #,##0_-;\-* #,##0_-;_-* &quot;-&quot;_-;_-@_-"/>
    <numFmt numFmtId="43" formatCode="_-* #,##0.00_-;\-* #,##0.00_-;_-* &quot;-&quot;??_-;_-@_-"/>
    <numFmt numFmtId="176" formatCode="[$-404]aaaa;@"/>
    <numFmt numFmtId="177" formatCode="#,##0.00_ "/>
    <numFmt numFmtId="178" formatCode="0_);[Red]\(0\)"/>
    <numFmt numFmtId="179" formatCode="0&quot;% &quot;"/>
    <numFmt numFmtId="180" formatCode="[Red][&lt;0]\-###.00;[Black][&lt;=0]###.00;[Red]###.00"/>
    <numFmt numFmtId="181" formatCode="0_)"/>
    <numFmt numFmtId="182" formatCode="0.00_)"/>
    <numFmt numFmtId="183" formatCode="General_)"/>
    <numFmt numFmtId="184" formatCode="\1\+000"/>
    <numFmt numFmtId="185" formatCode="0.00_);[Red]\(0.00\)"/>
    <numFmt numFmtId="186" formatCode="[$-404]e&quot;年&quot;m&quot;月&quot;d&quot;日&quot;;@"/>
    <numFmt numFmtId="187" formatCode="_-* #,##0.00_-;\-* #,##0.00_-;_-* &quot;-&quot;_-;_-@_-"/>
    <numFmt numFmtId="188" formatCode="\300.00"/>
    <numFmt numFmtId="189" formatCode="\300"/>
    <numFmt numFmtId="190" formatCode="#,##0.00_);\(#,##0.00\)"/>
  </numFmts>
  <fonts count="50">
    <font>
      <sz val="12"/>
      <color theme="1"/>
      <name val="新細明體"/>
      <family val="2"/>
      <charset val="136"/>
      <scheme val="minor"/>
    </font>
    <font>
      <sz val="12"/>
      <color theme="1"/>
      <name val="新細明體"/>
      <family val="2"/>
      <charset val="136"/>
      <scheme val="minor"/>
    </font>
    <font>
      <sz val="20"/>
      <name val="標楷體"/>
      <family val="4"/>
      <charset val="136"/>
    </font>
    <font>
      <sz val="9"/>
      <name val="新細明體"/>
      <family val="2"/>
      <charset val="136"/>
      <scheme val="minor"/>
    </font>
    <font>
      <sz val="9"/>
      <name val="新細明體"/>
      <family val="1"/>
      <charset val="136"/>
    </font>
    <font>
      <sz val="12"/>
      <name val="新細明體"/>
      <family val="1"/>
      <charset val="136"/>
    </font>
    <font>
      <sz val="12"/>
      <name val="標楷體"/>
      <family val="4"/>
      <charset val="136"/>
    </font>
    <font>
      <sz val="10"/>
      <name val="Helv"/>
      <family val="2"/>
    </font>
    <font>
      <sz val="10"/>
      <name val="標楷體"/>
      <family val="4"/>
      <charset val="136"/>
    </font>
    <font>
      <sz val="10"/>
      <name val="新細明體"/>
      <family val="1"/>
      <charset val="136"/>
    </font>
    <font>
      <sz val="12"/>
      <name val="Times New Roman"/>
      <family val="1"/>
    </font>
    <font>
      <sz val="12"/>
      <name val="細明體"/>
      <family val="3"/>
      <charset val="136"/>
    </font>
    <font>
      <sz val="12"/>
      <color indexed="8"/>
      <name val="新細明體"/>
      <family val="1"/>
      <charset val="136"/>
    </font>
    <font>
      <sz val="10"/>
      <name val="Arial"/>
      <family val="2"/>
    </font>
    <font>
      <sz val="12"/>
      <name val="Courier"/>
      <family val="3"/>
    </font>
    <font>
      <sz val="14"/>
      <name val="細明體"/>
      <family val="3"/>
      <charset val="136"/>
    </font>
    <font>
      <sz val="12"/>
      <name val="細圓體"/>
      <charset val="136"/>
    </font>
    <font>
      <sz val="8"/>
      <name val="Times New Roman"/>
      <family val="1"/>
    </font>
    <font>
      <sz val="11"/>
      <name val="Times New Roman"/>
      <family val="1"/>
    </font>
    <font>
      <b/>
      <i/>
      <sz val="16"/>
      <name val="Helv"/>
      <family val="2"/>
    </font>
    <font>
      <u/>
      <sz val="12"/>
      <color indexed="36"/>
      <name val="新細明體"/>
      <family val="1"/>
      <charset val="136"/>
    </font>
    <font>
      <sz val="11"/>
      <name val="細明體"/>
      <family val="3"/>
      <charset val="136"/>
    </font>
    <font>
      <sz val="12"/>
      <name val="細圓體"/>
      <family val="1"/>
      <charset val="136"/>
    </font>
    <font>
      <sz val="12"/>
      <color indexed="17"/>
      <name val="新細明體"/>
      <family val="1"/>
      <charset val="136"/>
    </font>
    <font>
      <sz val="12"/>
      <color indexed="20"/>
      <name val="新細明體"/>
      <family val="1"/>
      <charset val="136"/>
    </font>
    <font>
      <sz val="12"/>
      <name val="Arial Narrow"/>
      <family val="2"/>
    </font>
    <font>
      <sz val="12"/>
      <name val="新細明體"/>
      <family val="2"/>
      <charset val="136"/>
      <scheme val="minor"/>
    </font>
    <font>
      <sz val="16"/>
      <name val="Times New Roman"/>
      <family val="1"/>
    </font>
    <font>
      <sz val="9"/>
      <name val="CG Times (W1)"/>
      <family val="1"/>
    </font>
    <font>
      <sz val="12"/>
      <name val="華康中楷體"/>
      <family val="3"/>
      <charset val="136"/>
    </font>
    <font>
      <sz val="10"/>
      <name val="華康中楷體"/>
      <family val="3"/>
      <charset val="136"/>
    </font>
    <font>
      <sz val="10"/>
      <color indexed="12"/>
      <name val="華康中楷體"/>
      <family val="3"/>
      <charset val="136"/>
    </font>
    <font>
      <b/>
      <sz val="12"/>
      <name val="Arial"/>
      <family val="2"/>
    </font>
    <font>
      <sz val="12"/>
      <color indexed="9"/>
      <name val="新細明體"/>
      <family val="1"/>
      <charset val="136"/>
    </font>
    <font>
      <sz val="12"/>
      <color indexed="60"/>
      <name val="新細明體"/>
      <family val="1"/>
      <charset val="136"/>
    </font>
    <font>
      <b/>
      <sz val="12"/>
      <color indexed="8"/>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10"/>
      <name val="新細明體"/>
      <family val="1"/>
      <charset val="136"/>
    </font>
    <font>
      <sz val="12"/>
      <name val="細圓體"/>
      <family val="3"/>
      <charset val="136"/>
    </font>
    <font>
      <sz val="11"/>
      <name val="標楷體"/>
      <family val="4"/>
      <charset val="136"/>
    </font>
    <font>
      <sz val="12"/>
      <name val="Microsoft JhengHei UI"/>
      <family val="4"/>
      <charset val="136"/>
    </font>
  </fonts>
  <fills count="28">
    <fill>
      <patternFill patternType="none"/>
    </fill>
    <fill>
      <patternFill patternType="gray125"/>
    </fill>
    <fill>
      <patternFill patternType="solid">
        <fgColor indexed="9"/>
        <bgColor indexed="64"/>
      </patternFill>
    </fill>
    <fill>
      <patternFill patternType="gray125">
        <fgColor indexed="13"/>
      </patternFill>
    </fill>
    <fill>
      <patternFill patternType="gray0625">
        <fgColor indexed="11"/>
      </patternFill>
    </fill>
    <fill>
      <patternFill patternType="solid">
        <fgColor indexed="45"/>
      </patternFill>
    </fill>
    <fill>
      <patternFill patternType="solid">
        <fgColor indexed="42"/>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theme="0"/>
        <bgColor indexed="64"/>
      </patternFill>
    </fill>
  </fills>
  <borders count="3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10"/>
      </left>
      <right style="thin">
        <color indexed="10"/>
      </right>
      <top style="thin">
        <color indexed="10"/>
      </top>
      <bottom style="thin">
        <color indexed="10"/>
      </bottom>
      <diagonal/>
    </border>
    <border>
      <left/>
      <right/>
      <top/>
      <bottom style="thin">
        <color indexed="10"/>
      </bottom>
      <diagonal/>
    </border>
    <border>
      <left/>
      <right/>
      <top style="medium">
        <color indexed="64"/>
      </top>
      <bottom style="medium">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top/>
      <bottom style="medium">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381">
    <xf numFmtId="176" fontId="0" fillId="0" borderId="0">
      <alignment vertical="center"/>
    </xf>
    <xf numFmtId="43" fontId="1" fillId="0" borderId="0" applyFont="0" applyFill="0" applyBorder="0" applyAlignment="0" applyProtection="0">
      <alignment vertical="center"/>
    </xf>
    <xf numFmtId="176" fontId="7" fillId="0" borderId="0"/>
    <xf numFmtId="176" fontId="5" fillId="0" borderId="0"/>
    <xf numFmtId="9" fontId="1" fillId="0" borderId="0" applyFont="0" applyFill="0" applyBorder="0" applyAlignment="0" applyProtection="0">
      <alignment vertical="center"/>
    </xf>
    <xf numFmtId="176" fontId="5" fillId="0" borderId="0"/>
    <xf numFmtId="176" fontId="17" fillId="0" borderId="0"/>
    <xf numFmtId="176" fontId="5" fillId="0" borderId="0"/>
    <xf numFmtId="176" fontId="7" fillId="0" borderId="0"/>
    <xf numFmtId="176" fontId="7" fillId="0" borderId="0"/>
    <xf numFmtId="176" fontId="7" fillId="0" borderId="0"/>
    <xf numFmtId="176" fontId="7"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5" fillId="0" borderId="0"/>
    <xf numFmtId="176" fontId="5" fillId="0" borderId="0"/>
    <xf numFmtId="176" fontId="5" fillId="0" borderId="0"/>
    <xf numFmtId="176" fontId="7" fillId="0" borderId="0"/>
    <xf numFmtId="176" fontId="10"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7"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7" fillId="0" borderId="0"/>
    <xf numFmtId="176" fontId="5" fillId="0" borderId="0"/>
    <xf numFmtId="176" fontId="5" fillId="0" borderId="0"/>
    <xf numFmtId="176" fontId="7"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7" fillId="0" borderId="0"/>
    <xf numFmtId="176" fontId="7"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7" fillId="0" borderId="0"/>
    <xf numFmtId="176" fontId="7"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7" fillId="0" borderId="0"/>
    <xf numFmtId="176" fontId="7" fillId="0" borderId="0"/>
    <xf numFmtId="176" fontId="7" fillId="0" borderId="0"/>
    <xf numFmtId="176" fontId="5" fillId="0" borderId="0"/>
    <xf numFmtId="176" fontId="5" fillId="0" borderId="0"/>
    <xf numFmtId="176" fontId="7" fillId="0" borderId="0"/>
    <xf numFmtId="176" fontId="7" fillId="0" borderId="0"/>
    <xf numFmtId="176" fontId="7" fillId="0" borderId="0"/>
    <xf numFmtId="176" fontId="10" fillId="0" borderId="0"/>
    <xf numFmtId="176" fontId="7" fillId="0" borderId="0"/>
    <xf numFmtId="176" fontId="7" fillId="0" borderId="0"/>
    <xf numFmtId="176" fontId="7" fillId="0" borderId="0"/>
    <xf numFmtId="176" fontId="10" fillId="0" borderId="0"/>
    <xf numFmtId="176" fontId="10" fillId="0" borderId="0"/>
    <xf numFmtId="176" fontId="7"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7"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10" fillId="0" borderId="0"/>
    <xf numFmtId="176" fontId="11" fillId="0" borderId="0"/>
    <xf numFmtId="38" fontId="18" fillId="0" borderId="0" applyBorder="0" applyAlignment="0"/>
    <xf numFmtId="183" fontId="14" fillId="2" borderId="3" applyNumberFormat="0" applyFont="0" applyFill="0" applyBorder="0">
      <alignment horizontal="center" vertical="center"/>
    </xf>
    <xf numFmtId="182" fontId="19" fillId="0" borderId="0"/>
    <xf numFmtId="176" fontId="13" fillId="0" borderId="0"/>
    <xf numFmtId="176" fontId="5" fillId="0" borderId="0"/>
    <xf numFmtId="176" fontId="5" fillId="0" borderId="0"/>
    <xf numFmtId="2" fontId="14" fillId="0" borderId="0"/>
    <xf numFmtId="176" fontId="12" fillId="0" borderId="0">
      <alignment vertical="center"/>
    </xf>
    <xf numFmtId="2" fontId="15" fillId="0" borderId="0"/>
    <xf numFmtId="176" fontId="6" fillId="0" borderId="0"/>
    <xf numFmtId="176" fontId="13" fillId="0" borderId="0"/>
    <xf numFmtId="43" fontId="5"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41" fontId="12" fillId="0" borderId="0" applyFont="0" applyFill="0" applyBorder="0" applyAlignment="0" applyProtection="0">
      <alignment vertical="center"/>
    </xf>
    <xf numFmtId="176" fontId="14" fillId="0" borderId="0"/>
    <xf numFmtId="9" fontId="5" fillId="0" borderId="0" applyFont="0" applyFill="0" applyBorder="0" applyAlignment="0" applyProtection="0"/>
    <xf numFmtId="176" fontId="10" fillId="0" borderId="0"/>
    <xf numFmtId="42" fontId="10" fillId="0" borderId="0" applyFont="0" applyFill="0" applyBorder="0" applyAlignment="0" applyProtection="0"/>
    <xf numFmtId="2" fontId="16" fillId="2" borderId="15" applyProtection="0">
      <alignment horizontal="left"/>
    </xf>
    <xf numFmtId="180" fontId="14" fillId="3" borderId="15">
      <alignment horizontal="right" vertical="center"/>
    </xf>
    <xf numFmtId="176" fontId="5" fillId="0" borderId="0"/>
    <xf numFmtId="181" fontId="10" fillId="0" borderId="3" applyNumberFormat="0" applyFont="0" applyBorder="0" applyAlignment="0">
      <alignment horizontal="left"/>
    </xf>
    <xf numFmtId="179" fontId="21" fillId="4" borderId="16">
      <alignment horizontal="left" vertical="center"/>
    </xf>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11" fillId="0" borderId="0">
      <alignment horizontal="center" vertical="center"/>
    </xf>
    <xf numFmtId="176" fontId="20" fillId="0" borderId="0" applyNumberFormat="0" applyFill="0" applyBorder="0" applyAlignment="0" applyProtection="0">
      <alignment vertical="top"/>
      <protection locked="0"/>
    </xf>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7"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7" fillId="0" borderId="0"/>
    <xf numFmtId="176" fontId="10" fillId="0" borderId="0"/>
    <xf numFmtId="176" fontId="7" fillId="0" borderId="0"/>
    <xf numFmtId="176" fontId="5" fillId="0" borderId="0"/>
    <xf numFmtId="176" fontId="5" fillId="0" borderId="0"/>
    <xf numFmtId="176" fontId="7" fillId="0" borderId="0"/>
    <xf numFmtId="176" fontId="7" fillId="0" borderId="0"/>
    <xf numFmtId="176" fontId="5" fillId="0" borderId="0"/>
    <xf numFmtId="176" fontId="5" fillId="0" borderId="0"/>
    <xf numFmtId="176" fontId="7"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10"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176" fontId="5" fillId="0" borderId="0"/>
    <xf numFmtId="2" fontId="22" fillId="2" borderId="15" applyProtection="0">
      <alignment horizontal="left"/>
    </xf>
    <xf numFmtId="0" fontId="5" fillId="0" borderId="0"/>
    <xf numFmtId="0" fontId="7" fillId="0" borderId="0"/>
    <xf numFmtId="0" fontId="7" fillId="0" borderId="0"/>
    <xf numFmtId="0" fontId="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7"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5" fillId="0" borderId="0"/>
    <xf numFmtId="0" fontId="5" fillId="0" borderId="0"/>
    <xf numFmtId="0" fontId="7"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7" fillId="0" borderId="0"/>
    <xf numFmtId="0" fontId="5" fillId="0" borderId="0"/>
    <xf numFmtId="0" fontId="5"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10" fillId="0" borderId="0"/>
    <xf numFmtId="0" fontId="10" fillId="0" borderId="0"/>
    <xf numFmtId="0" fontId="7"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6" borderId="0" applyNumberFormat="0" applyBorder="0" applyAlignment="0" applyProtection="0">
      <alignment vertical="center"/>
    </xf>
    <xf numFmtId="2" fontId="22" fillId="2" borderId="15" applyProtection="0">
      <alignment horizontal="left"/>
    </xf>
    <xf numFmtId="0" fontId="24" fillId="5" borderId="0" applyNumberFormat="0" applyBorder="0" applyAlignment="0" applyProtection="0">
      <alignment vertical="center"/>
    </xf>
    <xf numFmtId="0" fontId="5" fillId="0" borderId="0"/>
    <xf numFmtId="0" fontId="13" fillId="0" borderId="0"/>
    <xf numFmtId="0" fontId="5" fillId="0" borderId="0"/>
    <xf numFmtId="41" fontId="5" fillId="0" borderId="0" applyFont="0" applyFill="0" applyBorder="0" applyAlignment="0" applyProtection="0"/>
    <xf numFmtId="0" fontId="27" fillId="0" borderId="0" applyNumberFormat="0" applyFont="0" applyAlignment="0">
      <alignment horizontal="left"/>
    </xf>
    <xf numFmtId="0" fontId="7"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10"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11" fillId="0" borderId="0"/>
    <xf numFmtId="0" fontId="32" fillId="0" borderId="17" applyNumberFormat="0" applyAlignment="0" applyProtection="0">
      <alignment horizontal="left" vertical="center"/>
    </xf>
    <xf numFmtId="0" fontId="32" fillId="0" borderId="4">
      <alignment horizontal="left" vertical="center"/>
    </xf>
    <xf numFmtId="0" fontId="28" fillId="0" borderId="18" applyNumberFormat="0">
      <alignment horizontal="left" vertical="center"/>
    </xf>
    <xf numFmtId="0" fontId="5" fillId="0" borderId="0"/>
    <xf numFmtId="0" fontId="28" fillId="0" borderId="19">
      <alignment horizontal="left" vertical="center"/>
    </xf>
    <xf numFmtId="0" fontId="28" fillId="0" borderId="20" applyNumberFormat="0" applyFill="0" applyProtection="0">
      <alignment horizontal="left" vertical="center"/>
    </xf>
    <xf numFmtId="0" fontId="5" fillId="0" borderId="0">
      <alignment vertical="center"/>
    </xf>
    <xf numFmtId="0" fontId="5" fillId="0" borderId="0"/>
    <xf numFmtId="0" fontId="5" fillId="0" borderId="0">
      <alignment vertical="center"/>
    </xf>
    <xf numFmtId="0" fontId="13" fillId="0" borderId="0"/>
    <xf numFmtId="0" fontId="5" fillId="0" borderId="0"/>
    <xf numFmtId="0" fontId="5" fillId="0" borderId="0"/>
    <xf numFmtId="0" fontId="5" fillId="0" borderId="0"/>
    <xf numFmtId="0" fontId="12" fillId="0" borderId="0">
      <alignment vertical="center"/>
    </xf>
    <xf numFmtId="0" fontId="10" fillId="0" borderId="0"/>
    <xf numFmtId="0" fontId="13" fillId="0" borderId="0"/>
    <xf numFmtId="188" fontId="29" fillId="0" borderId="0"/>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xf numFmtId="43" fontId="12" fillId="0" borderId="0" applyFont="0" applyFill="0" applyBorder="0" applyAlignment="0" applyProtection="0">
      <alignment vertical="center"/>
    </xf>
    <xf numFmtId="43" fontId="5" fillId="0" borderId="0" applyFont="0" applyFill="0" applyBorder="0" applyAlignment="0" applyProtection="0"/>
    <xf numFmtId="41" fontId="5" fillId="0" borderId="0" applyFont="0" applyFill="0" applyBorder="0" applyAlignment="0" applyProtection="0">
      <alignment vertical="center"/>
    </xf>
    <xf numFmtId="0" fontId="14" fillId="0" borderId="0"/>
    <xf numFmtId="0" fontId="23" fillId="6" borderId="0" applyNumberFormat="0" applyBorder="0" applyAlignment="0" applyProtection="0">
      <alignment vertical="center"/>
    </xf>
    <xf numFmtId="0" fontId="23" fillId="6" borderId="0" applyNumberFormat="0" applyBorder="0" applyAlignment="0" applyProtection="0">
      <alignment vertical="center"/>
    </xf>
    <xf numFmtId="0" fontId="23" fillId="6" borderId="0" applyNumberFormat="0" applyBorder="0" applyAlignment="0" applyProtection="0">
      <alignment vertical="center"/>
    </xf>
    <xf numFmtId="0" fontId="23" fillId="6" borderId="0" applyNumberFormat="0" applyBorder="0" applyAlignment="0" applyProtection="0">
      <alignment vertical="center"/>
    </xf>
    <xf numFmtId="0" fontId="10" fillId="0" borderId="0"/>
    <xf numFmtId="189" fontId="30" fillId="0" borderId="21">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alignment horizontal="center" vertical="center"/>
    </xf>
    <xf numFmtId="39" fontId="31" fillId="0" borderId="8">
      <alignment horizontal="right"/>
    </xf>
    <xf numFmtId="0" fontId="20" fillId="0" borderId="0" applyNumberFormat="0" applyFill="0" applyBorder="0" applyAlignment="0" applyProtection="0">
      <alignment vertical="top"/>
      <protection locked="0"/>
    </xf>
    <xf numFmtId="0" fontId="24" fillId="5" borderId="0" applyNumberFormat="0" applyBorder="0" applyAlignment="0" applyProtection="0">
      <alignment vertical="center"/>
    </xf>
    <xf numFmtId="0" fontId="24" fillId="5" borderId="0" applyNumberFormat="0" applyBorder="0" applyAlignment="0" applyProtection="0">
      <alignment vertical="center"/>
    </xf>
    <xf numFmtId="0" fontId="24" fillId="5" borderId="0" applyNumberFormat="0" applyBorder="0" applyAlignment="0" applyProtection="0">
      <alignment vertical="center"/>
    </xf>
    <xf numFmtId="0" fontId="24" fillId="5"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7"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3"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12" fillId="14" borderId="0" applyNumberFormat="0" applyBorder="0" applyAlignment="0" applyProtection="0">
      <alignment vertical="center"/>
    </xf>
    <xf numFmtId="0" fontId="33" fillId="15"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43" fontId="12" fillId="0" borderId="0" applyFont="0" applyFill="0" applyBorder="0" applyAlignment="0" applyProtection="0">
      <alignment vertical="center"/>
    </xf>
    <xf numFmtId="43" fontId="5" fillId="0" borderId="0" applyFont="0" applyFill="0" applyBorder="0" applyAlignment="0" applyProtection="0"/>
    <xf numFmtId="184" fontId="10" fillId="0" borderId="0" applyFont="0" applyFill="0" applyBorder="0" applyAlignment="0" applyProtection="0"/>
    <xf numFmtId="0" fontId="34" fillId="19" borderId="0" applyNumberFormat="0" applyBorder="0" applyAlignment="0" applyProtection="0">
      <alignment vertical="center"/>
    </xf>
    <xf numFmtId="0" fontId="35" fillId="0" borderId="22" applyNumberFormat="0" applyFill="0" applyAlignment="0" applyProtection="0">
      <alignment vertical="center"/>
    </xf>
    <xf numFmtId="0" fontId="23" fillId="6" borderId="0" applyNumberFormat="0" applyBorder="0" applyAlignment="0" applyProtection="0">
      <alignment vertical="center"/>
    </xf>
    <xf numFmtId="0" fontId="36" fillId="20" borderId="23" applyNumberFormat="0" applyAlignment="0" applyProtection="0">
      <alignment vertical="center"/>
    </xf>
    <xf numFmtId="0" fontId="37" fillId="0" borderId="24" applyNumberFormat="0" applyFill="0" applyAlignment="0" applyProtection="0">
      <alignment vertical="center"/>
    </xf>
    <xf numFmtId="0" fontId="5" fillId="21" borderId="25" applyNumberFormat="0" applyFont="0" applyAlignment="0" applyProtection="0">
      <alignment vertical="center"/>
    </xf>
    <xf numFmtId="2" fontId="47" fillId="2" borderId="15" applyProtection="0">
      <alignment horizontal="left"/>
    </xf>
    <xf numFmtId="0" fontId="38" fillId="0" borderId="0" applyNumberFormat="0" applyFill="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3" fillId="25" borderId="0" applyNumberFormat="0" applyBorder="0" applyAlignment="0" applyProtection="0">
      <alignment vertical="center"/>
    </xf>
    <xf numFmtId="0" fontId="39" fillId="0" borderId="0" applyNumberFormat="0" applyFill="0" applyBorder="0" applyAlignment="0" applyProtection="0">
      <alignment vertical="center"/>
    </xf>
    <xf numFmtId="0" fontId="40" fillId="0" borderId="26" applyNumberFormat="0" applyFill="0" applyAlignment="0" applyProtection="0">
      <alignment vertical="center"/>
    </xf>
    <xf numFmtId="0" fontId="41" fillId="0" borderId="27" applyNumberFormat="0" applyFill="0" applyAlignment="0" applyProtection="0">
      <alignment vertical="center"/>
    </xf>
    <xf numFmtId="0" fontId="42" fillId="0" borderId="28" applyNumberFormat="0" applyFill="0" applyAlignment="0" applyProtection="0">
      <alignment vertical="center"/>
    </xf>
    <xf numFmtId="0" fontId="42" fillId="0" borderId="0" applyNumberFormat="0" applyFill="0" applyBorder="0" applyAlignment="0" applyProtection="0">
      <alignment vertical="center"/>
    </xf>
    <xf numFmtId="0" fontId="43" fillId="10" borderId="23" applyNumberFormat="0" applyAlignment="0" applyProtection="0">
      <alignment vertical="center"/>
    </xf>
    <xf numFmtId="0" fontId="44" fillId="20" borderId="29" applyNumberFormat="0" applyAlignment="0" applyProtection="0">
      <alignment vertical="center"/>
    </xf>
    <xf numFmtId="0" fontId="45" fillId="26" borderId="30" applyNumberFormat="0" applyAlignment="0" applyProtection="0">
      <alignment vertical="center"/>
    </xf>
    <xf numFmtId="0" fontId="24" fillId="5" borderId="0" applyNumberFormat="0" applyBorder="0" applyAlignment="0" applyProtection="0">
      <alignment vertical="center"/>
    </xf>
    <xf numFmtId="0" fontId="46" fillId="0" borderId="0" applyNumberFormat="0" applyFill="0" applyBorder="0" applyAlignment="0" applyProtection="0">
      <alignment vertical="center"/>
    </xf>
    <xf numFmtId="0" fontId="5" fillId="0" borderId="0"/>
  </cellStyleXfs>
  <cellXfs count="129">
    <xf numFmtId="176" fontId="0" fillId="0" borderId="0" xfId="0">
      <alignment vertical="center"/>
    </xf>
    <xf numFmtId="176" fontId="6" fillId="27" borderId="0" xfId="0" applyFont="1" applyFill="1">
      <alignment vertical="center"/>
    </xf>
    <xf numFmtId="176" fontId="6" fillId="27" borderId="0" xfId="0" applyFont="1" applyFill="1" applyAlignment="1">
      <alignment horizontal="center" vertical="center"/>
    </xf>
    <xf numFmtId="176" fontId="6" fillId="27" borderId="0" xfId="2" applyFont="1" applyFill="1" applyAlignment="1">
      <alignment vertical="center"/>
    </xf>
    <xf numFmtId="176" fontId="26" fillId="27" borderId="0" xfId="0" applyFont="1" applyFill="1">
      <alignment vertical="center"/>
    </xf>
    <xf numFmtId="176" fontId="2" fillId="27" borderId="0" xfId="0" applyFont="1" applyFill="1" applyAlignment="1">
      <alignment horizontal="center" vertical="center"/>
    </xf>
    <xf numFmtId="185" fontId="6" fillId="27" borderId="0" xfId="0" applyNumberFormat="1" applyFont="1" applyFill="1">
      <alignment vertical="center"/>
    </xf>
    <xf numFmtId="178" fontId="6" fillId="27" borderId="0" xfId="0" applyNumberFormat="1" applyFont="1" applyFill="1">
      <alignment vertical="center"/>
    </xf>
    <xf numFmtId="176" fontId="6" fillId="27" borderId="3" xfId="0" applyFont="1" applyFill="1" applyBorder="1">
      <alignment vertical="center"/>
    </xf>
    <xf numFmtId="176" fontId="6" fillId="27" borderId="3" xfId="0" applyFont="1" applyFill="1" applyBorder="1" applyAlignment="1">
      <alignment horizontal="center" vertical="center"/>
    </xf>
    <xf numFmtId="178" fontId="6" fillId="27" borderId="1" xfId="0" applyNumberFormat="1" applyFont="1" applyFill="1" applyBorder="1">
      <alignment vertical="center"/>
    </xf>
    <xf numFmtId="176" fontId="6" fillId="27" borderId="2" xfId="0" applyFont="1" applyFill="1" applyBorder="1">
      <alignment vertical="center"/>
    </xf>
    <xf numFmtId="176" fontId="6" fillId="27" borderId="1" xfId="0" applyFont="1" applyFill="1" applyBorder="1" applyAlignment="1">
      <alignment horizontal="center" vertical="center"/>
    </xf>
    <xf numFmtId="176" fontId="6" fillId="27" borderId="3" xfId="0" applyFont="1" applyFill="1" applyBorder="1" applyAlignment="1">
      <alignment horizontal="left" vertical="center"/>
    </xf>
    <xf numFmtId="176" fontId="6" fillId="27" borderId="13" xfId="0" applyFont="1" applyFill="1" applyBorder="1" applyAlignment="1">
      <alignment horizontal="center" vertical="center"/>
    </xf>
    <xf numFmtId="185" fontId="6" fillId="27" borderId="0" xfId="0" applyNumberFormat="1" applyFont="1" applyFill="1" applyAlignment="1">
      <alignment horizontal="center" vertical="center"/>
    </xf>
    <xf numFmtId="2" fontId="6" fillId="27" borderId="0" xfId="0" applyNumberFormat="1" applyFont="1" applyFill="1">
      <alignment vertical="center"/>
    </xf>
    <xf numFmtId="10" fontId="6" fillId="27" borderId="0" xfId="4" applyNumberFormat="1" applyFont="1" applyFill="1" applyAlignment="1">
      <alignment vertical="center"/>
    </xf>
    <xf numFmtId="185" fontId="6" fillId="27" borderId="0" xfId="2" applyNumberFormat="1" applyFont="1" applyFill="1" applyAlignment="1">
      <alignment vertical="center"/>
    </xf>
    <xf numFmtId="185" fontId="26" fillId="27" borderId="0" xfId="0" applyNumberFormat="1" applyFont="1" applyFill="1">
      <alignment vertical="center"/>
    </xf>
    <xf numFmtId="176" fontId="48" fillId="27" borderId="3" xfId="0" applyFont="1" applyFill="1" applyBorder="1" applyAlignment="1">
      <alignment horizontal="center" vertical="center" wrapText="1" readingOrder="1"/>
    </xf>
    <xf numFmtId="176" fontId="6" fillId="0" borderId="13" xfId="0" applyFont="1" applyBorder="1" applyAlignment="1">
      <alignment horizontal="center" shrinkToFit="1"/>
    </xf>
    <xf numFmtId="176" fontId="6" fillId="27" borderId="34" xfId="0" applyFont="1" applyFill="1" applyBorder="1" applyAlignment="1">
      <alignment horizontal="center" vertical="center" wrapText="1" readingOrder="1"/>
    </xf>
    <xf numFmtId="177" fontId="25" fillId="27" borderId="36" xfId="3" applyNumberFormat="1" applyFont="1" applyFill="1" applyBorder="1" applyAlignment="1">
      <alignment horizontal="right" vertical="center"/>
    </xf>
    <xf numFmtId="177" fontId="25" fillId="27" borderId="37" xfId="3" applyNumberFormat="1" applyFont="1" applyFill="1" applyBorder="1" applyAlignment="1">
      <alignment horizontal="right" vertical="center"/>
    </xf>
    <xf numFmtId="176" fontId="6" fillId="27" borderId="34" xfId="0" applyFont="1" applyFill="1" applyBorder="1">
      <alignment vertical="center"/>
    </xf>
    <xf numFmtId="177" fontId="25" fillId="27" borderId="35" xfId="3" applyNumberFormat="1" applyFont="1" applyFill="1" applyBorder="1" applyAlignment="1">
      <alignment horizontal="right" vertical="center"/>
    </xf>
    <xf numFmtId="0" fontId="6" fillId="0" borderId="34" xfId="5380" applyFont="1" applyBorder="1" applyAlignment="1">
      <alignment horizontal="center" vertical="center"/>
    </xf>
    <xf numFmtId="190" fontId="6" fillId="27" borderId="0" xfId="0" applyNumberFormat="1" applyFont="1" applyFill="1" applyAlignment="1">
      <alignment horizontal="right" vertical="center"/>
    </xf>
    <xf numFmtId="190" fontId="6" fillId="27" borderId="0" xfId="0" applyNumberFormat="1" applyFont="1" applyFill="1" applyAlignment="1">
      <alignment horizontal="center" vertical="center"/>
    </xf>
    <xf numFmtId="190" fontId="6" fillId="27" borderId="0" xfId="0" applyNumberFormat="1" applyFont="1" applyFill="1" applyAlignment="1">
      <alignment horizontal="right" vertical="center" shrinkToFit="1"/>
    </xf>
    <xf numFmtId="190" fontId="6" fillId="27" borderId="0" xfId="2482" applyNumberFormat="1" applyFont="1" applyFill="1" applyBorder="1" applyAlignment="1">
      <alignment horizontal="right" vertical="center" shrinkToFit="1"/>
    </xf>
    <xf numFmtId="190" fontId="6" fillId="27" borderId="0" xfId="0" applyNumberFormat="1" applyFont="1" applyFill="1" applyAlignment="1">
      <alignment horizontal="center" vertical="center" shrinkToFit="1"/>
    </xf>
    <xf numFmtId="190" fontId="6" fillId="27" borderId="0" xfId="0" applyNumberFormat="1" applyFont="1" applyFill="1" applyAlignment="1">
      <alignment horizontal="center"/>
    </xf>
    <xf numFmtId="190" fontId="6" fillId="27" borderId="0" xfId="2482" applyNumberFormat="1" applyFont="1" applyFill="1" applyBorder="1" applyAlignment="1">
      <alignment horizontal="center" vertical="center" shrinkToFit="1"/>
    </xf>
    <xf numFmtId="190" fontId="6" fillId="27" borderId="0" xfId="2" applyNumberFormat="1" applyFont="1" applyFill="1" applyAlignment="1">
      <alignment horizontal="center" vertical="center"/>
    </xf>
    <xf numFmtId="190" fontId="26" fillId="27" borderId="0" xfId="0" applyNumberFormat="1" applyFont="1" applyFill="1" applyAlignment="1">
      <alignment horizontal="center" vertical="center"/>
    </xf>
    <xf numFmtId="10" fontId="6" fillId="27" borderId="0" xfId="0" applyNumberFormat="1" applyFont="1" applyFill="1" applyAlignment="1">
      <alignment horizontal="center" vertical="center"/>
    </xf>
    <xf numFmtId="190" fontId="6" fillId="27" borderId="0" xfId="0" applyNumberFormat="1" applyFont="1" applyFill="1" applyAlignment="1">
      <alignment horizontal="right"/>
    </xf>
    <xf numFmtId="176" fontId="49" fillId="27" borderId="0" xfId="0" applyFont="1" applyFill="1">
      <alignment vertical="center"/>
    </xf>
    <xf numFmtId="176" fontId="6" fillId="27" borderId="13" xfId="2" applyFont="1" applyFill="1" applyBorder="1" applyAlignment="1">
      <alignment horizontal="left" vertical="center" wrapText="1"/>
    </xf>
    <xf numFmtId="176" fontId="6" fillId="27" borderId="6" xfId="2" applyFont="1" applyFill="1" applyBorder="1" applyAlignment="1">
      <alignment horizontal="left" vertical="center" wrapText="1"/>
    </xf>
    <xf numFmtId="176" fontId="6" fillId="27" borderId="14" xfId="2" applyFont="1" applyFill="1" applyBorder="1" applyAlignment="1">
      <alignment horizontal="center" vertical="center" wrapText="1"/>
    </xf>
    <xf numFmtId="176" fontId="6" fillId="27" borderId="0" xfId="2" applyFont="1" applyFill="1" applyAlignment="1">
      <alignment horizontal="center" vertical="center" wrapText="1"/>
    </xf>
    <xf numFmtId="176" fontId="6" fillId="27" borderId="11" xfId="2" applyFont="1" applyFill="1" applyBorder="1" applyAlignment="1">
      <alignment horizontal="center" vertical="center" wrapText="1"/>
    </xf>
    <xf numFmtId="176" fontId="6" fillId="27" borderId="14" xfId="2" applyFont="1" applyFill="1" applyBorder="1" applyAlignment="1">
      <alignment horizontal="left" vertical="center" wrapText="1"/>
    </xf>
    <xf numFmtId="176" fontId="6" fillId="27" borderId="0" xfId="2" applyFont="1" applyFill="1" applyAlignment="1">
      <alignment horizontal="left" vertical="center" wrapText="1"/>
    </xf>
    <xf numFmtId="176" fontId="6" fillId="27" borderId="11" xfId="2" applyFont="1" applyFill="1" applyBorder="1" applyAlignment="1">
      <alignment horizontal="left" vertical="center" wrapText="1"/>
    </xf>
    <xf numFmtId="176" fontId="8" fillId="27" borderId="1" xfId="2" applyFont="1" applyFill="1" applyBorder="1" applyAlignment="1">
      <alignment horizontal="center" vertical="center" wrapText="1"/>
    </xf>
    <xf numFmtId="176" fontId="8" fillId="27" borderId="4" xfId="2" applyFont="1" applyFill="1" applyBorder="1" applyAlignment="1">
      <alignment horizontal="center" vertical="center" wrapText="1"/>
    </xf>
    <xf numFmtId="176" fontId="6" fillId="27" borderId="4" xfId="2" applyFont="1" applyFill="1" applyBorder="1" applyAlignment="1">
      <alignment horizontal="left" vertical="center" wrapText="1"/>
    </xf>
    <xf numFmtId="176" fontId="6" fillId="27" borderId="4" xfId="2" applyFont="1" applyFill="1" applyBorder="1" applyAlignment="1">
      <alignment horizontal="center" vertical="center" wrapText="1"/>
    </xf>
    <xf numFmtId="176" fontId="6" fillId="27" borderId="2" xfId="2" applyFont="1" applyFill="1" applyBorder="1" applyAlignment="1">
      <alignment horizontal="center" vertical="center" wrapText="1"/>
    </xf>
    <xf numFmtId="176" fontId="6" fillId="27" borderId="12" xfId="2" applyFont="1" applyFill="1" applyBorder="1" applyAlignment="1">
      <alignment horizontal="left" vertical="center" wrapText="1"/>
    </xf>
    <xf numFmtId="176" fontId="6" fillId="27" borderId="8" xfId="2" applyFont="1" applyFill="1" applyBorder="1" applyAlignment="1">
      <alignment horizontal="left" vertical="center" wrapText="1"/>
    </xf>
    <xf numFmtId="176" fontId="6" fillId="27" borderId="10" xfId="2" applyFont="1" applyFill="1" applyBorder="1" applyAlignment="1">
      <alignment horizontal="left" vertical="center" wrapText="1"/>
    </xf>
    <xf numFmtId="176" fontId="6" fillId="27" borderId="9" xfId="2" applyFont="1" applyFill="1" applyBorder="1" applyAlignment="1">
      <alignment horizontal="left" vertical="center" wrapText="1"/>
    </xf>
    <xf numFmtId="176" fontId="8" fillId="27" borderId="8" xfId="2" applyFont="1" applyFill="1" applyBorder="1" applyAlignment="1">
      <alignment horizontal="left" vertical="center" wrapText="1"/>
    </xf>
    <xf numFmtId="176" fontId="8" fillId="27" borderId="10" xfId="2" applyFont="1" applyFill="1" applyBorder="1" applyAlignment="1">
      <alignment horizontal="left" vertical="center" wrapText="1"/>
    </xf>
    <xf numFmtId="176" fontId="8" fillId="27" borderId="9" xfId="2" applyFont="1" applyFill="1" applyBorder="1" applyAlignment="1">
      <alignment horizontal="left" vertical="center" wrapText="1"/>
    </xf>
    <xf numFmtId="176" fontId="6" fillId="27" borderId="1" xfId="2" applyFont="1" applyFill="1" applyBorder="1" applyAlignment="1">
      <alignment horizontal="center" vertical="center" wrapText="1"/>
    </xf>
    <xf numFmtId="43" fontId="6" fillId="27" borderId="3" xfId="1" applyFont="1" applyFill="1" applyBorder="1" applyAlignment="1">
      <alignment horizontal="center" vertical="center"/>
    </xf>
    <xf numFmtId="176" fontId="6" fillId="27" borderId="3" xfId="0" applyFont="1" applyFill="1" applyBorder="1" applyAlignment="1">
      <alignment horizontal="left" vertical="center"/>
    </xf>
    <xf numFmtId="176" fontId="6" fillId="27" borderId="3" xfId="0" applyFont="1" applyFill="1" applyBorder="1" applyAlignment="1">
      <alignment horizontal="center" vertical="center"/>
    </xf>
    <xf numFmtId="12" fontId="6" fillId="27" borderId="35" xfId="2479" applyNumberFormat="1" applyFont="1" applyFill="1" applyBorder="1" applyAlignment="1">
      <alignment horizontal="left" vertical="center" wrapText="1"/>
    </xf>
    <xf numFmtId="12" fontId="6" fillId="27" borderId="36" xfId="2479" applyNumberFormat="1" applyFont="1" applyFill="1" applyBorder="1" applyAlignment="1">
      <alignment horizontal="left" vertical="center" wrapText="1"/>
    </xf>
    <xf numFmtId="12" fontId="6" fillId="27" borderId="37" xfId="2479" applyNumberFormat="1" applyFont="1" applyFill="1" applyBorder="1" applyAlignment="1">
      <alignment horizontal="left" vertical="center" wrapText="1"/>
    </xf>
    <xf numFmtId="187" fontId="25" fillId="27" borderId="35" xfId="2480" applyNumberFormat="1" applyFont="1" applyFill="1" applyBorder="1" applyAlignment="1">
      <alignment vertical="center" shrinkToFit="1"/>
    </xf>
    <xf numFmtId="187" fontId="25" fillId="27" borderId="37" xfId="2480" applyNumberFormat="1" applyFont="1" applyFill="1" applyBorder="1" applyAlignment="1">
      <alignment vertical="center" shrinkToFit="1"/>
    </xf>
    <xf numFmtId="43" fontId="25" fillId="27" borderId="1" xfId="1" applyFont="1" applyFill="1" applyBorder="1">
      <alignment vertical="center"/>
    </xf>
    <xf numFmtId="43" fontId="25" fillId="27" borderId="2" xfId="1" applyFont="1" applyFill="1" applyBorder="1">
      <alignment vertical="center"/>
    </xf>
    <xf numFmtId="176" fontId="6" fillId="27" borderId="1" xfId="0" applyFont="1" applyFill="1" applyBorder="1" applyAlignment="1">
      <alignment horizontal="center" vertical="center"/>
    </xf>
    <xf numFmtId="176" fontId="6" fillId="27" borderId="4" xfId="0" applyFont="1" applyFill="1" applyBorder="1" applyAlignment="1">
      <alignment horizontal="center" vertical="center"/>
    </xf>
    <xf numFmtId="176" fontId="6" fillId="27" borderId="2" xfId="0" applyFont="1" applyFill="1" applyBorder="1" applyAlignment="1">
      <alignment horizontal="center" vertical="center"/>
    </xf>
    <xf numFmtId="176" fontId="8" fillId="27" borderId="1" xfId="0" applyFont="1" applyFill="1" applyBorder="1" applyAlignment="1">
      <alignment horizontal="center" vertical="center"/>
    </xf>
    <xf numFmtId="176" fontId="8" fillId="27" borderId="2" xfId="0" applyFont="1" applyFill="1" applyBorder="1" applyAlignment="1">
      <alignment horizontal="center" vertical="center"/>
    </xf>
    <xf numFmtId="176" fontId="6" fillId="27" borderId="1" xfId="0" applyFont="1" applyFill="1" applyBorder="1" applyAlignment="1">
      <alignment horizontal="left" vertical="center"/>
    </xf>
    <xf numFmtId="176" fontId="6" fillId="27" borderId="2" xfId="0" applyFont="1" applyFill="1" applyBorder="1" applyAlignment="1">
      <alignment horizontal="left" vertical="center"/>
    </xf>
    <xf numFmtId="177" fontId="6" fillId="27" borderId="1" xfId="0" applyNumberFormat="1" applyFont="1" applyFill="1" applyBorder="1" applyAlignment="1">
      <alignment horizontal="right" vertical="center"/>
    </xf>
    <xf numFmtId="176" fontId="6" fillId="27" borderId="4" xfId="0" applyFont="1" applyFill="1" applyBorder="1" applyAlignment="1">
      <alignment horizontal="right" vertical="center"/>
    </xf>
    <xf numFmtId="176" fontId="6" fillId="27" borderId="2" xfId="0" applyFont="1" applyFill="1" applyBorder="1" applyAlignment="1">
      <alignment horizontal="right" vertical="center"/>
    </xf>
    <xf numFmtId="43" fontId="6" fillId="27" borderId="1" xfId="1" applyFont="1" applyFill="1" applyBorder="1">
      <alignment vertical="center"/>
    </xf>
    <xf numFmtId="43" fontId="6" fillId="27" borderId="2" xfId="1" applyFont="1" applyFill="1" applyBorder="1">
      <alignment vertical="center"/>
    </xf>
    <xf numFmtId="12" fontId="6" fillId="27" borderId="31" xfId="2479" applyNumberFormat="1" applyFont="1" applyFill="1" applyBorder="1" applyAlignment="1">
      <alignment horizontal="left" vertical="center" wrapText="1"/>
    </xf>
    <xf numFmtId="12" fontId="6" fillId="27" borderId="32" xfId="2479" applyNumberFormat="1" applyFont="1" applyFill="1" applyBorder="1" applyAlignment="1">
      <alignment horizontal="left" vertical="center" wrapText="1"/>
    </xf>
    <xf numFmtId="12" fontId="6" fillId="27" borderId="33" xfId="2479" applyNumberFormat="1" applyFont="1" applyFill="1" applyBorder="1" applyAlignment="1">
      <alignment horizontal="left" vertical="center" wrapText="1"/>
    </xf>
    <xf numFmtId="177" fontId="25" fillId="27" borderId="1" xfId="3" applyNumberFormat="1" applyFont="1" applyFill="1" applyBorder="1" applyAlignment="1">
      <alignment horizontal="right" vertical="center"/>
    </xf>
    <xf numFmtId="177" fontId="25" fillId="27" borderId="4" xfId="3" applyNumberFormat="1" applyFont="1" applyFill="1" applyBorder="1" applyAlignment="1">
      <alignment horizontal="right" vertical="center"/>
    </xf>
    <xf numFmtId="177" fontId="25" fillId="27" borderId="2" xfId="3" applyNumberFormat="1" applyFont="1" applyFill="1" applyBorder="1" applyAlignment="1">
      <alignment horizontal="right" vertical="center"/>
    </xf>
    <xf numFmtId="12" fontId="6" fillId="27" borderId="31" xfId="2479" applyNumberFormat="1" applyFont="1" applyFill="1" applyBorder="1" applyAlignment="1">
      <alignment horizontal="left" vertical="top" wrapText="1"/>
    </xf>
    <xf numFmtId="12" fontId="6" fillId="27" borderId="32" xfId="2479" applyNumberFormat="1" applyFont="1" applyFill="1" applyBorder="1" applyAlignment="1">
      <alignment horizontal="left" vertical="top" wrapText="1"/>
    </xf>
    <xf numFmtId="12" fontId="6" fillId="27" borderId="33" xfId="2479" applyNumberFormat="1" applyFont="1" applyFill="1" applyBorder="1" applyAlignment="1">
      <alignment horizontal="left" vertical="top" wrapText="1"/>
    </xf>
    <xf numFmtId="176" fontId="6" fillId="27" borderId="5" xfId="0" applyFont="1" applyFill="1" applyBorder="1" applyAlignment="1">
      <alignment horizontal="center" vertical="center" wrapText="1"/>
    </xf>
    <xf numFmtId="176" fontId="6" fillId="27" borderId="7" xfId="0" applyFont="1" applyFill="1" applyBorder="1" applyAlignment="1">
      <alignment horizontal="center" vertical="center" wrapText="1"/>
    </xf>
    <xf numFmtId="176" fontId="6" fillId="27" borderId="6" xfId="0" applyFont="1" applyFill="1" applyBorder="1" applyAlignment="1">
      <alignment horizontal="center" vertical="center" wrapText="1"/>
    </xf>
    <xf numFmtId="176" fontId="6" fillId="27" borderId="8" xfId="0" applyFont="1" applyFill="1" applyBorder="1" applyAlignment="1">
      <alignment horizontal="center" vertical="center" wrapText="1"/>
    </xf>
    <xf numFmtId="176" fontId="6" fillId="27" borderId="10" xfId="0" applyFont="1" applyFill="1" applyBorder="1" applyAlignment="1">
      <alignment horizontal="center" vertical="center" wrapText="1"/>
    </xf>
    <xf numFmtId="176" fontId="6" fillId="27" borderId="9" xfId="0" applyFont="1" applyFill="1" applyBorder="1" applyAlignment="1">
      <alignment horizontal="center" vertical="center" wrapText="1"/>
    </xf>
    <xf numFmtId="10" fontId="6" fillId="27" borderId="5" xfId="4" applyNumberFormat="1" applyFont="1" applyFill="1" applyBorder="1" applyAlignment="1">
      <alignment horizontal="center" vertical="center" wrapText="1"/>
    </xf>
    <xf numFmtId="10" fontId="6" fillId="27" borderId="7" xfId="4" applyNumberFormat="1" applyFont="1" applyFill="1" applyBorder="1" applyAlignment="1">
      <alignment horizontal="center" vertical="center" wrapText="1"/>
    </xf>
    <xf numFmtId="10" fontId="6" fillId="27" borderId="6" xfId="4" applyNumberFormat="1" applyFont="1" applyFill="1" applyBorder="1" applyAlignment="1">
      <alignment horizontal="center" vertical="center" wrapText="1"/>
    </xf>
    <xf numFmtId="10" fontId="6" fillId="27" borderId="8" xfId="4" applyNumberFormat="1" applyFont="1" applyFill="1" applyBorder="1" applyAlignment="1">
      <alignment horizontal="center" vertical="center" wrapText="1"/>
    </xf>
    <xf numFmtId="10" fontId="6" fillId="27" borderId="10" xfId="4" applyNumberFormat="1" applyFont="1" applyFill="1" applyBorder="1" applyAlignment="1">
      <alignment horizontal="center" vertical="center" wrapText="1"/>
    </xf>
    <xf numFmtId="10" fontId="6" fillId="27" borderId="9" xfId="4" applyNumberFormat="1" applyFont="1" applyFill="1" applyBorder="1" applyAlignment="1">
      <alignment horizontal="center" vertical="center" wrapText="1"/>
    </xf>
    <xf numFmtId="176" fontId="6" fillId="27" borderId="5" xfId="0" applyFont="1" applyFill="1" applyBorder="1" applyAlignment="1">
      <alignment horizontal="center" vertical="center"/>
    </xf>
    <xf numFmtId="176" fontId="6" fillId="27" borderId="7" xfId="0" applyFont="1" applyFill="1" applyBorder="1" applyAlignment="1">
      <alignment horizontal="center" vertical="center"/>
    </xf>
    <xf numFmtId="176" fontId="6" fillId="27" borderId="6" xfId="0" applyFont="1" applyFill="1" applyBorder="1" applyAlignment="1">
      <alignment horizontal="center" vertical="center"/>
    </xf>
    <xf numFmtId="176" fontId="6" fillId="27" borderId="8" xfId="0" applyFont="1" applyFill="1" applyBorder="1" applyAlignment="1">
      <alignment horizontal="center" vertical="center"/>
    </xf>
    <xf numFmtId="176" fontId="6" fillId="27" borderId="10" xfId="0" applyFont="1" applyFill="1" applyBorder="1" applyAlignment="1">
      <alignment horizontal="center" vertical="center"/>
    </xf>
    <xf numFmtId="176" fontId="6" fillId="27" borderId="9" xfId="0" applyFont="1" applyFill="1" applyBorder="1" applyAlignment="1">
      <alignment horizontal="center" vertical="center"/>
    </xf>
    <xf numFmtId="10" fontId="6" fillId="27" borderId="5" xfId="0" applyNumberFormat="1" applyFont="1" applyFill="1" applyBorder="1" applyAlignment="1">
      <alignment horizontal="center" vertical="center"/>
    </xf>
    <xf numFmtId="176" fontId="6" fillId="27" borderId="13" xfId="0" applyFont="1" applyFill="1" applyBorder="1" applyAlignment="1">
      <alignment horizontal="center" vertical="center"/>
    </xf>
    <xf numFmtId="176" fontId="6" fillId="27" borderId="0" xfId="0" applyFont="1" applyFill="1" applyAlignment="1">
      <alignment horizontal="center" vertical="center"/>
    </xf>
    <xf numFmtId="186" fontId="6" fillId="27" borderId="10" xfId="0" applyNumberFormat="1" applyFont="1" applyFill="1" applyBorder="1" applyAlignment="1">
      <alignment horizontal="center" vertical="center"/>
    </xf>
    <xf numFmtId="176" fontId="6" fillId="27" borderId="0" xfId="0" applyFont="1" applyFill="1">
      <alignment vertical="center"/>
    </xf>
    <xf numFmtId="176" fontId="6" fillId="27" borderId="1" xfId="0" applyFont="1" applyFill="1" applyBorder="1" applyAlignment="1">
      <alignment horizontal="left" vertical="center" wrapText="1" shrinkToFit="1"/>
    </xf>
    <xf numFmtId="176" fontId="6" fillId="27" borderId="4" xfId="0" applyFont="1" applyFill="1" applyBorder="1" applyAlignment="1">
      <alignment horizontal="left" vertical="center" shrinkToFit="1"/>
    </xf>
    <xf numFmtId="176" fontId="6" fillId="27" borderId="2" xfId="0" applyFont="1" applyFill="1" applyBorder="1" applyAlignment="1">
      <alignment horizontal="left" vertical="center" shrinkToFit="1"/>
    </xf>
    <xf numFmtId="176" fontId="8" fillId="27" borderId="1" xfId="0" applyFont="1" applyFill="1" applyBorder="1" applyAlignment="1">
      <alignment horizontal="right" vertical="center"/>
    </xf>
    <xf numFmtId="176" fontId="8" fillId="27" borderId="2" xfId="0" applyFont="1" applyFill="1" applyBorder="1" applyAlignment="1">
      <alignment horizontal="right" vertical="center"/>
    </xf>
    <xf numFmtId="186" fontId="6" fillId="27" borderId="1" xfId="0" applyNumberFormat="1" applyFont="1" applyFill="1" applyBorder="1" applyAlignment="1">
      <alignment horizontal="center" vertical="center"/>
    </xf>
    <xf numFmtId="186" fontId="6" fillId="27" borderId="4" xfId="0" applyNumberFormat="1" applyFont="1" applyFill="1" applyBorder="1" applyAlignment="1">
      <alignment horizontal="center" vertical="center"/>
    </xf>
    <xf numFmtId="186" fontId="6" fillId="27" borderId="2" xfId="0" applyNumberFormat="1" applyFont="1" applyFill="1" applyBorder="1" applyAlignment="1">
      <alignment horizontal="center" vertical="center"/>
    </xf>
    <xf numFmtId="43" fontId="6" fillId="27" borderId="1" xfId="1" applyFont="1" applyFill="1" applyBorder="1" applyAlignment="1">
      <alignment horizontal="center" vertical="center"/>
    </xf>
    <xf numFmtId="43" fontId="6" fillId="27" borderId="2" xfId="1" applyFont="1" applyFill="1" applyBorder="1" applyAlignment="1">
      <alignment horizontal="center" vertical="center"/>
    </xf>
    <xf numFmtId="176" fontId="2" fillId="27" borderId="0" xfId="0" applyFont="1" applyFill="1" applyAlignment="1">
      <alignment horizontal="center" vertical="center"/>
    </xf>
    <xf numFmtId="177" fontId="25" fillId="27" borderId="35" xfId="3" applyNumberFormat="1" applyFont="1" applyFill="1" applyBorder="1" applyAlignment="1">
      <alignment horizontal="right" vertical="center"/>
    </xf>
    <xf numFmtId="177" fontId="25" fillId="27" borderId="36" xfId="3" applyNumberFormat="1" applyFont="1" applyFill="1" applyBorder="1" applyAlignment="1">
      <alignment horizontal="right" vertical="center"/>
    </xf>
    <xf numFmtId="177" fontId="25" fillId="27" borderId="37" xfId="3" applyNumberFormat="1" applyFont="1" applyFill="1" applyBorder="1" applyAlignment="1">
      <alignment horizontal="right" vertical="center"/>
    </xf>
  </cellXfs>
  <cellStyles count="5381">
    <cellStyle name="?礌_x000c_檎'_x000d_觤U_x0001_??_x0007__x0001__x0001_" xfId="6" xr:uid="{00000000-0005-0000-0000-000000000000}"/>
    <cellStyle name="?礌_x000c_檎'_x000d_觤U_x0001_??_x0007__x0001__x0001_ 2" xfId="2485" xr:uid="{00000000-0005-0000-0000-000001000000}"/>
    <cellStyle name="_0615-1-下崙北養殖區護岸道路改善工程" xfId="1244" xr:uid="{00000000-0005-0000-0000-000002000000}"/>
    <cellStyle name="_0615-1-下崙北養殖區護岸道路改善工程 2" xfId="2486" xr:uid="{00000000-0005-0000-0000-000003000000}"/>
    <cellStyle name="_0615-1-下崙北養殖區護岸道路改善工程_口湖鄉下崙福安宮整地及排水改善工程" xfId="1245" xr:uid="{00000000-0005-0000-0000-000004000000}"/>
    <cellStyle name="_0615-1-下崙北養殖區護岸道路改善工程_口湖鄉下崙福安宮整地及排水改善工程 2" xfId="2487" xr:uid="{00000000-0005-0000-0000-000005000000}"/>
    <cellStyle name="_0615-1-下崙北養殖區護岸道路改善工程_口湖鄉下崙福安宮整地及排水改善工程_空.材抽" xfId="1246" xr:uid="{00000000-0005-0000-0000-000006000000}"/>
    <cellStyle name="_0615-1-下崙北養殖區護岸道路改善工程_口湖鄉下崙福安宮整地及排水改善工程_空.材抽 2" xfId="2488" xr:uid="{00000000-0005-0000-0000-000007000000}"/>
    <cellStyle name="_0615-1-下崙北養殖區護岸道路改善工程_土方計算表A-1 (2)" xfId="1247" xr:uid="{00000000-0005-0000-0000-000008000000}"/>
    <cellStyle name="_0615-1-下崙北養殖區護岸道路改善工程_土方計算表A-1 (2) 2" xfId="2489" xr:uid="{00000000-0005-0000-0000-000009000000}"/>
    <cellStyle name="_0615-1-下崙北養殖區護岸道路改善工程_土方計算表A-1 (2)_空.材抽" xfId="1248" xr:uid="{00000000-0005-0000-0000-00000A000000}"/>
    <cellStyle name="_0615-1-下崙北養殖區護岸道路改善工程_土方計算表A-1 (2)_空.材抽 2" xfId="2490" xr:uid="{00000000-0005-0000-0000-00000B000000}"/>
    <cellStyle name="_0615-1-下崙北養殖區護岸道路改善工程_斗南鎮小東里高速公路邊排水改善工程" xfId="1249" xr:uid="{00000000-0005-0000-0000-00000C000000}"/>
    <cellStyle name="_0615-1-下崙北養殖區護岸道路改善工程_斗南鎮小東里高速公路邊排水改善工程 2" xfId="2491" xr:uid="{00000000-0005-0000-0000-00000D000000}"/>
    <cellStyle name="_0615-1-下崙北養殖區護岸道路改善工程_斗南鎮小東里高速公路邊排水改善工程_空.材抽" xfId="1250" xr:uid="{00000000-0005-0000-0000-00000E000000}"/>
    <cellStyle name="_0615-1-下崙北養殖區護岸道路改善工程_斗南鎮小東里高速公路邊排水改善工程_空.材抽 2" xfId="2492" xr:uid="{00000000-0005-0000-0000-00000F000000}"/>
    <cellStyle name="_0615-1-下崙北養殖區護岸道路改善工程_斗南鎮小東里高速公路邊排水改善工程預算" xfId="1251" xr:uid="{00000000-0005-0000-0000-000010000000}"/>
    <cellStyle name="_0615-1-下崙北養殖區護岸道路改善工程_斗南鎮小東里高速公路邊排水改善工程預算 2" xfId="2493" xr:uid="{00000000-0005-0000-0000-000011000000}"/>
    <cellStyle name="_0615-1-下崙北養殖區護岸道路改善工程_水井養殖區道路排水改善工程" xfId="1252" xr:uid="{00000000-0005-0000-0000-000012000000}"/>
    <cellStyle name="_0615-1-下崙北養殖區護岸道路改善工程_水井養殖區道路排水改善工程 2" xfId="2494" xr:uid="{00000000-0005-0000-0000-000013000000}"/>
    <cellStyle name="_0615-1-下崙北養殖區護岸道路改善工程_水井養殖區道路排水改善工程_空.材抽" xfId="1253" xr:uid="{00000000-0005-0000-0000-000014000000}"/>
    <cellStyle name="_0615-1-下崙北養殖區護岸道路改善工程_水井養殖區道路排水改善工程_空.材抽 2" xfId="2495" xr:uid="{00000000-0005-0000-0000-000015000000}"/>
    <cellStyle name="_0615-1-下崙北養殖區護岸道路改善工程_水井養殖區道路排水改善工程-1200" xfId="1254" xr:uid="{00000000-0005-0000-0000-000016000000}"/>
    <cellStyle name="_0615-1-下崙北養殖區護岸道路改善工程_水井養殖區道路排水改善工程-1200 2" xfId="2496" xr:uid="{00000000-0005-0000-0000-000017000000}"/>
    <cellStyle name="_0615-1-下崙北養殖區護岸道路改善工程_水井養殖區道路排水改善工程-1200_空.材抽" xfId="1255" xr:uid="{00000000-0005-0000-0000-000018000000}"/>
    <cellStyle name="_0615-1-下崙北養殖區護岸道路改善工程_水井養殖區道路排水改善工程-1200_空.材抽 2" xfId="2497" xr:uid="{00000000-0005-0000-0000-000019000000}"/>
    <cellStyle name="_0615-1-下崙北養殖區護岸道路改善工程_水林工程" xfId="1256" xr:uid="{00000000-0005-0000-0000-00001A000000}"/>
    <cellStyle name="_0615-1-下崙北養殖區護岸道路改善工程_水林工程 2" xfId="2498" xr:uid="{00000000-0005-0000-0000-00001B000000}"/>
    <cellStyle name="_0615-1-下崙北養殖區護岸道路改善工程_水林工程_空.材抽" xfId="1257" xr:uid="{00000000-0005-0000-0000-00001C000000}"/>
    <cellStyle name="_0615-1-下崙北養殖區護岸道路改善工程_水林工程_空.材抽 2" xfId="2499" xr:uid="{00000000-0005-0000-0000-00001D000000}"/>
    <cellStyle name="_0615-1-下崙北養殖區護岸道路改善工程_水林鄉蔦松部落瓊埔分線旁農路改善工程" xfId="1258" xr:uid="{00000000-0005-0000-0000-00001E000000}"/>
    <cellStyle name="_0615-1-下崙北養殖區護岸道路改善工程_水林鄉蔦松部落瓊埔分線旁農路改善工程 2" xfId="2500" xr:uid="{00000000-0005-0000-0000-00001F000000}"/>
    <cellStyle name="_0615-1-下崙北養殖區護岸道路改善工程_水林鄉蔦松部落瓊埔分線旁農路改善工程_空.材抽" xfId="1259" xr:uid="{00000000-0005-0000-0000-000020000000}"/>
    <cellStyle name="_0615-1-下崙北養殖區護岸道路改善工程_水林鄉蔦松部落瓊埔分線旁農路改善工程_空.材抽 2" xfId="2501" xr:uid="{00000000-0005-0000-0000-000021000000}"/>
    <cellStyle name="_0615-1-下崙北養殖區護岸道路改善工程_台子養殖區道路整建工程" xfId="1260" xr:uid="{00000000-0005-0000-0000-000022000000}"/>
    <cellStyle name="_0615-1-下崙北養殖區護岸道路改善工程_台子養殖區道路整建工程 2" xfId="2502" xr:uid="{00000000-0005-0000-0000-000023000000}"/>
    <cellStyle name="_0615-1-下崙北養殖區護岸道路改善工程_台子養殖區道路整建工程_空.材抽" xfId="1261" xr:uid="{00000000-0005-0000-0000-000024000000}"/>
    <cellStyle name="_0615-1-下崙北養殖區護岸道路改善工程_台子養殖區道路整建工程_空.材抽 2" xfId="2503" xr:uid="{00000000-0005-0000-0000-000025000000}"/>
    <cellStyle name="_0615-1-下崙北養殖區護岸道路改善工程_台西鄉路利潭(一)農地重劃區東西46路改善工程" xfId="1262" xr:uid="{00000000-0005-0000-0000-000026000000}"/>
    <cellStyle name="_0615-1-下崙北養殖區護岸道路改善工程_台西鄉路利潭(一)農地重劃區東西46路改善工程 2" xfId="2504" xr:uid="{00000000-0005-0000-0000-000027000000}"/>
    <cellStyle name="_0615-1-下崙北養殖區護岸道路改善工程_台西鄉路利潭(一)農地重劃區東西46路改善工程_空.材抽" xfId="1263" xr:uid="{00000000-0005-0000-0000-000028000000}"/>
    <cellStyle name="_0615-1-下崙北養殖區護岸道路改善工程_台西鄉路利潭(一)農地重劃區東西46路改善工程_空.材抽 2" xfId="2505" xr:uid="{00000000-0005-0000-0000-000029000000}"/>
    <cellStyle name="_0615-1-下崙北養殖區護岸道路改善工程_空.材抽" xfId="1264" xr:uid="{00000000-0005-0000-0000-00002A000000}"/>
    <cellStyle name="_0615-1-下崙北養殖區護岸道路改善工程_空.材抽 2" xfId="2506" xr:uid="{00000000-0005-0000-0000-00002B000000}"/>
    <cellStyle name="_0615-1-下崙北養殖區護岸道路改善工程_空.材抽_空.材抽" xfId="1265" xr:uid="{00000000-0005-0000-0000-00002C000000}"/>
    <cellStyle name="_0615-1-下崙北養殖區護岸道路改善工程_空.材抽_空.材抽 2" xfId="2507" xr:uid="{00000000-0005-0000-0000-00002D000000}"/>
    <cellStyle name="_0615-1-下崙北養殖區護岸道路改善工程_虎尾鎮大屯里道路排水改善工程" xfId="1266" xr:uid="{00000000-0005-0000-0000-00002E000000}"/>
    <cellStyle name="_0615-1-下崙北養殖區護岸道路改善工程_虎尾鎮大屯里道路排水改善工程 2" xfId="2508" xr:uid="{00000000-0005-0000-0000-00002F000000}"/>
    <cellStyle name="_0615-1-下崙北養殖區護岸道路改善工程_虎尾鎮大屯里道路排水改善工程_空.材抽" xfId="1267" xr:uid="{00000000-0005-0000-0000-000030000000}"/>
    <cellStyle name="_0615-1-下崙北養殖區護岸道路改善工程_虎尾鎮大屯里道路排水改善工程_空.材抽 2" xfId="2509" xr:uid="{00000000-0005-0000-0000-000031000000}"/>
    <cellStyle name="_0615-1-下崙北養殖區護岸道路改善工程_挖 回" xfId="1268" xr:uid="{00000000-0005-0000-0000-000032000000}"/>
    <cellStyle name="_0615-1-下崙北養殖區護岸道路改善工程_挖 回 2" xfId="2510" xr:uid="{00000000-0005-0000-0000-000033000000}"/>
    <cellStyle name="_0615-1-下崙北養殖區護岸道路改善工程_植筋.警告" xfId="1269" xr:uid="{00000000-0005-0000-0000-000034000000}"/>
    <cellStyle name="_0615-1-下崙北養殖區護岸道路改善工程_植筋.警告 2" xfId="2511" xr:uid="{00000000-0005-0000-0000-000035000000}"/>
    <cellStyle name="_0615-1-下崙北養殖區護岸道路改善工程_植筋.警告_空.材抽" xfId="1270" xr:uid="{00000000-0005-0000-0000-000036000000}"/>
    <cellStyle name="_0615-1-下崙北養殖區護岸道路改善工程_植筋.警告_空.材抽 2" xfId="2512" xr:uid="{00000000-0005-0000-0000-000037000000}"/>
    <cellStyle name="_0615-1-下崙北養殖區護岸道路改善工程_順興農地重劃區農水路及綠美化改善工程" xfId="1271" xr:uid="{00000000-0005-0000-0000-000038000000}"/>
    <cellStyle name="_0615-1-下崙北養殖區護岸道路改善工程_順興農地重劃區農水路及綠美化改善工程 2" xfId="2513" xr:uid="{00000000-0005-0000-0000-000039000000}"/>
    <cellStyle name="_0615-1-下崙北養殖區護岸道路改善工程_遠 舖築" xfId="1272" xr:uid="{00000000-0005-0000-0000-00003A000000}"/>
    <cellStyle name="_0615-1-下崙北養殖區護岸道路改善工程_遠 舖築 2" xfId="2514" xr:uid="{00000000-0005-0000-0000-00003B000000}"/>
    <cellStyle name="_0615-1-下崙北養殖區護岸道路改善工程_遠 舖築_空.材抽" xfId="1273" xr:uid="{00000000-0005-0000-0000-00003C000000}"/>
    <cellStyle name="_0615-1-下崙北養殖區護岸道路改善工程_遠 舖築_空.材抽 2" xfId="2515" xr:uid="{00000000-0005-0000-0000-00003D000000}"/>
    <cellStyle name="_0617-修正-下麻園農路改善工程" xfId="1274" xr:uid="{00000000-0005-0000-0000-00003E000000}"/>
    <cellStyle name="_0617-修正-下麻園農路改善工程 2" xfId="2516" xr:uid="{00000000-0005-0000-0000-00003F000000}"/>
    <cellStyle name="_0617-修正-下麻園農路改善工程_1愛門仔農路等四件(彙總)" xfId="1275" xr:uid="{00000000-0005-0000-0000-000040000000}"/>
    <cellStyle name="_0617-修正-下麻園農路改善工程_1愛門仔農路等四件(彙總) 2" xfId="2517" xr:uid="{00000000-0005-0000-0000-000041000000}"/>
    <cellStyle name="_0617-修正-下麻園農路改善工程_1愛門仔農路等四件(彙總)_空.材抽" xfId="1276" xr:uid="{00000000-0005-0000-0000-000042000000}"/>
    <cellStyle name="_0617-修正-下麻園農路改善工程_1愛門仔農路等四件(彙總)_空.材抽 2" xfId="2518" xr:uid="{00000000-0005-0000-0000-000043000000}"/>
    <cellStyle name="_0617-修正-下麻園農路改善工程_1愛門仔農路等四件(彙總)_預1" xfId="1277" xr:uid="{00000000-0005-0000-0000-000044000000}"/>
    <cellStyle name="_0617-修正-下麻園農路改善工程_1愛門仔農路等四件(彙總)_預1 2" xfId="2519" xr:uid="{00000000-0005-0000-0000-000045000000}"/>
    <cellStyle name="_0617-修正-下麻園農路改善工程_1愛門仔農路等四件(彙總)_預1_空.材抽" xfId="1278" xr:uid="{00000000-0005-0000-0000-000046000000}"/>
    <cellStyle name="_0617-修正-下麻園農路改善工程_1愛門仔農路等四件(彙總)_預1_空.材抽 2" xfId="2520" xr:uid="{00000000-0005-0000-0000-000047000000}"/>
    <cellStyle name="_0617-修正-下麻園農路改善工程_1愛門仔農路等四件(彙總)_數量計算表1 " xfId="1279" xr:uid="{00000000-0005-0000-0000-000048000000}"/>
    <cellStyle name="_0617-修正-下麻園農路改善工程_1愛門仔農路等四件(彙總)_數量計算表1  2" xfId="2521" xr:uid="{00000000-0005-0000-0000-000049000000}"/>
    <cellStyle name="_0617-修正-下麻園農路改善工程_1愛門仔農路等四件(彙總)_數量計算表1 _空.材抽" xfId="1280" xr:uid="{00000000-0005-0000-0000-00004A000000}"/>
    <cellStyle name="_0617-修正-下麻園農路改善工程_1愛門仔農路等四件(彙總)_數量計算表1 _空.材抽 2" xfId="2522" xr:uid="{00000000-0005-0000-0000-00004B000000}"/>
    <cellStyle name="_0617-修正-下麻園農路改善工程_2.愛門仔農路" xfId="1281" xr:uid="{00000000-0005-0000-0000-00004C000000}"/>
    <cellStyle name="_0617-修正-下麻園農路改善工程_2.愛門仔農路 2" xfId="2523" xr:uid="{00000000-0005-0000-0000-00004D000000}"/>
    <cellStyle name="_0617-修正-下麻園農路改善工程_2.愛門仔農路_空.材抽" xfId="1282" xr:uid="{00000000-0005-0000-0000-00004E000000}"/>
    <cellStyle name="_0617-修正-下麻園農路改善工程_2.愛門仔農路_空.材抽 2" xfId="2524" xr:uid="{00000000-0005-0000-0000-00004F000000}"/>
    <cellStyle name="_0617-修正-下麻園農路改善工程_2.愛門仔農路_預1" xfId="1283" xr:uid="{00000000-0005-0000-0000-000050000000}"/>
    <cellStyle name="_0617-修正-下麻園農路改善工程_2.愛門仔農路_預1 2" xfId="2525" xr:uid="{00000000-0005-0000-0000-000051000000}"/>
    <cellStyle name="_0617-修正-下麻園農路改善工程_2.愛門仔農路_預1_空.材抽" xfId="1284" xr:uid="{00000000-0005-0000-0000-000052000000}"/>
    <cellStyle name="_0617-修正-下麻園農路改善工程_2.愛門仔農路_預1_空.材抽 2" xfId="2526" xr:uid="{00000000-0005-0000-0000-000053000000}"/>
    <cellStyle name="_0617-修正-下麻園農路改善工程_2.愛門仔農路_數量計算表1 " xfId="1285" xr:uid="{00000000-0005-0000-0000-000054000000}"/>
    <cellStyle name="_0617-修正-下麻園農路改善工程_2.愛門仔農路_數量計算表1  2" xfId="2527" xr:uid="{00000000-0005-0000-0000-000055000000}"/>
    <cellStyle name="_0617-修正-下麻園農路改善工程_2.愛門仔農路_數量計算表1 _空.材抽" xfId="1286" xr:uid="{00000000-0005-0000-0000-000056000000}"/>
    <cellStyle name="_0617-修正-下麻園農路改善工程_2.愛門仔農路_數量計算表1 _空.材抽 2" xfId="2528" xr:uid="{00000000-0005-0000-0000-000057000000}"/>
    <cellStyle name="_0617-修正-下麻園農路改善工程_3.頂庄農路" xfId="1287" xr:uid="{00000000-0005-0000-0000-000058000000}"/>
    <cellStyle name="_0617-修正-下麻園農路改善工程_3.頂庄農路 2" xfId="2529" xr:uid="{00000000-0005-0000-0000-000059000000}"/>
    <cellStyle name="_0617-修正-下麻園農路改善工程_3.頂庄農路_空.材抽" xfId="1288" xr:uid="{00000000-0005-0000-0000-00005A000000}"/>
    <cellStyle name="_0617-修正-下麻園農路改善工程_3.頂庄農路_空.材抽 2" xfId="2530" xr:uid="{00000000-0005-0000-0000-00005B000000}"/>
    <cellStyle name="_0617-修正-下麻園農路改善工程_3.頂庄農路_預1" xfId="1289" xr:uid="{00000000-0005-0000-0000-00005C000000}"/>
    <cellStyle name="_0617-修正-下麻園農路改善工程_3.頂庄農路_預1 2" xfId="2531" xr:uid="{00000000-0005-0000-0000-00005D000000}"/>
    <cellStyle name="_0617-修正-下麻園農路改善工程_3.頂庄農路_預1_空.材抽" xfId="1290" xr:uid="{00000000-0005-0000-0000-00005E000000}"/>
    <cellStyle name="_0617-修正-下麻園農路改善工程_3.頂庄農路_預1_空.材抽 2" xfId="2532" xr:uid="{00000000-0005-0000-0000-00005F000000}"/>
    <cellStyle name="_0617-修正-下麻園農路改善工程_3.頂庄農路_數量計算表1 " xfId="1291" xr:uid="{00000000-0005-0000-0000-000060000000}"/>
    <cellStyle name="_0617-修正-下麻園農路改善工程_3.頂庄農路_數量計算表1  2" xfId="2533" xr:uid="{00000000-0005-0000-0000-000061000000}"/>
    <cellStyle name="_0617-修正-下麻園農路改善工程_3.頂庄農路_數量計算表1 _空.材抽" xfId="1292" xr:uid="{00000000-0005-0000-0000-000062000000}"/>
    <cellStyle name="_0617-修正-下麻園農路改善工程_3.頂庄農路_數量計算表1 _空.材抽 2" xfId="2534" xr:uid="{00000000-0005-0000-0000-000063000000}"/>
    <cellStyle name="_0617-修正-下麻園農路改善工程_4.蟾蜍嶺崩坍" xfId="1293" xr:uid="{00000000-0005-0000-0000-000064000000}"/>
    <cellStyle name="_0617-修正-下麻園農路改善工程_4.蟾蜍嶺崩坍 2" xfId="2535" xr:uid="{00000000-0005-0000-0000-000065000000}"/>
    <cellStyle name="_0617-修正-下麻園農路改善工程_4.蟾蜍嶺崩坍_空.材抽" xfId="1294" xr:uid="{00000000-0005-0000-0000-000066000000}"/>
    <cellStyle name="_0617-修正-下麻園農路改善工程_4.蟾蜍嶺崩坍_空.材抽 2" xfId="2536" xr:uid="{00000000-0005-0000-0000-000067000000}"/>
    <cellStyle name="_0617-修正-下麻園農路改善工程_4.蟾蜍嶺崩坍_預1" xfId="1295" xr:uid="{00000000-0005-0000-0000-000068000000}"/>
    <cellStyle name="_0617-修正-下麻園農路改善工程_4.蟾蜍嶺崩坍_預1 2" xfId="2537" xr:uid="{00000000-0005-0000-0000-000069000000}"/>
    <cellStyle name="_0617-修正-下麻園農路改善工程_4.蟾蜍嶺崩坍_預1_空.材抽" xfId="1296" xr:uid="{00000000-0005-0000-0000-00006A000000}"/>
    <cellStyle name="_0617-修正-下麻園農路改善工程_4.蟾蜍嶺崩坍_預1_空.材抽 2" xfId="2538" xr:uid="{00000000-0005-0000-0000-00006B000000}"/>
    <cellStyle name="_0617-修正-下麻園農路改善工程_4.蟾蜍嶺崩坍_數量計算表1 " xfId="1297" xr:uid="{00000000-0005-0000-0000-00006C000000}"/>
    <cellStyle name="_0617-修正-下麻園農路改善工程_4.蟾蜍嶺崩坍_數量計算表1  2" xfId="2539" xr:uid="{00000000-0005-0000-0000-00006D000000}"/>
    <cellStyle name="_0617-修正-下麻園農路改善工程_4.蟾蜍嶺崩坍_數量計算表1 _空.材抽" xfId="1298" xr:uid="{00000000-0005-0000-0000-00006E000000}"/>
    <cellStyle name="_0617-修正-下麻園農路改善工程_4.蟾蜍嶺崩坍_數量計算表1 _空.材抽 2" xfId="2540" xr:uid="{00000000-0005-0000-0000-00006F000000}"/>
    <cellStyle name="_0617-修正-下麻園農路改善工程_5..打鐵坑邊坡" xfId="1299" xr:uid="{00000000-0005-0000-0000-000070000000}"/>
    <cellStyle name="_0617-修正-下麻園農路改善工程_5..打鐵坑邊坡 2" xfId="2541" xr:uid="{00000000-0005-0000-0000-000071000000}"/>
    <cellStyle name="_0617-修正-下麻園農路改善工程_5..打鐵坑邊坡_空.材抽" xfId="1300" xr:uid="{00000000-0005-0000-0000-000072000000}"/>
    <cellStyle name="_0617-修正-下麻園農路改善工程_5..打鐵坑邊坡_空.材抽 2" xfId="2542" xr:uid="{00000000-0005-0000-0000-000073000000}"/>
    <cellStyle name="_0617-修正-下麻園農路改善工程_5..打鐵坑邊坡_預1" xfId="1301" xr:uid="{00000000-0005-0000-0000-000074000000}"/>
    <cellStyle name="_0617-修正-下麻園農路改善工程_5..打鐵坑邊坡_預1 2" xfId="2543" xr:uid="{00000000-0005-0000-0000-000075000000}"/>
    <cellStyle name="_0617-修正-下麻園農路改善工程_5..打鐵坑邊坡_預1_空.材抽" xfId="1302" xr:uid="{00000000-0005-0000-0000-000076000000}"/>
    <cellStyle name="_0617-修正-下麻園農路改善工程_5..打鐵坑邊坡_預1_空.材抽 2" xfId="2544" xr:uid="{00000000-0005-0000-0000-000077000000}"/>
    <cellStyle name="_0617-修正-下麻園農路改善工程_5..打鐵坑邊坡_數量計算表1 " xfId="1303" xr:uid="{00000000-0005-0000-0000-000078000000}"/>
    <cellStyle name="_0617-修正-下麻園農路改善工程_5..打鐵坑邊坡_數量計算表1  2" xfId="2545" xr:uid="{00000000-0005-0000-0000-000079000000}"/>
    <cellStyle name="_0617-修正-下麻園農路改善工程_5..打鐵坑邊坡_數量計算表1 _空.材抽" xfId="1304" xr:uid="{00000000-0005-0000-0000-00007A000000}"/>
    <cellStyle name="_0617-修正-下麻園農路改善工程_5..打鐵坑邊坡_數量計算表1 _空.材抽 2" xfId="2546" xr:uid="{00000000-0005-0000-0000-00007B000000}"/>
    <cellStyle name="_0617-修正-下麻園農路改善工程_九車籠坑溝整治工程" xfId="1305" xr:uid="{00000000-0005-0000-0000-00007C000000}"/>
    <cellStyle name="_0617-修正-下麻園農路改善工程_九車籠坑溝整治工程 2" xfId="2547" xr:uid="{00000000-0005-0000-0000-00007D000000}"/>
    <cellStyle name="_0617-修正-下麻園農路改善工程_九車籠坑溝整治工程_空.材抽" xfId="1306" xr:uid="{00000000-0005-0000-0000-00007E000000}"/>
    <cellStyle name="_0617-修正-下麻園農路改善工程_九車籠坑溝整治工程_空.材抽 2" xfId="2548" xr:uid="{00000000-0005-0000-0000-00007F000000}"/>
    <cellStyle name="_0617-修正-下麻園農路改善工程_九車籠坑溝整治工程_華山地區農路聯絡道附屬改善工程196000" xfId="1307" xr:uid="{00000000-0005-0000-0000-000080000000}"/>
    <cellStyle name="_0617-修正-下麻園農路改善工程_九車籠坑溝整治工程_華山地區農路聯絡道附屬改善工程196000 2" xfId="2549" xr:uid="{00000000-0005-0000-0000-000081000000}"/>
    <cellStyle name="_0617-修正-下麻園農路改善工程_九車籠坑溝整治工程_華山地區農路聯絡道附屬改善工程196000_空.材抽" xfId="1308" xr:uid="{00000000-0005-0000-0000-000082000000}"/>
    <cellStyle name="_0617-修正-下麻園農路改善工程_九車籠坑溝整治工程_華山地區農路聯絡道附屬改善工程196000_空.材抽 2" xfId="2550" xr:uid="{00000000-0005-0000-0000-000083000000}"/>
    <cellStyle name="_0617-修正-下麻園農路改善工程_九車籠坑溝整治工程_預1" xfId="1309" xr:uid="{00000000-0005-0000-0000-000084000000}"/>
    <cellStyle name="_0617-修正-下麻園農路改善工程_九車籠坑溝整治工程_預1 2" xfId="2551" xr:uid="{00000000-0005-0000-0000-000085000000}"/>
    <cellStyle name="_0617-修正-下麻園農路改善工程_九車籠坑溝整治工程_預1_空.材抽" xfId="1310" xr:uid="{00000000-0005-0000-0000-000086000000}"/>
    <cellStyle name="_0617-修正-下麻園農路改善工程_九車籠坑溝整治工程_預1_空.材抽 2" xfId="2552" xr:uid="{00000000-0005-0000-0000-000087000000}"/>
    <cellStyle name="_0617-修正-下麻園農路改善工程_九車籠坑溝整治工程_數量計算表1 " xfId="1311" xr:uid="{00000000-0005-0000-0000-000088000000}"/>
    <cellStyle name="_0617-修正-下麻園農路改善工程_九車籠坑溝整治工程_數量計算表1  2" xfId="2553" xr:uid="{00000000-0005-0000-0000-000089000000}"/>
    <cellStyle name="_0617-修正-下麻園農路改善工程_九車籠坑溝整治工程_數量計算表1 _空.材抽" xfId="1312" xr:uid="{00000000-0005-0000-0000-00008A000000}"/>
    <cellStyle name="_0617-修正-下麻園農路改善工程_九車籠坑溝整治工程_數量計算表1 _空.材抽 2" xfId="2554" xr:uid="{00000000-0005-0000-0000-00008B000000}"/>
    <cellStyle name="_0617-修正-下麻園農路改善工程_二堀周邊環境改善工程" xfId="1313" xr:uid="{00000000-0005-0000-0000-00008C000000}"/>
    <cellStyle name="_0617-修正-下麻園農路改善工程_二堀周邊環境改善工程 2" xfId="2555" xr:uid="{00000000-0005-0000-0000-00008D000000}"/>
    <cellStyle name="_0617-修正-下麻園農路改善工程_二堀周邊環境改善工程_空.材抽" xfId="1314" xr:uid="{00000000-0005-0000-0000-00008E000000}"/>
    <cellStyle name="_0617-修正-下麻園農路改善工程_二堀周邊環境改善工程_空.材抽 2" xfId="2556" xr:uid="{00000000-0005-0000-0000-00008F000000}"/>
    <cellStyle name="_0617-修正-下麻園農路改善工程_二堀周邊環境改善工程_預1" xfId="1315" xr:uid="{00000000-0005-0000-0000-000090000000}"/>
    <cellStyle name="_0617-修正-下麻園農路改善工程_二堀周邊環境改善工程_預1 2" xfId="2557" xr:uid="{00000000-0005-0000-0000-000091000000}"/>
    <cellStyle name="_0617-修正-下麻園農路改善工程_二堀周邊環境改善工程_預1_空.材抽" xfId="1316" xr:uid="{00000000-0005-0000-0000-000092000000}"/>
    <cellStyle name="_0617-修正-下麻園農路改善工程_二堀周邊環境改善工程_預1_空.材抽 2" xfId="2558" xr:uid="{00000000-0005-0000-0000-000093000000}"/>
    <cellStyle name="_0617-修正-下麻園農路改善工程_二堀周邊環境改善工程_數量計算表1 " xfId="1317" xr:uid="{00000000-0005-0000-0000-000094000000}"/>
    <cellStyle name="_0617-修正-下麻園農路改善工程_二堀周邊環境改善工程_數量計算表1  2" xfId="2559" xr:uid="{00000000-0005-0000-0000-000095000000}"/>
    <cellStyle name="_0617-修正-下麻園農路改善工程_二堀周邊環境改善工程_數量計算表1 _空.材抽" xfId="1318" xr:uid="{00000000-0005-0000-0000-000096000000}"/>
    <cellStyle name="_0617-修正-下麻園農路改善工程_二堀周邊環境改善工程_數量計算表1 _空.材抽 2" xfId="2560" xr:uid="{00000000-0005-0000-0000-000097000000}"/>
    <cellStyle name="_0617-修正-下麻園農路改善工程_水田農路災修工程" xfId="1319" xr:uid="{00000000-0005-0000-0000-000098000000}"/>
    <cellStyle name="_0617-修正-下麻園農路改善工程_水田農路災修工程 2" xfId="2561" xr:uid="{00000000-0005-0000-0000-000099000000}"/>
    <cellStyle name="_0617-修正-下麻園農路改善工程_水田農路災修工程_空.材抽" xfId="1320" xr:uid="{00000000-0005-0000-0000-00009A000000}"/>
    <cellStyle name="_0617-修正-下麻園農路改善工程_水田農路災修工程_空.材抽 2" xfId="2562" xr:uid="{00000000-0005-0000-0000-00009B000000}"/>
    <cellStyle name="_0617-修正-下麻園農路改善工程_水田農路災修工程_華山地區農路聯絡道附屬改善工程196000" xfId="1321" xr:uid="{00000000-0005-0000-0000-00009C000000}"/>
    <cellStyle name="_0617-修正-下麻園農路改善工程_水田農路災修工程_華山地區農路聯絡道附屬改善工程196000 2" xfId="2563" xr:uid="{00000000-0005-0000-0000-00009D000000}"/>
    <cellStyle name="_0617-修正-下麻園農路改善工程_水田農路災修工程_華山地區農路聯絡道附屬改善工程196000_空.材抽" xfId="1322" xr:uid="{00000000-0005-0000-0000-00009E000000}"/>
    <cellStyle name="_0617-修正-下麻園農路改善工程_水田農路災修工程_華山地區農路聯絡道附屬改善工程196000_空.材抽 2" xfId="2564" xr:uid="{00000000-0005-0000-0000-00009F000000}"/>
    <cellStyle name="_0617-修正-下麻園農路改善工程_水田農路災修工程_預1" xfId="1323" xr:uid="{00000000-0005-0000-0000-0000A0000000}"/>
    <cellStyle name="_0617-修正-下麻園農路改善工程_水田農路災修工程_預1 2" xfId="2565" xr:uid="{00000000-0005-0000-0000-0000A1000000}"/>
    <cellStyle name="_0617-修正-下麻園農路改善工程_水田農路災修工程_預1_空.材抽" xfId="1324" xr:uid="{00000000-0005-0000-0000-0000A2000000}"/>
    <cellStyle name="_0617-修正-下麻園農路改善工程_水田農路災修工程_預1_空.材抽 2" xfId="2566" xr:uid="{00000000-0005-0000-0000-0000A3000000}"/>
    <cellStyle name="_0617-修正-下麻園農路改善工程_水田農路災修工程_數量計算表1 " xfId="1325" xr:uid="{00000000-0005-0000-0000-0000A4000000}"/>
    <cellStyle name="_0617-修正-下麻園農路改善工程_水田農路災修工程_數量計算表1  2" xfId="2567" xr:uid="{00000000-0005-0000-0000-0000A5000000}"/>
    <cellStyle name="_0617-修正-下麻園農路改善工程_水田農路災修工程_數量計算表1 _空.材抽" xfId="1326" xr:uid="{00000000-0005-0000-0000-0000A6000000}"/>
    <cellStyle name="_0617-修正-下麻園農路改善工程_水田農路災修工程_數量計算表1 _空.材抽 2" xfId="2568" xr:uid="{00000000-0005-0000-0000-0000A7000000}"/>
    <cellStyle name="_0617-修正-下麻園農路改善工程_水保-單價分析" xfId="1327" xr:uid="{00000000-0005-0000-0000-0000A8000000}"/>
    <cellStyle name="_0617-修正-下麻園農路改善工程_水保-單價分析 2" xfId="2569" xr:uid="{00000000-0005-0000-0000-0000A9000000}"/>
    <cellStyle name="_0617-修正-下麻園農路改善工程_水保-單價分析_空.材抽" xfId="1328" xr:uid="{00000000-0005-0000-0000-0000AA000000}"/>
    <cellStyle name="_0617-修正-下麻園農路改善工程_水保-單價分析_空.材抽 2" xfId="2570" xr:uid="{00000000-0005-0000-0000-0000AB000000}"/>
    <cellStyle name="_0617-修正-下麻園農路改善工程_水保-單價分析_預1" xfId="1329" xr:uid="{00000000-0005-0000-0000-0000AC000000}"/>
    <cellStyle name="_0617-修正-下麻園農路改善工程_水保-單價分析_預1 2" xfId="2571" xr:uid="{00000000-0005-0000-0000-0000AD000000}"/>
    <cellStyle name="_0617-修正-下麻園農路改善工程_水保-單價分析_預1_空.材抽" xfId="1330" xr:uid="{00000000-0005-0000-0000-0000AE000000}"/>
    <cellStyle name="_0617-修正-下麻園農路改善工程_水保-單價分析_預1_空.材抽 2" xfId="2572" xr:uid="{00000000-0005-0000-0000-0000AF000000}"/>
    <cellStyle name="_0617-修正-下麻園農路改善工程_水保-單價分析_數量計算表1 " xfId="1331" xr:uid="{00000000-0005-0000-0000-0000B0000000}"/>
    <cellStyle name="_0617-修正-下麻園農路改善工程_水保-單價分析_數量計算表1  2" xfId="2573" xr:uid="{00000000-0005-0000-0000-0000B1000000}"/>
    <cellStyle name="_0617-修正-下麻園農路改善工程_水保-單價分析_數量計算表1 _空.材抽" xfId="1332" xr:uid="{00000000-0005-0000-0000-0000B2000000}"/>
    <cellStyle name="_0617-修正-下麻園農路改善工程_水保-單價分析_數量計算表1 _空.材抽 2" xfId="2574" xr:uid="{00000000-0005-0000-0000-0000B3000000}"/>
    <cellStyle name="_0617-修正-下麻園農路改善工程_外湖工程" xfId="1333" xr:uid="{00000000-0005-0000-0000-0000B4000000}"/>
    <cellStyle name="_0617-修正-下麻園農路改善工程_外湖工程 2" xfId="2575" xr:uid="{00000000-0005-0000-0000-0000B5000000}"/>
    <cellStyle name="_0617-修正-下麻園農路改善工程_外湖工程_空.材抽" xfId="1334" xr:uid="{00000000-0005-0000-0000-0000B6000000}"/>
    <cellStyle name="_0617-修正-下麻園農路改善工程_外湖工程_空.材抽 2" xfId="2576" xr:uid="{00000000-0005-0000-0000-0000B7000000}"/>
    <cellStyle name="_0617-修正-下麻園農路改善工程_外湖工程_華山地區農路聯絡道附屬改善工程196000" xfId="1335" xr:uid="{00000000-0005-0000-0000-0000B8000000}"/>
    <cellStyle name="_0617-修正-下麻園農路改善工程_外湖工程_華山地區農路聯絡道附屬改善工程196000 2" xfId="2577" xr:uid="{00000000-0005-0000-0000-0000B9000000}"/>
    <cellStyle name="_0617-修正-下麻園農路改善工程_外湖工程_華山地區農路聯絡道附屬改善工程196000_空.材抽" xfId="1336" xr:uid="{00000000-0005-0000-0000-0000BA000000}"/>
    <cellStyle name="_0617-修正-下麻園農路改善工程_外湖工程_華山地區農路聯絡道附屬改善工程196000_空.材抽 2" xfId="2578" xr:uid="{00000000-0005-0000-0000-0000BB000000}"/>
    <cellStyle name="_0617-修正-下麻園農路改善工程_外湖工程_預1" xfId="1337" xr:uid="{00000000-0005-0000-0000-0000BC000000}"/>
    <cellStyle name="_0617-修正-下麻園農路改善工程_外湖工程_預1 2" xfId="2579" xr:uid="{00000000-0005-0000-0000-0000BD000000}"/>
    <cellStyle name="_0617-修正-下麻園農路改善工程_外湖工程_預1_空.材抽" xfId="1338" xr:uid="{00000000-0005-0000-0000-0000BE000000}"/>
    <cellStyle name="_0617-修正-下麻園農路改善工程_外湖工程_預1_空.材抽 2" xfId="2580" xr:uid="{00000000-0005-0000-0000-0000BF000000}"/>
    <cellStyle name="_0617-修正-下麻園農路改善工程_外湖工程_數量計算表1 " xfId="1339" xr:uid="{00000000-0005-0000-0000-0000C0000000}"/>
    <cellStyle name="_0617-修正-下麻園農路改善工程_外湖工程_數量計算表1  2" xfId="2581" xr:uid="{00000000-0005-0000-0000-0000C1000000}"/>
    <cellStyle name="_0617-修正-下麻園農路改善工程_外湖工程_數量計算表1 _空.材抽" xfId="1340" xr:uid="{00000000-0005-0000-0000-0000C2000000}"/>
    <cellStyle name="_0617-修正-下麻園農路改善工程_外湖工程_數量計算表1 _空.材抽 2" xfId="2582" xr:uid="{00000000-0005-0000-0000-0000C3000000}"/>
    <cellStyle name="_0617-修正-下麻園農路改善工程_永光村吊境地區崩塌處理工程" xfId="1341" xr:uid="{00000000-0005-0000-0000-0000C4000000}"/>
    <cellStyle name="_0617-修正-下麻園農路改善工程_永光村吊境地區崩塌處理工程 2" xfId="2583" xr:uid="{00000000-0005-0000-0000-0000C5000000}"/>
    <cellStyle name="_0617-修正-下麻園農路改善工程_永光村吊境地區崩塌處理工程_空.材抽" xfId="1342" xr:uid="{00000000-0005-0000-0000-0000C6000000}"/>
    <cellStyle name="_0617-修正-下麻園農路改善工程_永光村吊境地區崩塌處理工程_空.材抽 2" xfId="2584" xr:uid="{00000000-0005-0000-0000-0000C7000000}"/>
    <cellStyle name="_0617-修正-下麻園農路改善工程_利用土整平費" xfId="1343" xr:uid="{00000000-0005-0000-0000-0000C8000000}"/>
    <cellStyle name="_0617-修正-下麻園農路改善工程_利用土整平費 2" xfId="2585" xr:uid="{00000000-0005-0000-0000-0000C9000000}"/>
    <cellStyle name="_0617-修正-下麻園農路改善工程_利用土整平費_空.材抽" xfId="1344" xr:uid="{00000000-0005-0000-0000-0000CA000000}"/>
    <cellStyle name="_0617-修正-下麻園農路改善工程_利用土整平費_空.材抽 2" xfId="2586" xr:uid="{00000000-0005-0000-0000-0000CB000000}"/>
    <cellStyle name="_0617-修正-下麻園農路改善工程_利用土整平費_華山地區農路聯絡道附屬改善工程196000" xfId="1345" xr:uid="{00000000-0005-0000-0000-0000CC000000}"/>
    <cellStyle name="_0617-修正-下麻園農路改善工程_利用土整平費_華山地區農路聯絡道附屬改善工程196000 2" xfId="2587" xr:uid="{00000000-0005-0000-0000-0000CD000000}"/>
    <cellStyle name="_0617-修正-下麻園農路改善工程_利用土整平費_華山地區農路聯絡道附屬改善工程196000_空.材抽" xfId="1346" xr:uid="{00000000-0005-0000-0000-0000CE000000}"/>
    <cellStyle name="_0617-修正-下麻園農路改善工程_利用土整平費_華山地區農路聯絡道附屬改善工程196000_空.材抽 2" xfId="2588" xr:uid="{00000000-0005-0000-0000-0000CF000000}"/>
    <cellStyle name="_0617-修正-下麻園農路改善工程_利用土整平費_預1" xfId="1347" xr:uid="{00000000-0005-0000-0000-0000D0000000}"/>
    <cellStyle name="_0617-修正-下麻園農路改善工程_利用土整平費_預1 2" xfId="2589" xr:uid="{00000000-0005-0000-0000-0000D1000000}"/>
    <cellStyle name="_0617-修正-下麻園農路改善工程_利用土整平費_預1_空.材抽" xfId="1348" xr:uid="{00000000-0005-0000-0000-0000D2000000}"/>
    <cellStyle name="_0617-修正-下麻園農路改善工程_利用土整平費_預1_空.材抽 2" xfId="2590" xr:uid="{00000000-0005-0000-0000-0000D3000000}"/>
    <cellStyle name="_0617-修正-下麻園農路改善工程_利用土整平費_數量計算表1 " xfId="1349" xr:uid="{00000000-0005-0000-0000-0000D4000000}"/>
    <cellStyle name="_0617-修正-下麻園農路改善工程_利用土整平費_數量計算表1  2" xfId="2591" xr:uid="{00000000-0005-0000-0000-0000D5000000}"/>
    <cellStyle name="_0617-修正-下麻園農路改善工程_利用土整平費_數量計算表1 _空.材抽" xfId="1350" xr:uid="{00000000-0005-0000-0000-0000D6000000}"/>
    <cellStyle name="_0617-修正-下麻園農路改善工程_利用土整平費_數量計算表1 _空.材抽 2" xfId="2592" xr:uid="{00000000-0005-0000-0000-0000D7000000}"/>
    <cellStyle name="_0617-修正-下麻園農路改善工程_空.材抽" xfId="1351" xr:uid="{00000000-0005-0000-0000-0000D8000000}"/>
    <cellStyle name="_0617-修正-下麻園農路改善工程_空.材抽 2" xfId="2593" xr:uid="{00000000-0005-0000-0000-0000D9000000}"/>
    <cellStyle name="_0617-修正-下麻園農路改善工程_崙仔溪護岸修復工程" xfId="1352" xr:uid="{00000000-0005-0000-0000-0000DA000000}"/>
    <cellStyle name="_0617-修正-下麻園農路改善工程_崙仔溪護岸修復工程 2" xfId="2594" xr:uid="{00000000-0005-0000-0000-0000DB000000}"/>
    <cellStyle name="_0617-修正-下麻園農路改善工程_崙仔溪護岸修復工程_空.材抽" xfId="1353" xr:uid="{00000000-0005-0000-0000-0000DC000000}"/>
    <cellStyle name="_0617-修正-下麻園農路改善工程_崙仔溪護岸修復工程_空.材抽 2" xfId="2595" xr:uid="{00000000-0005-0000-0000-0000DD000000}"/>
    <cellStyle name="_0617-修正-下麻園農路改善工程_崙仔溪護岸修復工程_預1" xfId="1354" xr:uid="{00000000-0005-0000-0000-0000DE000000}"/>
    <cellStyle name="_0617-修正-下麻園農路改善工程_崙仔溪護岸修復工程_預1 2" xfId="2596" xr:uid="{00000000-0005-0000-0000-0000DF000000}"/>
    <cellStyle name="_0617-修正-下麻園農路改善工程_崙仔溪護岸修復工程_預1_空.材抽" xfId="1355" xr:uid="{00000000-0005-0000-0000-0000E0000000}"/>
    <cellStyle name="_0617-修正-下麻園農路改善工程_崙仔溪護岸修復工程_預1_空.材抽 2" xfId="2597" xr:uid="{00000000-0005-0000-0000-0000E1000000}"/>
    <cellStyle name="_0617-修正-下麻園農路改善工程_崙仔溪護岸修復工程_數量計算表1 " xfId="1356" xr:uid="{00000000-0005-0000-0000-0000E2000000}"/>
    <cellStyle name="_0617-修正-下麻園農路改善工程_崙仔溪護岸修復工程_數量計算表1  2" xfId="2598" xr:uid="{00000000-0005-0000-0000-0000E3000000}"/>
    <cellStyle name="_0617-修正-下麻園農路改善工程_崙仔溪護岸修復工程_數量計算表1 _空.材抽" xfId="1357" xr:uid="{00000000-0005-0000-0000-0000E4000000}"/>
    <cellStyle name="_0617-修正-下麻園農路改善工程_崙仔溪護岸修復工程_數量計算表1 _空.材抽 2" xfId="2599" xr:uid="{00000000-0005-0000-0000-0000E5000000}"/>
    <cellStyle name="_0617-修正-下麻園農路改善工程_魚池畔邊坡崩坍處理工程" xfId="1358" xr:uid="{00000000-0005-0000-0000-0000E6000000}"/>
    <cellStyle name="_0617-修正-下麻園農路改善工程_魚池畔邊坡崩坍處理工程 2" xfId="2600" xr:uid="{00000000-0005-0000-0000-0000E7000000}"/>
    <cellStyle name="_0617-修正-下麻園農路改善工程_魚池畔邊坡崩坍處理工程_空.材抽" xfId="1359" xr:uid="{00000000-0005-0000-0000-0000E8000000}"/>
    <cellStyle name="_0617-修正-下麻園農路改善工程_魚池畔邊坡崩坍處理工程_空.材抽 2" xfId="2601" xr:uid="{00000000-0005-0000-0000-0000E9000000}"/>
    <cellStyle name="_0617-修正-下麻園農路改善工程_魚池畔邊坡崩坍處理工程_華山地區農路聯絡道附屬改善工程196000" xfId="1360" xr:uid="{00000000-0005-0000-0000-0000EA000000}"/>
    <cellStyle name="_0617-修正-下麻園農路改善工程_魚池畔邊坡崩坍處理工程_華山地區農路聯絡道附屬改善工程196000 2" xfId="2602" xr:uid="{00000000-0005-0000-0000-0000EB000000}"/>
    <cellStyle name="_0617-修正-下麻園農路改善工程_魚池畔邊坡崩坍處理工程_華山地區農路聯絡道附屬改善工程196000_空.材抽" xfId="1361" xr:uid="{00000000-0005-0000-0000-0000EC000000}"/>
    <cellStyle name="_0617-修正-下麻園農路改善工程_魚池畔邊坡崩坍處理工程_華山地區農路聯絡道附屬改善工程196000_空.材抽 2" xfId="2603" xr:uid="{00000000-0005-0000-0000-0000ED000000}"/>
    <cellStyle name="_0617-修正-下麻園農路改善工程_魚池畔邊坡崩坍處理工程_預1" xfId="1362" xr:uid="{00000000-0005-0000-0000-0000EE000000}"/>
    <cellStyle name="_0617-修正-下麻園農路改善工程_魚池畔邊坡崩坍處理工程_預1 2" xfId="2604" xr:uid="{00000000-0005-0000-0000-0000EF000000}"/>
    <cellStyle name="_0617-修正-下麻園農路改善工程_魚池畔邊坡崩坍處理工程_預1_空.材抽" xfId="1363" xr:uid="{00000000-0005-0000-0000-0000F0000000}"/>
    <cellStyle name="_0617-修正-下麻園農路改善工程_魚池畔邊坡崩坍處理工程_預1_空.材抽 2" xfId="2605" xr:uid="{00000000-0005-0000-0000-0000F1000000}"/>
    <cellStyle name="_0617-修正-下麻園農路改善工程_魚池畔邊坡崩坍處理工程_數量計算表1 " xfId="1364" xr:uid="{00000000-0005-0000-0000-0000F2000000}"/>
    <cellStyle name="_0617-修正-下麻園農路改善工程_魚池畔邊坡崩坍處理工程_數量計算表1  2" xfId="2606" xr:uid="{00000000-0005-0000-0000-0000F3000000}"/>
    <cellStyle name="_0617-修正-下麻園農路改善工程_魚池畔邊坡崩坍處理工程_數量計算表1 _空.材抽" xfId="1365" xr:uid="{00000000-0005-0000-0000-0000F4000000}"/>
    <cellStyle name="_0617-修正-下麻園農路改善工程_魚池畔邊坡崩坍處理工程_數量計算表1 _空.材抽 2" xfId="2607" xr:uid="{00000000-0005-0000-0000-0000F5000000}"/>
    <cellStyle name="_0617-修正-下麻園農路改善工程_番尾坑護岸災修工程" xfId="1366" xr:uid="{00000000-0005-0000-0000-0000F6000000}"/>
    <cellStyle name="_0617-修正-下麻園農路改善工程_番尾坑護岸災修工程 2" xfId="2608" xr:uid="{00000000-0005-0000-0000-0000F7000000}"/>
    <cellStyle name="_0617-修正-下麻園農路改善工程_番尾坑護岸災修工程_空.材抽" xfId="1367" xr:uid="{00000000-0005-0000-0000-0000F8000000}"/>
    <cellStyle name="_0617-修正-下麻園農路改善工程_番尾坑護岸災修工程_空.材抽 2" xfId="2609" xr:uid="{00000000-0005-0000-0000-0000F9000000}"/>
    <cellStyle name="_0617-修正-下麻園農路改善工程_番尾坑護岸災修工程_華山地區農路聯絡道附屬改善工程196000" xfId="1368" xr:uid="{00000000-0005-0000-0000-0000FA000000}"/>
    <cellStyle name="_0617-修正-下麻園農路改善工程_番尾坑護岸災修工程_華山地區農路聯絡道附屬改善工程196000 2" xfId="2610" xr:uid="{00000000-0005-0000-0000-0000FB000000}"/>
    <cellStyle name="_0617-修正-下麻園農路改善工程_番尾坑護岸災修工程_華山地區農路聯絡道附屬改善工程196000_空.材抽" xfId="1369" xr:uid="{00000000-0005-0000-0000-0000FC000000}"/>
    <cellStyle name="_0617-修正-下麻園農路改善工程_番尾坑護岸災修工程_華山地區農路聯絡道附屬改善工程196000_空.材抽 2" xfId="2611" xr:uid="{00000000-0005-0000-0000-0000FD000000}"/>
    <cellStyle name="_0617-修正-下麻園農路改善工程_番尾坑護岸災修工程_預1" xfId="1370" xr:uid="{00000000-0005-0000-0000-0000FE000000}"/>
    <cellStyle name="_0617-修正-下麻園農路改善工程_番尾坑護岸災修工程_預1 2" xfId="2612" xr:uid="{00000000-0005-0000-0000-0000FF000000}"/>
    <cellStyle name="_0617-修正-下麻園農路改善工程_番尾坑護岸災修工程_預1_空.材抽" xfId="1371" xr:uid="{00000000-0005-0000-0000-000000010000}"/>
    <cellStyle name="_0617-修正-下麻園農路改善工程_番尾坑護岸災修工程_預1_空.材抽 2" xfId="2613" xr:uid="{00000000-0005-0000-0000-000001010000}"/>
    <cellStyle name="_0617-修正-下麻園農路改善工程_番尾坑護岸災修工程_數量計算表 3" xfId="1372" xr:uid="{00000000-0005-0000-0000-000002010000}"/>
    <cellStyle name="_0617-修正-下麻園農路改善工程_番尾坑護岸災修工程_數量計算表 3 2" xfId="2614" xr:uid="{00000000-0005-0000-0000-000003010000}"/>
    <cellStyle name="_0617-修正-下麻園農路改善工程_番尾坑護岸災修工程_數量計算表 3_空.材抽" xfId="1373" xr:uid="{00000000-0005-0000-0000-000004010000}"/>
    <cellStyle name="_0617-修正-下麻園農路改善工程_番尾坑護岸災修工程_數量計算表 3_空.材抽 2" xfId="2615" xr:uid="{00000000-0005-0000-0000-000005010000}"/>
    <cellStyle name="_0617-修正-下麻園農路改善工程_番尾坑護岸災修工程_數量計算表1 " xfId="1374" xr:uid="{00000000-0005-0000-0000-000006010000}"/>
    <cellStyle name="_0617-修正-下麻園農路改善工程_番尾坑護岸災修工程_數量計算表1  2" xfId="2616" xr:uid="{00000000-0005-0000-0000-000007010000}"/>
    <cellStyle name="_0617-修正-下麻園農路改善工程_番尾坑護岸災修工程_數量計算表1 _空.材抽" xfId="1375" xr:uid="{00000000-0005-0000-0000-000008010000}"/>
    <cellStyle name="_0617-修正-下麻園農路改善工程_番尾坑護岸災修工程_數量計算表1 _空.材抽 2" xfId="2617" xr:uid="{00000000-0005-0000-0000-000009010000}"/>
    <cellStyle name="_0617-修正-下麻園農路改善工程_預1" xfId="1376" xr:uid="{00000000-0005-0000-0000-00000A010000}"/>
    <cellStyle name="_0617-修正-下麻園農路改善工程_預1 2" xfId="2618" xr:uid="{00000000-0005-0000-0000-00000B010000}"/>
    <cellStyle name="_0617-修正-下麻園農路改善工程_預1_空.材抽" xfId="1377" xr:uid="{00000000-0005-0000-0000-00000C010000}"/>
    <cellStyle name="_0617-修正-下麻園農路改善工程_預1_空.材抽 2" xfId="2619" xr:uid="{00000000-0005-0000-0000-00000D010000}"/>
    <cellStyle name="_0617-修正-下麻園農路改善工程_預1_預1" xfId="1378" xr:uid="{00000000-0005-0000-0000-00000E010000}"/>
    <cellStyle name="_0617-修正-下麻園農路改善工程_預1_預1 2" xfId="2620" xr:uid="{00000000-0005-0000-0000-00000F010000}"/>
    <cellStyle name="_0617-修正-下麻園農路改善工程_預1_預1_空.材抽" xfId="1379" xr:uid="{00000000-0005-0000-0000-000010010000}"/>
    <cellStyle name="_0617-修正-下麻園農路改善工程_預1_預1_空.材抽 2" xfId="2621" xr:uid="{00000000-0005-0000-0000-000011010000}"/>
    <cellStyle name="_0617-修正-下麻園農路改善工程_預1_數量計算表1 " xfId="1380" xr:uid="{00000000-0005-0000-0000-000012010000}"/>
    <cellStyle name="_0617-修正-下麻園農路改善工程_預1_數量計算表1  2" xfId="2622" xr:uid="{00000000-0005-0000-0000-000013010000}"/>
    <cellStyle name="_0617-修正-下麻園農路改善工程_預1_數量計算表1 _空.材抽" xfId="1381" xr:uid="{00000000-0005-0000-0000-000014010000}"/>
    <cellStyle name="_0617-修正-下麻園農路改善工程_預1_數量計算表1 _空.材抽 2" xfId="2623" xr:uid="{00000000-0005-0000-0000-000015010000}"/>
    <cellStyle name="_0617-修正-下麻園農路改善工程_數量計算表1 " xfId="1382" xr:uid="{00000000-0005-0000-0000-000016010000}"/>
    <cellStyle name="_0617-修正-下麻園農路改善工程_數量計算表1  2" xfId="2624" xr:uid="{00000000-0005-0000-0000-000017010000}"/>
    <cellStyle name="_0617-修正-下麻園農路改善工程_數量計算表1 _空.材抽" xfId="1383" xr:uid="{00000000-0005-0000-0000-000018010000}"/>
    <cellStyle name="_0617-修正-下麻園農路改善工程_數量計算表1 _空.材抽 2" xfId="2625" xr:uid="{00000000-0005-0000-0000-000019010000}"/>
    <cellStyle name="_0617-修正-下麻園農路改善工程_數量計算表1 _預1" xfId="1384" xr:uid="{00000000-0005-0000-0000-00001A010000}"/>
    <cellStyle name="_0617-修正-下麻園農路改善工程_數量計算表1 _預1 2" xfId="2626" xr:uid="{00000000-0005-0000-0000-00001B010000}"/>
    <cellStyle name="_0617-修正-下麻園農路改善工程_數量計算表1 _預1_空.材抽" xfId="1385" xr:uid="{00000000-0005-0000-0000-00001C010000}"/>
    <cellStyle name="_0617-修正-下麻園農路改善工程_數量計算表1 _預1_空.材抽 2" xfId="2627" xr:uid="{00000000-0005-0000-0000-00001D010000}"/>
    <cellStyle name="_0617-修正-下麻園農路改善工程_數量計算表1 _數量計算表1 " xfId="1386" xr:uid="{00000000-0005-0000-0000-00001E010000}"/>
    <cellStyle name="_0617-修正-下麻園農路改善工程_數量計算表1 _數量計算表1  2" xfId="2628" xr:uid="{00000000-0005-0000-0000-00001F010000}"/>
    <cellStyle name="_0617-修正-下麻園農路改善工程_數量計算表1 _數量計算表1 _空.材抽" xfId="1387" xr:uid="{00000000-0005-0000-0000-000020010000}"/>
    <cellStyle name="_0617-修正-下麻園農路改善工程_數量計算表1 _數量計算表1 _空.材抽 2" xfId="2629" xr:uid="{00000000-0005-0000-0000-000021010000}"/>
    <cellStyle name="_155線四湖至喀內路燈照明工程空白標單" xfId="7" xr:uid="{00000000-0005-0000-0000-000022010000}"/>
    <cellStyle name="_155線四湖至喀內路燈照明工程空白標單_施工日誌1" xfId="1630" xr:uid="{00000000-0005-0000-0000-000023010000}"/>
    <cellStyle name="_155線四湖至喀內路燈照明工程數量" xfId="8" xr:uid="{00000000-0005-0000-0000-000024010000}"/>
    <cellStyle name="_155線四湖至喀內路燈照明工程數量_施工日誌1" xfId="1631" xr:uid="{00000000-0005-0000-0000-000025010000}"/>
    <cellStyle name="_155線西側邊溝10K+160~10K+882.4道路邊溝改善工程-數量表" xfId="9" xr:uid="{00000000-0005-0000-0000-000026010000}"/>
    <cellStyle name="_155線西側邊溝10K+160~10K+882.4道路邊溝改善工程-數量表_施工日誌1" xfId="1632" xr:uid="{00000000-0005-0000-0000-000027010000}"/>
    <cellStyle name="_1-5四湖鄉廣溝農路排水改善工程" xfId="10" xr:uid="{00000000-0005-0000-0000-000028010000}"/>
    <cellStyle name="_1-5四湖鄉廣溝農路排水改善工程_施工日誌1" xfId="1633" xr:uid="{00000000-0005-0000-0000-000029010000}"/>
    <cellStyle name="_160線4K---" xfId="11" xr:uid="{00000000-0005-0000-0000-00002A010000}"/>
    <cellStyle name="_160線4K---_施工日誌1" xfId="1634" xr:uid="{00000000-0005-0000-0000-00002B010000}"/>
    <cellStyle name="_165-施工" xfId="12" xr:uid="{00000000-0005-0000-0000-00002C010000}"/>
    <cellStyle name="_165-施工 2" xfId="2630" xr:uid="{00000000-0005-0000-0000-00002D010000}"/>
    <cellStyle name="_165-施工_施工日誌1" xfId="1635" xr:uid="{00000000-0005-0000-0000-00002E010000}"/>
    <cellStyle name="_4-30箔子寮大排緊急搶險及護岸下陷段修復工程議定協議書" xfId="13" xr:uid="{00000000-0005-0000-0000-00002F010000}"/>
    <cellStyle name="_4-30箔子寮大排緊急搶險及護岸下陷段修復工程議定協議書 2" xfId="2631" xr:uid="{00000000-0005-0000-0000-000030010000}"/>
    <cellStyle name="_4-30箔子寮大排緊急搶險及護岸下陷段修復工程議定協議書_施工日誌1" xfId="1636" xr:uid="{00000000-0005-0000-0000-000031010000}"/>
    <cellStyle name="_4-30箔子寮大排緊急搶險及護岸下陷段修復工程議定協議書_普令厝農地重劃區西33路農水路改善工程" xfId="14" xr:uid="{00000000-0005-0000-0000-000032010000}"/>
    <cellStyle name="_4-30箔子寮大排緊急搶險及護岸下陷段修復工程議定協議書_普令厝農地重劃區西33路農水路改善工程 2" xfId="2632" xr:uid="{00000000-0005-0000-0000-000033010000}"/>
    <cellStyle name="_4-30箔子寮大排緊急搶險及護岸下陷段修復工程議定協議書_普令厝農地重劃區西33路農水路改善工程_土庫鎮埤腳里道路、排水溝改善工程101.05.18(修正3確定)" xfId="2633" xr:uid="{00000000-0005-0000-0000-000034010000}"/>
    <cellStyle name="_4-30箔子寮大排緊急搶險及護岸下陷段修復工程議定協議書_普令厝農地重劃區西33路農水路改善工程_元長鄉長南村巷道排水改善工程" xfId="2634" xr:uid="{00000000-0005-0000-0000-000035010000}"/>
    <cellStyle name="_4-30箔子寮大排緊急搶險及護岸下陷段修復工程議定協議書_普令厝農地重劃區西33路農水路改善工程_斗南鎮久安農地重劃區V51路農路路面改善工程" xfId="5042" xr:uid="{00000000-0005-0000-0000-000036010000}"/>
    <cellStyle name="_4-30箔子寮大排緊急搶險及護岸下陷段修復工程議定協議書_普令厝農地重劃區西33路農水路改善工程_斗南鎮田頭農地重劃區農路改善工程" xfId="5043" xr:uid="{00000000-0005-0000-0000-000037010000}"/>
    <cellStyle name="_4-30箔子寮大排緊急搶險及護岸下陷段修復工程議定協議書_普令厝農地重劃區西33路農水路改善工程_斗南鎮西岐里舊社里等路面改善工程-100.05.18" xfId="2635" xr:uid="{00000000-0005-0000-0000-000038010000}"/>
    <cellStyle name="_4-30箔子寮大排緊急搶險及護岸下陷段修復工程議定協議書_普令厝農地重劃區西33路農水路改善工程_斗南鎮阿丹里、林子里相關公共設施改善工程100.11.29" xfId="2636" xr:uid="{00000000-0005-0000-0000-000039010000}"/>
    <cellStyle name="_4-30箔子寮大排緊急搶險及護岸下陷段修復工程議定協議書_普令厝農地重劃區西33路農水路改善工程_斗南鎮將軍里等路面及附屬設施改善工程" xfId="2637" xr:uid="{00000000-0005-0000-0000-00003A010000}"/>
    <cellStyle name="_4-30箔子寮大排緊急搶險及護岸下陷段修復工程議定協議書_普令厝農地重劃區西33路農水路改善工程_古坑鄉大湖底段及麻園段路面改善工程" xfId="2638" xr:uid="{00000000-0005-0000-0000-00003B010000}"/>
    <cellStyle name="_4-30箔子寮大排緊急搶險及護岸下陷段修復工程議定協議書_普令厝農地重劃區西33路農水路改善工程_台西海埔地南4路排水9907豪雨災害復建工程" xfId="2639" xr:uid="{00000000-0005-0000-0000-00003C010000}"/>
    <cellStyle name="_4-30箔子寮大排緊急搶險及護岸下陷段修復工程議定協議書_普令厝農地重劃區西33路農水路改善工程_台西鄉四美重劃區南北幹路4農路復建工程" xfId="15" xr:uid="{00000000-0005-0000-0000-00003D010000}"/>
    <cellStyle name="_4-30箔子寮大排緊急搶險及護岸下陷段修復工程議定協議書_普令厝農地重劃區西33路農水路改善工程_台西鄉四美重劃區南北幹路4農路復建工程 2" xfId="2640" xr:uid="{00000000-0005-0000-0000-00003E010000}"/>
    <cellStyle name="_4-30箔子寮大排緊急搶險及護岸下陷段修復工程議定協議書_普令厝農地重劃區西33路農水路改善工程_台西鄉四美重劃區南北幹路4農路復建工程_施工日誌1" xfId="1638" xr:uid="{00000000-0005-0000-0000-00003F010000}"/>
    <cellStyle name="_4-30箔子寮大排緊急搶險及護岸下陷段修復工程議定協議書_普令厝農地重劃區西33路農水路改善工程_東勢鄉新坤村及麥寮鄉海豐村道路排水改善工程" xfId="5044" xr:uid="{00000000-0005-0000-0000-000040010000}"/>
    <cellStyle name="_4-30箔子寮大排緊急搶險及護岸下陷段修復工程議定協議書_普令厝農地重劃區西33路農水路改善工程_林縣臺西鄉A10~A12雨水下水道建設工程(增減明細)" xfId="2641" xr:uid="{00000000-0005-0000-0000-000041010000}"/>
    <cellStyle name="_4-30箔子寮大排緊急搶險及護岸下陷段修復工程議定協議書_普令厝農地重劃區西33路農水路改善工程_虎尾鎮新吉里竹圍子農村社區生態魚池暨運動公園道路與排水改善工程(預算書)" xfId="2642" xr:uid="{00000000-0005-0000-0000-000042010000}"/>
    <cellStyle name="_4-30箔子寮大排緊急搶險及護岸下陷段修復工程議定協議書_普令厝農地重劃區西33路農水路改善工程_虎尾鎮新吉里竹圍子農村社區生態魚池暨運動公園道路與排水改善工程(確定)" xfId="5045" xr:uid="{00000000-0005-0000-0000-000043010000}"/>
    <cellStyle name="_4-30箔子寮大排緊急搶險及護岸下陷段修復工程議定協議書_普令厝農地重劃區西33路農水路改善工程_長北村等巷道排水改善工程" xfId="2643" xr:uid="{00000000-0005-0000-0000-000044010000}"/>
    <cellStyle name="_4-30箔子寮大排緊急搶險及護岸下陷段修復工程議定協議書_普令厝農地重劃區西33路農水路改善工程_後溝子一農地重劃區南北八路農路改善工程" xfId="16" xr:uid="{00000000-0005-0000-0000-000045010000}"/>
    <cellStyle name="_4-30箔子寮大排緊急搶險及護岸下陷段修復工程議定協議書_普令厝農地重劃區西33路農水路改善工程_後溝子一農地重劃區南北八路農路改善工程 2" xfId="2644" xr:uid="{00000000-0005-0000-0000-000046010000}"/>
    <cellStyle name="_4-30箔子寮大排緊急搶險及護岸下陷段修復工程議定協議書_普令厝農地重劃區西33路農水路改善工程_後溝子一農地重劃區南北八路農路改善工程_施工日誌1" xfId="1639" xr:uid="{00000000-0005-0000-0000-000047010000}"/>
    <cellStyle name="_4-30箔子寮大排緊急搶險及護岸下陷段修復工程議定協議書_普令厝農地重劃區西33路農水路改善工程_施工日誌1" xfId="1637" xr:uid="{00000000-0005-0000-0000-000048010000}"/>
    <cellStyle name="_4-30箔子寮大排緊急搶險及護岸下陷段修復工程議定協議書_普令厝農地重劃區西33路農水路改善工程_崙背鄉雨水下水道清淤疏浚維護工程" xfId="17" xr:uid="{00000000-0005-0000-0000-000049010000}"/>
    <cellStyle name="_4-30箔子寮大排緊急搶險及護岸下陷段修復工程議定協議書_普令厝農地重劃區西33路農水路改善工程_崙背鄉雨水下水道清淤疏浚維護工程 2" xfId="2645" xr:uid="{00000000-0005-0000-0000-00004A010000}"/>
    <cellStyle name="_4-30箔子寮大排緊急搶險及護岸下陷段修復工程議定協議書_普令厝農地重劃區西33路農水路改善工程_崙背鄉雨水下水道清淤疏浚維護工程_施工日誌1" xfId="1640" xr:uid="{00000000-0005-0000-0000-00004B010000}"/>
    <cellStyle name="_4-30箔子寮大排緊急搶險及護岸下陷段修復工程議定協議書_普令厝農地重劃區西33路農水路改善工程_鹿寮農地重劃區補路農路改善工程等七件工程" xfId="18" xr:uid="{00000000-0005-0000-0000-00004C010000}"/>
    <cellStyle name="_4-30箔子寮大排緊急搶險及護岸下陷段修復工程議定協議書_普令厝農地重劃區西33路農水路改善工程_鹿寮農地重劃區補路農路改善工程等七件工程 2" xfId="2646" xr:uid="{00000000-0005-0000-0000-00004D010000}"/>
    <cellStyle name="_4-30箔子寮大排緊急搶險及護岸下陷段修復工程議定協議書_普令厝農地重劃區西33路農水路改善工程_鹿寮農地重劃區補路農路改善工程等七件工程_施工日誌1" xfId="1641" xr:uid="{00000000-0005-0000-0000-00004E010000}"/>
    <cellStyle name="_4-30箔子寮大排緊急搶險及護岸下陷段修復工程議定協議書_普令厝農地重劃區西33路農水路改善工程_普令厝農地重劃區西33路農水路改善工程" xfId="19" xr:uid="{00000000-0005-0000-0000-00004F010000}"/>
    <cellStyle name="_4-30箔子寮大排緊急搶險及護岸下陷段修復工程議定協議書_普令厝農地重劃區西33路農水路改善工程_普令厝農地重劃區西33路農水路改善工程 2" xfId="2647" xr:uid="{00000000-0005-0000-0000-000050010000}"/>
    <cellStyle name="_4-30箔子寮大排緊急搶險及護岸下陷段修復工程議定協議書_普令厝農地重劃區西33路農水路改善工程_普令厝農地重劃區西33路農水路改善工程_施工日誌1" xfId="1642" xr:uid="{00000000-0005-0000-0000-000051010000}"/>
    <cellStyle name="_4-30箔子寮大排緊急搶險及護岸下陷段修復工程議定協議書_普令厝農地重劃區西33路農水路改善工程_雲林縣崙背鄉雨水下水道清淤工程" xfId="20" xr:uid="{00000000-0005-0000-0000-000052010000}"/>
    <cellStyle name="_4-30箔子寮大排緊急搶險及護岸下陷段修復工程議定協議書_普令厝農地重劃區西33路農水路改善工程_雲林縣崙背鄉雨水下水道清淤工程 2" xfId="2648" xr:uid="{00000000-0005-0000-0000-000053010000}"/>
    <cellStyle name="_4-30箔子寮大排緊急搶險及護岸下陷段修復工程議定協議書_普令厝農地重劃區西33路農水路改善工程_雲林縣崙背鄉雨水下水道清淤工程_施工日誌1" xfId="1643" xr:uid="{00000000-0005-0000-0000-000054010000}"/>
    <cellStyle name="_4-30箔子寮大排緊急搶險及護岸下陷段修復工程議定協議書_普令厝農地重劃區西33路農水路改善工程_雲林縣臺西鄉A9～A9-3雨水下水道建設工程" xfId="2649" xr:uid="{00000000-0005-0000-0000-000055010000}"/>
    <cellStyle name="_4-30箔子寮大排緊急搶險及護岸下陷段修復工程議定協議書_普令厝農地重劃區西33路農水路改善工程_臺西鄉(凡那比颱風)鄉內道路排水災害復建工程" xfId="21" xr:uid="{00000000-0005-0000-0000-000056010000}"/>
    <cellStyle name="_4-30箔子寮大排緊急搶險及護岸下陷段修復工程議定協議書_普令厝農地重劃區西33路農水路改善工程_臺西鄉(凡那比颱風)鄉內道路排水災害復建工程 2" xfId="2650" xr:uid="{00000000-0005-0000-0000-000057010000}"/>
    <cellStyle name="_4-30箔子寮大排緊急搶險及護岸下陷段修復工程議定協議書_普令厝農地重劃區西33路農水路改善工程_臺西鄉(凡那比颱風)鄉內道路排水災害復建工程_施工日誌1" xfId="1644" xr:uid="{00000000-0005-0000-0000-000058010000}"/>
    <cellStyle name="_4-30箔子寮大排緊急搶險及護岸下陷段修復工程議定協議書_普令厝農地重劃區西33路農水路改善工程_臺西鄉蚊港村蚊港巷道改善工程" xfId="2651" xr:uid="{00000000-0005-0000-0000-000059010000}"/>
    <cellStyle name="_4-30箔子寮大排緊急搶險及護岸下陷段修復工程議定協議書_普令厝農地重劃區西33路農水路改善工程_臺西鄉普令厝重劃區西8路等道路排水改善工程(確定案)" xfId="22" xr:uid="{00000000-0005-0000-0000-00005A010000}"/>
    <cellStyle name="_4-30箔子寮大排緊急搶險及護岸下陷段修復工程議定協議書_普令厝農地重劃區西33路農水路改善工程_臺西鄉普令厝重劃區西8路等道路排水改善工程(確定案) 2" xfId="2652" xr:uid="{00000000-0005-0000-0000-00005B010000}"/>
    <cellStyle name="_4-30箔子寮大排緊急搶險及護岸下陷段修復工程議定協議書_普令厝農地重劃區西33路農水路改善工程_臺西鄉普令厝重劃區西8路等道路排水改善工程(確定案)_施工日誌1" xfId="1645" xr:uid="{00000000-0005-0000-0000-00005C010000}"/>
    <cellStyle name="_4-30箔子寮大排緊急搶險及護岸下陷段修復工程議定協議書_普令厝農地重劃區西33路農水路改善工程_臺西鄉臺西公有零售市埸作為多目標使用改善工程" xfId="2653" xr:uid="{00000000-0005-0000-0000-00005D010000}"/>
    <cellStyle name="_4-30箔子寮大排緊急搶險及護岸下陷段修復工程議定協議書_普令厝農地重劃區西33路農水路改善工程_豐榮、草湖等村道路及排水溝改善工程-(變更)2" xfId="2654" xr:uid="{00000000-0005-0000-0000-00005E010000}"/>
    <cellStyle name="_5-29標單四湖鄉溪尾村內道路排水改善工程" xfId="23" xr:uid="{00000000-0005-0000-0000-00005F010000}"/>
    <cellStyle name="_5-29標單四湖鄉溪尾村內道路排水改善工程_施工日誌1" xfId="1646" xr:uid="{00000000-0005-0000-0000-000060010000}"/>
    <cellStyle name="_55期-單價分析" xfId="1388" xr:uid="{00000000-0005-0000-0000-000061010000}"/>
    <cellStyle name="_55期-單價分析 2" xfId="2655" xr:uid="{00000000-0005-0000-0000-000062010000}"/>
    <cellStyle name="_55期-單價分析_空.材抽" xfId="1389" xr:uid="{00000000-0005-0000-0000-000063010000}"/>
    <cellStyle name="_55期-單價分析_空.材抽 2" xfId="2656" xr:uid="{00000000-0005-0000-0000-000064010000}"/>
    <cellStyle name="_69巷-增減數量表0225" xfId="24" xr:uid="{00000000-0005-0000-0000-000065010000}"/>
    <cellStyle name="_69巷-增減數量表0225_施工日誌1" xfId="1647" xr:uid="{00000000-0005-0000-0000-000066010000}"/>
    <cellStyle name="_94-10-27新部仔農路改善工程" xfId="1390" xr:uid="{00000000-0005-0000-0000-000067010000}"/>
    <cellStyle name="_94-10-27新部仔農路改善工程 2" xfId="2657" xr:uid="{00000000-0005-0000-0000-000068010000}"/>
    <cellStyle name="_94-10-27新部仔農路改善工程_1愛門仔農路等四件(彙總)" xfId="1391" xr:uid="{00000000-0005-0000-0000-000069010000}"/>
    <cellStyle name="_94-10-27新部仔農路改善工程_1愛門仔農路等四件(彙總) 2" xfId="2658" xr:uid="{00000000-0005-0000-0000-00006A010000}"/>
    <cellStyle name="_94-10-27新部仔農路改善工程_1愛門仔農路等四件(彙總)_空.材抽" xfId="1392" xr:uid="{00000000-0005-0000-0000-00006B010000}"/>
    <cellStyle name="_94-10-27新部仔農路改善工程_1愛門仔農路等四件(彙總)_空.材抽 2" xfId="2659" xr:uid="{00000000-0005-0000-0000-00006C010000}"/>
    <cellStyle name="_94-10-27新部仔農路改善工程_1愛門仔農路等四件(彙總)_預1" xfId="1393" xr:uid="{00000000-0005-0000-0000-00006D010000}"/>
    <cellStyle name="_94-10-27新部仔農路改善工程_1愛門仔農路等四件(彙總)_預1 2" xfId="2660" xr:uid="{00000000-0005-0000-0000-00006E010000}"/>
    <cellStyle name="_94-10-27新部仔農路改善工程_1愛門仔農路等四件(彙總)_預1_空.材抽" xfId="1394" xr:uid="{00000000-0005-0000-0000-00006F010000}"/>
    <cellStyle name="_94-10-27新部仔農路改善工程_1愛門仔農路等四件(彙總)_預1_空.材抽 2" xfId="2661" xr:uid="{00000000-0005-0000-0000-000070010000}"/>
    <cellStyle name="_94-10-27新部仔農路改善工程_1愛門仔農路等四件(彙總)_數量計算表1 " xfId="1395" xr:uid="{00000000-0005-0000-0000-000071010000}"/>
    <cellStyle name="_94-10-27新部仔農路改善工程_1愛門仔農路等四件(彙總)_數量計算表1  2" xfId="2662" xr:uid="{00000000-0005-0000-0000-000072010000}"/>
    <cellStyle name="_94-10-27新部仔農路改善工程_1愛門仔農路等四件(彙總)_數量計算表1 _空.材抽" xfId="1396" xr:uid="{00000000-0005-0000-0000-000073010000}"/>
    <cellStyle name="_94-10-27新部仔農路改善工程_1愛門仔農路等四件(彙總)_數量計算表1 _空.材抽 2" xfId="2663" xr:uid="{00000000-0005-0000-0000-000074010000}"/>
    <cellStyle name="_94-10-27新部仔農路改善工程_2.愛門仔農路" xfId="1397" xr:uid="{00000000-0005-0000-0000-000075010000}"/>
    <cellStyle name="_94-10-27新部仔農路改善工程_2.愛門仔農路 2" xfId="2664" xr:uid="{00000000-0005-0000-0000-000076010000}"/>
    <cellStyle name="_94-10-27新部仔農路改善工程_2.愛門仔農路_空.材抽" xfId="1398" xr:uid="{00000000-0005-0000-0000-000077010000}"/>
    <cellStyle name="_94-10-27新部仔農路改善工程_2.愛門仔農路_空.材抽 2" xfId="2665" xr:uid="{00000000-0005-0000-0000-000078010000}"/>
    <cellStyle name="_94-10-27新部仔農路改善工程_2.愛門仔農路_預1" xfId="1399" xr:uid="{00000000-0005-0000-0000-000079010000}"/>
    <cellStyle name="_94-10-27新部仔農路改善工程_2.愛門仔農路_預1 2" xfId="2666" xr:uid="{00000000-0005-0000-0000-00007A010000}"/>
    <cellStyle name="_94-10-27新部仔農路改善工程_2.愛門仔農路_預1_空.材抽" xfId="1400" xr:uid="{00000000-0005-0000-0000-00007B010000}"/>
    <cellStyle name="_94-10-27新部仔農路改善工程_2.愛門仔農路_預1_空.材抽 2" xfId="2667" xr:uid="{00000000-0005-0000-0000-00007C010000}"/>
    <cellStyle name="_94-10-27新部仔農路改善工程_2.愛門仔農路_數量計算表1 " xfId="1401" xr:uid="{00000000-0005-0000-0000-00007D010000}"/>
    <cellStyle name="_94-10-27新部仔農路改善工程_2.愛門仔農路_數量計算表1  2" xfId="2668" xr:uid="{00000000-0005-0000-0000-00007E010000}"/>
    <cellStyle name="_94-10-27新部仔農路改善工程_2.愛門仔農路_數量計算表1 _空.材抽" xfId="1402" xr:uid="{00000000-0005-0000-0000-00007F010000}"/>
    <cellStyle name="_94-10-27新部仔農路改善工程_2.愛門仔農路_數量計算表1 _空.材抽 2" xfId="2669" xr:uid="{00000000-0005-0000-0000-000080010000}"/>
    <cellStyle name="_94-10-27新部仔農路改善工程_3.頂庄農路" xfId="1403" xr:uid="{00000000-0005-0000-0000-000081010000}"/>
    <cellStyle name="_94-10-27新部仔農路改善工程_3.頂庄農路 2" xfId="2670" xr:uid="{00000000-0005-0000-0000-000082010000}"/>
    <cellStyle name="_94-10-27新部仔農路改善工程_3.頂庄農路_空.材抽" xfId="1404" xr:uid="{00000000-0005-0000-0000-000083010000}"/>
    <cellStyle name="_94-10-27新部仔農路改善工程_3.頂庄農路_空.材抽 2" xfId="2671" xr:uid="{00000000-0005-0000-0000-000084010000}"/>
    <cellStyle name="_94-10-27新部仔農路改善工程_3.頂庄農路_預1" xfId="1405" xr:uid="{00000000-0005-0000-0000-000085010000}"/>
    <cellStyle name="_94-10-27新部仔農路改善工程_3.頂庄農路_預1 2" xfId="2672" xr:uid="{00000000-0005-0000-0000-000086010000}"/>
    <cellStyle name="_94-10-27新部仔農路改善工程_3.頂庄農路_預1_空.材抽" xfId="1406" xr:uid="{00000000-0005-0000-0000-000087010000}"/>
    <cellStyle name="_94-10-27新部仔農路改善工程_3.頂庄農路_預1_空.材抽 2" xfId="2673" xr:uid="{00000000-0005-0000-0000-000088010000}"/>
    <cellStyle name="_94-10-27新部仔農路改善工程_3.頂庄農路_數量計算表1 " xfId="1407" xr:uid="{00000000-0005-0000-0000-000089010000}"/>
    <cellStyle name="_94-10-27新部仔農路改善工程_3.頂庄農路_數量計算表1  2" xfId="2674" xr:uid="{00000000-0005-0000-0000-00008A010000}"/>
    <cellStyle name="_94-10-27新部仔農路改善工程_3.頂庄農路_數量計算表1 _空.材抽" xfId="1408" xr:uid="{00000000-0005-0000-0000-00008B010000}"/>
    <cellStyle name="_94-10-27新部仔農路改善工程_3.頂庄農路_數量計算表1 _空.材抽 2" xfId="2675" xr:uid="{00000000-0005-0000-0000-00008C010000}"/>
    <cellStyle name="_94-10-27新部仔農路改善工程_4.蟾蜍嶺崩坍" xfId="1409" xr:uid="{00000000-0005-0000-0000-00008D010000}"/>
    <cellStyle name="_94-10-27新部仔農路改善工程_4.蟾蜍嶺崩坍 2" xfId="2676" xr:uid="{00000000-0005-0000-0000-00008E010000}"/>
    <cellStyle name="_94-10-27新部仔農路改善工程_4.蟾蜍嶺崩坍_空.材抽" xfId="1410" xr:uid="{00000000-0005-0000-0000-00008F010000}"/>
    <cellStyle name="_94-10-27新部仔農路改善工程_4.蟾蜍嶺崩坍_空.材抽 2" xfId="2677" xr:uid="{00000000-0005-0000-0000-000090010000}"/>
    <cellStyle name="_94-10-27新部仔農路改善工程_4.蟾蜍嶺崩坍_預1" xfId="1411" xr:uid="{00000000-0005-0000-0000-000091010000}"/>
    <cellStyle name="_94-10-27新部仔農路改善工程_4.蟾蜍嶺崩坍_預1 2" xfId="2678" xr:uid="{00000000-0005-0000-0000-000092010000}"/>
    <cellStyle name="_94-10-27新部仔農路改善工程_4.蟾蜍嶺崩坍_預1_空.材抽" xfId="1412" xr:uid="{00000000-0005-0000-0000-000093010000}"/>
    <cellStyle name="_94-10-27新部仔農路改善工程_4.蟾蜍嶺崩坍_預1_空.材抽 2" xfId="2679" xr:uid="{00000000-0005-0000-0000-000094010000}"/>
    <cellStyle name="_94-10-27新部仔農路改善工程_4.蟾蜍嶺崩坍_數量計算表1 " xfId="1413" xr:uid="{00000000-0005-0000-0000-000095010000}"/>
    <cellStyle name="_94-10-27新部仔農路改善工程_4.蟾蜍嶺崩坍_數量計算表1  2" xfId="2680" xr:uid="{00000000-0005-0000-0000-000096010000}"/>
    <cellStyle name="_94-10-27新部仔農路改善工程_4.蟾蜍嶺崩坍_數量計算表1 _空.材抽" xfId="1414" xr:uid="{00000000-0005-0000-0000-000097010000}"/>
    <cellStyle name="_94-10-27新部仔農路改善工程_4.蟾蜍嶺崩坍_數量計算表1 _空.材抽 2" xfId="2681" xr:uid="{00000000-0005-0000-0000-000098010000}"/>
    <cellStyle name="_94-10-27新部仔農路改善工程_5..打鐵坑邊坡" xfId="1415" xr:uid="{00000000-0005-0000-0000-000099010000}"/>
    <cellStyle name="_94-10-27新部仔農路改善工程_5..打鐵坑邊坡 2" xfId="2682" xr:uid="{00000000-0005-0000-0000-00009A010000}"/>
    <cellStyle name="_94-10-27新部仔農路改善工程_5..打鐵坑邊坡_空.材抽" xfId="1416" xr:uid="{00000000-0005-0000-0000-00009B010000}"/>
    <cellStyle name="_94-10-27新部仔農路改善工程_5..打鐵坑邊坡_空.材抽 2" xfId="2683" xr:uid="{00000000-0005-0000-0000-00009C010000}"/>
    <cellStyle name="_94-10-27新部仔農路改善工程_5..打鐵坑邊坡_預1" xfId="1417" xr:uid="{00000000-0005-0000-0000-00009D010000}"/>
    <cellStyle name="_94-10-27新部仔農路改善工程_5..打鐵坑邊坡_預1 2" xfId="2684" xr:uid="{00000000-0005-0000-0000-00009E010000}"/>
    <cellStyle name="_94-10-27新部仔農路改善工程_5..打鐵坑邊坡_預1_空.材抽" xfId="1418" xr:uid="{00000000-0005-0000-0000-00009F010000}"/>
    <cellStyle name="_94-10-27新部仔農路改善工程_5..打鐵坑邊坡_預1_空.材抽 2" xfId="2685" xr:uid="{00000000-0005-0000-0000-0000A0010000}"/>
    <cellStyle name="_94-10-27新部仔農路改善工程_5..打鐵坑邊坡_數量計算表1 " xfId="1419" xr:uid="{00000000-0005-0000-0000-0000A1010000}"/>
    <cellStyle name="_94-10-27新部仔農路改善工程_5..打鐵坑邊坡_數量計算表1  2" xfId="2686" xr:uid="{00000000-0005-0000-0000-0000A2010000}"/>
    <cellStyle name="_94-10-27新部仔農路改善工程_5..打鐵坑邊坡_數量計算表1 _空.材抽" xfId="1420" xr:uid="{00000000-0005-0000-0000-0000A3010000}"/>
    <cellStyle name="_94-10-27新部仔農路改善工程_5..打鐵坑邊坡_數量計算表1 _空.材抽 2" xfId="2687" xr:uid="{00000000-0005-0000-0000-0000A4010000}"/>
    <cellStyle name="_94-10-27新部仔農路改善工程_九車籠坑溝整治工程" xfId="1421" xr:uid="{00000000-0005-0000-0000-0000A5010000}"/>
    <cellStyle name="_94-10-27新部仔農路改善工程_九車籠坑溝整治工程 2" xfId="2688" xr:uid="{00000000-0005-0000-0000-0000A6010000}"/>
    <cellStyle name="_94-10-27新部仔農路改善工程_九車籠坑溝整治工程_空.材抽" xfId="1422" xr:uid="{00000000-0005-0000-0000-0000A7010000}"/>
    <cellStyle name="_94-10-27新部仔農路改善工程_九車籠坑溝整治工程_空.材抽 2" xfId="2689" xr:uid="{00000000-0005-0000-0000-0000A8010000}"/>
    <cellStyle name="_94-10-27新部仔農路改善工程_九車籠坑溝整治工程_華山地區農路聯絡道附屬改善工程196000" xfId="1423" xr:uid="{00000000-0005-0000-0000-0000A9010000}"/>
    <cellStyle name="_94-10-27新部仔農路改善工程_九車籠坑溝整治工程_華山地區農路聯絡道附屬改善工程196000 2" xfId="2690" xr:uid="{00000000-0005-0000-0000-0000AA010000}"/>
    <cellStyle name="_94-10-27新部仔農路改善工程_九車籠坑溝整治工程_華山地區農路聯絡道附屬改善工程196000_空.材抽" xfId="1424" xr:uid="{00000000-0005-0000-0000-0000AB010000}"/>
    <cellStyle name="_94-10-27新部仔農路改善工程_九車籠坑溝整治工程_華山地區農路聯絡道附屬改善工程196000_空.材抽 2" xfId="2691" xr:uid="{00000000-0005-0000-0000-0000AC010000}"/>
    <cellStyle name="_94-10-27新部仔農路改善工程_九車籠坑溝整治工程_預1" xfId="1425" xr:uid="{00000000-0005-0000-0000-0000AD010000}"/>
    <cellStyle name="_94-10-27新部仔農路改善工程_九車籠坑溝整治工程_預1 2" xfId="2692" xr:uid="{00000000-0005-0000-0000-0000AE010000}"/>
    <cellStyle name="_94-10-27新部仔農路改善工程_九車籠坑溝整治工程_預1_空.材抽" xfId="1426" xr:uid="{00000000-0005-0000-0000-0000AF010000}"/>
    <cellStyle name="_94-10-27新部仔農路改善工程_九車籠坑溝整治工程_預1_空.材抽 2" xfId="2693" xr:uid="{00000000-0005-0000-0000-0000B0010000}"/>
    <cellStyle name="_94-10-27新部仔農路改善工程_九車籠坑溝整治工程_數量計算表1 " xfId="1427" xr:uid="{00000000-0005-0000-0000-0000B1010000}"/>
    <cellStyle name="_94-10-27新部仔農路改善工程_九車籠坑溝整治工程_數量計算表1  2" xfId="2694" xr:uid="{00000000-0005-0000-0000-0000B2010000}"/>
    <cellStyle name="_94-10-27新部仔農路改善工程_九車籠坑溝整治工程_數量計算表1 _空.材抽" xfId="1428" xr:uid="{00000000-0005-0000-0000-0000B3010000}"/>
    <cellStyle name="_94-10-27新部仔農路改善工程_九車籠坑溝整治工程_數量計算表1 _空.材抽 2" xfId="2695" xr:uid="{00000000-0005-0000-0000-0000B4010000}"/>
    <cellStyle name="_94-10-27新部仔農路改善工程_二堀周邊環境改善工程" xfId="1429" xr:uid="{00000000-0005-0000-0000-0000B5010000}"/>
    <cellStyle name="_94-10-27新部仔農路改善工程_二堀周邊環境改善工程 2" xfId="2696" xr:uid="{00000000-0005-0000-0000-0000B6010000}"/>
    <cellStyle name="_94-10-27新部仔農路改善工程_二堀周邊環境改善工程_空.材抽" xfId="1430" xr:uid="{00000000-0005-0000-0000-0000B7010000}"/>
    <cellStyle name="_94-10-27新部仔農路改善工程_二堀周邊環境改善工程_空.材抽 2" xfId="2697" xr:uid="{00000000-0005-0000-0000-0000B8010000}"/>
    <cellStyle name="_94-10-27新部仔農路改善工程_二堀周邊環境改善工程_預1" xfId="1431" xr:uid="{00000000-0005-0000-0000-0000B9010000}"/>
    <cellStyle name="_94-10-27新部仔農路改善工程_二堀周邊環境改善工程_預1 2" xfId="2698" xr:uid="{00000000-0005-0000-0000-0000BA010000}"/>
    <cellStyle name="_94-10-27新部仔農路改善工程_二堀周邊環境改善工程_預1_空.材抽" xfId="1432" xr:uid="{00000000-0005-0000-0000-0000BB010000}"/>
    <cellStyle name="_94-10-27新部仔農路改善工程_二堀周邊環境改善工程_預1_空.材抽 2" xfId="2699" xr:uid="{00000000-0005-0000-0000-0000BC010000}"/>
    <cellStyle name="_94-10-27新部仔農路改善工程_二堀周邊環境改善工程_數量計算表1 " xfId="1433" xr:uid="{00000000-0005-0000-0000-0000BD010000}"/>
    <cellStyle name="_94-10-27新部仔農路改善工程_二堀周邊環境改善工程_數量計算表1  2" xfId="2700" xr:uid="{00000000-0005-0000-0000-0000BE010000}"/>
    <cellStyle name="_94-10-27新部仔農路改善工程_二堀周邊環境改善工程_數量計算表1 _空.材抽" xfId="1434" xr:uid="{00000000-0005-0000-0000-0000BF010000}"/>
    <cellStyle name="_94-10-27新部仔農路改善工程_二堀周邊環境改善工程_數量計算表1 _空.材抽 2" xfId="2701" xr:uid="{00000000-0005-0000-0000-0000C0010000}"/>
    <cellStyle name="_94-10-27新部仔農路改善工程_水田農路災修工程" xfId="1435" xr:uid="{00000000-0005-0000-0000-0000C1010000}"/>
    <cellStyle name="_94-10-27新部仔農路改善工程_水田農路災修工程 2" xfId="2702" xr:uid="{00000000-0005-0000-0000-0000C2010000}"/>
    <cellStyle name="_94-10-27新部仔農路改善工程_水田農路災修工程_空.材抽" xfId="1436" xr:uid="{00000000-0005-0000-0000-0000C3010000}"/>
    <cellStyle name="_94-10-27新部仔農路改善工程_水田農路災修工程_空.材抽 2" xfId="2703" xr:uid="{00000000-0005-0000-0000-0000C4010000}"/>
    <cellStyle name="_94-10-27新部仔農路改善工程_水田農路災修工程_華山地區農路聯絡道附屬改善工程196000" xfId="1437" xr:uid="{00000000-0005-0000-0000-0000C5010000}"/>
    <cellStyle name="_94-10-27新部仔農路改善工程_水田農路災修工程_華山地區農路聯絡道附屬改善工程196000 2" xfId="2704" xr:uid="{00000000-0005-0000-0000-0000C6010000}"/>
    <cellStyle name="_94-10-27新部仔農路改善工程_水田農路災修工程_華山地區農路聯絡道附屬改善工程196000_空.材抽" xfId="1438" xr:uid="{00000000-0005-0000-0000-0000C7010000}"/>
    <cellStyle name="_94-10-27新部仔農路改善工程_水田農路災修工程_華山地區農路聯絡道附屬改善工程196000_空.材抽 2" xfId="2705" xr:uid="{00000000-0005-0000-0000-0000C8010000}"/>
    <cellStyle name="_94-10-27新部仔農路改善工程_水田農路災修工程_預1" xfId="1439" xr:uid="{00000000-0005-0000-0000-0000C9010000}"/>
    <cellStyle name="_94-10-27新部仔農路改善工程_水田農路災修工程_預1 2" xfId="2706" xr:uid="{00000000-0005-0000-0000-0000CA010000}"/>
    <cellStyle name="_94-10-27新部仔農路改善工程_水田農路災修工程_預1_空.材抽" xfId="1440" xr:uid="{00000000-0005-0000-0000-0000CB010000}"/>
    <cellStyle name="_94-10-27新部仔農路改善工程_水田農路災修工程_預1_空.材抽 2" xfId="2707" xr:uid="{00000000-0005-0000-0000-0000CC010000}"/>
    <cellStyle name="_94-10-27新部仔農路改善工程_水田農路災修工程_數量計算表1 " xfId="1441" xr:uid="{00000000-0005-0000-0000-0000CD010000}"/>
    <cellStyle name="_94-10-27新部仔農路改善工程_水田農路災修工程_數量計算表1  2" xfId="2708" xr:uid="{00000000-0005-0000-0000-0000CE010000}"/>
    <cellStyle name="_94-10-27新部仔農路改善工程_水田農路災修工程_數量計算表1 _空.材抽" xfId="1442" xr:uid="{00000000-0005-0000-0000-0000CF010000}"/>
    <cellStyle name="_94-10-27新部仔農路改善工程_水田農路災修工程_數量計算表1 _空.材抽 2" xfId="2709" xr:uid="{00000000-0005-0000-0000-0000D0010000}"/>
    <cellStyle name="_94-10-27新部仔農路改善工程_水保-單價分析" xfId="1443" xr:uid="{00000000-0005-0000-0000-0000D1010000}"/>
    <cellStyle name="_94-10-27新部仔農路改善工程_水保-單價分析 2" xfId="2710" xr:uid="{00000000-0005-0000-0000-0000D2010000}"/>
    <cellStyle name="_94-10-27新部仔農路改善工程_水保-單價分析_空.材抽" xfId="1444" xr:uid="{00000000-0005-0000-0000-0000D3010000}"/>
    <cellStyle name="_94-10-27新部仔農路改善工程_水保-單價分析_空.材抽 2" xfId="2711" xr:uid="{00000000-0005-0000-0000-0000D4010000}"/>
    <cellStyle name="_94-10-27新部仔農路改善工程_水保-單價分析_預1" xfId="1445" xr:uid="{00000000-0005-0000-0000-0000D5010000}"/>
    <cellStyle name="_94-10-27新部仔農路改善工程_水保-單價分析_預1 2" xfId="2712" xr:uid="{00000000-0005-0000-0000-0000D6010000}"/>
    <cellStyle name="_94-10-27新部仔農路改善工程_水保-單價分析_預1_空.材抽" xfId="1446" xr:uid="{00000000-0005-0000-0000-0000D7010000}"/>
    <cellStyle name="_94-10-27新部仔農路改善工程_水保-單價分析_預1_空.材抽 2" xfId="2713" xr:uid="{00000000-0005-0000-0000-0000D8010000}"/>
    <cellStyle name="_94-10-27新部仔農路改善工程_水保-單價分析_數量計算表1 " xfId="1447" xr:uid="{00000000-0005-0000-0000-0000D9010000}"/>
    <cellStyle name="_94-10-27新部仔農路改善工程_水保-單價分析_數量計算表1  2" xfId="2714" xr:uid="{00000000-0005-0000-0000-0000DA010000}"/>
    <cellStyle name="_94-10-27新部仔農路改善工程_水保-單價分析_數量計算表1 _空.材抽" xfId="1448" xr:uid="{00000000-0005-0000-0000-0000DB010000}"/>
    <cellStyle name="_94-10-27新部仔農路改善工程_水保-單價分析_數量計算表1 _空.材抽 2" xfId="2715" xr:uid="{00000000-0005-0000-0000-0000DC010000}"/>
    <cellStyle name="_94-10-27新部仔農路改善工程_外湖工程" xfId="1449" xr:uid="{00000000-0005-0000-0000-0000DD010000}"/>
    <cellStyle name="_94-10-27新部仔農路改善工程_外湖工程 2" xfId="2716" xr:uid="{00000000-0005-0000-0000-0000DE010000}"/>
    <cellStyle name="_94-10-27新部仔農路改善工程_外湖工程_空.材抽" xfId="1450" xr:uid="{00000000-0005-0000-0000-0000DF010000}"/>
    <cellStyle name="_94-10-27新部仔農路改善工程_外湖工程_空.材抽 2" xfId="2717" xr:uid="{00000000-0005-0000-0000-0000E0010000}"/>
    <cellStyle name="_94-10-27新部仔農路改善工程_外湖工程_華山地區農路聯絡道附屬改善工程196000" xfId="1451" xr:uid="{00000000-0005-0000-0000-0000E1010000}"/>
    <cellStyle name="_94-10-27新部仔農路改善工程_外湖工程_華山地區農路聯絡道附屬改善工程196000 2" xfId="2718" xr:uid="{00000000-0005-0000-0000-0000E2010000}"/>
    <cellStyle name="_94-10-27新部仔農路改善工程_外湖工程_華山地區農路聯絡道附屬改善工程196000_空.材抽" xfId="1452" xr:uid="{00000000-0005-0000-0000-0000E3010000}"/>
    <cellStyle name="_94-10-27新部仔農路改善工程_外湖工程_華山地區農路聯絡道附屬改善工程196000_空.材抽 2" xfId="2719" xr:uid="{00000000-0005-0000-0000-0000E4010000}"/>
    <cellStyle name="_94-10-27新部仔農路改善工程_外湖工程_預1" xfId="1453" xr:uid="{00000000-0005-0000-0000-0000E5010000}"/>
    <cellStyle name="_94-10-27新部仔農路改善工程_外湖工程_預1 2" xfId="2720" xr:uid="{00000000-0005-0000-0000-0000E6010000}"/>
    <cellStyle name="_94-10-27新部仔農路改善工程_外湖工程_預1_空.材抽" xfId="1454" xr:uid="{00000000-0005-0000-0000-0000E7010000}"/>
    <cellStyle name="_94-10-27新部仔農路改善工程_外湖工程_預1_空.材抽 2" xfId="2721" xr:uid="{00000000-0005-0000-0000-0000E8010000}"/>
    <cellStyle name="_94-10-27新部仔農路改善工程_外湖工程_數量計算表1 " xfId="1455" xr:uid="{00000000-0005-0000-0000-0000E9010000}"/>
    <cellStyle name="_94-10-27新部仔農路改善工程_外湖工程_數量計算表1  2" xfId="2722" xr:uid="{00000000-0005-0000-0000-0000EA010000}"/>
    <cellStyle name="_94-10-27新部仔農路改善工程_外湖工程_數量計算表1 _空.材抽" xfId="1456" xr:uid="{00000000-0005-0000-0000-0000EB010000}"/>
    <cellStyle name="_94-10-27新部仔農路改善工程_外湖工程_數量計算表1 _空.材抽 2" xfId="2723" xr:uid="{00000000-0005-0000-0000-0000EC010000}"/>
    <cellStyle name="_94-10-27新部仔農路改善工程_永光村吊境地區崩塌處理工程" xfId="1457" xr:uid="{00000000-0005-0000-0000-0000ED010000}"/>
    <cellStyle name="_94-10-27新部仔農路改善工程_永光村吊境地區崩塌處理工程 2" xfId="2724" xr:uid="{00000000-0005-0000-0000-0000EE010000}"/>
    <cellStyle name="_94-10-27新部仔農路改善工程_永光村吊境地區崩塌處理工程_空.材抽" xfId="1458" xr:uid="{00000000-0005-0000-0000-0000EF010000}"/>
    <cellStyle name="_94-10-27新部仔農路改善工程_永光村吊境地區崩塌處理工程_空.材抽 2" xfId="2725" xr:uid="{00000000-0005-0000-0000-0000F0010000}"/>
    <cellStyle name="_94-10-27新部仔農路改善工程_利用土整平費" xfId="1459" xr:uid="{00000000-0005-0000-0000-0000F1010000}"/>
    <cellStyle name="_94-10-27新部仔農路改善工程_利用土整平費 2" xfId="2726" xr:uid="{00000000-0005-0000-0000-0000F2010000}"/>
    <cellStyle name="_94-10-27新部仔農路改善工程_利用土整平費_空.材抽" xfId="1460" xr:uid="{00000000-0005-0000-0000-0000F3010000}"/>
    <cellStyle name="_94-10-27新部仔農路改善工程_利用土整平費_空.材抽 2" xfId="2727" xr:uid="{00000000-0005-0000-0000-0000F4010000}"/>
    <cellStyle name="_94-10-27新部仔農路改善工程_利用土整平費_華山地區農路聯絡道附屬改善工程196000" xfId="1461" xr:uid="{00000000-0005-0000-0000-0000F5010000}"/>
    <cellStyle name="_94-10-27新部仔農路改善工程_利用土整平費_華山地區農路聯絡道附屬改善工程196000 2" xfId="2728" xr:uid="{00000000-0005-0000-0000-0000F6010000}"/>
    <cellStyle name="_94-10-27新部仔農路改善工程_利用土整平費_華山地區農路聯絡道附屬改善工程196000_空.材抽" xfId="1462" xr:uid="{00000000-0005-0000-0000-0000F7010000}"/>
    <cellStyle name="_94-10-27新部仔農路改善工程_利用土整平費_華山地區農路聯絡道附屬改善工程196000_空.材抽 2" xfId="2729" xr:uid="{00000000-0005-0000-0000-0000F8010000}"/>
    <cellStyle name="_94-10-27新部仔農路改善工程_利用土整平費_預1" xfId="1463" xr:uid="{00000000-0005-0000-0000-0000F9010000}"/>
    <cellStyle name="_94-10-27新部仔農路改善工程_利用土整平費_預1 2" xfId="2730" xr:uid="{00000000-0005-0000-0000-0000FA010000}"/>
    <cellStyle name="_94-10-27新部仔農路改善工程_利用土整平費_預1_空.材抽" xfId="1464" xr:uid="{00000000-0005-0000-0000-0000FB010000}"/>
    <cellStyle name="_94-10-27新部仔農路改善工程_利用土整平費_預1_空.材抽 2" xfId="2731" xr:uid="{00000000-0005-0000-0000-0000FC010000}"/>
    <cellStyle name="_94-10-27新部仔農路改善工程_利用土整平費_數量計算表1 " xfId="1465" xr:uid="{00000000-0005-0000-0000-0000FD010000}"/>
    <cellStyle name="_94-10-27新部仔農路改善工程_利用土整平費_數量計算表1  2" xfId="2732" xr:uid="{00000000-0005-0000-0000-0000FE010000}"/>
    <cellStyle name="_94-10-27新部仔農路改善工程_利用土整平費_數量計算表1 _空.材抽" xfId="1466" xr:uid="{00000000-0005-0000-0000-0000FF010000}"/>
    <cellStyle name="_94-10-27新部仔農路改善工程_利用土整平費_數量計算表1 _空.材抽 2" xfId="2733" xr:uid="{00000000-0005-0000-0000-000000020000}"/>
    <cellStyle name="_94-10-27新部仔農路改善工程_空.材抽" xfId="1467" xr:uid="{00000000-0005-0000-0000-000001020000}"/>
    <cellStyle name="_94-10-27新部仔農路改善工程_空.材抽 2" xfId="2734" xr:uid="{00000000-0005-0000-0000-000002020000}"/>
    <cellStyle name="_94-10-27新部仔農路改善工程_崙仔溪護岸修復工程" xfId="1468" xr:uid="{00000000-0005-0000-0000-000003020000}"/>
    <cellStyle name="_94-10-27新部仔農路改善工程_崙仔溪護岸修復工程 2" xfId="2735" xr:uid="{00000000-0005-0000-0000-000004020000}"/>
    <cellStyle name="_94-10-27新部仔農路改善工程_崙仔溪護岸修復工程_空.材抽" xfId="1469" xr:uid="{00000000-0005-0000-0000-000005020000}"/>
    <cellStyle name="_94-10-27新部仔農路改善工程_崙仔溪護岸修復工程_空.材抽 2" xfId="2736" xr:uid="{00000000-0005-0000-0000-000006020000}"/>
    <cellStyle name="_94-10-27新部仔農路改善工程_崙仔溪護岸修復工程_預1" xfId="1470" xr:uid="{00000000-0005-0000-0000-000007020000}"/>
    <cellStyle name="_94-10-27新部仔農路改善工程_崙仔溪護岸修復工程_預1 2" xfId="2737" xr:uid="{00000000-0005-0000-0000-000008020000}"/>
    <cellStyle name="_94-10-27新部仔農路改善工程_崙仔溪護岸修復工程_預1_空.材抽" xfId="1471" xr:uid="{00000000-0005-0000-0000-000009020000}"/>
    <cellStyle name="_94-10-27新部仔農路改善工程_崙仔溪護岸修復工程_預1_空.材抽 2" xfId="2738" xr:uid="{00000000-0005-0000-0000-00000A020000}"/>
    <cellStyle name="_94-10-27新部仔農路改善工程_崙仔溪護岸修復工程_數量計算表1 " xfId="1472" xr:uid="{00000000-0005-0000-0000-00000B020000}"/>
    <cellStyle name="_94-10-27新部仔農路改善工程_崙仔溪護岸修復工程_數量計算表1  2" xfId="2739" xr:uid="{00000000-0005-0000-0000-00000C020000}"/>
    <cellStyle name="_94-10-27新部仔農路改善工程_崙仔溪護岸修復工程_數量計算表1 _空.材抽" xfId="1473" xr:uid="{00000000-0005-0000-0000-00000D020000}"/>
    <cellStyle name="_94-10-27新部仔農路改善工程_崙仔溪護岸修復工程_數量計算表1 _空.材抽 2" xfId="2740" xr:uid="{00000000-0005-0000-0000-00000E020000}"/>
    <cellStyle name="_94-10-27新部仔農路改善工程_魚池畔邊坡崩坍處理工程" xfId="1474" xr:uid="{00000000-0005-0000-0000-00000F020000}"/>
    <cellStyle name="_94-10-27新部仔農路改善工程_魚池畔邊坡崩坍處理工程 2" xfId="2741" xr:uid="{00000000-0005-0000-0000-000010020000}"/>
    <cellStyle name="_94-10-27新部仔農路改善工程_魚池畔邊坡崩坍處理工程_空.材抽" xfId="1475" xr:uid="{00000000-0005-0000-0000-000011020000}"/>
    <cellStyle name="_94-10-27新部仔農路改善工程_魚池畔邊坡崩坍處理工程_空.材抽 2" xfId="2742" xr:uid="{00000000-0005-0000-0000-000012020000}"/>
    <cellStyle name="_94-10-27新部仔農路改善工程_魚池畔邊坡崩坍處理工程_華山地區農路聯絡道附屬改善工程196000" xfId="1476" xr:uid="{00000000-0005-0000-0000-000013020000}"/>
    <cellStyle name="_94-10-27新部仔農路改善工程_魚池畔邊坡崩坍處理工程_華山地區農路聯絡道附屬改善工程196000 2" xfId="2743" xr:uid="{00000000-0005-0000-0000-000014020000}"/>
    <cellStyle name="_94-10-27新部仔農路改善工程_魚池畔邊坡崩坍處理工程_華山地區農路聯絡道附屬改善工程196000_空.材抽" xfId="1477" xr:uid="{00000000-0005-0000-0000-000015020000}"/>
    <cellStyle name="_94-10-27新部仔農路改善工程_魚池畔邊坡崩坍處理工程_華山地區農路聯絡道附屬改善工程196000_空.材抽 2" xfId="2744" xr:uid="{00000000-0005-0000-0000-000016020000}"/>
    <cellStyle name="_94-10-27新部仔農路改善工程_魚池畔邊坡崩坍處理工程_預1" xfId="1478" xr:uid="{00000000-0005-0000-0000-000017020000}"/>
    <cellStyle name="_94-10-27新部仔農路改善工程_魚池畔邊坡崩坍處理工程_預1 2" xfId="2745" xr:uid="{00000000-0005-0000-0000-000018020000}"/>
    <cellStyle name="_94-10-27新部仔農路改善工程_魚池畔邊坡崩坍處理工程_預1_空.材抽" xfId="1479" xr:uid="{00000000-0005-0000-0000-000019020000}"/>
    <cellStyle name="_94-10-27新部仔農路改善工程_魚池畔邊坡崩坍處理工程_預1_空.材抽 2" xfId="2746" xr:uid="{00000000-0005-0000-0000-00001A020000}"/>
    <cellStyle name="_94-10-27新部仔農路改善工程_魚池畔邊坡崩坍處理工程_數量計算表1 " xfId="1480" xr:uid="{00000000-0005-0000-0000-00001B020000}"/>
    <cellStyle name="_94-10-27新部仔農路改善工程_魚池畔邊坡崩坍處理工程_數量計算表1  2" xfId="2747" xr:uid="{00000000-0005-0000-0000-00001C020000}"/>
    <cellStyle name="_94-10-27新部仔農路改善工程_魚池畔邊坡崩坍處理工程_數量計算表1 _空.材抽" xfId="1481" xr:uid="{00000000-0005-0000-0000-00001D020000}"/>
    <cellStyle name="_94-10-27新部仔農路改善工程_魚池畔邊坡崩坍處理工程_數量計算表1 _空.材抽 2" xfId="2748" xr:uid="{00000000-0005-0000-0000-00001E020000}"/>
    <cellStyle name="_94-10-27新部仔農路改善工程_番尾坑護岸災修工程" xfId="1482" xr:uid="{00000000-0005-0000-0000-00001F020000}"/>
    <cellStyle name="_94-10-27新部仔農路改善工程_番尾坑護岸災修工程 2" xfId="2749" xr:uid="{00000000-0005-0000-0000-000020020000}"/>
    <cellStyle name="_94-10-27新部仔農路改善工程_番尾坑護岸災修工程_空.材抽" xfId="1483" xr:uid="{00000000-0005-0000-0000-000021020000}"/>
    <cellStyle name="_94-10-27新部仔農路改善工程_番尾坑護岸災修工程_空.材抽 2" xfId="2750" xr:uid="{00000000-0005-0000-0000-000022020000}"/>
    <cellStyle name="_94-10-27新部仔農路改善工程_番尾坑護岸災修工程_華山地區農路聯絡道附屬改善工程196000" xfId="1484" xr:uid="{00000000-0005-0000-0000-000023020000}"/>
    <cellStyle name="_94-10-27新部仔農路改善工程_番尾坑護岸災修工程_華山地區農路聯絡道附屬改善工程196000 2" xfId="2751" xr:uid="{00000000-0005-0000-0000-000024020000}"/>
    <cellStyle name="_94-10-27新部仔農路改善工程_番尾坑護岸災修工程_華山地區農路聯絡道附屬改善工程196000_空.材抽" xfId="1485" xr:uid="{00000000-0005-0000-0000-000025020000}"/>
    <cellStyle name="_94-10-27新部仔農路改善工程_番尾坑護岸災修工程_華山地區農路聯絡道附屬改善工程196000_空.材抽 2" xfId="2752" xr:uid="{00000000-0005-0000-0000-000026020000}"/>
    <cellStyle name="_94-10-27新部仔農路改善工程_番尾坑護岸災修工程_預1" xfId="1486" xr:uid="{00000000-0005-0000-0000-000027020000}"/>
    <cellStyle name="_94-10-27新部仔農路改善工程_番尾坑護岸災修工程_預1 2" xfId="2753" xr:uid="{00000000-0005-0000-0000-000028020000}"/>
    <cellStyle name="_94-10-27新部仔農路改善工程_番尾坑護岸災修工程_預1_空.材抽" xfId="1487" xr:uid="{00000000-0005-0000-0000-000029020000}"/>
    <cellStyle name="_94-10-27新部仔農路改善工程_番尾坑護岸災修工程_預1_空.材抽 2" xfId="2754" xr:uid="{00000000-0005-0000-0000-00002A020000}"/>
    <cellStyle name="_94-10-27新部仔農路改善工程_番尾坑護岸災修工程_數量計算表 3" xfId="1488" xr:uid="{00000000-0005-0000-0000-00002B020000}"/>
    <cellStyle name="_94-10-27新部仔農路改善工程_番尾坑護岸災修工程_數量計算表 3 2" xfId="2755" xr:uid="{00000000-0005-0000-0000-00002C020000}"/>
    <cellStyle name="_94-10-27新部仔農路改善工程_番尾坑護岸災修工程_數量計算表 3_空.材抽" xfId="1489" xr:uid="{00000000-0005-0000-0000-00002D020000}"/>
    <cellStyle name="_94-10-27新部仔農路改善工程_番尾坑護岸災修工程_數量計算表 3_空.材抽 2" xfId="2756" xr:uid="{00000000-0005-0000-0000-00002E020000}"/>
    <cellStyle name="_94-10-27新部仔農路改善工程_番尾坑護岸災修工程_數量計算表1 " xfId="1490" xr:uid="{00000000-0005-0000-0000-00002F020000}"/>
    <cellStyle name="_94-10-27新部仔農路改善工程_番尾坑護岸災修工程_數量計算表1  2" xfId="2757" xr:uid="{00000000-0005-0000-0000-000030020000}"/>
    <cellStyle name="_94-10-27新部仔農路改善工程_番尾坑護岸災修工程_數量計算表1 _空.材抽" xfId="1491" xr:uid="{00000000-0005-0000-0000-000031020000}"/>
    <cellStyle name="_94-10-27新部仔農路改善工程_番尾坑護岸災修工程_數量計算表1 _空.材抽 2" xfId="2758" xr:uid="{00000000-0005-0000-0000-000032020000}"/>
    <cellStyle name="_94-10-27新部仔農路改善工程_預1" xfId="1492" xr:uid="{00000000-0005-0000-0000-000033020000}"/>
    <cellStyle name="_94-10-27新部仔農路改善工程_預1 2" xfId="2759" xr:uid="{00000000-0005-0000-0000-000034020000}"/>
    <cellStyle name="_94-10-27新部仔農路改善工程_預1_空.材抽" xfId="1493" xr:uid="{00000000-0005-0000-0000-000035020000}"/>
    <cellStyle name="_94-10-27新部仔農路改善工程_預1_空.材抽 2" xfId="2760" xr:uid="{00000000-0005-0000-0000-000036020000}"/>
    <cellStyle name="_94-10-27新部仔農路改善工程_預1_預1" xfId="1494" xr:uid="{00000000-0005-0000-0000-000037020000}"/>
    <cellStyle name="_94-10-27新部仔農路改善工程_預1_預1 2" xfId="2761" xr:uid="{00000000-0005-0000-0000-000038020000}"/>
    <cellStyle name="_94-10-27新部仔農路改善工程_預1_預1_空.材抽" xfId="1495" xr:uid="{00000000-0005-0000-0000-000039020000}"/>
    <cellStyle name="_94-10-27新部仔農路改善工程_預1_預1_空.材抽 2" xfId="2762" xr:uid="{00000000-0005-0000-0000-00003A020000}"/>
    <cellStyle name="_94-10-27新部仔農路改善工程_預1_數量計算表1 " xfId="1496" xr:uid="{00000000-0005-0000-0000-00003B020000}"/>
    <cellStyle name="_94-10-27新部仔農路改善工程_預1_數量計算表1  2" xfId="2763" xr:uid="{00000000-0005-0000-0000-00003C020000}"/>
    <cellStyle name="_94-10-27新部仔農路改善工程_預1_數量計算表1 _空.材抽" xfId="1497" xr:uid="{00000000-0005-0000-0000-00003D020000}"/>
    <cellStyle name="_94-10-27新部仔農路改善工程_預1_數量計算表1 _空.材抽 2" xfId="2764" xr:uid="{00000000-0005-0000-0000-00003E020000}"/>
    <cellStyle name="_94-10-27新部仔農路改善工程_數量計算表1 " xfId="1498" xr:uid="{00000000-0005-0000-0000-00003F020000}"/>
    <cellStyle name="_94-10-27新部仔農路改善工程_數量計算表1  2" xfId="2765" xr:uid="{00000000-0005-0000-0000-000040020000}"/>
    <cellStyle name="_94-10-27新部仔農路改善工程_數量計算表1 _空.材抽" xfId="1499" xr:uid="{00000000-0005-0000-0000-000041020000}"/>
    <cellStyle name="_94-10-27新部仔農路改善工程_數量計算表1 _空.材抽 2" xfId="2766" xr:uid="{00000000-0005-0000-0000-000042020000}"/>
    <cellStyle name="_94-10-27新部仔農路改善工程_數量計算表1 _預1" xfId="1500" xr:uid="{00000000-0005-0000-0000-000043020000}"/>
    <cellStyle name="_94-10-27新部仔農路改善工程_數量計算表1 _預1 2" xfId="2767" xr:uid="{00000000-0005-0000-0000-000044020000}"/>
    <cellStyle name="_94-10-27新部仔農路改善工程_數量計算表1 _預1_空.材抽" xfId="1501" xr:uid="{00000000-0005-0000-0000-000045020000}"/>
    <cellStyle name="_94-10-27新部仔農路改善工程_數量計算表1 _預1_空.材抽 2" xfId="2768" xr:uid="{00000000-0005-0000-0000-000046020000}"/>
    <cellStyle name="_94-10-27新部仔農路改善工程_數量計算表1 _數量計算表1 " xfId="1502" xr:uid="{00000000-0005-0000-0000-000047020000}"/>
    <cellStyle name="_94-10-27新部仔農路改善工程_數量計算表1 _數量計算表1  2" xfId="2769" xr:uid="{00000000-0005-0000-0000-000048020000}"/>
    <cellStyle name="_94-10-27新部仔農路改善工程_數量計算表1 _數量計算表1 _空.材抽" xfId="1503" xr:uid="{00000000-0005-0000-0000-000049020000}"/>
    <cellStyle name="_94-10-27新部仔農路改善工程_數量計算表1 _數量計算表1 _空.材抽 2" xfId="2770" xr:uid="{00000000-0005-0000-0000-00004A020000}"/>
    <cellStyle name="_96年度地方文化館計畫第二類整合案~四湖農漁村生活文化館(預算書)sh2_ap_bdgt" xfId="25" xr:uid="{00000000-0005-0000-0000-00004B020000}"/>
    <cellStyle name="_96年度地方文化館計畫第二類整合案~四湖農漁村生活文化館(預算書)sh2_ap_bdgt_施工日誌1" xfId="1648" xr:uid="{00000000-0005-0000-0000-00004C020000}"/>
    <cellStyle name="_97-1-20羊調大排等3件災害復建工程(預算書)097-sh-001_ap_bdgt" xfId="26" xr:uid="{00000000-0005-0000-0000-00004D020000}"/>
    <cellStyle name="_97-1-20羊調大排等3件災害復建工程(預算書)097-sh-001_ap_bdgt 2" xfId="2771" xr:uid="{00000000-0005-0000-0000-00004E020000}"/>
    <cellStyle name="_97-1-20羊調大排等3件災害復建工程(預算書)097-sh-001_ap_bdgt_施工日誌1" xfId="1649" xr:uid="{00000000-0005-0000-0000-00004F020000}"/>
    <cellStyle name="_97-1-20羊調大排等3件災害復建工程(預算書)097-sh-001_ap_bdgt_普令厝農地重劃區西33路農水路改善工程" xfId="27" xr:uid="{00000000-0005-0000-0000-000050020000}"/>
    <cellStyle name="_97-1-20羊調大排等3件災害復建工程(預算書)097-sh-001_ap_bdgt_普令厝農地重劃區西33路農水路改善工程 2" xfId="2772" xr:uid="{00000000-0005-0000-0000-000051020000}"/>
    <cellStyle name="_97-1-20羊調大排等3件災害復建工程(預算書)097-sh-001_ap_bdgt_普令厝農地重劃區西33路農水路改善工程_土庫鎮埤腳里道路、排水溝改善工程101.05.18(修正3確定)" xfId="2773" xr:uid="{00000000-0005-0000-0000-000052020000}"/>
    <cellStyle name="_97-1-20羊調大排等3件災害復建工程(預算書)097-sh-001_ap_bdgt_普令厝農地重劃區西33路農水路改善工程_元長鄉長南村巷道排水改善工程" xfId="2774" xr:uid="{00000000-0005-0000-0000-000053020000}"/>
    <cellStyle name="_97-1-20羊調大排等3件災害復建工程(預算書)097-sh-001_ap_bdgt_普令厝農地重劃區西33路農水路改善工程_斗南鎮久安農地重劃區V51路農路路面改善工程" xfId="5046" xr:uid="{00000000-0005-0000-0000-000054020000}"/>
    <cellStyle name="_97-1-20羊調大排等3件災害復建工程(預算書)097-sh-001_ap_bdgt_普令厝農地重劃區西33路農水路改善工程_斗南鎮田頭農地重劃區農路改善工程" xfId="5047" xr:uid="{00000000-0005-0000-0000-000055020000}"/>
    <cellStyle name="_97-1-20羊調大排等3件災害復建工程(預算書)097-sh-001_ap_bdgt_普令厝農地重劃區西33路農水路改善工程_斗南鎮西岐里舊社里等路面改善工程-100.05.18" xfId="2775" xr:uid="{00000000-0005-0000-0000-000056020000}"/>
    <cellStyle name="_97-1-20羊調大排等3件災害復建工程(預算書)097-sh-001_ap_bdgt_普令厝農地重劃區西33路農水路改善工程_斗南鎮阿丹里、林子里相關公共設施改善工程100.11.29" xfId="2776" xr:uid="{00000000-0005-0000-0000-000057020000}"/>
    <cellStyle name="_97-1-20羊調大排等3件災害復建工程(預算書)097-sh-001_ap_bdgt_普令厝農地重劃區西33路農水路改善工程_斗南鎮將軍里等路面及附屬設施改善工程" xfId="2777" xr:uid="{00000000-0005-0000-0000-000058020000}"/>
    <cellStyle name="_97-1-20羊調大排等3件災害復建工程(預算書)097-sh-001_ap_bdgt_普令厝農地重劃區西33路農水路改善工程_古坑鄉大湖底段及麻園段路面改善工程" xfId="2778" xr:uid="{00000000-0005-0000-0000-000059020000}"/>
    <cellStyle name="_97-1-20羊調大排等3件災害復建工程(預算書)097-sh-001_ap_bdgt_普令厝農地重劃區西33路農水路改善工程_台西海埔地南4路排水9907豪雨災害復建工程" xfId="2779" xr:uid="{00000000-0005-0000-0000-00005A020000}"/>
    <cellStyle name="_97-1-20羊調大排等3件災害復建工程(預算書)097-sh-001_ap_bdgt_普令厝農地重劃區西33路農水路改善工程_台西鄉四美重劃區南北幹路4農路復建工程" xfId="28" xr:uid="{00000000-0005-0000-0000-00005B020000}"/>
    <cellStyle name="_97-1-20羊調大排等3件災害復建工程(預算書)097-sh-001_ap_bdgt_普令厝農地重劃區西33路農水路改善工程_台西鄉四美重劃區南北幹路4農路復建工程 2" xfId="2780" xr:uid="{00000000-0005-0000-0000-00005C020000}"/>
    <cellStyle name="_97-1-20羊調大排等3件災害復建工程(預算書)097-sh-001_ap_bdgt_普令厝農地重劃區西33路農水路改善工程_台西鄉四美重劃區南北幹路4農路復建工程_施工日誌1" xfId="1651" xr:uid="{00000000-0005-0000-0000-00005D020000}"/>
    <cellStyle name="_97-1-20羊調大排等3件災害復建工程(預算書)097-sh-001_ap_bdgt_普令厝農地重劃區西33路農水路改善工程_東勢鄉新坤村及麥寮鄉海豐村道路排水改善工程" xfId="5048" xr:uid="{00000000-0005-0000-0000-00005E020000}"/>
    <cellStyle name="_97-1-20羊調大排等3件災害復建工程(預算書)097-sh-001_ap_bdgt_普令厝農地重劃區西33路農水路改善工程_林縣臺西鄉A10~A12雨水下水道建設工程(增減明細)" xfId="2781" xr:uid="{00000000-0005-0000-0000-00005F020000}"/>
    <cellStyle name="_97-1-20羊調大排等3件災害復建工程(預算書)097-sh-001_ap_bdgt_普令厝農地重劃區西33路農水路改善工程_虎尾鎮新吉里竹圍子農村社區生態魚池暨運動公園道路與排水改善工程(預算書)" xfId="2782" xr:uid="{00000000-0005-0000-0000-000060020000}"/>
    <cellStyle name="_97-1-20羊調大排等3件災害復建工程(預算書)097-sh-001_ap_bdgt_普令厝農地重劃區西33路農水路改善工程_虎尾鎮新吉里竹圍子農村社區生態魚池暨運動公園道路與排水改善工程(確定)" xfId="5049" xr:uid="{00000000-0005-0000-0000-000061020000}"/>
    <cellStyle name="_97-1-20羊調大排等3件災害復建工程(預算書)097-sh-001_ap_bdgt_普令厝農地重劃區西33路農水路改善工程_長北村等巷道排水改善工程" xfId="2783" xr:uid="{00000000-0005-0000-0000-000062020000}"/>
    <cellStyle name="_97-1-20羊調大排等3件災害復建工程(預算書)097-sh-001_ap_bdgt_普令厝農地重劃區西33路農水路改善工程_後溝子一農地重劃區南北八路農路改善工程" xfId="29" xr:uid="{00000000-0005-0000-0000-000063020000}"/>
    <cellStyle name="_97-1-20羊調大排等3件災害復建工程(預算書)097-sh-001_ap_bdgt_普令厝農地重劃區西33路農水路改善工程_後溝子一農地重劃區南北八路農路改善工程 2" xfId="2784" xr:uid="{00000000-0005-0000-0000-000064020000}"/>
    <cellStyle name="_97-1-20羊調大排等3件災害復建工程(預算書)097-sh-001_ap_bdgt_普令厝農地重劃區西33路農水路改善工程_後溝子一農地重劃區南北八路農路改善工程_施工日誌1" xfId="1652" xr:uid="{00000000-0005-0000-0000-000065020000}"/>
    <cellStyle name="_97-1-20羊調大排等3件災害復建工程(預算書)097-sh-001_ap_bdgt_普令厝農地重劃區西33路農水路改善工程_施工日誌1" xfId="1650" xr:uid="{00000000-0005-0000-0000-000066020000}"/>
    <cellStyle name="_97-1-20羊調大排等3件災害復建工程(預算書)097-sh-001_ap_bdgt_普令厝農地重劃區西33路農水路改善工程_崙背鄉雨水下水道清淤疏浚維護工程" xfId="30" xr:uid="{00000000-0005-0000-0000-000067020000}"/>
    <cellStyle name="_97-1-20羊調大排等3件災害復建工程(預算書)097-sh-001_ap_bdgt_普令厝農地重劃區西33路農水路改善工程_崙背鄉雨水下水道清淤疏浚維護工程 2" xfId="2785" xr:uid="{00000000-0005-0000-0000-000068020000}"/>
    <cellStyle name="_97-1-20羊調大排等3件災害復建工程(預算書)097-sh-001_ap_bdgt_普令厝農地重劃區西33路農水路改善工程_崙背鄉雨水下水道清淤疏浚維護工程_施工日誌1" xfId="1653" xr:uid="{00000000-0005-0000-0000-000069020000}"/>
    <cellStyle name="_97-1-20羊調大排等3件災害復建工程(預算書)097-sh-001_ap_bdgt_普令厝農地重劃區西33路農水路改善工程_鹿寮農地重劃區補路農路改善工程等七件工程" xfId="31" xr:uid="{00000000-0005-0000-0000-00006A020000}"/>
    <cellStyle name="_97-1-20羊調大排等3件災害復建工程(預算書)097-sh-001_ap_bdgt_普令厝農地重劃區西33路農水路改善工程_鹿寮農地重劃區補路農路改善工程等七件工程 2" xfId="2786" xr:uid="{00000000-0005-0000-0000-00006B020000}"/>
    <cellStyle name="_97-1-20羊調大排等3件災害復建工程(預算書)097-sh-001_ap_bdgt_普令厝農地重劃區西33路農水路改善工程_鹿寮農地重劃區補路農路改善工程等七件工程_施工日誌1" xfId="1654" xr:uid="{00000000-0005-0000-0000-00006C020000}"/>
    <cellStyle name="_97-1-20羊調大排等3件災害復建工程(預算書)097-sh-001_ap_bdgt_普令厝農地重劃區西33路農水路改善工程_普令厝農地重劃區西33路農水路改善工程" xfId="32" xr:uid="{00000000-0005-0000-0000-00006D020000}"/>
    <cellStyle name="_97-1-20羊調大排等3件災害復建工程(預算書)097-sh-001_ap_bdgt_普令厝農地重劃區西33路農水路改善工程_普令厝農地重劃區西33路農水路改善工程 2" xfId="2787" xr:uid="{00000000-0005-0000-0000-00006E020000}"/>
    <cellStyle name="_97-1-20羊調大排等3件災害復建工程(預算書)097-sh-001_ap_bdgt_普令厝農地重劃區西33路農水路改善工程_普令厝農地重劃區西33路農水路改善工程_施工日誌1" xfId="1655" xr:uid="{00000000-0005-0000-0000-00006F020000}"/>
    <cellStyle name="_97-1-20羊調大排等3件災害復建工程(預算書)097-sh-001_ap_bdgt_普令厝農地重劃區西33路農水路改善工程_雲林縣崙背鄉雨水下水道清淤工程" xfId="33" xr:uid="{00000000-0005-0000-0000-000070020000}"/>
    <cellStyle name="_97-1-20羊調大排等3件災害復建工程(預算書)097-sh-001_ap_bdgt_普令厝農地重劃區西33路農水路改善工程_雲林縣崙背鄉雨水下水道清淤工程 2" xfId="2788" xr:uid="{00000000-0005-0000-0000-000071020000}"/>
    <cellStyle name="_97-1-20羊調大排等3件災害復建工程(預算書)097-sh-001_ap_bdgt_普令厝農地重劃區西33路農水路改善工程_雲林縣崙背鄉雨水下水道清淤工程_施工日誌1" xfId="1656" xr:uid="{00000000-0005-0000-0000-000072020000}"/>
    <cellStyle name="_97-1-20羊調大排等3件災害復建工程(預算書)097-sh-001_ap_bdgt_普令厝農地重劃區西33路農水路改善工程_雲林縣臺西鄉A9～A9-3雨水下水道建設工程" xfId="2789" xr:uid="{00000000-0005-0000-0000-000073020000}"/>
    <cellStyle name="_97-1-20羊調大排等3件災害復建工程(預算書)097-sh-001_ap_bdgt_普令厝農地重劃區西33路農水路改善工程_臺西鄉(凡那比颱風)鄉內道路排水災害復建工程" xfId="34" xr:uid="{00000000-0005-0000-0000-000074020000}"/>
    <cellStyle name="_97-1-20羊調大排等3件災害復建工程(預算書)097-sh-001_ap_bdgt_普令厝農地重劃區西33路農水路改善工程_臺西鄉(凡那比颱風)鄉內道路排水災害復建工程 2" xfId="2790" xr:uid="{00000000-0005-0000-0000-000075020000}"/>
    <cellStyle name="_97-1-20羊調大排等3件災害復建工程(預算書)097-sh-001_ap_bdgt_普令厝農地重劃區西33路農水路改善工程_臺西鄉(凡那比颱風)鄉內道路排水災害復建工程_施工日誌1" xfId="1657" xr:uid="{00000000-0005-0000-0000-000076020000}"/>
    <cellStyle name="_97-1-20羊調大排等3件災害復建工程(預算書)097-sh-001_ap_bdgt_普令厝農地重劃區西33路農水路改善工程_臺西鄉蚊港村蚊港巷道改善工程" xfId="2791" xr:uid="{00000000-0005-0000-0000-000077020000}"/>
    <cellStyle name="_97-1-20羊調大排等3件災害復建工程(預算書)097-sh-001_ap_bdgt_普令厝農地重劃區西33路農水路改善工程_臺西鄉普令厝重劃區西8路等道路排水改善工程(確定案)" xfId="35" xr:uid="{00000000-0005-0000-0000-000078020000}"/>
    <cellStyle name="_97-1-20羊調大排等3件災害復建工程(預算書)097-sh-001_ap_bdgt_普令厝農地重劃區西33路農水路改善工程_臺西鄉普令厝重劃區西8路等道路排水改善工程(確定案) 2" xfId="2792" xr:uid="{00000000-0005-0000-0000-000079020000}"/>
    <cellStyle name="_97-1-20羊調大排等3件災害復建工程(預算書)097-sh-001_ap_bdgt_普令厝農地重劃區西33路農水路改善工程_臺西鄉普令厝重劃區西8路等道路排水改善工程(確定案)_施工日誌1" xfId="1658" xr:uid="{00000000-0005-0000-0000-00007A020000}"/>
    <cellStyle name="_97-1-20羊調大排等3件災害復建工程(預算書)097-sh-001_ap_bdgt_普令厝農地重劃區西33路農水路改善工程_臺西鄉臺西公有零售市埸作為多目標使用改善工程" xfId="2793" xr:uid="{00000000-0005-0000-0000-00007B020000}"/>
    <cellStyle name="_97-1-20羊調大排等3件災害復建工程(預算書)097-sh-001_ap_bdgt_普令厝農地重劃區西33路農水路改善工程_豐榮、草湖等村道路及排水溝改善工程-(變更)2" xfId="2794" xr:uid="{00000000-0005-0000-0000-00007C020000}"/>
    <cellStyle name="_97-9-4" xfId="36" xr:uid="{00000000-0005-0000-0000-00007D020000}"/>
    <cellStyle name="_97-9-4_施工日誌1" xfId="1659" xr:uid="{00000000-0005-0000-0000-00007E020000}"/>
    <cellStyle name="_98年度雨水下水道清疏維護工程000" xfId="37" xr:uid="{00000000-0005-0000-0000-00007F020000}"/>
    <cellStyle name="_98年度雨水下水道清疏維護工程000_施工日誌1" xfId="1660" xr:uid="{00000000-0005-0000-0000-000080020000}"/>
    <cellStyle name="_A155線西側邊溝10K+160~10K+882.4道路邊溝改善工程監工日報表" xfId="38" xr:uid="{00000000-0005-0000-0000-000081020000}"/>
    <cellStyle name="_A155線西側邊溝10K+160~10K+882.4道路邊溝改善工程監工日報表_施工日誌1" xfId="1661" xr:uid="{00000000-0005-0000-0000-000082020000}"/>
    <cellStyle name="_A標單決算" xfId="39" xr:uid="{00000000-0005-0000-0000-000083020000}"/>
    <cellStyle name="_A標單決算 2" xfId="2795" xr:uid="{00000000-0005-0000-0000-000084020000}"/>
    <cellStyle name="_A標單決算_施工日誌1" xfId="1662" xr:uid="{00000000-0005-0000-0000-000085020000}"/>
    <cellStyle name="_Book12" xfId="40" xr:uid="{00000000-0005-0000-0000-000086020000}"/>
    <cellStyle name="_Book12 2" xfId="2796" xr:uid="{00000000-0005-0000-0000-000087020000}"/>
    <cellStyle name="_Book12_施工日誌1" xfId="1663" xr:uid="{00000000-0005-0000-0000-000088020000}"/>
    <cellStyle name="_Book12_普令厝農地重劃區西33路農水路改善工程" xfId="41" xr:uid="{00000000-0005-0000-0000-000089020000}"/>
    <cellStyle name="_Book12_普令厝農地重劃區西33路農水路改善工程 2" xfId="2797" xr:uid="{00000000-0005-0000-0000-00008A020000}"/>
    <cellStyle name="_Book12_普令厝農地重劃區西33路農水路改善工程_土庫鎮埤腳里道路、排水溝改善工程101.05.18(修正3確定)" xfId="2798" xr:uid="{00000000-0005-0000-0000-00008B020000}"/>
    <cellStyle name="_Book12_普令厝農地重劃區西33路農水路改善工程_元長鄉長南村巷道排水改善工程" xfId="2799" xr:uid="{00000000-0005-0000-0000-00008C020000}"/>
    <cellStyle name="_Book12_普令厝農地重劃區西33路農水路改善工程_斗南鎮久安農地重劃區V51路農路路面改善工程" xfId="5050" xr:uid="{00000000-0005-0000-0000-00008D020000}"/>
    <cellStyle name="_Book12_普令厝農地重劃區西33路農水路改善工程_斗南鎮田頭農地重劃區農路改善工程" xfId="5051" xr:uid="{00000000-0005-0000-0000-00008E020000}"/>
    <cellStyle name="_Book12_普令厝農地重劃區西33路農水路改善工程_斗南鎮西岐里舊社里等路面改善工程-100.05.18" xfId="2800" xr:uid="{00000000-0005-0000-0000-00008F020000}"/>
    <cellStyle name="_Book12_普令厝農地重劃區西33路農水路改善工程_斗南鎮阿丹里、林子里相關公共設施改善工程100.11.29" xfId="2801" xr:uid="{00000000-0005-0000-0000-000090020000}"/>
    <cellStyle name="_Book12_普令厝農地重劃區西33路農水路改善工程_斗南鎮將軍里等路面及附屬設施改善工程" xfId="2802" xr:uid="{00000000-0005-0000-0000-000091020000}"/>
    <cellStyle name="_Book12_普令厝農地重劃區西33路農水路改善工程_古坑鄉大湖底段及麻園段路面改善工程" xfId="2803" xr:uid="{00000000-0005-0000-0000-000092020000}"/>
    <cellStyle name="_Book12_普令厝農地重劃區西33路農水路改善工程_台西海埔地南4路排水9907豪雨災害復建工程" xfId="2804" xr:uid="{00000000-0005-0000-0000-000093020000}"/>
    <cellStyle name="_Book12_普令厝農地重劃區西33路農水路改善工程_台西鄉四美重劃區南北幹路4農路復建工程" xfId="42" xr:uid="{00000000-0005-0000-0000-000094020000}"/>
    <cellStyle name="_Book12_普令厝農地重劃區西33路農水路改善工程_台西鄉四美重劃區南北幹路4農路復建工程 2" xfId="2805" xr:uid="{00000000-0005-0000-0000-000095020000}"/>
    <cellStyle name="_Book12_普令厝農地重劃區西33路農水路改善工程_台西鄉四美重劃區南北幹路4農路復建工程_施工日誌1" xfId="1665" xr:uid="{00000000-0005-0000-0000-000096020000}"/>
    <cellStyle name="_Book12_普令厝農地重劃區西33路農水路改善工程_東勢鄉新坤村及麥寮鄉海豐村道路排水改善工程" xfId="5052" xr:uid="{00000000-0005-0000-0000-000097020000}"/>
    <cellStyle name="_Book12_普令厝農地重劃區西33路農水路改善工程_林縣臺西鄉A10~A12雨水下水道建設工程(增減明細)" xfId="2806" xr:uid="{00000000-0005-0000-0000-000098020000}"/>
    <cellStyle name="_Book12_普令厝農地重劃區西33路農水路改善工程_虎尾鎮新吉里竹圍子農村社區生態魚池暨運動公園道路與排水改善工程(預算書)" xfId="2807" xr:uid="{00000000-0005-0000-0000-000099020000}"/>
    <cellStyle name="_Book12_普令厝農地重劃區西33路農水路改善工程_虎尾鎮新吉里竹圍子農村社區生態魚池暨運動公園道路與排水改善工程(確定)" xfId="5053" xr:uid="{00000000-0005-0000-0000-00009A020000}"/>
    <cellStyle name="_Book12_普令厝農地重劃區西33路農水路改善工程_長北村等巷道排水改善工程" xfId="2808" xr:uid="{00000000-0005-0000-0000-00009B020000}"/>
    <cellStyle name="_Book12_普令厝農地重劃區西33路農水路改善工程_後溝子一農地重劃區南北八路農路改善工程" xfId="43" xr:uid="{00000000-0005-0000-0000-00009C020000}"/>
    <cellStyle name="_Book12_普令厝農地重劃區西33路農水路改善工程_後溝子一農地重劃區南北八路農路改善工程 2" xfId="2809" xr:uid="{00000000-0005-0000-0000-00009D020000}"/>
    <cellStyle name="_Book12_普令厝農地重劃區西33路農水路改善工程_後溝子一農地重劃區南北八路農路改善工程_施工日誌1" xfId="1666" xr:uid="{00000000-0005-0000-0000-00009E020000}"/>
    <cellStyle name="_Book12_普令厝農地重劃區西33路農水路改善工程_施工日誌1" xfId="1664" xr:uid="{00000000-0005-0000-0000-00009F020000}"/>
    <cellStyle name="_Book12_普令厝農地重劃區西33路農水路改善工程_崙背鄉雨水下水道清淤疏浚維護工程" xfId="44" xr:uid="{00000000-0005-0000-0000-0000A0020000}"/>
    <cellStyle name="_Book12_普令厝農地重劃區西33路農水路改善工程_崙背鄉雨水下水道清淤疏浚維護工程 2" xfId="2810" xr:uid="{00000000-0005-0000-0000-0000A1020000}"/>
    <cellStyle name="_Book12_普令厝農地重劃區西33路農水路改善工程_崙背鄉雨水下水道清淤疏浚維護工程_施工日誌1" xfId="1667" xr:uid="{00000000-0005-0000-0000-0000A2020000}"/>
    <cellStyle name="_Book12_普令厝農地重劃區西33路農水路改善工程_鹿寮農地重劃區補路農路改善工程等七件工程" xfId="45" xr:uid="{00000000-0005-0000-0000-0000A3020000}"/>
    <cellStyle name="_Book12_普令厝農地重劃區西33路農水路改善工程_鹿寮農地重劃區補路農路改善工程等七件工程 2" xfId="2811" xr:uid="{00000000-0005-0000-0000-0000A4020000}"/>
    <cellStyle name="_Book12_普令厝農地重劃區西33路農水路改善工程_鹿寮農地重劃區補路農路改善工程等七件工程_施工日誌1" xfId="1668" xr:uid="{00000000-0005-0000-0000-0000A5020000}"/>
    <cellStyle name="_Book12_普令厝農地重劃區西33路農水路改善工程_普令厝農地重劃區西33路農水路改善工程" xfId="46" xr:uid="{00000000-0005-0000-0000-0000A6020000}"/>
    <cellStyle name="_Book12_普令厝農地重劃區西33路農水路改善工程_普令厝農地重劃區西33路農水路改善工程 2" xfId="2812" xr:uid="{00000000-0005-0000-0000-0000A7020000}"/>
    <cellStyle name="_Book12_普令厝農地重劃區西33路農水路改善工程_普令厝農地重劃區西33路農水路改善工程_施工日誌1" xfId="1669" xr:uid="{00000000-0005-0000-0000-0000A8020000}"/>
    <cellStyle name="_Book12_普令厝農地重劃區西33路農水路改善工程_雲林縣崙背鄉雨水下水道清淤工程" xfId="47" xr:uid="{00000000-0005-0000-0000-0000A9020000}"/>
    <cellStyle name="_Book12_普令厝農地重劃區西33路農水路改善工程_雲林縣崙背鄉雨水下水道清淤工程 2" xfId="2813" xr:uid="{00000000-0005-0000-0000-0000AA020000}"/>
    <cellStyle name="_Book12_普令厝農地重劃區西33路農水路改善工程_雲林縣崙背鄉雨水下水道清淤工程_施工日誌1" xfId="1670" xr:uid="{00000000-0005-0000-0000-0000AB020000}"/>
    <cellStyle name="_Book12_普令厝農地重劃區西33路農水路改善工程_雲林縣臺西鄉A9～A9-3雨水下水道建設工程" xfId="2814" xr:uid="{00000000-0005-0000-0000-0000AC020000}"/>
    <cellStyle name="_Book12_普令厝農地重劃區西33路農水路改善工程_臺西鄉(凡那比颱風)鄉內道路排水災害復建工程" xfId="48" xr:uid="{00000000-0005-0000-0000-0000AD020000}"/>
    <cellStyle name="_Book12_普令厝農地重劃區西33路農水路改善工程_臺西鄉(凡那比颱風)鄉內道路排水災害復建工程 2" xfId="2815" xr:uid="{00000000-0005-0000-0000-0000AE020000}"/>
    <cellStyle name="_Book12_普令厝農地重劃區西33路農水路改善工程_臺西鄉(凡那比颱風)鄉內道路排水災害復建工程_施工日誌1" xfId="1671" xr:uid="{00000000-0005-0000-0000-0000AF020000}"/>
    <cellStyle name="_Book12_普令厝農地重劃區西33路農水路改善工程_臺西鄉蚊港村蚊港巷道改善工程" xfId="2816" xr:uid="{00000000-0005-0000-0000-0000B0020000}"/>
    <cellStyle name="_Book12_普令厝農地重劃區西33路農水路改善工程_臺西鄉普令厝重劃區西8路等道路排水改善工程(確定案)" xfId="49" xr:uid="{00000000-0005-0000-0000-0000B1020000}"/>
    <cellStyle name="_Book12_普令厝農地重劃區西33路農水路改善工程_臺西鄉普令厝重劃區西8路等道路排水改善工程(確定案) 2" xfId="2817" xr:uid="{00000000-0005-0000-0000-0000B2020000}"/>
    <cellStyle name="_Book12_普令厝農地重劃區西33路農水路改善工程_臺西鄉普令厝重劃區西8路等道路排水改善工程(確定案)_施工日誌1" xfId="1672" xr:uid="{00000000-0005-0000-0000-0000B3020000}"/>
    <cellStyle name="_Book12_普令厝農地重劃區西33路農水路改善工程_臺西鄉臺西公有零售市埸作為多目標使用改善工程" xfId="2818" xr:uid="{00000000-0005-0000-0000-0000B4020000}"/>
    <cellStyle name="_Book12_普令厝農地重劃區西33路農水路改善工程_豐榮、草湖等村道路及排水溝改善工程-(變更)2" xfId="2819" xr:uid="{00000000-0005-0000-0000-0000B5020000}"/>
    <cellStyle name="_CANG" xfId="50" xr:uid="{00000000-0005-0000-0000-0000B6020000}"/>
    <cellStyle name="_CANG_施工日誌1" xfId="1673" xr:uid="{00000000-0005-0000-0000-0000B7020000}"/>
    <cellStyle name="_CANG2海水浴場污泥清除工程" xfId="51" xr:uid="{00000000-0005-0000-0000-0000B8020000}"/>
    <cellStyle name="_CANG2海水浴場污泥清除工程_施工日誌1" xfId="1674" xr:uid="{00000000-0005-0000-0000-0000B9020000}"/>
    <cellStyle name="_cang97-6-19" xfId="52" xr:uid="{00000000-0005-0000-0000-0000BA020000}"/>
    <cellStyle name="_cang97-6-19 2" xfId="2820" xr:uid="{00000000-0005-0000-0000-0000BB020000}"/>
    <cellStyle name="_cang97-6-19_施工日誌1" xfId="1675" xr:uid="{00000000-0005-0000-0000-0000BC020000}"/>
    <cellStyle name="_cang97-6-19_普令厝農地重劃區西33路農水路改善工程" xfId="53" xr:uid="{00000000-0005-0000-0000-0000BD020000}"/>
    <cellStyle name="_cang97-6-19_普令厝農地重劃區西33路農水路改善工程 2" xfId="2821" xr:uid="{00000000-0005-0000-0000-0000BE020000}"/>
    <cellStyle name="_cang97-6-19_普令厝農地重劃區西33路農水路改善工程_土庫鎮埤腳里道路、排水溝改善工程101.05.18(修正3確定)" xfId="2822" xr:uid="{00000000-0005-0000-0000-0000BF020000}"/>
    <cellStyle name="_cang97-6-19_普令厝農地重劃區西33路農水路改善工程_元長鄉長南村巷道排水改善工程" xfId="2823" xr:uid="{00000000-0005-0000-0000-0000C0020000}"/>
    <cellStyle name="_cang97-6-19_普令厝農地重劃區西33路農水路改善工程_斗南鎮久安農地重劃區V51路農路路面改善工程" xfId="5054" xr:uid="{00000000-0005-0000-0000-0000C1020000}"/>
    <cellStyle name="_cang97-6-19_普令厝農地重劃區西33路農水路改善工程_斗南鎮田頭農地重劃區農路改善工程" xfId="5055" xr:uid="{00000000-0005-0000-0000-0000C2020000}"/>
    <cellStyle name="_cang97-6-19_普令厝農地重劃區西33路農水路改善工程_斗南鎮西岐里舊社里等路面改善工程-100.05.18" xfId="2824" xr:uid="{00000000-0005-0000-0000-0000C3020000}"/>
    <cellStyle name="_cang97-6-19_普令厝農地重劃區西33路農水路改善工程_斗南鎮阿丹里、林子里相關公共設施改善工程100.11.29" xfId="2825" xr:uid="{00000000-0005-0000-0000-0000C4020000}"/>
    <cellStyle name="_cang97-6-19_普令厝農地重劃區西33路農水路改善工程_斗南鎮將軍里等路面及附屬設施改善工程" xfId="2826" xr:uid="{00000000-0005-0000-0000-0000C5020000}"/>
    <cellStyle name="_cang97-6-19_普令厝農地重劃區西33路農水路改善工程_古坑鄉大湖底段及麻園段路面改善工程" xfId="2827" xr:uid="{00000000-0005-0000-0000-0000C6020000}"/>
    <cellStyle name="_cang97-6-19_普令厝農地重劃區西33路農水路改善工程_台西海埔地南4路排水9907豪雨災害復建工程" xfId="2828" xr:uid="{00000000-0005-0000-0000-0000C7020000}"/>
    <cellStyle name="_cang97-6-19_普令厝農地重劃區西33路農水路改善工程_台西鄉四美重劃區南北幹路4農路復建工程" xfId="54" xr:uid="{00000000-0005-0000-0000-0000C8020000}"/>
    <cellStyle name="_cang97-6-19_普令厝農地重劃區西33路農水路改善工程_台西鄉四美重劃區南北幹路4農路復建工程 2" xfId="2829" xr:uid="{00000000-0005-0000-0000-0000C9020000}"/>
    <cellStyle name="_cang97-6-19_普令厝農地重劃區西33路農水路改善工程_台西鄉四美重劃區南北幹路4農路復建工程_施工日誌1" xfId="1677" xr:uid="{00000000-0005-0000-0000-0000CA020000}"/>
    <cellStyle name="_cang97-6-19_普令厝農地重劃區西33路農水路改善工程_東勢鄉新坤村及麥寮鄉海豐村道路排水改善工程" xfId="5056" xr:uid="{00000000-0005-0000-0000-0000CB020000}"/>
    <cellStyle name="_cang97-6-19_普令厝農地重劃區西33路農水路改善工程_林縣臺西鄉A10~A12雨水下水道建設工程(增減明細)" xfId="2830" xr:uid="{00000000-0005-0000-0000-0000CC020000}"/>
    <cellStyle name="_cang97-6-19_普令厝農地重劃區西33路農水路改善工程_虎尾鎮新吉里竹圍子農村社區生態魚池暨運動公園道路與排水改善工程(預算書)" xfId="2831" xr:uid="{00000000-0005-0000-0000-0000CD020000}"/>
    <cellStyle name="_cang97-6-19_普令厝農地重劃區西33路農水路改善工程_虎尾鎮新吉里竹圍子農村社區生態魚池暨運動公園道路與排水改善工程(確定)" xfId="5057" xr:uid="{00000000-0005-0000-0000-0000CE020000}"/>
    <cellStyle name="_cang97-6-19_普令厝農地重劃區西33路農水路改善工程_長北村等巷道排水改善工程" xfId="2832" xr:uid="{00000000-0005-0000-0000-0000CF020000}"/>
    <cellStyle name="_cang97-6-19_普令厝農地重劃區西33路農水路改善工程_後溝子一農地重劃區南北八路農路改善工程" xfId="55" xr:uid="{00000000-0005-0000-0000-0000D0020000}"/>
    <cellStyle name="_cang97-6-19_普令厝農地重劃區西33路農水路改善工程_後溝子一農地重劃區南北八路農路改善工程 2" xfId="2833" xr:uid="{00000000-0005-0000-0000-0000D1020000}"/>
    <cellStyle name="_cang97-6-19_普令厝農地重劃區西33路農水路改善工程_後溝子一農地重劃區南北八路農路改善工程_施工日誌1" xfId="1678" xr:uid="{00000000-0005-0000-0000-0000D2020000}"/>
    <cellStyle name="_cang97-6-19_普令厝農地重劃區西33路農水路改善工程_施工日誌1" xfId="1676" xr:uid="{00000000-0005-0000-0000-0000D3020000}"/>
    <cellStyle name="_cang97-6-19_普令厝農地重劃區西33路農水路改善工程_崙背鄉雨水下水道清淤疏浚維護工程" xfId="56" xr:uid="{00000000-0005-0000-0000-0000D4020000}"/>
    <cellStyle name="_cang97-6-19_普令厝農地重劃區西33路農水路改善工程_崙背鄉雨水下水道清淤疏浚維護工程 2" xfId="2834" xr:uid="{00000000-0005-0000-0000-0000D5020000}"/>
    <cellStyle name="_cang97-6-19_普令厝農地重劃區西33路農水路改善工程_崙背鄉雨水下水道清淤疏浚維護工程_施工日誌1" xfId="1679" xr:uid="{00000000-0005-0000-0000-0000D6020000}"/>
    <cellStyle name="_cang97-6-19_普令厝農地重劃區西33路農水路改善工程_鹿寮農地重劃區補路農路改善工程等七件工程" xfId="57" xr:uid="{00000000-0005-0000-0000-0000D7020000}"/>
    <cellStyle name="_cang97-6-19_普令厝農地重劃區西33路農水路改善工程_鹿寮農地重劃區補路農路改善工程等七件工程 2" xfId="2835" xr:uid="{00000000-0005-0000-0000-0000D8020000}"/>
    <cellStyle name="_cang97-6-19_普令厝農地重劃區西33路農水路改善工程_鹿寮農地重劃區補路農路改善工程等七件工程_施工日誌1" xfId="1680" xr:uid="{00000000-0005-0000-0000-0000D9020000}"/>
    <cellStyle name="_cang97-6-19_普令厝農地重劃區西33路農水路改善工程_普令厝農地重劃區西33路農水路改善工程" xfId="58" xr:uid="{00000000-0005-0000-0000-0000DA020000}"/>
    <cellStyle name="_cang97-6-19_普令厝農地重劃區西33路農水路改善工程_普令厝農地重劃區西33路農水路改善工程 2" xfId="2836" xr:uid="{00000000-0005-0000-0000-0000DB020000}"/>
    <cellStyle name="_cang97-6-19_普令厝農地重劃區西33路農水路改善工程_普令厝農地重劃區西33路農水路改善工程_施工日誌1" xfId="1681" xr:uid="{00000000-0005-0000-0000-0000DC020000}"/>
    <cellStyle name="_cang97-6-19_普令厝農地重劃區西33路農水路改善工程_雲林縣崙背鄉雨水下水道清淤工程" xfId="59" xr:uid="{00000000-0005-0000-0000-0000DD020000}"/>
    <cellStyle name="_cang97-6-19_普令厝農地重劃區西33路農水路改善工程_雲林縣崙背鄉雨水下水道清淤工程 2" xfId="2837" xr:uid="{00000000-0005-0000-0000-0000DE020000}"/>
    <cellStyle name="_cang97-6-19_普令厝農地重劃區西33路農水路改善工程_雲林縣崙背鄉雨水下水道清淤工程_施工日誌1" xfId="1682" xr:uid="{00000000-0005-0000-0000-0000DF020000}"/>
    <cellStyle name="_cang97-6-19_普令厝農地重劃區西33路農水路改善工程_雲林縣臺西鄉A9～A9-3雨水下水道建設工程" xfId="2838" xr:uid="{00000000-0005-0000-0000-0000E0020000}"/>
    <cellStyle name="_cang97-6-19_普令厝農地重劃區西33路農水路改善工程_臺西鄉(凡那比颱風)鄉內道路排水災害復建工程" xfId="60" xr:uid="{00000000-0005-0000-0000-0000E1020000}"/>
    <cellStyle name="_cang97-6-19_普令厝農地重劃區西33路農水路改善工程_臺西鄉(凡那比颱風)鄉內道路排水災害復建工程 2" xfId="2839" xr:uid="{00000000-0005-0000-0000-0000E2020000}"/>
    <cellStyle name="_cang97-6-19_普令厝農地重劃區西33路農水路改善工程_臺西鄉(凡那比颱風)鄉內道路排水災害復建工程_施工日誌1" xfId="1683" xr:uid="{00000000-0005-0000-0000-0000E3020000}"/>
    <cellStyle name="_cang97-6-19_普令厝農地重劃區西33路農水路改善工程_臺西鄉蚊港村蚊港巷道改善工程" xfId="2840" xr:uid="{00000000-0005-0000-0000-0000E4020000}"/>
    <cellStyle name="_cang97-6-19_普令厝農地重劃區西33路農水路改善工程_臺西鄉普令厝重劃區西8路等道路排水改善工程(確定案)" xfId="61" xr:uid="{00000000-0005-0000-0000-0000E5020000}"/>
    <cellStyle name="_cang97-6-19_普令厝農地重劃區西33路農水路改善工程_臺西鄉普令厝重劃區西8路等道路排水改善工程(確定案) 2" xfId="2841" xr:uid="{00000000-0005-0000-0000-0000E6020000}"/>
    <cellStyle name="_cang97-6-19_普令厝農地重劃區西33路農水路改善工程_臺西鄉普令厝重劃區西8路等道路排水改善工程(確定案)_施工日誌1" xfId="1684" xr:uid="{00000000-0005-0000-0000-0000E7020000}"/>
    <cellStyle name="_cang97-6-19_普令厝農地重劃區西33路農水路改善工程_臺西鄉臺西公有零售市埸作為多目標使用改善工程" xfId="2842" xr:uid="{00000000-0005-0000-0000-0000E8020000}"/>
    <cellStyle name="_cang97-6-19_普令厝農地重劃區西33路農水路改善工程_豐榮、草湖等村道路及排水溝改善工程-(變更)2" xfId="2843" xr:uid="{00000000-0005-0000-0000-0000E9020000}"/>
    <cellStyle name="_cang箔子寮" xfId="62" xr:uid="{00000000-0005-0000-0000-0000EA020000}"/>
    <cellStyle name="_cang箔子寮_施工日誌1" xfId="1685" xr:uid="{00000000-0005-0000-0000-0000EB020000}"/>
    <cellStyle name="_D-0622估驗" xfId="2844" xr:uid="{00000000-0005-0000-0000-0000EC020000}"/>
    <cellStyle name="_D-0622估驗_12-20估驗" xfId="2845" xr:uid="{00000000-0005-0000-0000-0000ED020000}"/>
    <cellStyle name="_Output_20070905003943_ap_bdgt" xfId="63" xr:uid="{00000000-0005-0000-0000-0000EE020000}"/>
    <cellStyle name="_Output_20070905003943_ap_bdgt_施工日誌1" xfId="1686" xr:uid="{00000000-0005-0000-0000-0000EF020000}"/>
    <cellStyle name="_大埤鄉酸菜專業區週邊農路改善工程" xfId="1504" xr:uid="{00000000-0005-0000-0000-0000F0020000}"/>
    <cellStyle name="_工程契約書" xfId="64" xr:uid="{00000000-0005-0000-0000-0000F1020000}"/>
    <cellStyle name="_工程契約書_施工日誌1" xfId="1687" xr:uid="{00000000-0005-0000-0000-0000F2020000}"/>
    <cellStyle name="_公共工程監造報表" xfId="65" xr:uid="{00000000-0005-0000-0000-0000F3020000}"/>
    <cellStyle name="_公共工程監造報表(範例)" xfId="66" xr:uid="{00000000-0005-0000-0000-0000F4020000}"/>
    <cellStyle name="_公共工程監造報表(範例)_施工日誌1" xfId="1689" xr:uid="{00000000-0005-0000-0000-0000F5020000}"/>
    <cellStyle name="_公共工程監造報表_施工日誌1" xfId="1688" xr:uid="{00000000-0005-0000-0000-0000F6020000}"/>
    <cellStyle name="_日報表1-2聯12(1)..." xfId="67" xr:uid="{00000000-0005-0000-0000-0000F7020000}"/>
    <cellStyle name="_日報表1-2聯12(1)..._施工日誌1" xfId="1690" xr:uid="{00000000-0005-0000-0000-0000F8020000}"/>
    <cellStyle name="_水林鄉後寮村雲153線旁排水等道路排水改善工程" xfId="1505" xr:uid="{00000000-0005-0000-0000-0000F9020000}"/>
    <cellStyle name="_水林鄉後寮村雲153線旁排水等道路排水改善工程 2" xfId="2846" xr:uid="{00000000-0005-0000-0000-0000FA020000}"/>
    <cellStyle name="_古坑工程預算書0518" xfId="1506" xr:uid="{00000000-0005-0000-0000-0000FB020000}"/>
    <cellStyle name="_古坑工程預算書0518 2" xfId="2847" xr:uid="{00000000-0005-0000-0000-0000FC020000}"/>
    <cellStyle name="_古坑鄉水碓地號1-9號駁坎修復工程" xfId="1507" xr:uid="{00000000-0005-0000-0000-0000FD020000}"/>
    <cellStyle name="_古坑鄉水碓地號1-9號駁坎修復工程 2" xfId="2848" xr:uid="{00000000-0005-0000-0000-0000FE020000}"/>
    <cellStyle name="_古坑鄉水碓地號1-9號駁坎修復工程_空.材抽" xfId="1508" xr:uid="{00000000-0005-0000-0000-0000FF020000}"/>
    <cellStyle name="_古坑鄉水碓地號1-9號駁坎修復工程_空.材抽 2" xfId="2849" xr:uid="{00000000-0005-0000-0000-000000030000}"/>
    <cellStyle name="_四湖大01142" xfId="68" xr:uid="{00000000-0005-0000-0000-000001030000}"/>
    <cellStyle name="_四湖大01142 2" xfId="2850" xr:uid="{00000000-0005-0000-0000-000002030000}"/>
    <cellStyle name="_四湖大01142_施工日誌1" xfId="1691" xr:uid="{00000000-0005-0000-0000-000003030000}"/>
    <cellStyle name="_四湖大01142_普令厝農地重劃區西33路農水路改善工程" xfId="69" xr:uid="{00000000-0005-0000-0000-000004030000}"/>
    <cellStyle name="_四湖大01142_普令厝農地重劃區西33路農水路改善工程 2" xfId="2851" xr:uid="{00000000-0005-0000-0000-000005030000}"/>
    <cellStyle name="_四湖大01142_普令厝農地重劃區西33路農水路改善工程_土庫鎮埤腳里道路、排水溝改善工程101.05.18(修正3確定)" xfId="2852" xr:uid="{00000000-0005-0000-0000-000006030000}"/>
    <cellStyle name="_四湖大01142_普令厝農地重劃區西33路農水路改善工程_元長鄉長南村巷道排水改善工程" xfId="2853" xr:uid="{00000000-0005-0000-0000-000007030000}"/>
    <cellStyle name="_四湖大01142_普令厝農地重劃區西33路農水路改善工程_斗南鎮久安農地重劃區V51路農路路面改善工程" xfId="5058" xr:uid="{00000000-0005-0000-0000-000008030000}"/>
    <cellStyle name="_四湖大01142_普令厝農地重劃區西33路農水路改善工程_斗南鎮田頭農地重劃區農路改善工程" xfId="5059" xr:uid="{00000000-0005-0000-0000-000009030000}"/>
    <cellStyle name="_四湖大01142_普令厝農地重劃區西33路農水路改善工程_斗南鎮西岐里舊社里等路面改善工程-100.05.18" xfId="2854" xr:uid="{00000000-0005-0000-0000-00000A030000}"/>
    <cellStyle name="_四湖大01142_普令厝農地重劃區西33路農水路改善工程_斗南鎮阿丹里、林子里相關公共設施改善工程100.11.29" xfId="2855" xr:uid="{00000000-0005-0000-0000-00000B030000}"/>
    <cellStyle name="_四湖大01142_普令厝農地重劃區西33路農水路改善工程_斗南鎮將軍里等路面及附屬設施改善工程" xfId="2856" xr:uid="{00000000-0005-0000-0000-00000C030000}"/>
    <cellStyle name="_四湖大01142_普令厝農地重劃區西33路農水路改善工程_古坑鄉大湖底段及麻園段路面改善工程" xfId="2857" xr:uid="{00000000-0005-0000-0000-00000D030000}"/>
    <cellStyle name="_四湖大01142_普令厝農地重劃區西33路農水路改善工程_台西海埔地南4路排水9907豪雨災害復建工程" xfId="2858" xr:uid="{00000000-0005-0000-0000-00000E030000}"/>
    <cellStyle name="_四湖大01142_普令厝農地重劃區西33路農水路改善工程_台西鄉四美重劃區南北幹路4農路復建工程" xfId="70" xr:uid="{00000000-0005-0000-0000-00000F030000}"/>
    <cellStyle name="_四湖大01142_普令厝農地重劃區西33路農水路改善工程_台西鄉四美重劃區南北幹路4農路復建工程 2" xfId="2859" xr:uid="{00000000-0005-0000-0000-000010030000}"/>
    <cellStyle name="_四湖大01142_普令厝農地重劃區西33路農水路改善工程_台西鄉四美重劃區南北幹路4農路復建工程_施工日誌1" xfId="1693" xr:uid="{00000000-0005-0000-0000-000011030000}"/>
    <cellStyle name="_四湖大01142_普令厝農地重劃區西33路農水路改善工程_東勢鄉新坤村及麥寮鄉海豐村道路排水改善工程" xfId="5060" xr:uid="{00000000-0005-0000-0000-000012030000}"/>
    <cellStyle name="_四湖大01142_普令厝農地重劃區西33路農水路改善工程_林縣臺西鄉A10~A12雨水下水道建設工程(增減明細)" xfId="2860" xr:uid="{00000000-0005-0000-0000-000013030000}"/>
    <cellStyle name="_四湖大01142_普令厝農地重劃區西33路農水路改善工程_虎尾鎮新吉里竹圍子農村社區生態魚池暨運動公園道路與排水改善工程(預算書)" xfId="2861" xr:uid="{00000000-0005-0000-0000-000014030000}"/>
    <cellStyle name="_四湖大01142_普令厝農地重劃區西33路農水路改善工程_虎尾鎮新吉里竹圍子農村社區生態魚池暨運動公園道路與排水改善工程(確定)" xfId="5061" xr:uid="{00000000-0005-0000-0000-000015030000}"/>
    <cellStyle name="_四湖大01142_普令厝農地重劃區西33路農水路改善工程_長北村等巷道排水改善工程" xfId="2862" xr:uid="{00000000-0005-0000-0000-000016030000}"/>
    <cellStyle name="_四湖大01142_普令厝農地重劃區西33路農水路改善工程_後溝子一農地重劃區南北八路農路改善工程" xfId="71" xr:uid="{00000000-0005-0000-0000-000017030000}"/>
    <cellStyle name="_四湖大01142_普令厝農地重劃區西33路農水路改善工程_後溝子一農地重劃區南北八路農路改善工程 2" xfId="2863" xr:uid="{00000000-0005-0000-0000-000018030000}"/>
    <cellStyle name="_四湖大01142_普令厝農地重劃區西33路農水路改善工程_後溝子一農地重劃區南北八路農路改善工程_施工日誌1" xfId="1694" xr:uid="{00000000-0005-0000-0000-000019030000}"/>
    <cellStyle name="_四湖大01142_普令厝農地重劃區西33路農水路改善工程_施工日誌1" xfId="1692" xr:uid="{00000000-0005-0000-0000-00001A030000}"/>
    <cellStyle name="_四湖大01142_普令厝農地重劃區西33路農水路改善工程_崙背鄉雨水下水道清淤疏浚維護工程" xfId="72" xr:uid="{00000000-0005-0000-0000-00001B030000}"/>
    <cellStyle name="_四湖大01142_普令厝農地重劃區西33路農水路改善工程_崙背鄉雨水下水道清淤疏浚維護工程 2" xfId="2864" xr:uid="{00000000-0005-0000-0000-00001C030000}"/>
    <cellStyle name="_四湖大01142_普令厝農地重劃區西33路農水路改善工程_崙背鄉雨水下水道清淤疏浚維護工程_施工日誌1" xfId="1695" xr:uid="{00000000-0005-0000-0000-00001D030000}"/>
    <cellStyle name="_四湖大01142_普令厝農地重劃區西33路農水路改善工程_鹿寮農地重劃區補路農路改善工程等七件工程" xfId="73" xr:uid="{00000000-0005-0000-0000-00001E030000}"/>
    <cellStyle name="_四湖大01142_普令厝農地重劃區西33路農水路改善工程_鹿寮農地重劃區補路農路改善工程等七件工程 2" xfId="2865" xr:uid="{00000000-0005-0000-0000-00001F030000}"/>
    <cellStyle name="_四湖大01142_普令厝農地重劃區西33路農水路改善工程_鹿寮農地重劃區補路農路改善工程等七件工程_施工日誌1" xfId="1696" xr:uid="{00000000-0005-0000-0000-000020030000}"/>
    <cellStyle name="_四湖大01142_普令厝農地重劃區西33路農水路改善工程_普令厝農地重劃區西33路農水路改善工程" xfId="74" xr:uid="{00000000-0005-0000-0000-000021030000}"/>
    <cellStyle name="_四湖大01142_普令厝農地重劃區西33路農水路改善工程_普令厝農地重劃區西33路農水路改善工程 2" xfId="2866" xr:uid="{00000000-0005-0000-0000-000022030000}"/>
    <cellStyle name="_四湖大01142_普令厝農地重劃區西33路農水路改善工程_普令厝農地重劃區西33路農水路改善工程_施工日誌1" xfId="1697" xr:uid="{00000000-0005-0000-0000-000023030000}"/>
    <cellStyle name="_四湖大01142_普令厝農地重劃區西33路農水路改善工程_雲林縣崙背鄉雨水下水道清淤工程" xfId="75" xr:uid="{00000000-0005-0000-0000-000024030000}"/>
    <cellStyle name="_四湖大01142_普令厝農地重劃區西33路農水路改善工程_雲林縣崙背鄉雨水下水道清淤工程 2" xfId="2867" xr:uid="{00000000-0005-0000-0000-000025030000}"/>
    <cellStyle name="_四湖大01142_普令厝農地重劃區西33路農水路改善工程_雲林縣崙背鄉雨水下水道清淤工程_施工日誌1" xfId="1698" xr:uid="{00000000-0005-0000-0000-000026030000}"/>
    <cellStyle name="_四湖大01142_普令厝農地重劃區西33路農水路改善工程_雲林縣臺西鄉A9～A9-3雨水下水道建設工程" xfId="2868" xr:uid="{00000000-0005-0000-0000-000027030000}"/>
    <cellStyle name="_四湖大01142_普令厝農地重劃區西33路農水路改善工程_臺西鄉(凡那比颱風)鄉內道路排水災害復建工程" xfId="76" xr:uid="{00000000-0005-0000-0000-000028030000}"/>
    <cellStyle name="_四湖大01142_普令厝農地重劃區西33路農水路改善工程_臺西鄉(凡那比颱風)鄉內道路排水災害復建工程 2" xfId="2869" xr:uid="{00000000-0005-0000-0000-000029030000}"/>
    <cellStyle name="_四湖大01142_普令厝農地重劃區西33路農水路改善工程_臺西鄉(凡那比颱風)鄉內道路排水災害復建工程_施工日誌1" xfId="1699" xr:uid="{00000000-0005-0000-0000-00002A030000}"/>
    <cellStyle name="_四湖大01142_普令厝農地重劃區西33路農水路改善工程_臺西鄉蚊港村蚊港巷道改善工程" xfId="2870" xr:uid="{00000000-0005-0000-0000-00002B030000}"/>
    <cellStyle name="_四湖大01142_普令厝農地重劃區西33路農水路改善工程_臺西鄉普令厝重劃區西8路等道路排水改善工程(確定案)" xfId="77" xr:uid="{00000000-0005-0000-0000-00002C030000}"/>
    <cellStyle name="_四湖大01142_普令厝農地重劃區西33路農水路改善工程_臺西鄉普令厝重劃區西8路等道路排水改善工程(確定案) 2" xfId="2871" xr:uid="{00000000-0005-0000-0000-00002D030000}"/>
    <cellStyle name="_四湖大01142_普令厝農地重劃區西33路農水路改善工程_臺西鄉普令厝重劃區西8路等道路排水改善工程(確定案)_施工日誌1" xfId="1700" xr:uid="{00000000-0005-0000-0000-00002E030000}"/>
    <cellStyle name="_四湖大01142_普令厝農地重劃區西33路農水路改善工程_臺西鄉臺西公有零售市埸作為多目標使用改善工程" xfId="2872" xr:uid="{00000000-0005-0000-0000-00002F030000}"/>
    <cellStyle name="_四湖大01142_普令厝農地重劃區西33路農水路改善工程_豐榮、草湖等村道路及排水溝改善工程-(變更)2" xfId="2873" xr:uid="{00000000-0005-0000-0000-000030030000}"/>
    <cellStyle name="_四湖大排災害復建工程竣工結算" xfId="78" xr:uid="{00000000-0005-0000-0000-000031030000}"/>
    <cellStyle name="_四湖大排災害復建工程竣工結算_施工日誌1" xfId="1701" xr:uid="{00000000-0005-0000-0000-000032030000}"/>
    <cellStyle name="_四湖村巷道路面整修改善工程" xfId="79" xr:uid="{00000000-0005-0000-0000-000033030000}"/>
    <cellStyle name="_四湖村巷道路面整修改善工程_施工日誌1" xfId="1702" xr:uid="{00000000-0005-0000-0000-000034030000}"/>
    <cellStyle name="_四湖鄉160線側溝改善工程(附表二)(附表三)" xfId="80" xr:uid="{00000000-0005-0000-0000-000035030000}"/>
    <cellStyle name="_四湖鄉160線側溝改善工程(附表二)(附表三)_施工日誌1" xfId="1703" xr:uid="{00000000-0005-0000-0000-000036030000}"/>
    <cellStyle name="_四湖鄉三姓村數量" xfId="81" xr:uid="{00000000-0005-0000-0000-000037030000}"/>
    <cellStyle name="_四湖鄉三姓村數量 2" xfId="2874" xr:uid="{00000000-0005-0000-0000-000038030000}"/>
    <cellStyle name="_四湖鄉三姓村數量_施工日誌1" xfId="1704" xr:uid="{00000000-0005-0000-0000-000039030000}"/>
    <cellStyle name="_四湖鄉三姓村數量_普令厝農地重劃區西33路農水路改善工程" xfId="82" xr:uid="{00000000-0005-0000-0000-00003A030000}"/>
    <cellStyle name="_四湖鄉三姓村數量_普令厝農地重劃區西33路農水路改善工程 2" xfId="2875" xr:uid="{00000000-0005-0000-0000-00003B030000}"/>
    <cellStyle name="_四湖鄉三姓村數量_普令厝農地重劃區西33路農水路改善工程_土庫鎮埤腳里道路、排水溝改善工程101.05.18(修正3確定)" xfId="2876" xr:uid="{00000000-0005-0000-0000-00003C030000}"/>
    <cellStyle name="_四湖鄉三姓村數量_普令厝農地重劃區西33路農水路改善工程_元長鄉長南村巷道排水改善工程" xfId="2877" xr:uid="{00000000-0005-0000-0000-00003D030000}"/>
    <cellStyle name="_四湖鄉三姓村數量_普令厝農地重劃區西33路農水路改善工程_斗南鎮久安農地重劃區V51路農路路面改善工程" xfId="5062" xr:uid="{00000000-0005-0000-0000-00003E030000}"/>
    <cellStyle name="_四湖鄉三姓村數量_普令厝農地重劃區西33路農水路改善工程_斗南鎮田頭農地重劃區農路改善工程" xfId="5063" xr:uid="{00000000-0005-0000-0000-00003F030000}"/>
    <cellStyle name="_四湖鄉三姓村數量_普令厝農地重劃區西33路農水路改善工程_斗南鎮西岐里舊社里等路面改善工程-100.05.18" xfId="2878" xr:uid="{00000000-0005-0000-0000-000040030000}"/>
    <cellStyle name="_四湖鄉三姓村數量_普令厝農地重劃區西33路農水路改善工程_斗南鎮阿丹里、林子里相關公共設施改善工程100.11.29" xfId="2879" xr:uid="{00000000-0005-0000-0000-000041030000}"/>
    <cellStyle name="_四湖鄉三姓村數量_普令厝農地重劃區西33路農水路改善工程_斗南鎮將軍里等路面及附屬設施改善工程" xfId="2880" xr:uid="{00000000-0005-0000-0000-000042030000}"/>
    <cellStyle name="_四湖鄉三姓村數量_普令厝農地重劃區西33路農水路改善工程_古坑鄉大湖底段及麻園段路面改善工程" xfId="2881" xr:uid="{00000000-0005-0000-0000-000043030000}"/>
    <cellStyle name="_四湖鄉三姓村數量_普令厝農地重劃區西33路農水路改善工程_台西海埔地南4路排水9907豪雨災害復建工程" xfId="2882" xr:uid="{00000000-0005-0000-0000-000044030000}"/>
    <cellStyle name="_四湖鄉三姓村數量_普令厝農地重劃區西33路農水路改善工程_台西鄉四美重劃區南北幹路4農路復建工程" xfId="83" xr:uid="{00000000-0005-0000-0000-000045030000}"/>
    <cellStyle name="_四湖鄉三姓村數量_普令厝農地重劃區西33路農水路改善工程_台西鄉四美重劃區南北幹路4農路復建工程 2" xfId="2883" xr:uid="{00000000-0005-0000-0000-000046030000}"/>
    <cellStyle name="_四湖鄉三姓村數量_普令厝農地重劃區西33路農水路改善工程_台西鄉四美重劃區南北幹路4農路復建工程_施工日誌1" xfId="1706" xr:uid="{00000000-0005-0000-0000-000047030000}"/>
    <cellStyle name="_四湖鄉三姓村數量_普令厝農地重劃區西33路農水路改善工程_東勢鄉新坤村及麥寮鄉海豐村道路排水改善工程" xfId="5064" xr:uid="{00000000-0005-0000-0000-000048030000}"/>
    <cellStyle name="_四湖鄉三姓村數量_普令厝農地重劃區西33路農水路改善工程_林縣臺西鄉A10~A12雨水下水道建設工程(增減明細)" xfId="2884" xr:uid="{00000000-0005-0000-0000-000049030000}"/>
    <cellStyle name="_四湖鄉三姓村數量_普令厝農地重劃區西33路農水路改善工程_虎尾鎮新吉里竹圍子農村社區生態魚池暨運動公園道路與排水改善工程(預算書)" xfId="2885" xr:uid="{00000000-0005-0000-0000-00004A030000}"/>
    <cellStyle name="_四湖鄉三姓村數量_普令厝農地重劃區西33路農水路改善工程_虎尾鎮新吉里竹圍子農村社區生態魚池暨運動公園道路與排水改善工程(確定)" xfId="5065" xr:uid="{00000000-0005-0000-0000-00004B030000}"/>
    <cellStyle name="_四湖鄉三姓村數量_普令厝農地重劃區西33路農水路改善工程_長北村等巷道排水改善工程" xfId="2886" xr:uid="{00000000-0005-0000-0000-00004C030000}"/>
    <cellStyle name="_四湖鄉三姓村數量_普令厝農地重劃區西33路農水路改善工程_後溝子一農地重劃區南北八路農路改善工程" xfId="84" xr:uid="{00000000-0005-0000-0000-00004D030000}"/>
    <cellStyle name="_四湖鄉三姓村數量_普令厝農地重劃區西33路農水路改善工程_後溝子一農地重劃區南北八路農路改善工程 2" xfId="2887" xr:uid="{00000000-0005-0000-0000-00004E030000}"/>
    <cellStyle name="_四湖鄉三姓村數量_普令厝農地重劃區西33路農水路改善工程_後溝子一農地重劃區南北八路農路改善工程_施工日誌1" xfId="1707" xr:uid="{00000000-0005-0000-0000-00004F030000}"/>
    <cellStyle name="_四湖鄉三姓村數量_普令厝農地重劃區西33路農水路改善工程_施工日誌1" xfId="1705" xr:uid="{00000000-0005-0000-0000-000050030000}"/>
    <cellStyle name="_四湖鄉三姓村數量_普令厝農地重劃區西33路農水路改善工程_崙背鄉雨水下水道清淤疏浚維護工程" xfId="85" xr:uid="{00000000-0005-0000-0000-000051030000}"/>
    <cellStyle name="_四湖鄉三姓村數量_普令厝農地重劃區西33路農水路改善工程_崙背鄉雨水下水道清淤疏浚維護工程 2" xfId="2888" xr:uid="{00000000-0005-0000-0000-000052030000}"/>
    <cellStyle name="_四湖鄉三姓村數量_普令厝農地重劃區西33路農水路改善工程_崙背鄉雨水下水道清淤疏浚維護工程_施工日誌1" xfId="1708" xr:uid="{00000000-0005-0000-0000-000053030000}"/>
    <cellStyle name="_四湖鄉三姓村數量_普令厝農地重劃區西33路農水路改善工程_鹿寮農地重劃區補路農路改善工程等七件工程" xfId="86" xr:uid="{00000000-0005-0000-0000-000054030000}"/>
    <cellStyle name="_四湖鄉三姓村數量_普令厝農地重劃區西33路農水路改善工程_鹿寮農地重劃區補路農路改善工程等七件工程 2" xfId="2889" xr:uid="{00000000-0005-0000-0000-000055030000}"/>
    <cellStyle name="_四湖鄉三姓村數量_普令厝農地重劃區西33路農水路改善工程_鹿寮農地重劃區補路農路改善工程等七件工程_施工日誌1" xfId="1709" xr:uid="{00000000-0005-0000-0000-000056030000}"/>
    <cellStyle name="_四湖鄉三姓村數量_普令厝農地重劃區西33路農水路改善工程_普令厝農地重劃區西33路農水路改善工程" xfId="87" xr:uid="{00000000-0005-0000-0000-000057030000}"/>
    <cellStyle name="_四湖鄉三姓村數量_普令厝農地重劃區西33路農水路改善工程_普令厝農地重劃區西33路農水路改善工程 2" xfId="2890" xr:uid="{00000000-0005-0000-0000-000058030000}"/>
    <cellStyle name="_四湖鄉三姓村數量_普令厝農地重劃區西33路農水路改善工程_普令厝農地重劃區西33路農水路改善工程_施工日誌1" xfId="1710" xr:uid="{00000000-0005-0000-0000-000059030000}"/>
    <cellStyle name="_四湖鄉三姓村數量_普令厝農地重劃區西33路農水路改善工程_雲林縣崙背鄉雨水下水道清淤工程" xfId="88" xr:uid="{00000000-0005-0000-0000-00005A030000}"/>
    <cellStyle name="_四湖鄉三姓村數量_普令厝農地重劃區西33路農水路改善工程_雲林縣崙背鄉雨水下水道清淤工程 2" xfId="2891" xr:uid="{00000000-0005-0000-0000-00005B030000}"/>
    <cellStyle name="_四湖鄉三姓村數量_普令厝農地重劃區西33路農水路改善工程_雲林縣崙背鄉雨水下水道清淤工程_施工日誌1" xfId="1711" xr:uid="{00000000-0005-0000-0000-00005C030000}"/>
    <cellStyle name="_四湖鄉三姓村數量_普令厝農地重劃區西33路農水路改善工程_雲林縣臺西鄉A9～A9-3雨水下水道建設工程" xfId="2892" xr:uid="{00000000-0005-0000-0000-00005D030000}"/>
    <cellStyle name="_四湖鄉三姓村數量_普令厝農地重劃區西33路農水路改善工程_臺西鄉(凡那比颱風)鄉內道路排水災害復建工程" xfId="89" xr:uid="{00000000-0005-0000-0000-00005E030000}"/>
    <cellStyle name="_四湖鄉三姓村數量_普令厝農地重劃區西33路農水路改善工程_臺西鄉(凡那比颱風)鄉內道路排水災害復建工程 2" xfId="2893" xr:uid="{00000000-0005-0000-0000-00005F030000}"/>
    <cellStyle name="_四湖鄉三姓村數量_普令厝農地重劃區西33路農水路改善工程_臺西鄉(凡那比颱風)鄉內道路排水災害復建工程_施工日誌1" xfId="1712" xr:uid="{00000000-0005-0000-0000-000060030000}"/>
    <cellStyle name="_四湖鄉三姓村數量_普令厝農地重劃區西33路農水路改善工程_臺西鄉蚊港村蚊港巷道改善工程" xfId="2894" xr:uid="{00000000-0005-0000-0000-000061030000}"/>
    <cellStyle name="_四湖鄉三姓村數量_普令厝農地重劃區西33路農水路改善工程_臺西鄉普令厝重劃區西8路等道路排水改善工程(確定案)" xfId="90" xr:uid="{00000000-0005-0000-0000-000062030000}"/>
    <cellStyle name="_四湖鄉三姓村數量_普令厝農地重劃區西33路農水路改善工程_臺西鄉普令厝重劃區西8路等道路排水改善工程(確定案) 2" xfId="2895" xr:uid="{00000000-0005-0000-0000-000063030000}"/>
    <cellStyle name="_四湖鄉三姓村數量_普令厝農地重劃區西33路農水路改善工程_臺西鄉普令厝重劃區西8路等道路排水改善工程(確定案)_施工日誌1" xfId="1713" xr:uid="{00000000-0005-0000-0000-000064030000}"/>
    <cellStyle name="_四湖鄉三姓村數量_普令厝農地重劃區西33路農水路改善工程_臺西鄉臺西公有零售市埸作為多目標使用改善工程" xfId="2896" xr:uid="{00000000-0005-0000-0000-000065030000}"/>
    <cellStyle name="_四湖鄉三姓村數量_普令厝農地重劃區西33路農水路改善工程_豐榮、草湖等村道路及排水溝改善工程-(變更)2" xfId="2897" xr:uid="{00000000-0005-0000-0000-000066030000}"/>
    <cellStyle name="_四湖鄉下寮部落道路排水改善工程98-0101" xfId="91" xr:uid="{00000000-0005-0000-0000-000067030000}"/>
    <cellStyle name="_四湖鄉下寮部落道路排水改善工程98-0101_施工日誌1" xfId="1714" xr:uid="{00000000-0005-0000-0000-000068030000}"/>
    <cellStyle name="_四湖鄉施湖村東庄寮段道路改善工程" xfId="92" xr:uid="{00000000-0005-0000-0000-000069030000}"/>
    <cellStyle name="_四湖鄉施湖村東庄寮段道路改善工程 2" xfId="2898" xr:uid="{00000000-0005-0000-0000-00006A030000}"/>
    <cellStyle name="_四湖鄉施湖村東庄寮段道路改善工程_施工日誌1" xfId="1715" xr:uid="{00000000-0005-0000-0000-00006B030000}"/>
    <cellStyle name="_四湖鄉泰山街道路排水改善工程溝改善工程(空白標單)098-06-023_bp_rbid" xfId="93" xr:uid="{00000000-0005-0000-0000-00006C030000}"/>
    <cellStyle name="_四湖鄉泰山街道路排水改善工程溝改善工程(空白標單)098-06-023_bp_rbid_施工日誌1" xfId="1716" xr:uid="{00000000-0005-0000-0000-00006D030000}"/>
    <cellStyle name="_四湖鄉都市計畫內參天宮旁新闢道路工程(空白標單)097-000-1007_bp_rbid" xfId="94" xr:uid="{00000000-0005-0000-0000-00006E030000}"/>
    <cellStyle name="_四湖鄉都市計畫內參天宮旁新闢道路工程(空白標單)097-000-1007_bp_rbid_施工日誌1" xfId="1717" xr:uid="{00000000-0005-0000-0000-00006F030000}"/>
    <cellStyle name="_四湖鄉雲136線內湖村段道路排水改善-變更" xfId="95" xr:uid="{00000000-0005-0000-0000-000070030000}"/>
    <cellStyle name="_四湖鄉雲136線內湖村段道路排水改善-變更_施工日誌1" xfId="1718" xr:uid="{00000000-0005-0000-0000-000071030000}"/>
    <cellStyle name="_四湖鄉雲165線道路排水改善工程" xfId="96" xr:uid="{00000000-0005-0000-0000-000072030000}"/>
    <cellStyle name="_四湖鄉雲165線道路排水改善工程 2" xfId="2899" xr:uid="{00000000-0005-0000-0000-000073030000}"/>
    <cellStyle name="_四湖鄉雲165線道路排水改善工程_內湖大排災害復建工程" xfId="97" xr:uid="{00000000-0005-0000-0000-000074030000}"/>
    <cellStyle name="_四湖鄉雲165線道路排水改善工程_內湖大排災害復建工程 2" xfId="2900" xr:uid="{00000000-0005-0000-0000-000075030000}"/>
    <cellStyle name="_四湖鄉雲165線道路排水改善工程_內湖大排災害復建工程_施工日誌1" xfId="1720" xr:uid="{00000000-0005-0000-0000-000076030000}"/>
    <cellStyle name="_四湖鄉雲165線道路排水改善工程_內湖大排災害復建工程_普令厝農地重劃區西33路農水路改善工程" xfId="98" xr:uid="{00000000-0005-0000-0000-000077030000}"/>
    <cellStyle name="_四湖鄉雲165線道路排水改善工程_內湖大排災害復建工程_普令厝農地重劃區西33路農水路改善工程 2" xfId="2901" xr:uid="{00000000-0005-0000-0000-000078030000}"/>
    <cellStyle name="_四湖鄉雲165線道路排水改善工程_內湖大排災害復建工程_普令厝農地重劃區西33路農水路改善工程_土庫鎮埤腳里道路、排水溝改善工程101.05.18(修正3確定)" xfId="2902" xr:uid="{00000000-0005-0000-0000-000079030000}"/>
    <cellStyle name="_四湖鄉雲165線道路排水改善工程_內湖大排災害復建工程_普令厝農地重劃區西33路農水路改善工程_元長鄉長南村巷道排水改善工程" xfId="2903" xr:uid="{00000000-0005-0000-0000-00007A030000}"/>
    <cellStyle name="_四湖鄉雲165線道路排水改善工程_內湖大排災害復建工程_普令厝農地重劃區西33路農水路改善工程_斗南鎮久安農地重劃區V51路農路路面改善工程" xfId="5066" xr:uid="{00000000-0005-0000-0000-00007B030000}"/>
    <cellStyle name="_四湖鄉雲165線道路排水改善工程_內湖大排災害復建工程_普令厝農地重劃區西33路農水路改善工程_斗南鎮田頭農地重劃區農路改善工程" xfId="5067" xr:uid="{00000000-0005-0000-0000-00007C030000}"/>
    <cellStyle name="_四湖鄉雲165線道路排水改善工程_內湖大排災害復建工程_普令厝農地重劃區西33路農水路改善工程_斗南鎮西岐里舊社里等路面改善工程-100.05.18" xfId="2904" xr:uid="{00000000-0005-0000-0000-00007D030000}"/>
    <cellStyle name="_四湖鄉雲165線道路排水改善工程_內湖大排災害復建工程_普令厝農地重劃區西33路農水路改善工程_斗南鎮阿丹里、林子里相關公共設施改善工程100.11.29" xfId="2905" xr:uid="{00000000-0005-0000-0000-00007E030000}"/>
    <cellStyle name="_四湖鄉雲165線道路排水改善工程_內湖大排災害復建工程_普令厝農地重劃區西33路農水路改善工程_斗南鎮將軍里等路面及附屬設施改善工程" xfId="2906" xr:uid="{00000000-0005-0000-0000-00007F030000}"/>
    <cellStyle name="_四湖鄉雲165線道路排水改善工程_內湖大排災害復建工程_普令厝農地重劃區西33路農水路改善工程_古坑鄉大湖底段及麻園段路面改善工程" xfId="2907" xr:uid="{00000000-0005-0000-0000-000080030000}"/>
    <cellStyle name="_四湖鄉雲165線道路排水改善工程_內湖大排災害復建工程_普令厝農地重劃區西33路農水路改善工程_台西海埔地南4路排水9907豪雨災害復建工程" xfId="2908" xr:uid="{00000000-0005-0000-0000-000081030000}"/>
    <cellStyle name="_四湖鄉雲165線道路排水改善工程_內湖大排災害復建工程_普令厝農地重劃區西33路農水路改善工程_台西鄉四美重劃區南北幹路4農路復建工程" xfId="99" xr:uid="{00000000-0005-0000-0000-000082030000}"/>
    <cellStyle name="_四湖鄉雲165線道路排水改善工程_內湖大排災害復建工程_普令厝農地重劃區西33路農水路改善工程_台西鄉四美重劃區南北幹路4農路復建工程 2" xfId="2909" xr:uid="{00000000-0005-0000-0000-000083030000}"/>
    <cellStyle name="_四湖鄉雲165線道路排水改善工程_內湖大排災害復建工程_普令厝農地重劃區西33路農水路改善工程_台西鄉四美重劃區南北幹路4農路復建工程_施工日誌1" xfId="1722" xr:uid="{00000000-0005-0000-0000-000084030000}"/>
    <cellStyle name="_四湖鄉雲165線道路排水改善工程_內湖大排災害復建工程_普令厝農地重劃區西33路農水路改善工程_東勢鄉新坤村及麥寮鄉海豐村道路排水改善工程" xfId="5068" xr:uid="{00000000-0005-0000-0000-000085030000}"/>
    <cellStyle name="_四湖鄉雲165線道路排水改善工程_內湖大排災害復建工程_普令厝農地重劃區西33路農水路改善工程_林縣臺西鄉A10~A12雨水下水道建設工程(增減明細)" xfId="2910" xr:uid="{00000000-0005-0000-0000-000086030000}"/>
    <cellStyle name="_四湖鄉雲165線道路排水改善工程_內湖大排災害復建工程_普令厝農地重劃區西33路農水路改善工程_虎尾鎮新吉里竹圍子農村社區生態魚池暨運動公園道路與排水改善工程(預算書)" xfId="2911" xr:uid="{00000000-0005-0000-0000-000087030000}"/>
    <cellStyle name="_四湖鄉雲165線道路排水改善工程_內湖大排災害復建工程_普令厝農地重劃區西33路農水路改善工程_虎尾鎮新吉里竹圍子農村社區生態魚池暨運動公園道路與排水改善工程(確定)" xfId="5069" xr:uid="{00000000-0005-0000-0000-000088030000}"/>
    <cellStyle name="_四湖鄉雲165線道路排水改善工程_內湖大排災害復建工程_普令厝農地重劃區西33路農水路改善工程_長北村等巷道排水改善工程" xfId="2912" xr:uid="{00000000-0005-0000-0000-000089030000}"/>
    <cellStyle name="_四湖鄉雲165線道路排水改善工程_內湖大排災害復建工程_普令厝農地重劃區西33路農水路改善工程_後溝子一農地重劃區南北八路農路改善工程" xfId="100" xr:uid="{00000000-0005-0000-0000-00008A030000}"/>
    <cellStyle name="_四湖鄉雲165線道路排水改善工程_內湖大排災害復建工程_普令厝農地重劃區西33路農水路改善工程_後溝子一農地重劃區南北八路農路改善工程 2" xfId="2913" xr:uid="{00000000-0005-0000-0000-00008B030000}"/>
    <cellStyle name="_四湖鄉雲165線道路排水改善工程_內湖大排災害復建工程_普令厝農地重劃區西33路農水路改善工程_後溝子一農地重劃區南北八路農路改善工程_施工日誌1" xfId="1723" xr:uid="{00000000-0005-0000-0000-00008C030000}"/>
    <cellStyle name="_四湖鄉雲165線道路排水改善工程_內湖大排災害復建工程_普令厝農地重劃區西33路農水路改善工程_施工日誌1" xfId="1721" xr:uid="{00000000-0005-0000-0000-00008D030000}"/>
    <cellStyle name="_四湖鄉雲165線道路排水改善工程_內湖大排災害復建工程_普令厝農地重劃區西33路農水路改善工程_崙背鄉雨水下水道清淤疏浚維護工程" xfId="101" xr:uid="{00000000-0005-0000-0000-00008E030000}"/>
    <cellStyle name="_四湖鄉雲165線道路排水改善工程_內湖大排災害復建工程_普令厝農地重劃區西33路農水路改善工程_崙背鄉雨水下水道清淤疏浚維護工程 2" xfId="2914" xr:uid="{00000000-0005-0000-0000-00008F030000}"/>
    <cellStyle name="_四湖鄉雲165線道路排水改善工程_內湖大排災害復建工程_普令厝農地重劃區西33路農水路改善工程_崙背鄉雨水下水道清淤疏浚維護工程_施工日誌1" xfId="1724" xr:uid="{00000000-0005-0000-0000-000090030000}"/>
    <cellStyle name="_四湖鄉雲165線道路排水改善工程_內湖大排災害復建工程_普令厝農地重劃區西33路農水路改善工程_鹿寮農地重劃區補路農路改善工程等七件工程" xfId="102" xr:uid="{00000000-0005-0000-0000-000091030000}"/>
    <cellStyle name="_四湖鄉雲165線道路排水改善工程_內湖大排災害復建工程_普令厝農地重劃區西33路農水路改善工程_鹿寮農地重劃區補路農路改善工程等七件工程 2" xfId="2915" xr:uid="{00000000-0005-0000-0000-000092030000}"/>
    <cellStyle name="_四湖鄉雲165線道路排水改善工程_內湖大排災害復建工程_普令厝農地重劃區西33路農水路改善工程_鹿寮農地重劃區補路農路改善工程等七件工程_施工日誌1" xfId="1725" xr:uid="{00000000-0005-0000-0000-000093030000}"/>
    <cellStyle name="_四湖鄉雲165線道路排水改善工程_內湖大排災害復建工程_普令厝農地重劃區西33路農水路改善工程_普令厝農地重劃區西33路農水路改善工程" xfId="103" xr:uid="{00000000-0005-0000-0000-000094030000}"/>
    <cellStyle name="_四湖鄉雲165線道路排水改善工程_內湖大排災害復建工程_普令厝農地重劃區西33路農水路改善工程_普令厝農地重劃區西33路農水路改善工程 2" xfId="2916" xr:uid="{00000000-0005-0000-0000-000095030000}"/>
    <cellStyle name="_四湖鄉雲165線道路排水改善工程_內湖大排災害復建工程_普令厝農地重劃區西33路農水路改善工程_普令厝農地重劃區西33路農水路改善工程_施工日誌1" xfId="1726" xr:uid="{00000000-0005-0000-0000-000096030000}"/>
    <cellStyle name="_四湖鄉雲165線道路排水改善工程_內湖大排災害復建工程_普令厝農地重劃區西33路農水路改善工程_雲林縣崙背鄉雨水下水道清淤工程" xfId="104" xr:uid="{00000000-0005-0000-0000-000097030000}"/>
    <cellStyle name="_四湖鄉雲165線道路排水改善工程_內湖大排災害復建工程_普令厝農地重劃區西33路農水路改善工程_雲林縣崙背鄉雨水下水道清淤工程 2" xfId="2917" xr:uid="{00000000-0005-0000-0000-000098030000}"/>
    <cellStyle name="_四湖鄉雲165線道路排水改善工程_內湖大排災害復建工程_普令厝農地重劃區西33路農水路改善工程_雲林縣崙背鄉雨水下水道清淤工程_施工日誌1" xfId="1727" xr:uid="{00000000-0005-0000-0000-000099030000}"/>
    <cellStyle name="_四湖鄉雲165線道路排水改善工程_內湖大排災害復建工程_普令厝農地重劃區西33路農水路改善工程_雲林縣臺西鄉A9～A9-3雨水下水道建設工程" xfId="2918" xr:uid="{00000000-0005-0000-0000-00009A030000}"/>
    <cellStyle name="_四湖鄉雲165線道路排水改善工程_內湖大排災害復建工程_普令厝農地重劃區西33路農水路改善工程_臺西鄉(凡那比颱風)鄉內道路排水災害復建工程" xfId="105" xr:uid="{00000000-0005-0000-0000-00009B030000}"/>
    <cellStyle name="_四湖鄉雲165線道路排水改善工程_內湖大排災害復建工程_普令厝農地重劃區西33路農水路改善工程_臺西鄉(凡那比颱風)鄉內道路排水災害復建工程 2" xfId="2919" xr:uid="{00000000-0005-0000-0000-00009C030000}"/>
    <cellStyle name="_四湖鄉雲165線道路排水改善工程_內湖大排災害復建工程_普令厝農地重劃區西33路農水路改善工程_臺西鄉(凡那比颱風)鄉內道路排水災害復建工程_施工日誌1" xfId="1728" xr:uid="{00000000-0005-0000-0000-00009D030000}"/>
    <cellStyle name="_四湖鄉雲165線道路排水改善工程_內湖大排災害復建工程_普令厝農地重劃區西33路農水路改善工程_臺西鄉蚊港村蚊港巷道改善工程" xfId="2920" xr:uid="{00000000-0005-0000-0000-00009E030000}"/>
    <cellStyle name="_四湖鄉雲165線道路排水改善工程_內湖大排災害復建工程_普令厝農地重劃區西33路農水路改善工程_臺西鄉普令厝重劃區西8路等道路排水改善工程(確定案)" xfId="106" xr:uid="{00000000-0005-0000-0000-00009F030000}"/>
    <cellStyle name="_四湖鄉雲165線道路排水改善工程_內湖大排災害復建工程_普令厝農地重劃區西33路農水路改善工程_臺西鄉普令厝重劃區西8路等道路排水改善工程(確定案) 2" xfId="2921" xr:uid="{00000000-0005-0000-0000-0000A0030000}"/>
    <cellStyle name="_四湖鄉雲165線道路排水改善工程_內湖大排災害復建工程_普令厝農地重劃區西33路農水路改善工程_臺西鄉普令厝重劃區西8路等道路排水改善工程(確定案)_施工日誌1" xfId="1729" xr:uid="{00000000-0005-0000-0000-0000A1030000}"/>
    <cellStyle name="_四湖鄉雲165線道路排水改善工程_內湖大排災害復建工程_普令厝農地重劃區西33路農水路改善工程_臺西鄉臺西公有零售市埸作為多目標使用改善工程" xfId="2922" xr:uid="{00000000-0005-0000-0000-0000A2030000}"/>
    <cellStyle name="_四湖鄉雲165線道路排水改善工程_內湖大排災害復建工程_普令厝農地重劃區西33路農水路改善工程_豐榮、草湖等村道路及排水溝改善工程-(變更)2" xfId="2923" xr:uid="{00000000-0005-0000-0000-0000A3030000}"/>
    <cellStyle name="_四湖鄉雲165線道路排水改善工程_四湖大排災害復建工程數量表" xfId="107" xr:uid="{00000000-0005-0000-0000-0000A4030000}"/>
    <cellStyle name="_四湖鄉雲165線道路排水改善工程_四湖大排災害復建工程數量表 2" xfId="2924" xr:uid="{00000000-0005-0000-0000-0000A5030000}"/>
    <cellStyle name="_四湖鄉雲165線道路排水改善工程_四湖大排災害復建工程數量表_施工日誌1" xfId="1730" xr:uid="{00000000-0005-0000-0000-0000A6030000}"/>
    <cellStyle name="_四湖鄉雲165線道路排水改善工程_四湖大排災害復建工程數量表_普令厝農地重劃區西33路農水路改善工程" xfId="108" xr:uid="{00000000-0005-0000-0000-0000A7030000}"/>
    <cellStyle name="_四湖鄉雲165線道路排水改善工程_四湖大排災害復建工程數量表_普令厝農地重劃區西33路農水路改善工程 2" xfId="2925" xr:uid="{00000000-0005-0000-0000-0000A8030000}"/>
    <cellStyle name="_四湖鄉雲165線道路排水改善工程_四湖大排災害復建工程數量表_普令厝農地重劃區西33路農水路改善工程_土庫鎮埤腳里道路、排水溝改善工程101.05.18(修正3確定)" xfId="2926" xr:uid="{00000000-0005-0000-0000-0000A9030000}"/>
    <cellStyle name="_四湖鄉雲165線道路排水改善工程_四湖大排災害復建工程數量表_普令厝農地重劃區西33路農水路改善工程_元長鄉長南村巷道排水改善工程" xfId="2927" xr:uid="{00000000-0005-0000-0000-0000AA030000}"/>
    <cellStyle name="_四湖鄉雲165線道路排水改善工程_四湖大排災害復建工程數量表_普令厝農地重劃區西33路農水路改善工程_斗南鎮久安農地重劃區V51路農路路面改善工程" xfId="5070" xr:uid="{00000000-0005-0000-0000-0000AB030000}"/>
    <cellStyle name="_四湖鄉雲165線道路排水改善工程_四湖大排災害復建工程數量表_普令厝農地重劃區西33路農水路改善工程_斗南鎮田頭農地重劃區農路改善工程" xfId="5071" xr:uid="{00000000-0005-0000-0000-0000AC030000}"/>
    <cellStyle name="_四湖鄉雲165線道路排水改善工程_四湖大排災害復建工程數量表_普令厝農地重劃區西33路農水路改善工程_斗南鎮西岐里舊社里等路面改善工程-100.05.18" xfId="2928" xr:uid="{00000000-0005-0000-0000-0000AD030000}"/>
    <cellStyle name="_四湖鄉雲165線道路排水改善工程_四湖大排災害復建工程數量表_普令厝農地重劃區西33路農水路改善工程_斗南鎮阿丹里、林子里相關公共設施改善工程100.11.29" xfId="2929" xr:uid="{00000000-0005-0000-0000-0000AE030000}"/>
    <cellStyle name="_四湖鄉雲165線道路排水改善工程_四湖大排災害復建工程數量表_普令厝農地重劃區西33路農水路改善工程_斗南鎮將軍里等路面及附屬設施改善工程" xfId="2930" xr:uid="{00000000-0005-0000-0000-0000AF030000}"/>
    <cellStyle name="_四湖鄉雲165線道路排水改善工程_四湖大排災害復建工程數量表_普令厝農地重劃區西33路農水路改善工程_古坑鄉大湖底段及麻園段路面改善工程" xfId="2931" xr:uid="{00000000-0005-0000-0000-0000B0030000}"/>
    <cellStyle name="_四湖鄉雲165線道路排水改善工程_四湖大排災害復建工程數量表_普令厝農地重劃區西33路農水路改善工程_台西海埔地南4路排水9907豪雨災害復建工程" xfId="2932" xr:uid="{00000000-0005-0000-0000-0000B1030000}"/>
    <cellStyle name="_四湖鄉雲165線道路排水改善工程_四湖大排災害復建工程數量表_普令厝農地重劃區西33路農水路改善工程_台西鄉四美重劃區南北幹路4農路復建工程" xfId="109" xr:uid="{00000000-0005-0000-0000-0000B2030000}"/>
    <cellStyle name="_四湖鄉雲165線道路排水改善工程_四湖大排災害復建工程數量表_普令厝農地重劃區西33路農水路改善工程_台西鄉四美重劃區南北幹路4農路復建工程 2" xfId="2933" xr:uid="{00000000-0005-0000-0000-0000B3030000}"/>
    <cellStyle name="_四湖鄉雲165線道路排水改善工程_四湖大排災害復建工程數量表_普令厝農地重劃區西33路農水路改善工程_台西鄉四美重劃區南北幹路4農路復建工程_施工日誌1" xfId="1732" xr:uid="{00000000-0005-0000-0000-0000B4030000}"/>
    <cellStyle name="_四湖鄉雲165線道路排水改善工程_四湖大排災害復建工程數量表_普令厝農地重劃區西33路農水路改善工程_東勢鄉新坤村及麥寮鄉海豐村道路排水改善工程" xfId="5072" xr:uid="{00000000-0005-0000-0000-0000B5030000}"/>
    <cellStyle name="_四湖鄉雲165線道路排水改善工程_四湖大排災害復建工程數量表_普令厝農地重劃區西33路農水路改善工程_林縣臺西鄉A10~A12雨水下水道建設工程(增減明細)" xfId="2934" xr:uid="{00000000-0005-0000-0000-0000B6030000}"/>
    <cellStyle name="_四湖鄉雲165線道路排水改善工程_四湖大排災害復建工程數量表_普令厝農地重劃區西33路農水路改善工程_虎尾鎮新吉里竹圍子農村社區生態魚池暨運動公園道路與排水改善工程(預算書)" xfId="2935" xr:uid="{00000000-0005-0000-0000-0000B7030000}"/>
    <cellStyle name="_四湖鄉雲165線道路排水改善工程_四湖大排災害復建工程數量表_普令厝農地重劃區西33路農水路改善工程_虎尾鎮新吉里竹圍子農村社區生態魚池暨運動公園道路與排水改善工程(確定)" xfId="5073" xr:uid="{00000000-0005-0000-0000-0000B8030000}"/>
    <cellStyle name="_四湖鄉雲165線道路排水改善工程_四湖大排災害復建工程數量表_普令厝農地重劃區西33路農水路改善工程_長北村等巷道排水改善工程" xfId="2936" xr:uid="{00000000-0005-0000-0000-0000B9030000}"/>
    <cellStyle name="_四湖鄉雲165線道路排水改善工程_四湖大排災害復建工程數量表_普令厝農地重劃區西33路農水路改善工程_後溝子一農地重劃區南北八路農路改善工程" xfId="110" xr:uid="{00000000-0005-0000-0000-0000BA030000}"/>
    <cellStyle name="_四湖鄉雲165線道路排水改善工程_四湖大排災害復建工程數量表_普令厝農地重劃區西33路農水路改善工程_後溝子一農地重劃區南北八路農路改善工程 2" xfId="2937" xr:uid="{00000000-0005-0000-0000-0000BB030000}"/>
    <cellStyle name="_四湖鄉雲165線道路排水改善工程_四湖大排災害復建工程數量表_普令厝農地重劃區西33路農水路改善工程_後溝子一農地重劃區南北八路農路改善工程_施工日誌1" xfId="1733" xr:uid="{00000000-0005-0000-0000-0000BC030000}"/>
    <cellStyle name="_四湖鄉雲165線道路排水改善工程_四湖大排災害復建工程數量表_普令厝農地重劃區西33路農水路改善工程_施工日誌1" xfId="1731" xr:uid="{00000000-0005-0000-0000-0000BD030000}"/>
    <cellStyle name="_四湖鄉雲165線道路排水改善工程_四湖大排災害復建工程數量表_普令厝農地重劃區西33路農水路改善工程_崙背鄉雨水下水道清淤疏浚維護工程" xfId="111" xr:uid="{00000000-0005-0000-0000-0000BE030000}"/>
    <cellStyle name="_四湖鄉雲165線道路排水改善工程_四湖大排災害復建工程數量表_普令厝農地重劃區西33路農水路改善工程_崙背鄉雨水下水道清淤疏浚維護工程 2" xfId="2938" xr:uid="{00000000-0005-0000-0000-0000BF030000}"/>
    <cellStyle name="_四湖鄉雲165線道路排水改善工程_四湖大排災害復建工程數量表_普令厝農地重劃區西33路農水路改善工程_崙背鄉雨水下水道清淤疏浚維護工程_施工日誌1" xfId="1734" xr:uid="{00000000-0005-0000-0000-0000C0030000}"/>
    <cellStyle name="_四湖鄉雲165線道路排水改善工程_四湖大排災害復建工程數量表_普令厝農地重劃區西33路農水路改善工程_鹿寮農地重劃區補路農路改善工程等七件工程" xfId="112" xr:uid="{00000000-0005-0000-0000-0000C1030000}"/>
    <cellStyle name="_四湖鄉雲165線道路排水改善工程_四湖大排災害復建工程數量表_普令厝農地重劃區西33路農水路改善工程_鹿寮農地重劃區補路農路改善工程等七件工程 2" xfId="2939" xr:uid="{00000000-0005-0000-0000-0000C2030000}"/>
    <cellStyle name="_四湖鄉雲165線道路排水改善工程_四湖大排災害復建工程數量表_普令厝農地重劃區西33路農水路改善工程_鹿寮農地重劃區補路農路改善工程等七件工程_施工日誌1" xfId="1735" xr:uid="{00000000-0005-0000-0000-0000C3030000}"/>
    <cellStyle name="_四湖鄉雲165線道路排水改善工程_四湖大排災害復建工程數量表_普令厝農地重劃區西33路農水路改善工程_普令厝農地重劃區西33路農水路改善工程" xfId="113" xr:uid="{00000000-0005-0000-0000-0000C4030000}"/>
    <cellStyle name="_四湖鄉雲165線道路排水改善工程_四湖大排災害復建工程數量表_普令厝農地重劃區西33路農水路改善工程_普令厝農地重劃區西33路農水路改善工程 2" xfId="2940" xr:uid="{00000000-0005-0000-0000-0000C5030000}"/>
    <cellStyle name="_四湖鄉雲165線道路排水改善工程_四湖大排災害復建工程數量表_普令厝農地重劃區西33路農水路改善工程_普令厝農地重劃區西33路農水路改善工程_施工日誌1" xfId="1736" xr:uid="{00000000-0005-0000-0000-0000C6030000}"/>
    <cellStyle name="_四湖鄉雲165線道路排水改善工程_四湖大排災害復建工程數量表_普令厝農地重劃區西33路農水路改善工程_雲林縣崙背鄉雨水下水道清淤工程" xfId="114" xr:uid="{00000000-0005-0000-0000-0000C7030000}"/>
    <cellStyle name="_四湖鄉雲165線道路排水改善工程_四湖大排災害復建工程數量表_普令厝農地重劃區西33路農水路改善工程_雲林縣崙背鄉雨水下水道清淤工程 2" xfId="2941" xr:uid="{00000000-0005-0000-0000-0000C8030000}"/>
    <cellStyle name="_四湖鄉雲165線道路排水改善工程_四湖大排災害復建工程數量表_普令厝農地重劃區西33路農水路改善工程_雲林縣崙背鄉雨水下水道清淤工程_施工日誌1" xfId="1737" xr:uid="{00000000-0005-0000-0000-0000C9030000}"/>
    <cellStyle name="_四湖鄉雲165線道路排水改善工程_四湖大排災害復建工程數量表_普令厝農地重劃區西33路農水路改善工程_雲林縣臺西鄉A9～A9-3雨水下水道建設工程" xfId="2942" xr:uid="{00000000-0005-0000-0000-0000CA030000}"/>
    <cellStyle name="_四湖鄉雲165線道路排水改善工程_四湖大排災害復建工程數量表_普令厝農地重劃區西33路農水路改善工程_臺西鄉(凡那比颱風)鄉內道路排水災害復建工程" xfId="115" xr:uid="{00000000-0005-0000-0000-0000CB030000}"/>
    <cellStyle name="_四湖鄉雲165線道路排水改善工程_四湖大排災害復建工程數量表_普令厝農地重劃區西33路農水路改善工程_臺西鄉(凡那比颱風)鄉內道路排水災害復建工程 2" xfId="2943" xr:uid="{00000000-0005-0000-0000-0000CC030000}"/>
    <cellStyle name="_四湖鄉雲165線道路排水改善工程_四湖大排災害復建工程數量表_普令厝農地重劃區西33路農水路改善工程_臺西鄉(凡那比颱風)鄉內道路排水災害復建工程_施工日誌1" xfId="1738" xr:uid="{00000000-0005-0000-0000-0000CD030000}"/>
    <cellStyle name="_四湖鄉雲165線道路排水改善工程_四湖大排災害復建工程數量表_普令厝農地重劃區西33路農水路改善工程_臺西鄉蚊港村蚊港巷道改善工程" xfId="2944" xr:uid="{00000000-0005-0000-0000-0000CE030000}"/>
    <cellStyle name="_四湖鄉雲165線道路排水改善工程_四湖大排災害復建工程數量表_普令厝農地重劃區西33路農水路改善工程_臺西鄉普令厝重劃區西8路等道路排水改善工程(確定案)" xfId="116" xr:uid="{00000000-0005-0000-0000-0000CF030000}"/>
    <cellStyle name="_四湖鄉雲165線道路排水改善工程_四湖大排災害復建工程數量表_普令厝農地重劃區西33路農水路改善工程_臺西鄉普令厝重劃區西8路等道路排水改善工程(確定案) 2" xfId="2945" xr:uid="{00000000-0005-0000-0000-0000D0030000}"/>
    <cellStyle name="_四湖鄉雲165線道路排水改善工程_四湖大排災害復建工程數量表_普令厝農地重劃區西33路農水路改善工程_臺西鄉普令厝重劃區西8路等道路排水改善工程(確定案)_施工日誌1" xfId="1739" xr:uid="{00000000-0005-0000-0000-0000D1030000}"/>
    <cellStyle name="_四湖鄉雲165線道路排水改善工程_四湖大排災害復建工程數量表_普令厝農地重劃區西33路農水路改善工程_臺西鄉臺西公有零售市埸作為多目標使用改善工程" xfId="2946" xr:uid="{00000000-0005-0000-0000-0000D2030000}"/>
    <cellStyle name="_四湖鄉雲165線道路排水改善工程_四湖大排災害復建工程數量表_普令厝農地重劃區西33路農水路改善工程_豐榮、草湖等村道路及排水溝改善工程-(變更)2" xfId="2947" xr:uid="{00000000-0005-0000-0000-0000D3030000}"/>
    <cellStyle name="_四湖鄉雲165線道路排水改善工程_四湖鄉廣溝厝農路改善工程" xfId="117" xr:uid="{00000000-0005-0000-0000-0000D4030000}"/>
    <cellStyle name="_四湖鄉雲165線道路排水改善工程_四湖鄉廣溝厝農路改善工程 2" xfId="2948" xr:uid="{00000000-0005-0000-0000-0000D5030000}"/>
    <cellStyle name="_四湖鄉雲165線道路排水改善工程_四湖鄉廣溝厝農路改善工程_施工日誌1" xfId="1740" xr:uid="{00000000-0005-0000-0000-0000D6030000}"/>
    <cellStyle name="_四湖鄉雲165線道路排水改善工程_四湖鄉廣溝厝農路改善工程_普令厝農地重劃區西33路農水路改善工程" xfId="118" xr:uid="{00000000-0005-0000-0000-0000D7030000}"/>
    <cellStyle name="_四湖鄉雲165線道路排水改善工程_四湖鄉廣溝厝農路改善工程_普令厝農地重劃區西33路農水路改善工程 2" xfId="2949" xr:uid="{00000000-0005-0000-0000-0000D8030000}"/>
    <cellStyle name="_四湖鄉雲165線道路排水改善工程_四湖鄉廣溝厝農路改善工程_普令厝農地重劃區西33路農水路改善工程_土庫鎮埤腳里道路、排水溝改善工程101.05.18(修正3確定)" xfId="2950" xr:uid="{00000000-0005-0000-0000-0000D9030000}"/>
    <cellStyle name="_四湖鄉雲165線道路排水改善工程_四湖鄉廣溝厝農路改善工程_普令厝農地重劃區西33路農水路改善工程_元長鄉長南村巷道排水改善工程" xfId="2951" xr:uid="{00000000-0005-0000-0000-0000DA030000}"/>
    <cellStyle name="_四湖鄉雲165線道路排水改善工程_四湖鄉廣溝厝農路改善工程_普令厝農地重劃區西33路農水路改善工程_斗南鎮久安農地重劃區V51路農路路面改善工程" xfId="5074" xr:uid="{00000000-0005-0000-0000-0000DB030000}"/>
    <cellStyle name="_四湖鄉雲165線道路排水改善工程_四湖鄉廣溝厝農路改善工程_普令厝農地重劃區西33路農水路改善工程_斗南鎮田頭農地重劃區農路改善工程" xfId="5075" xr:uid="{00000000-0005-0000-0000-0000DC030000}"/>
    <cellStyle name="_四湖鄉雲165線道路排水改善工程_四湖鄉廣溝厝農路改善工程_普令厝農地重劃區西33路農水路改善工程_斗南鎮西岐里舊社里等路面改善工程-100.05.18" xfId="2952" xr:uid="{00000000-0005-0000-0000-0000DD030000}"/>
    <cellStyle name="_四湖鄉雲165線道路排水改善工程_四湖鄉廣溝厝農路改善工程_普令厝農地重劃區西33路農水路改善工程_斗南鎮阿丹里、林子里相關公共設施改善工程100.11.29" xfId="2953" xr:uid="{00000000-0005-0000-0000-0000DE030000}"/>
    <cellStyle name="_四湖鄉雲165線道路排水改善工程_四湖鄉廣溝厝農路改善工程_普令厝農地重劃區西33路農水路改善工程_斗南鎮將軍里等路面及附屬設施改善工程" xfId="2954" xr:uid="{00000000-0005-0000-0000-0000DF030000}"/>
    <cellStyle name="_四湖鄉雲165線道路排水改善工程_四湖鄉廣溝厝農路改善工程_普令厝農地重劃區西33路農水路改善工程_古坑鄉大湖底段及麻園段路面改善工程" xfId="2955" xr:uid="{00000000-0005-0000-0000-0000E0030000}"/>
    <cellStyle name="_四湖鄉雲165線道路排水改善工程_四湖鄉廣溝厝農路改善工程_普令厝農地重劃區西33路農水路改善工程_台西海埔地南4路排水9907豪雨災害復建工程" xfId="2956" xr:uid="{00000000-0005-0000-0000-0000E1030000}"/>
    <cellStyle name="_四湖鄉雲165線道路排水改善工程_四湖鄉廣溝厝農路改善工程_普令厝農地重劃區西33路農水路改善工程_台西鄉四美重劃區南北幹路4農路復建工程" xfId="119" xr:uid="{00000000-0005-0000-0000-0000E2030000}"/>
    <cellStyle name="_四湖鄉雲165線道路排水改善工程_四湖鄉廣溝厝農路改善工程_普令厝農地重劃區西33路農水路改善工程_台西鄉四美重劃區南北幹路4農路復建工程 2" xfId="2957" xr:uid="{00000000-0005-0000-0000-0000E3030000}"/>
    <cellStyle name="_四湖鄉雲165線道路排水改善工程_四湖鄉廣溝厝農路改善工程_普令厝農地重劃區西33路農水路改善工程_台西鄉四美重劃區南北幹路4農路復建工程_施工日誌1" xfId="1742" xr:uid="{00000000-0005-0000-0000-0000E4030000}"/>
    <cellStyle name="_四湖鄉雲165線道路排水改善工程_四湖鄉廣溝厝農路改善工程_普令厝農地重劃區西33路農水路改善工程_東勢鄉新坤村及麥寮鄉海豐村道路排水改善工程" xfId="5076" xr:uid="{00000000-0005-0000-0000-0000E5030000}"/>
    <cellStyle name="_四湖鄉雲165線道路排水改善工程_四湖鄉廣溝厝農路改善工程_普令厝農地重劃區西33路農水路改善工程_林縣臺西鄉A10~A12雨水下水道建設工程(增減明細)" xfId="2958" xr:uid="{00000000-0005-0000-0000-0000E6030000}"/>
    <cellStyle name="_四湖鄉雲165線道路排水改善工程_四湖鄉廣溝厝農路改善工程_普令厝農地重劃區西33路農水路改善工程_虎尾鎮新吉里竹圍子農村社區生態魚池暨運動公園道路與排水改善工程(預算書)" xfId="2959" xr:uid="{00000000-0005-0000-0000-0000E7030000}"/>
    <cellStyle name="_四湖鄉雲165線道路排水改善工程_四湖鄉廣溝厝農路改善工程_普令厝農地重劃區西33路農水路改善工程_虎尾鎮新吉里竹圍子農村社區生態魚池暨運動公園道路與排水改善工程(確定)" xfId="5077" xr:uid="{00000000-0005-0000-0000-0000E8030000}"/>
    <cellStyle name="_四湖鄉雲165線道路排水改善工程_四湖鄉廣溝厝農路改善工程_普令厝農地重劃區西33路農水路改善工程_長北村等巷道排水改善工程" xfId="2960" xr:uid="{00000000-0005-0000-0000-0000E9030000}"/>
    <cellStyle name="_四湖鄉雲165線道路排水改善工程_四湖鄉廣溝厝農路改善工程_普令厝農地重劃區西33路農水路改善工程_後溝子一農地重劃區南北八路農路改善工程" xfId="120" xr:uid="{00000000-0005-0000-0000-0000EA030000}"/>
    <cellStyle name="_四湖鄉雲165線道路排水改善工程_四湖鄉廣溝厝農路改善工程_普令厝農地重劃區西33路農水路改善工程_後溝子一農地重劃區南北八路農路改善工程 2" xfId="2961" xr:uid="{00000000-0005-0000-0000-0000EB030000}"/>
    <cellStyle name="_四湖鄉雲165線道路排水改善工程_四湖鄉廣溝厝農路改善工程_普令厝農地重劃區西33路農水路改善工程_後溝子一農地重劃區南北八路農路改善工程_施工日誌1" xfId="1743" xr:uid="{00000000-0005-0000-0000-0000EC030000}"/>
    <cellStyle name="_四湖鄉雲165線道路排水改善工程_四湖鄉廣溝厝農路改善工程_普令厝農地重劃區西33路農水路改善工程_施工日誌1" xfId="1741" xr:uid="{00000000-0005-0000-0000-0000ED030000}"/>
    <cellStyle name="_四湖鄉雲165線道路排水改善工程_四湖鄉廣溝厝農路改善工程_普令厝農地重劃區西33路農水路改善工程_崙背鄉雨水下水道清淤疏浚維護工程" xfId="121" xr:uid="{00000000-0005-0000-0000-0000EE030000}"/>
    <cellStyle name="_四湖鄉雲165線道路排水改善工程_四湖鄉廣溝厝農路改善工程_普令厝農地重劃區西33路農水路改善工程_崙背鄉雨水下水道清淤疏浚維護工程 2" xfId="2962" xr:uid="{00000000-0005-0000-0000-0000EF030000}"/>
    <cellStyle name="_四湖鄉雲165線道路排水改善工程_四湖鄉廣溝厝農路改善工程_普令厝農地重劃區西33路農水路改善工程_崙背鄉雨水下水道清淤疏浚維護工程_施工日誌1" xfId="1744" xr:uid="{00000000-0005-0000-0000-0000F0030000}"/>
    <cellStyle name="_四湖鄉雲165線道路排水改善工程_四湖鄉廣溝厝農路改善工程_普令厝農地重劃區西33路農水路改善工程_鹿寮農地重劃區補路農路改善工程等七件工程" xfId="122" xr:uid="{00000000-0005-0000-0000-0000F1030000}"/>
    <cellStyle name="_四湖鄉雲165線道路排水改善工程_四湖鄉廣溝厝農路改善工程_普令厝農地重劃區西33路農水路改善工程_鹿寮農地重劃區補路農路改善工程等七件工程 2" xfId="2963" xr:uid="{00000000-0005-0000-0000-0000F2030000}"/>
    <cellStyle name="_四湖鄉雲165線道路排水改善工程_四湖鄉廣溝厝農路改善工程_普令厝農地重劃區西33路農水路改善工程_鹿寮農地重劃區補路農路改善工程等七件工程_施工日誌1" xfId="1745" xr:uid="{00000000-0005-0000-0000-0000F3030000}"/>
    <cellStyle name="_四湖鄉雲165線道路排水改善工程_四湖鄉廣溝厝農路改善工程_普令厝農地重劃區西33路農水路改善工程_普令厝農地重劃區西33路農水路改善工程" xfId="123" xr:uid="{00000000-0005-0000-0000-0000F4030000}"/>
    <cellStyle name="_四湖鄉雲165線道路排水改善工程_四湖鄉廣溝厝農路改善工程_普令厝農地重劃區西33路農水路改善工程_普令厝農地重劃區西33路農水路改善工程 2" xfId="2964" xr:uid="{00000000-0005-0000-0000-0000F5030000}"/>
    <cellStyle name="_四湖鄉雲165線道路排水改善工程_四湖鄉廣溝厝農路改善工程_普令厝農地重劃區西33路農水路改善工程_普令厝農地重劃區西33路農水路改善工程_施工日誌1" xfId="1746" xr:uid="{00000000-0005-0000-0000-0000F6030000}"/>
    <cellStyle name="_四湖鄉雲165線道路排水改善工程_四湖鄉廣溝厝農路改善工程_普令厝農地重劃區西33路農水路改善工程_雲林縣崙背鄉雨水下水道清淤工程" xfId="124" xr:uid="{00000000-0005-0000-0000-0000F7030000}"/>
    <cellStyle name="_四湖鄉雲165線道路排水改善工程_四湖鄉廣溝厝農路改善工程_普令厝農地重劃區西33路農水路改善工程_雲林縣崙背鄉雨水下水道清淤工程 2" xfId="2965" xr:uid="{00000000-0005-0000-0000-0000F8030000}"/>
    <cellStyle name="_四湖鄉雲165線道路排水改善工程_四湖鄉廣溝厝農路改善工程_普令厝農地重劃區西33路農水路改善工程_雲林縣崙背鄉雨水下水道清淤工程_施工日誌1" xfId="1747" xr:uid="{00000000-0005-0000-0000-0000F9030000}"/>
    <cellStyle name="_四湖鄉雲165線道路排水改善工程_四湖鄉廣溝厝農路改善工程_普令厝農地重劃區西33路農水路改善工程_雲林縣臺西鄉A9～A9-3雨水下水道建設工程" xfId="2966" xr:uid="{00000000-0005-0000-0000-0000FA030000}"/>
    <cellStyle name="_四湖鄉雲165線道路排水改善工程_四湖鄉廣溝厝農路改善工程_普令厝農地重劃區西33路農水路改善工程_臺西鄉(凡那比颱風)鄉內道路排水災害復建工程" xfId="125" xr:uid="{00000000-0005-0000-0000-0000FB030000}"/>
    <cellStyle name="_四湖鄉雲165線道路排水改善工程_四湖鄉廣溝厝農路改善工程_普令厝農地重劃區西33路農水路改善工程_臺西鄉(凡那比颱風)鄉內道路排水災害復建工程 2" xfId="2967" xr:uid="{00000000-0005-0000-0000-0000FC030000}"/>
    <cellStyle name="_四湖鄉雲165線道路排水改善工程_四湖鄉廣溝厝農路改善工程_普令厝農地重劃區西33路農水路改善工程_臺西鄉(凡那比颱風)鄉內道路排水災害復建工程_施工日誌1" xfId="1748" xr:uid="{00000000-0005-0000-0000-0000FD030000}"/>
    <cellStyle name="_四湖鄉雲165線道路排水改善工程_四湖鄉廣溝厝農路改善工程_普令厝農地重劃區西33路農水路改善工程_臺西鄉蚊港村蚊港巷道改善工程" xfId="2968" xr:uid="{00000000-0005-0000-0000-0000FE030000}"/>
    <cellStyle name="_四湖鄉雲165線道路排水改善工程_四湖鄉廣溝厝農路改善工程_普令厝農地重劃區西33路農水路改善工程_臺西鄉普令厝重劃區西8路等道路排水改善工程(確定案)" xfId="126" xr:uid="{00000000-0005-0000-0000-0000FF030000}"/>
    <cellStyle name="_四湖鄉雲165線道路排水改善工程_四湖鄉廣溝厝農路改善工程_普令厝農地重劃區西33路農水路改善工程_臺西鄉普令厝重劃區西8路等道路排水改善工程(確定案) 2" xfId="2969" xr:uid="{00000000-0005-0000-0000-000000040000}"/>
    <cellStyle name="_四湖鄉雲165線道路排水改善工程_四湖鄉廣溝厝農路改善工程_普令厝農地重劃區西33路農水路改善工程_臺西鄉普令厝重劃區西8路等道路排水改善工程(確定案)_施工日誌1" xfId="1749" xr:uid="{00000000-0005-0000-0000-000001040000}"/>
    <cellStyle name="_四湖鄉雲165線道路排水改善工程_四湖鄉廣溝厝農路改善工程_普令厝農地重劃區西33路農水路改善工程_臺西鄉臺西公有零售市埸作為多目標使用改善工程" xfId="2970" xr:uid="{00000000-0005-0000-0000-000002040000}"/>
    <cellStyle name="_四湖鄉雲165線道路排水改善工程_四湖鄉廣溝厝農路改善工程_普令厝農地重劃區西33路農水路改善工程_豐榮、草湖等村道路及排水溝改善工程-(變更)2" xfId="2971" xr:uid="{00000000-0005-0000-0000-000003040000}"/>
    <cellStyle name="_四湖鄉雲165線道路排水改善工程_決算-文化館" xfId="127" xr:uid="{00000000-0005-0000-0000-000004040000}"/>
    <cellStyle name="_四湖鄉雲165線道路排水改善工程_決算-文化館_施工日誌1" xfId="1750" xr:uid="{00000000-0005-0000-0000-000005040000}"/>
    <cellStyle name="_四湖鄉雲165線道路排水改善工程_空白標單97-8-28" xfId="128" xr:uid="{00000000-0005-0000-0000-000006040000}"/>
    <cellStyle name="_四湖鄉雲165線道路排水改善工程_空白標單97-8-28_施工日誌1" xfId="1751" xr:uid="{00000000-0005-0000-0000-000007040000}"/>
    <cellStyle name="_四湖鄉雲165線道路排水改善工程_施工日誌1" xfId="1719" xr:uid="{00000000-0005-0000-0000-000008040000}"/>
    <cellStyle name="_四湖鄉雲165線道路排水改善工程_參天宮-竣工結算1127" xfId="129" xr:uid="{00000000-0005-0000-0000-000009040000}"/>
    <cellStyle name="_四湖鄉雲165線道路排水改善工程_參天宮-竣工結算1127_施工日誌1" xfId="1752" xr:uid="{00000000-0005-0000-0000-00000A040000}"/>
    <cellStyle name="_四湖鄉雲165線道路排水改善工程_普令厝農地重劃區西33路農水路改善工程" xfId="130" xr:uid="{00000000-0005-0000-0000-00000B040000}"/>
    <cellStyle name="_四湖鄉雲165線道路排水改善工程_普令厝農地重劃區西33路農水路改善工程 2" xfId="2972" xr:uid="{00000000-0005-0000-0000-00000C040000}"/>
    <cellStyle name="_四湖鄉雲165線道路排水改善工程_普令厝農地重劃區西33路農水路改善工程_土庫鎮埤腳里道路、排水溝改善工程101.05.18(修正3確定)" xfId="2973" xr:uid="{00000000-0005-0000-0000-00000D040000}"/>
    <cellStyle name="_四湖鄉雲165線道路排水改善工程_普令厝農地重劃區西33路農水路改善工程_元長鄉長南村巷道排水改善工程" xfId="2974" xr:uid="{00000000-0005-0000-0000-00000E040000}"/>
    <cellStyle name="_四湖鄉雲165線道路排水改善工程_普令厝農地重劃區西33路農水路改善工程_斗南鎮久安農地重劃區V51路農路路面改善工程" xfId="5078" xr:uid="{00000000-0005-0000-0000-00000F040000}"/>
    <cellStyle name="_四湖鄉雲165線道路排水改善工程_普令厝農地重劃區西33路農水路改善工程_斗南鎮田頭農地重劃區農路改善工程" xfId="5079" xr:uid="{00000000-0005-0000-0000-000010040000}"/>
    <cellStyle name="_四湖鄉雲165線道路排水改善工程_普令厝農地重劃區西33路農水路改善工程_斗南鎮西岐里舊社里等路面改善工程-100.05.18" xfId="2975" xr:uid="{00000000-0005-0000-0000-000011040000}"/>
    <cellStyle name="_四湖鄉雲165線道路排水改善工程_普令厝農地重劃區西33路農水路改善工程_斗南鎮阿丹里、林子里相關公共設施改善工程100.11.29" xfId="2976" xr:uid="{00000000-0005-0000-0000-000012040000}"/>
    <cellStyle name="_四湖鄉雲165線道路排水改善工程_普令厝農地重劃區西33路農水路改善工程_斗南鎮將軍里等路面及附屬設施改善工程" xfId="2977" xr:uid="{00000000-0005-0000-0000-000013040000}"/>
    <cellStyle name="_四湖鄉雲165線道路排水改善工程_普令厝農地重劃區西33路農水路改善工程_古坑鄉大湖底段及麻園段路面改善工程" xfId="2978" xr:uid="{00000000-0005-0000-0000-000014040000}"/>
    <cellStyle name="_四湖鄉雲165線道路排水改善工程_普令厝農地重劃區西33路農水路改善工程_台西海埔地南4路排水9907豪雨災害復建工程" xfId="2979" xr:uid="{00000000-0005-0000-0000-000015040000}"/>
    <cellStyle name="_四湖鄉雲165線道路排水改善工程_普令厝農地重劃區西33路農水路改善工程_台西鄉四美重劃區南北幹路4農路復建工程" xfId="131" xr:uid="{00000000-0005-0000-0000-000016040000}"/>
    <cellStyle name="_四湖鄉雲165線道路排水改善工程_普令厝農地重劃區西33路農水路改善工程_台西鄉四美重劃區南北幹路4農路復建工程 2" xfId="2980" xr:uid="{00000000-0005-0000-0000-000017040000}"/>
    <cellStyle name="_四湖鄉雲165線道路排水改善工程_普令厝農地重劃區西33路農水路改善工程_台西鄉四美重劃區南北幹路4農路復建工程_施工日誌1" xfId="1754" xr:uid="{00000000-0005-0000-0000-000018040000}"/>
    <cellStyle name="_四湖鄉雲165線道路排水改善工程_普令厝農地重劃區西33路農水路改善工程_東勢鄉新坤村及麥寮鄉海豐村道路排水改善工程" xfId="5080" xr:uid="{00000000-0005-0000-0000-000019040000}"/>
    <cellStyle name="_四湖鄉雲165線道路排水改善工程_普令厝農地重劃區西33路農水路改善工程_林縣臺西鄉A10~A12雨水下水道建設工程(增減明細)" xfId="2981" xr:uid="{00000000-0005-0000-0000-00001A040000}"/>
    <cellStyle name="_四湖鄉雲165線道路排水改善工程_普令厝農地重劃區西33路農水路改善工程_虎尾鎮新吉里竹圍子農村社區生態魚池暨運動公園道路與排水改善工程(預算書)" xfId="2982" xr:uid="{00000000-0005-0000-0000-00001B040000}"/>
    <cellStyle name="_四湖鄉雲165線道路排水改善工程_普令厝農地重劃區西33路農水路改善工程_虎尾鎮新吉里竹圍子農村社區生態魚池暨運動公園道路與排水改善工程(確定)" xfId="5081" xr:uid="{00000000-0005-0000-0000-00001C040000}"/>
    <cellStyle name="_四湖鄉雲165線道路排水改善工程_普令厝農地重劃區西33路農水路改善工程_長北村等巷道排水改善工程" xfId="2983" xr:uid="{00000000-0005-0000-0000-00001D040000}"/>
    <cellStyle name="_四湖鄉雲165線道路排水改善工程_普令厝農地重劃區西33路農水路改善工程_後溝子一農地重劃區南北八路農路改善工程" xfId="132" xr:uid="{00000000-0005-0000-0000-00001E040000}"/>
    <cellStyle name="_四湖鄉雲165線道路排水改善工程_普令厝農地重劃區西33路農水路改善工程_後溝子一農地重劃區南北八路農路改善工程 2" xfId="2984" xr:uid="{00000000-0005-0000-0000-00001F040000}"/>
    <cellStyle name="_四湖鄉雲165線道路排水改善工程_普令厝農地重劃區西33路農水路改善工程_後溝子一農地重劃區南北八路農路改善工程_施工日誌1" xfId="1755" xr:uid="{00000000-0005-0000-0000-000020040000}"/>
    <cellStyle name="_四湖鄉雲165線道路排水改善工程_普令厝農地重劃區西33路農水路改善工程_施工日誌1" xfId="1753" xr:uid="{00000000-0005-0000-0000-000021040000}"/>
    <cellStyle name="_四湖鄉雲165線道路排水改善工程_普令厝農地重劃區西33路農水路改善工程_崙背鄉雨水下水道清淤疏浚維護工程" xfId="133" xr:uid="{00000000-0005-0000-0000-000022040000}"/>
    <cellStyle name="_四湖鄉雲165線道路排水改善工程_普令厝農地重劃區西33路農水路改善工程_崙背鄉雨水下水道清淤疏浚維護工程 2" xfId="2985" xr:uid="{00000000-0005-0000-0000-000023040000}"/>
    <cellStyle name="_四湖鄉雲165線道路排水改善工程_普令厝農地重劃區西33路農水路改善工程_崙背鄉雨水下水道清淤疏浚維護工程_施工日誌1" xfId="1756" xr:uid="{00000000-0005-0000-0000-000024040000}"/>
    <cellStyle name="_四湖鄉雲165線道路排水改善工程_普令厝農地重劃區西33路農水路改善工程_鹿寮農地重劃區補路農路改善工程等七件工程" xfId="134" xr:uid="{00000000-0005-0000-0000-000025040000}"/>
    <cellStyle name="_四湖鄉雲165線道路排水改善工程_普令厝農地重劃區西33路農水路改善工程_鹿寮農地重劃區補路農路改善工程等七件工程 2" xfId="2986" xr:uid="{00000000-0005-0000-0000-000026040000}"/>
    <cellStyle name="_四湖鄉雲165線道路排水改善工程_普令厝農地重劃區西33路農水路改善工程_鹿寮農地重劃區補路農路改善工程等七件工程_施工日誌1" xfId="1757" xr:uid="{00000000-0005-0000-0000-000027040000}"/>
    <cellStyle name="_四湖鄉雲165線道路排水改善工程_普令厝農地重劃區西33路農水路改善工程_普令厝農地重劃區西33路農水路改善工程" xfId="135" xr:uid="{00000000-0005-0000-0000-000028040000}"/>
    <cellStyle name="_四湖鄉雲165線道路排水改善工程_普令厝農地重劃區西33路農水路改善工程_普令厝農地重劃區西33路農水路改善工程 2" xfId="2987" xr:uid="{00000000-0005-0000-0000-000029040000}"/>
    <cellStyle name="_四湖鄉雲165線道路排水改善工程_普令厝農地重劃區西33路農水路改善工程_普令厝農地重劃區西33路農水路改善工程_施工日誌1" xfId="1758" xr:uid="{00000000-0005-0000-0000-00002A040000}"/>
    <cellStyle name="_四湖鄉雲165線道路排水改善工程_普令厝農地重劃區西33路農水路改善工程_雲林縣崙背鄉雨水下水道清淤工程" xfId="136" xr:uid="{00000000-0005-0000-0000-00002B040000}"/>
    <cellStyle name="_四湖鄉雲165線道路排水改善工程_普令厝農地重劃區西33路農水路改善工程_雲林縣崙背鄉雨水下水道清淤工程 2" xfId="2988" xr:uid="{00000000-0005-0000-0000-00002C040000}"/>
    <cellStyle name="_四湖鄉雲165線道路排水改善工程_普令厝農地重劃區西33路農水路改善工程_雲林縣崙背鄉雨水下水道清淤工程_施工日誌1" xfId="1759" xr:uid="{00000000-0005-0000-0000-00002D040000}"/>
    <cellStyle name="_四湖鄉雲165線道路排水改善工程_普令厝農地重劃區西33路農水路改善工程_雲林縣臺西鄉A9～A9-3雨水下水道建設工程" xfId="2989" xr:uid="{00000000-0005-0000-0000-00002E040000}"/>
    <cellStyle name="_四湖鄉雲165線道路排水改善工程_普令厝農地重劃區西33路農水路改善工程_臺西鄉(凡那比颱風)鄉內道路排水災害復建工程" xfId="137" xr:uid="{00000000-0005-0000-0000-00002F040000}"/>
    <cellStyle name="_四湖鄉雲165線道路排水改善工程_普令厝農地重劃區西33路農水路改善工程_臺西鄉(凡那比颱風)鄉內道路排水災害復建工程 2" xfId="2990" xr:uid="{00000000-0005-0000-0000-000030040000}"/>
    <cellStyle name="_四湖鄉雲165線道路排水改善工程_普令厝農地重劃區西33路農水路改善工程_臺西鄉(凡那比颱風)鄉內道路排水災害復建工程_施工日誌1" xfId="1760" xr:uid="{00000000-0005-0000-0000-000031040000}"/>
    <cellStyle name="_四湖鄉雲165線道路排水改善工程_普令厝農地重劃區西33路農水路改善工程_臺西鄉蚊港村蚊港巷道改善工程" xfId="2991" xr:uid="{00000000-0005-0000-0000-000032040000}"/>
    <cellStyle name="_四湖鄉雲165線道路排水改善工程_普令厝農地重劃區西33路農水路改善工程_臺西鄉普令厝重劃區西8路等道路排水改善工程(確定案)" xfId="138" xr:uid="{00000000-0005-0000-0000-000033040000}"/>
    <cellStyle name="_四湖鄉雲165線道路排水改善工程_普令厝農地重劃區西33路農水路改善工程_臺西鄉普令厝重劃區西8路等道路排水改善工程(確定案) 2" xfId="2992" xr:uid="{00000000-0005-0000-0000-000034040000}"/>
    <cellStyle name="_四湖鄉雲165線道路排水改善工程_普令厝農地重劃區西33路農水路改善工程_臺西鄉普令厝重劃區西8路等道路排水改善工程(確定案)_施工日誌1" xfId="1761" xr:uid="{00000000-0005-0000-0000-000035040000}"/>
    <cellStyle name="_四湖鄉雲165線道路排水改善工程_普令厝農地重劃區西33路農水路改善工程_臺西鄉臺西公有零售市埸作為多目標使用改善工程" xfId="2993" xr:uid="{00000000-0005-0000-0000-000036040000}"/>
    <cellStyle name="_四湖鄉雲165線道路排水改善工程_普令厝農地重劃區西33路農水路改善工程_豐榮、草湖等村道路及排水溝改善工程-(變更)2" xfId="2994" xr:uid="{00000000-0005-0000-0000-000037040000}"/>
    <cellStyle name="_四湖鄉雲165線道路排水改善工程_預算書1210" xfId="139" xr:uid="{00000000-0005-0000-0000-000038040000}"/>
    <cellStyle name="_四湖鄉雲165線道路排水改善工程_預算書1210 2" xfId="2995" xr:uid="{00000000-0005-0000-0000-000039040000}"/>
    <cellStyle name="_四湖鄉雲165線道路排水改善工程_預算書1210_施工日誌1" xfId="1762" xr:uid="{00000000-0005-0000-0000-00003A040000}"/>
    <cellStyle name="_四湖鄉雲165線道路排水改善工程_預算書1210_普令厝農地重劃區西33路農水路改善工程" xfId="140" xr:uid="{00000000-0005-0000-0000-00003B040000}"/>
    <cellStyle name="_四湖鄉雲165線道路排水改善工程_預算書1210_普令厝農地重劃區西33路農水路改善工程 2" xfId="2996" xr:uid="{00000000-0005-0000-0000-00003C040000}"/>
    <cellStyle name="_四湖鄉雲165線道路排水改善工程_預算書1210_普令厝農地重劃區西33路農水路改善工程_土庫鎮埤腳里道路、排水溝改善工程101.05.18(修正3確定)" xfId="2997" xr:uid="{00000000-0005-0000-0000-00003D040000}"/>
    <cellStyle name="_四湖鄉雲165線道路排水改善工程_預算書1210_普令厝農地重劃區西33路農水路改善工程_元長鄉長南村巷道排水改善工程" xfId="2998" xr:uid="{00000000-0005-0000-0000-00003E040000}"/>
    <cellStyle name="_四湖鄉雲165線道路排水改善工程_預算書1210_普令厝農地重劃區西33路農水路改善工程_斗南鎮久安農地重劃區V51路農路路面改善工程" xfId="5082" xr:uid="{00000000-0005-0000-0000-00003F040000}"/>
    <cellStyle name="_四湖鄉雲165線道路排水改善工程_預算書1210_普令厝農地重劃區西33路農水路改善工程_斗南鎮田頭農地重劃區農路改善工程" xfId="5083" xr:uid="{00000000-0005-0000-0000-000040040000}"/>
    <cellStyle name="_四湖鄉雲165線道路排水改善工程_預算書1210_普令厝農地重劃區西33路農水路改善工程_斗南鎮西岐里舊社里等路面改善工程-100.05.18" xfId="2999" xr:uid="{00000000-0005-0000-0000-000041040000}"/>
    <cellStyle name="_四湖鄉雲165線道路排水改善工程_預算書1210_普令厝農地重劃區西33路農水路改善工程_斗南鎮阿丹里、林子里相關公共設施改善工程100.11.29" xfId="3000" xr:uid="{00000000-0005-0000-0000-000042040000}"/>
    <cellStyle name="_四湖鄉雲165線道路排水改善工程_預算書1210_普令厝農地重劃區西33路農水路改善工程_斗南鎮將軍里等路面及附屬設施改善工程" xfId="3001" xr:uid="{00000000-0005-0000-0000-000043040000}"/>
    <cellStyle name="_四湖鄉雲165線道路排水改善工程_預算書1210_普令厝農地重劃區西33路農水路改善工程_古坑鄉大湖底段及麻園段路面改善工程" xfId="3002" xr:uid="{00000000-0005-0000-0000-000044040000}"/>
    <cellStyle name="_四湖鄉雲165線道路排水改善工程_預算書1210_普令厝農地重劃區西33路農水路改善工程_台西海埔地南4路排水9907豪雨災害復建工程" xfId="3003" xr:uid="{00000000-0005-0000-0000-000045040000}"/>
    <cellStyle name="_四湖鄉雲165線道路排水改善工程_預算書1210_普令厝農地重劃區西33路農水路改善工程_台西鄉四美重劃區南北幹路4農路復建工程" xfId="141" xr:uid="{00000000-0005-0000-0000-000046040000}"/>
    <cellStyle name="_四湖鄉雲165線道路排水改善工程_預算書1210_普令厝農地重劃區西33路農水路改善工程_台西鄉四美重劃區南北幹路4農路復建工程 2" xfId="3004" xr:uid="{00000000-0005-0000-0000-000047040000}"/>
    <cellStyle name="_四湖鄉雲165線道路排水改善工程_預算書1210_普令厝農地重劃區西33路農水路改善工程_台西鄉四美重劃區南北幹路4農路復建工程_施工日誌1" xfId="1764" xr:uid="{00000000-0005-0000-0000-000048040000}"/>
    <cellStyle name="_四湖鄉雲165線道路排水改善工程_預算書1210_普令厝農地重劃區西33路農水路改善工程_東勢鄉新坤村及麥寮鄉海豐村道路排水改善工程" xfId="5084" xr:uid="{00000000-0005-0000-0000-000049040000}"/>
    <cellStyle name="_四湖鄉雲165線道路排水改善工程_預算書1210_普令厝農地重劃區西33路農水路改善工程_林縣臺西鄉A10~A12雨水下水道建設工程(增減明細)" xfId="3005" xr:uid="{00000000-0005-0000-0000-00004A040000}"/>
    <cellStyle name="_四湖鄉雲165線道路排水改善工程_預算書1210_普令厝農地重劃區西33路農水路改善工程_虎尾鎮新吉里竹圍子農村社區生態魚池暨運動公園道路與排水改善工程(預算書)" xfId="3006" xr:uid="{00000000-0005-0000-0000-00004B040000}"/>
    <cellStyle name="_四湖鄉雲165線道路排水改善工程_預算書1210_普令厝農地重劃區西33路農水路改善工程_虎尾鎮新吉里竹圍子農村社區生態魚池暨運動公園道路與排水改善工程(確定)" xfId="5085" xr:uid="{00000000-0005-0000-0000-00004C040000}"/>
    <cellStyle name="_四湖鄉雲165線道路排水改善工程_預算書1210_普令厝農地重劃區西33路農水路改善工程_長北村等巷道排水改善工程" xfId="3007" xr:uid="{00000000-0005-0000-0000-00004D040000}"/>
    <cellStyle name="_四湖鄉雲165線道路排水改善工程_預算書1210_普令厝農地重劃區西33路農水路改善工程_後溝子一農地重劃區南北八路農路改善工程" xfId="142" xr:uid="{00000000-0005-0000-0000-00004E040000}"/>
    <cellStyle name="_四湖鄉雲165線道路排水改善工程_預算書1210_普令厝農地重劃區西33路農水路改善工程_後溝子一農地重劃區南北八路農路改善工程 2" xfId="3008" xr:uid="{00000000-0005-0000-0000-00004F040000}"/>
    <cellStyle name="_四湖鄉雲165線道路排水改善工程_預算書1210_普令厝農地重劃區西33路農水路改善工程_後溝子一農地重劃區南北八路農路改善工程_施工日誌1" xfId="1765" xr:uid="{00000000-0005-0000-0000-000050040000}"/>
    <cellStyle name="_四湖鄉雲165線道路排水改善工程_預算書1210_普令厝農地重劃區西33路農水路改善工程_施工日誌1" xfId="1763" xr:uid="{00000000-0005-0000-0000-000051040000}"/>
    <cellStyle name="_四湖鄉雲165線道路排水改善工程_預算書1210_普令厝農地重劃區西33路農水路改善工程_崙背鄉雨水下水道清淤疏浚維護工程" xfId="143" xr:uid="{00000000-0005-0000-0000-000052040000}"/>
    <cellStyle name="_四湖鄉雲165線道路排水改善工程_預算書1210_普令厝農地重劃區西33路農水路改善工程_崙背鄉雨水下水道清淤疏浚維護工程 2" xfId="3009" xr:uid="{00000000-0005-0000-0000-000053040000}"/>
    <cellStyle name="_四湖鄉雲165線道路排水改善工程_預算書1210_普令厝農地重劃區西33路農水路改善工程_崙背鄉雨水下水道清淤疏浚維護工程_施工日誌1" xfId="1766" xr:uid="{00000000-0005-0000-0000-000054040000}"/>
    <cellStyle name="_四湖鄉雲165線道路排水改善工程_預算書1210_普令厝農地重劃區西33路農水路改善工程_鹿寮農地重劃區補路農路改善工程等七件工程" xfId="144" xr:uid="{00000000-0005-0000-0000-000055040000}"/>
    <cellStyle name="_四湖鄉雲165線道路排水改善工程_預算書1210_普令厝農地重劃區西33路農水路改善工程_鹿寮農地重劃區補路農路改善工程等七件工程 2" xfId="3010" xr:uid="{00000000-0005-0000-0000-000056040000}"/>
    <cellStyle name="_四湖鄉雲165線道路排水改善工程_預算書1210_普令厝農地重劃區西33路農水路改善工程_鹿寮農地重劃區補路農路改善工程等七件工程_施工日誌1" xfId="1767" xr:uid="{00000000-0005-0000-0000-000057040000}"/>
    <cellStyle name="_四湖鄉雲165線道路排水改善工程_預算書1210_普令厝農地重劃區西33路農水路改善工程_普令厝農地重劃區西33路農水路改善工程" xfId="145" xr:uid="{00000000-0005-0000-0000-000058040000}"/>
    <cellStyle name="_四湖鄉雲165線道路排水改善工程_預算書1210_普令厝農地重劃區西33路農水路改善工程_普令厝農地重劃區西33路農水路改善工程 2" xfId="3011" xr:uid="{00000000-0005-0000-0000-000059040000}"/>
    <cellStyle name="_四湖鄉雲165線道路排水改善工程_預算書1210_普令厝農地重劃區西33路農水路改善工程_普令厝農地重劃區西33路農水路改善工程_施工日誌1" xfId="1768" xr:uid="{00000000-0005-0000-0000-00005A040000}"/>
    <cellStyle name="_四湖鄉雲165線道路排水改善工程_預算書1210_普令厝農地重劃區西33路農水路改善工程_雲林縣崙背鄉雨水下水道清淤工程" xfId="146" xr:uid="{00000000-0005-0000-0000-00005B040000}"/>
    <cellStyle name="_四湖鄉雲165線道路排水改善工程_預算書1210_普令厝農地重劃區西33路農水路改善工程_雲林縣崙背鄉雨水下水道清淤工程 2" xfId="3012" xr:uid="{00000000-0005-0000-0000-00005C040000}"/>
    <cellStyle name="_四湖鄉雲165線道路排水改善工程_預算書1210_普令厝農地重劃區西33路農水路改善工程_雲林縣崙背鄉雨水下水道清淤工程_施工日誌1" xfId="1769" xr:uid="{00000000-0005-0000-0000-00005D040000}"/>
    <cellStyle name="_四湖鄉雲165線道路排水改善工程_預算書1210_普令厝農地重劃區西33路農水路改善工程_雲林縣臺西鄉A9～A9-3雨水下水道建設工程" xfId="3013" xr:uid="{00000000-0005-0000-0000-00005E040000}"/>
    <cellStyle name="_四湖鄉雲165線道路排水改善工程_預算書1210_普令厝農地重劃區西33路農水路改善工程_臺西鄉(凡那比颱風)鄉內道路排水災害復建工程" xfId="147" xr:uid="{00000000-0005-0000-0000-00005F040000}"/>
    <cellStyle name="_四湖鄉雲165線道路排水改善工程_預算書1210_普令厝農地重劃區西33路農水路改善工程_臺西鄉(凡那比颱風)鄉內道路排水災害復建工程 2" xfId="3014" xr:uid="{00000000-0005-0000-0000-000060040000}"/>
    <cellStyle name="_四湖鄉雲165線道路排水改善工程_預算書1210_普令厝農地重劃區西33路農水路改善工程_臺西鄉(凡那比颱風)鄉內道路排水災害復建工程_施工日誌1" xfId="1770" xr:uid="{00000000-0005-0000-0000-000061040000}"/>
    <cellStyle name="_四湖鄉雲165線道路排水改善工程_預算書1210_普令厝農地重劃區西33路農水路改善工程_臺西鄉蚊港村蚊港巷道改善工程" xfId="3015" xr:uid="{00000000-0005-0000-0000-000062040000}"/>
    <cellStyle name="_四湖鄉雲165線道路排水改善工程_預算書1210_普令厝農地重劃區西33路農水路改善工程_臺西鄉普令厝重劃區西8路等道路排水改善工程(確定案)" xfId="148" xr:uid="{00000000-0005-0000-0000-000063040000}"/>
    <cellStyle name="_四湖鄉雲165線道路排水改善工程_預算書1210_普令厝農地重劃區西33路農水路改善工程_臺西鄉普令厝重劃區西8路等道路排水改善工程(確定案) 2" xfId="3016" xr:uid="{00000000-0005-0000-0000-000064040000}"/>
    <cellStyle name="_四湖鄉雲165線道路排水改善工程_預算書1210_普令厝農地重劃區西33路農水路改善工程_臺西鄉普令厝重劃區西8路等道路排水改善工程(確定案)_施工日誌1" xfId="1771" xr:uid="{00000000-0005-0000-0000-000065040000}"/>
    <cellStyle name="_四湖鄉雲165線道路排水改善工程_預算書1210_普令厝農地重劃區西33路農水路改善工程_臺西鄉臺西公有零售市埸作為多目標使用改善工程" xfId="3017" xr:uid="{00000000-0005-0000-0000-000066040000}"/>
    <cellStyle name="_四湖鄉雲165線道路排水改善工程_預算書1210_普令厝農地重劃區西33路農水路改善工程_豐榮、草湖等村道路及排水溝改善工程-(變更)2" xfId="3018" xr:uid="{00000000-0005-0000-0000-000067040000}"/>
    <cellStyle name="_四湖鄉雲165線道路排水改善工程_數量97-10-28" xfId="149" xr:uid="{00000000-0005-0000-0000-000068040000}"/>
    <cellStyle name="_四湖鄉雲165線道路排水改善工程_數量97-10-28 2" xfId="3019" xr:uid="{00000000-0005-0000-0000-000069040000}"/>
    <cellStyle name="_四湖鄉雲165線道路排水改善工程_數量97-10-28_施工日誌1" xfId="1772" xr:uid="{00000000-0005-0000-0000-00006A040000}"/>
    <cellStyle name="_四湖鄉雲165線道路排水改善工程_數量97-10-28_普令厝農地重劃區西33路農水路改善工程" xfId="150" xr:uid="{00000000-0005-0000-0000-00006B040000}"/>
    <cellStyle name="_四湖鄉雲165線道路排水改善工程_數量97-10-28_普令厝農地重劃區西33路農水路改善工程 2" xfId="3020" xr:uid="{00000000-0005-0000-0000-00006C040000}"/>
    <cellStyle name="_四湖鄉雲165線道路排水改善工程_數量97-10-28_普令厝農地重劃區西33路農水路改善工程_土庫鎮埤腳里道路、排水溝改善工程101.05.18(修正3確定)" xfId="3021" xr:uid="{00000000-0005-0000-0000-00006D040000}"/>
    <cellStyle name="_四湖鄉雲165線道路排水改善工程_數量97-10-28_普令厝農地重劃區西33路農水路改善工程_元長鄉長南村巷道排水改善工程" xfId="3022" xr:uid="{00000000-0005-0000-0000-00006E040000}"/>
    <cellStyle name="_四湖鄉雲165線道路排水改善工程_數量97-10-28_普令厝農地重劃區西33路農水路改善工程_斗南鎮久安農地重劃區V51路農路路面改善工程" xfId="5086" xr:uid="{00000000-0005-0000-0000-00006F040000}"/>
    <cellStyle name="_四湖鄉雲165線道路排水改善工程_數量97-10-28_普令厝農地重劃區西33路農水路改善工程_斗南鎮田頭農地重劃區農路改善工程" xfId="5087" xr:uid="{00000000-0005-0000-0000-000070040000}"/>
    <cellStyle name="_四湖鄉雲165線道路排水改善工程_數量97-10-28_普令厝農地重劃區西33路農水路改善工程_斗南鎮西岐里舊社里等路面改善工程-100.05.18" xfId="3023" xr:uid="{00000000-0005-0000-0000-000071040000}"/>
    <cellStyle name="_四湖鄉雲165線道路排水改善工程_數量97-10-28_普令厝農地重劃區西33路農水路改善工程_斗南鎮阿丹里、林子里相關公共設施改善工程100.11.29" xfId="3024" xr:uid="{00000000-0005-0000-0000-000072040000}"/>
    <cellStyle name="_四湖鄉雲165線道路排水改善工程_數量97-10-28_普令厝農地重劃區西33路農水路改善工程_斗南鎮將軍里等路面及附屬設施改善工程" xfId="3025" xr:uid="{00000000-0005-0000-0000-000073040000}"/>
    <cellStyle name="_四湖鄉雲165線道路排水改善工程_數量97-10-28_普令厝農地重劃區西33路農水路改善工程_古坑鄉大湖底段及麻園段路面改善工程" xfId="3026" xr:uid="{00000000-0005-0000-0000-000074040000}"/>
    <cellStyle name="_四湖鄉雲165線道路排水改善工程_數量97-10-28_普令厝農地重劃區西33路農水路改善工程_台西海埔地南4路排水9907豪雨災害復建工程" xfId="3027" xr:uid="{00000000-0005-0000-0000-000075040000}"/>
    <cellStyle name="_四湖鄉雲165線道路排水改善工程_數量97-10-28_普令厝農地重劃區西33路農水路改善工程_台西鄉四美重劃區南北幹路4農路復建工程" xfId="151" xr:uid="{00000000-0005-0000-0000-000076040000}"/>
    <cellStyle name="_四湖鄉雲165線道路排水改善工程_數量97-10-28_普令厝農地重劃區西33路農水路改善工程_台西鄉四美重劃區南北幹路4農路復建工程 2" xfId="3028" xr:uid="{00000000-0005-0000-0000-000077040000}"/>
    <cellStyle name="_四湖鄉雲165線道路排水改善工程_數量97-10-28_普令厝農地重劃區西33路農水路改善工程_台西鄉四美重劃區南北幹路4農路復建工程_施工日誌1" xfId="1774" xr:uid="{00000000-0005-0000-0000-000078040000}"/>
    <cellStyle name="_四湖鄉雲165線道路排水改善工程_數量97-10-28_普令厝農地重劃區西33路農水路改善工程_東勢鄉新坤村及麥寮鄉海豐村道路排水改善工程" xfId="5088" xr:uid="{00000000-0005-0000-0000-000079040000}"/>
    <cellStyle name="_四湖鄉雲165線道路排水改善工程_數量97-10-28_普令厝農地重劃區西33路農水路改善工程_林縣臺西鄉A10~A12雨水下水道建設工程(增減明細)" xfId="3029" xr:uid="{00000000-0005-0000-0000-00007A040000}"/>
    <cellStyle name="_四湖鄉雲165線道路排水改善工程_數量97-10-28_普令厝農地重劃區西33路農水路改善工程_虎尾鎮新吉里竹圍子農村社區生態魚池暨運動公園道路與排水改善工程(預算書)" xfId="3030" xr:uid="{00000000-0005-0000-0000-00007B040000}"/>
    <cellStyle name="_四湖鄉雲165線道路排水改善工程_數量97-10-28_普令厝農地重劃區西33路農水路改善工程_虎尾鎮新吉里竹圍子農村社區生態魚池暨運動公園道路與排水改善工程(確定)" xfId="5089" xr:uid="{00000000-0005-0000-0000-00007C040000}"/>
    <cellStyle name="_四湖鄉雲165線道路排水改善工程_數量97-10-28_普令厝農地重劃區西33路農水路改善工程_長北村等巷道排水改善工程" xfId="3031" xr:uid="{00000000-0005-0000-0000-00007D040000}"/>
    <cellStyle name="_四湖鄉雲165線道路排水改善工程_數量97-10-28_普令厝農地重劃區西33路農水路改善工程_後溝子一農地重劃區南北八路農路改善工程" xfId="152" xr:uid="{00000000-0005-0000-0000-00007E040000}"/>
    <cellStyle name="_四湖鄉雲165線道路排水改善工程_數量97-10-28_普令厝農地重劃區西33路農水路改善工程_後溝子一農地重劃區南北八路農路改善工程 2" xfId="3032" xr:uid="{00000000-0005-0000-0000-00007F040000}"/>
    <cellStyle name="_四湖鄉雲165線道路排水改善工程_數量97-10-28_普令厝農地重劃區西33路農水路改善工程_後溝子一農地重劃區南北八路農路改善工程_施工日誌1" xfId="1775" xr:uid="{00000000-0005-0000-0000-000080040000}"/>
    <cellStyle name="_四湖鄉雲165線道路排水改善工程_數量97-10-28_普令厝農地重劃區西33路農水路改善工程_施工日誌1" xfId="1773" xr:uid="{00000000-0005-0000-0000-000081040000}"/>
    <cellStyle name="_四湖鄉雲165線道路排水改善工程_數量97-10-28_普令厝農地重劃區西33路農水路改善工程_崙背鄉雨水下水道清淤疏浚維護工程" xfId="153" xr:uid="{00000000-0005-0000-0000-000082040000}"/>
    <cellStyle name="_四湖鄉雲165線道路排水改善工程_數量97-10-28_普令厝農地重劃區西33路農水路改善工程_崙背鄉雨水下水道清淤疏浚維護工程 2" xfId="3033" xr:uid="{00000000-0005-0000-0000-000083040000}"/>
    <cellStyle name="_四湖鄉雲165線道路排水改善工程_數量97-10-28_普令厝農地重劃區西33路農水路改善工程_崙背鄉雨水下水道清淤疏浚維護工程_施工日誌1" xfId="1776" xr:uid="{00000000-0005-0000-0000-000084040000}"/>
    <cellStyle name="_四湖鄉雲165線道路排水改善工程_數量97-10-28_普令厝農地重劃區西33路農水路改善工程_鹿寮農地重劃區補路農路改善工程等七件工程" xfId="154" xr:uid="{00000000-0005-0000-0000-000085040000}"/>
    <cellStyle name="_四湖鄉雲165線道路排水改善工程_數量97-10-28_普令厝農地重劃區西33路農水路改善工程_鹿寮農地重劃區補路農路改善工程等七件工程 2" xfId="3034" xr:uid="{00000000-0005-0000-0000-000086040000}"/>
    <cellStyle name="_四湖鄉雲165線道路排水改善工程_數量97-10-28_普令厝農地重劃區西33路農水路改善工程_鹿寮農地重劃區補路農路改善工程等七件工程_施工日誌1" xfId="1777" xr:uid="{00000000-0005-0000-0000-000087040000}"/>
    <cellStyle name="_四湖鄉雲165線道路排水改善工程_數量97-10-28_普令厝農地重劃區西33路農水路改善工程_普令厝農地重劃區西33路農水路改善工程" xfId="155" xr:uid="{00000000-0005-0000-0000-000088040000}"/>
    <cellStyle name="_四湖鄉雲165線道路排水改善工程_數量97-10-28_普令厝農地重劃區西33路農水路改善工程_普令厝農地重劃區西33路農水路改善工程 2" xfId="3035" xr:uid="{00000000-0005-0000-0000-000089040000}"/>
    <cellStyle name="_四湖鄉雲165線道路排水改善工程_數量97-10-28_普令厝農地重劃區西33路農水路改善工程_普令厝農地重劃區西33路農水路改善工程_施工日誌1" xfId="1778" xr:uid="{00000000-0005-0000-0000-00008A040000}"/>
    <cellStyle name="_四湖鄉雲165線道路排水改善工程_數量97-10-28_普令厝農地重劃區西33路農水路改善工程_雲林縣崙背鄉雨水下水道清淤工程" xfId="156" xr:uid="{00000000-0005-0000-0000-00008B040000}"/>
    <cellStyle name="_四湖鄉雲165線道路排水改善工程_數量97-10-28_普令厝農地重劃區西33路農水路改善工程_雲林縣崙背鄉雨水下水道清淤工程 2" xfId="3036" xr:uid="{00000000-0005-0000-0000-00008C040000}"/>
    <cellStyle name="_四湖鄉雲165線道路排水改善工程_數量97-10-28_普令厝農地重劃區西33路農水路改善工程_雲林縣崙背鄉雨水下水道清淤工程_施工日誌1" xfId="1779" xr:uid="{00000000-0005-0000-0000-00008D040000}"/>
    <cellStyle name="_四湖鄉雲165線道路排水改善工程_數量97-10-28_普令厝農地重劃區西33路農水路改善工程_雲林縣臺西鄉A9～A9-3雨水下水道建設工程" xfId="3037" xr:uid="{00000000-0005-0000-0000-00008E040000}"/>
    <cellStyle name="_四湖鄉雲165線道路排水改善工程_數量97-10-28_普令厝農地重劃區西33路農水路改善工程_臺西鄉(凡那比颱風)鄉內道路排水災害復建工程" xfId="157" xr:uid="{00000000-0005-0000-0000-00008F040000}"/>
    <cellStyle name="_四湖鄉雲165線道路排水改善工程_數量97-10-28_普令厝農地重劃區西33路農水路改善工程_臺西鄉(凡那比颱風)鄉內道路排水災害復建工程 2" xfId="3038" xr:uid="{00000000-0005-0000-0000-000090040000}"/>
    <cellStyle name="_四湖鄉雲165線道路排水改善工程_數量97-10-28_普令厝農地重劃區西33路農水路改善工程_臺西鄉(凡那比颱風)鄉內道路排水災害復建工程_施工日誌1" xfId="1780" xr:uid="{00000000-0005-0000-0000-000091040000}"/>
    <cellStyle name="_四湖鄉雲165線道路排水改善工程_數量97-10-28_普令厝農地重劃區西33路農水路改善工程_臺西鄉蚊港村蚊港巷道改善工程" xfId="3039" xr:uid="{00000000-0005-0000-0000-000092040000}"/>
    <cellStyle name="_四湖鄉雲165線道路排水改善工程_數量97-10-28_普令厝農地重劃區西33路農水路改善工程_臺西鄉普令厝重劃區西8路等道路排水改善工程(確定案)" xfId="158" xr:uid="{00000000-0005-0000-0000-000093040000}"/>
    <cellStyle name="_四湖鄉雲165線道路排水改善工程_數量97-10-28_普令厝農地重劃區西33路農水路改善工程_臺西鄉普令厝重劃區西8路等道路排水改善工程(確定案) 2" xfId="3040" xr:uid="{00000000-0005-0000-0000-000094040000}"/>
    <cellStyle name="_四湖鄉雲165線道路排水改善工程_數量97-10-28_普令厝農地重劃區西33路農水路改善工程_臺西鄉普令厝重劃區西8路等道路排水改善工程(確定案)_施工日誌1" xfId="1781" xr:uid="{00000000-0005-0000-0000-000095040000}"/>
    <cellStyle name="_四湖鄉雲165線道路排水改善工程_數量97-10-28_普令厝農地重劃區西33路農水路改善工程_臺西鄉臺西公有零售市埸作為多目標使用改善工程" xfId="3041" xr:uid="{00000000-0005-0000-0000-000096040000}"/>
    <cellStyle name="_四湖鄉雲165線道路排水改善工程_數量97-10-28_普令厝農地重劃區西33路農水路改善工程_豐榮、草湖等村道路及排水溝改善工程-(變更)2" xfId="3042" xr:uid="{00000000-0005-0000-0000-000097040000}"/>
    <cellStyle name="_四湖鄉雲165線道路排水改善工程_數量表1023(第一期)" xfId="159" xr:uid="{00000000-0005-0000-0000-000098040000}"/>
    <cellStyle name="_四湖鄉雲165線道路排水改善工程_數量表1023(第一期) 2" xfId="3043" xr:uid="{00000000-0005-0000-0000-000099040000}"/>
    <cellStyle name="_四湖鄉雲165線道路排水改善工程_數量表1023(第一期)_施工日誌1" xfId="1782" xr:uid="{00000000-0005-0000-0000-00009A040000}"/>
    <cellStyle name="_四湖鄉雲165線道路排水改善工程_數量表1023(第一期)_普令厝農地重劃區西33路農水路改善工程" xfId="160" xr:uid="{00000000-0005-0000-0000-00009B040000}"/>
    <cellStyle name="_四湖鄉雲165線道路排水改善工程_數量表1023(第一期)_普令厝農地重劃區西33路農水路改善工程 2" xfId="3044" xr:uid="{00000000-0005-0000-0000-00009C040000}"/>
    <cellStyle name="_四湖鄉雲165線道路排水改善工程_數量表1023(第一期)_普令厝農地重劃區西33路農水路改善工程_土庫鎮埤腳里道路、排水溝改善工程101.05.18(修正3確定)" xfId="3045" xr:uid="{00000000-0005-0000-0000-00009D040000}"/>
    <cellStyle name="_四湖鄉雲165線道路排水改善工程_數量表1023(第一期)_普令厝農地重劃區西33路農水路改善工程_元長鄉長南村巷道排水改善工程" xfId="3046" xr:uid="{00000000-0005-0000-0000-00009E040000}"/>
    <cellStyle name="_四湖鄉雲165線道路排水改善工程_數量表1023(第一期)_普令厝農地重劃區西33路農水路改善工程_斗南鎮久安農地重劃區V51路農路路面改善工程" xfId="5090" xr:uid="{00000000-0005-0000-0000-00009F040000}"/>
    <cellStyle name="_四湖鄉雲165線道路排水改善工程_數量表1023(第一期)_普令厝農地重劃區西33路農水路改善工程_斗南鎮田頭農地重劃區農路改善工程" xfId="5091" xr:uid="{00000000-0005-0000-0000-0000A0040000}"/>
    <cellStyle name="_四湖鄉雲165線道路排水改善工程_數量表1023(第一期)_普令厝農地重劃區西33路農水路改善工程_斗南鎮西岐里舊社里等路面改善工程-100.05.18" xfId="3047" xr:uid="{00000000-0005-0000-0000-0000A1040000}"/>
    <cellStyle name="_四湖鄉雲165線道路排水改善工程_數量表1023(第一期)_普令厝農地重劃區西33路農水路改善工程_斗南鎮阿丹里、林子里相關公共設施改善工程100.11.29" xfId="3048" xr:uid="{00000000-0005-0000-0000-0000A2040000}"/>
    <cellStyle name="_四湖鄉雲165線道路排水改善工程_數量表1023(第一期)_普令厝農地重劃區西33路農水路改善工程_斗南鎮將軍里等路面及附屬設施改善工程" xfId="3049" xr:uid="{00000000-0005-0000-0000-0000A3040000}"/>
    <cellStyle name="_四湖鄉雲165線道路排水改善工程_數量表1023(第一期)_普令厝農地重劃區西33路農水路改善工程_古坑鄉大湖底段及麻園段路面改善工程" xfId="3050" xr:uid="{00000000-0005-0000-0000-0000A4040000}"/>
    <cellStyle name="_四湖鄉雲165線道路排水改善工程_數量表1023(第一期)_普令厝農地重劃區西33路農水路改善工程_台西海埔地南4路排水9907豪雨災害復建工程" xfId="3051" xr:uid="{00000000-0005-0000-0000-0000A5040000}"/>
    <cellStyle name="_四湖鄉雲165線道路排水改善工程_數量表1023(第一期)_普令厝農地重劃區西33路農水路改善工程_台西鄉四美重劃區南北幹路4農路復建工程" xfId="161" xr:uid="{00000000-0005-0000-0000-0000A6040000}"/>
    <cellStyle name="_四湖鄉雲165線道路排水改善工程_數量表1023(第一期)_普令厝農地重劃區西33路農水路改善工程_台西鄉四美重劃區南北幹路4農路復建工程 2" xfId="3052" xr:uid="{00000000-0005-0000-0000-0000A7040000}"/>
    <cellStyle name="_四湖鄉雲165線道路排水改善工程_數量表1023(第一期)_普令厝農地重劃區西33路農水路改善工程_台西鄉四美重劃區南北幹路4農路復建工程_施工日誌1" xfId="1784" xr:uid="{00000000-0005-0000-0000-0000A8040000}"/>
    <cellStyle name="_四湖鄉雲165線道路排水改善工程_數量表1023(第一期)_普令厝農地重劃區西33路農水路改善工程_東勢鄉新坤村及麥寮鄉海豐村道路排水改善工程" xfId="5092" xr:uid="{00000000-0005-0000-0000-0000A9040000}"/>
    <cellStyle name="_四湖鄉雲165線道路排水改善工程_數量表1023(第一期)_普令厝農地重劃區西33路農水路改善工程_林縣臺西鄉A10~A12雨水下水道建設工程(增減明細)" xfId="3053" xr:uid="{00000000-0005-0000-0000-0000AA040000}"/>
    <cellStyle name="_四湖鄉雲165線道路排水改善工程_數量表1023(第一期)_普令厝農地重劃區西33路農水路改善工程_虎尾鎮新吉里竹圍子農村社區生態魚池暨運動公園道路與排水改善工程(預算書)" xfId="3054" xr:uid="{00000000-0005-0000-0000-0000AB040000}"/>
    <cellStyle name="_四湖鄉雲165線道路排水改善工程_數量表1023(第一期)_普令厝農地重劃區西33路農水路改善工程_虎尾鎮新吉里竹圍子農村社區生態魚池暨運動公園道路與排水改善工程(確定)" xfId="5093" xr:uid="{00000000-0005-0000-0000-0000AC040000}"/>
    <cellStyle name="_四湖鄉雲165線道路排水改善工程_數量表1023(第一期)_普令厝農地重劃區西33路農水路改善工程_長北村等巷道排水改善工程" xfId="3055" xr:uid="{00000000-0005-0000-0000-0000AD040000}"/>
    <cellStyle name="_四湖鄉雲165線道路排水改善工程_數量表1023(第一期)_普令厝農地重劃區西33路農水路改善工程_後溝子一農地重劃區南北八路農路改善工程" xfId="162" xr:uid="{00000000-0005-0000-0000-0000AE040000}"/>
    <cellStyle name="_四湖鄉雲165線道路排水改善工程_數量表1023(第一期)_普令厝農地重劃區西33路農水路改善工程_後溝子一農地重劃區南北八路農路改善工程 2" xfId="3056" xr:uid="{00000000-0005-0000-0000-0000AF040000}"/>
    <cellStyle name="_四湖鄉雲165線道路排水改善工程_數量表1023(第一期)_普令厝農地重劃區西33路農水路改善工程_後溝子一農地重劃區南北八路農路改善工程_施工日誌1" xfId="1785" xr:uid="{00000000-0005-0000-0000-0000B0040000}"/>
    <cellStyle name="_四湖鄉雲165線道路排水改善工程_數量表1023(第一期)_普令厝農地重劃區西33路農水路改善工程_施工日誌1" xfId="1783" xr:uid="{00000000-0005-0000-0000-0000B1040000}"/>
    <cellStyle name="_四湖鄉雲165線道路排水改善工程_數量表1023(第一期)_普令厝農地重劃區西33路農水路改善工程_崙背鄉雨水下水道清淤疏浚維護工程" xfId="163" xr:uid="{00000000-0005-0000-0000-0000B2040000}"/>
    <cellStyle name="_四湖鄉雲165線道路排水改善工程_數量表1023(第一期)_普令厝農地重劃區西33路農水路改善工程_崙背鄉雨水下水道清淤疏浚維護工程 2" xfId="3057" xr:uid="{00000000-0005-0000-0000-0000B3040000}"/>
    <cellStyle name="_四湖鄉雲165線道路排水改善工程_數量表1023(第一期)_普令厝農地重劃區西33路農水路改善工程_崙背鄉雨水下水道清淤疏浚維護工程_施工日誌1" xfId="1786" xr:uid="{00000000-0005-0000-0000-0000B4040000}"/>
    <cellStyle name="_四湖鄉雲165線道路排水改善工程_數量表1023(第一期)_普令厝農地重劃區西33路農水路改善工程_鹿寮農地重劃區補路農路改善工程等七件工程" xfId="164" xr:uid="{00000000-0005-0000-0000-0000B5040000}"/>
    <cellStyle name="_四湖鄉雲165線道路排水改善工程_數量表1023(第一期)_普令厝農地重劃區西33路農水路改善工程_鹿寮農地重劃區補路農路改善工程等七件工程 2" xfId="3058" xr:uid="{00000000-0005-0000-0000-0000B6040000}"/>
    <cellStyle name="_四湖鄉雲165線道路排水改善工程_數量表1023(第一期)_普令厝農地重劃區西33路農水路改善工程_鹿寮農地重劃區補路農路改善工程等七件工程_施工日誌1" xfId="1787" xr:uid="{00000000-0005-0000-0000-0000B7040000}"/>
    <cellStyle name="_四湖鄉雲165線道路排水改善工程_數量表1023(第一期)_普令厝農地重劃區西33路農水路改善工程_普令厝農地重劃區西33路農水路改善工程" xfId="165" xr:uid="{00000000-0005-0000-0000-0000B8040000}"/>
    <cellStyle name="_四湖鄉雲165線道路排水改善工程_數量表1023(第一期)_普令厝農地重劃區西33路農水路改善工程_普令厝農地重劃區西33路農水路改善工程 2" xfId="3059" xr:uid="{00000000-0005-0000-0000-0000B9040000}"/>
    <cellStyle name="_四湖鄉雲165線道路排水改善工程_數量表1023(第一期)_普令厝農地重劃區西33路農水路改善工程_普令厝農地重劃區西33路農水路改善工程_施工日誌1" xfId="1788" xr:uid="{00000000-0005-0000-0000-0000BA040000}"/>
    <cellStyle name="_四湖鄉雲165線道路排水改善工程_數量表1023(第一期)_普令厝農地重劃區西33路農水路改善工程_雲林縣崙背鄉雨水下水道清淤工程" xfId="166" xr:uid="{00000000-0005-0000-0000-0000BB040000}"/>
    <cellStyle name="_四湖鄉雲165線道路排水改善工程_數量表1023(第一期)_普令厝農地重劃區西33路農水路改善工程_雲林縣崙背鄉雨水下水道清淤工程 2" xfId="3060" xr:uid="{00000000-0005-0000-0000-0000BC040000}"/>
    <cellStyle name="_四湖鄉雲165線道路排水改善工程_數量表1023(第一期)_普令厝農地重劃區西33路農水路改善工程_雲林縣崙背鄉雨水下水道清淤工程_施工日誌1" xfId="1789" xr:uid="{00000000-0005-0000-0000-0000BD040000}"/>
    <cellStyle name="_四湖鄉雲165線道路排水改善工程_數量表1023(第一期)_普令厝農地重劃區西33路農水路改善工程_雲林縣臺西鄉A9～A9-3雨水下水道建設工程" xfId="3061" xr:uid="{00000000-0005-0000-0000-0000BE040000}"/>
    <cellStyle name="_四湖鄉雲165線道路排水改善工程_數量表1023(第一期)_普令厝農地重劃區西33路農水路改善工程_臺西鄉(凡那比颱風)鄉內道路排水災害復建工程" xfId="167" xr:uid="{00000000-0005-0000-0000-0000BF040000}"/>
    <cellStyle name="_四湖鄉雲165線道路排水改善工程_數量表1023(第一期)_普令厝農地重劃區西33路農水路改善工程_臺西鄉(凡那比颱風)鄉內道路排水災害復建工程 2" xfId="3062" xr:uid="{00000000-0005-0000-0000-0000C0040000}"/>
    <cellStyle name="_四湖鄉雲165線道路排水改善工程_數量表1023(第一期)_普令厝農地重劃區西33路農水路改善工程_臺西鄉(凡那比颱風)鄉內道路排水災害復建工程_施工日誌1" xfId="1790" xr:uid="{00000000-0005-0000-0000-0000C1040000}"/>
    <cellStyle name="_四湖鄉雲165線道路排水改善工程_數量表1023(第一期)_普令厝農地重劃區西33路農水路改善工程_臺西鄉蚊港村蚊港巷道改善工程" xfId="3063" xr:uid="{00000000-0005-0000-0000-0000C2040000}"/>
    <cellStyle name="_四湖鄉雲165線道路排水改善工程_數量表1023(第一期)_普令厝農地重劃區西33路農水路改善工程_臺西鄉普令厝重劃區西8路等道路排水改善工程(確定案)" xfId="168" xr:uid="{00000000-0005-0000-0000-0000C3040000}"/>
    <cellStyle name="_四湖鄉雲165線道路排水改善工程_數量表1023(第一期)_普令厝農地重劃區西33路農水路改善工程_臺西鄉普令厝重劃區西8路等道路排水改善工程(確定案) 2" xfId="3064" xr:uid="{00000000-0005-0000-0000-0000C4040000}"/>
    <cellStyle name="_四湖鄉雲165線道路排水改善工程_數量表1023(第一期)_普令厝農地重劃區西33路農水路改善工程_臺西鄉普令厝重劃區西8路等道路排水改善工程(確定案)_施工日誌1" xfId="1791" xr:uid="{00000000-0005-0000-0000-0000C5040000}"/>
    <cellStyle name="_四湖鄉雲165線道路排水改善工程_數量表1023(第一期)_普令厝農地重劃區西33路農水路改善工程_臺西鄉臺西公有零售市埸作為多目標使用改善工程" xfId="3065" xr:uid="{00000000-0005-0000-0000-0000C6040000}"/>
    <cellStyle name="_四湖鄉雲165線道路排水改善工程_數量表1023(第一期)_普令厝農地重劃區西33路農水路改善工程_豐榮、草湖等村道路及排水溝改善工程-(變更)2" xfId="3066" xr:uid="{00000000-0005-0000-0000-0000C7040000}"/>
    <cellStyle name="_四湖鄉雲165線道路排水改善工程_數量表1023(第二期)" xfId="169" xr:uid="{00000000-0005-0000-0000-0000C8040000}"/>
    <cellStyle name="_四湖鄉雲165線道路排水改善工程_數量表1023(第二期) 2" xfId="3067" xr:uid="{00000000-0005-0000-0000-0000C9040000}"/>
    <cellStyle name="_四湖鄉雲165線道路排水改善工程_數量表1023(第二期)_施工日誌1" xfId="1792" xr:uid="{00000000-0005-0000-0000-0000CA040000}"/>
    <cellStyle name="_四湖鄉雲165線道路排水改善工程_數量表1023(第二期)_普令厝農地重劃區西33路農水路改善工程" xfId="170" xr:uid="{00000000-0005-0000-0000-0000CB040000}"/>
    <cellStyle name="_四湖鄉雲165線道路排水改善工程_數量表1023(第二期)_普令厝農地重劃區西33路農水路改善工程 2" xfId="3068" xr:uid="{00000000-0005-0000-0000-0000CC040000}"/>
    <cellStyle name="_四湖鄉雲165線道路排水改善工程_數量表1023(第二期)_普令厝農地重劃區西33路農水路改善工程_土庫鎮埤腳里道路、排水溝改善工程101.05.18(修正3確定)" xfId="3069" xr:uid="{00000000-0005-0000-0000-0000CD040000}"/>
    <cellStyle name="_四湖鄉雲165線道路排水改善工程_數量表1023(第二期)_普令厝農地重劃區西33路農水路改善工程_元長鄉長南村巷道排水改善工程" xfId="3070" xr:uid="{00000000-0005-0000-0000-0000CE040000}"/>
    <cellStyle name="_四湖鄉雲165線道路排水改善工程_數量表1023(第二期)_普令厝農地重劃區西33路農水路改善工程_斗南鎮久安農地重劃區V51路農路路面改善工程" xfId="5094" xr:uid="{00000000-0005-0000-0000-0000CF040000}"/>
    <cellStyle name="_四湖鄉雲165線道路排水改善工程_數量表1023(第二期)_普令厝農地重劃區西33路農水路改善工程_斗南鎮田頭農地重劃區農路改善工程" xfId="5095" xr:uid="{00000000-0005-0000-0000-0000D0040000}"/>
    <cellStyle name="_四湖鄉雲165線道路排水改善工程_數量表1023(第二期)_普令厝農地重劃區西33路農水路改善工程_斗南鎮西岐里舊社里等路面改善工程-100.05.18" xfId="3071" xr:uid="{00000000-0005-0000-0000-0000D1040000}"/>
    <cellStyle name="_四湖鄉雲165線道路排水改善工程_數量表1023(第二期)_普令厝農地重劃區西33路農水路改善工程_斗南鎮阿丹里、林子里相關公共設施改善工程100.11.29" xfId="3072" xr:uid="{00000000-0005-0000-0000-0000D2040000}"/>
    <cellStyle name="_四湖鄉雲165線道路排水改善工程_數量表1023(第二期)_普令厝農地重劃區西33路農水路改善工程_斗南鎮將軍里等路面及附屬設施改善工程" xfId="3073" xr:uid="{00000000-0005-0000-0000-0000D3040000}"/>
    <cellStyle name="_四湖鄉雲165線道路排水改善工程_數量表1023(第二期)_普令厝農地重劃區西33路農水路改善工程_古坑鄉大湖底段及麻園段路面改善工程" xfId="3074" xr:uid="{00000000-0005-0000-0000-0000D4040000}"/>
    <cellStyle name="_四湖鄉雲165線道路排水改善工程_數量表1023(第二期)_普令厝農地重劃區西33路農水路改善工程_台西海埔地南4路排水9907豪雨災害復建工程" xfId="3075" xr:uid="{00000000-0005-0000-0000-0000D5040000}"/>
    <cellStyle name="_四湖鄉雲165線道路排水改善工程_數量表1023(第二期)_普令厝農地重劃區西33路農水路改善工程_台西鄉四美重劃區南北幹路4農路復建工程" xfId="171" xr:uid="{00000000-0005-0000-0000-0000D6040000}"/>
    <cellStyle name="_四湖鄉雲165線道路排水改善工程_數量表1023(第二期)_普令厝農地重劃區西33路農水路改善工程_台西鄉四美重劃區南北幹路4農路復建工程 2" xfId="3076" xr:uid="{00000000-0005-0000-0000-0000D7040000}"/>
    <cellStyle name="_四湖鄉雲165線道路排水改善工程_數量表1023(第二期)_普令厝農地重劃區西33路農水路改善工程_台西鄉四美重劃區南北幹路4農路復建工程_施工日誌1" xfId="1794" xr:uid="{00000000-0005-0000-0000-0000D8040000}"/>
    <cellStyle name="_四湖鄉雲165線道路排水改善工程_數量表1023(第二期)_普令厝農地重劃區西33路農水路改善工程_東勢鄉新坤村及麥寮鄉海豐村道路排水改善工程" xfId="5096" xr:uid="{00000000-0005-0000-0000-0000D9040000}"/>
    <cellStyle name="_四湖鄉雲165線道路排水改善工程_數量表1023(第二期)_普令厝農地重劃區西33路農水路改善工程_林縣臺西鄉A10~A12雨水下水道建設工程(增減明細)" xfId="3077" xr:uid="{00000000-0005-0000-0000-0000DA040000}"/>
    <cellStyle name="_四湖鄉雲165線道路排水改善工程_數量表1023(第二期)_普令厝農地重劃區西33路農水路改善工程_虎尾鎮新吉里竹圍子農村社區生態魚池暨運動公園道路與排水改善工程(預算書)" xfId="3078" xr:uid="{00000000-0005-0000-0000-0000DB040000}"/>
    <cellStyle name="_四湖鄉雲165線道路排水改善工程_數量表1023(第二期)_普令厝農地重劃區西33路農水路改善工程_虎尾鎮新吉里竹圍子農村社區生態魚池暨運動公園道路與排水改善工程(確定)" xfId="5097" xr:uid="{00000000-0005-0000-0000-0000DC040000}"/>
    <cellStyle name="_四湖鄉雲165線道路排水改善工程_數量表1023(第二期)_普令厝農地重劃區西33路農水路改善工程_長北村等巷道排水改善工程" xfId="3079" xr:uid="{00000000-0005-0000-0000-0000DD040000}"/>
    <cellStyle name="_四湖鄉雲165線道路排水改善工程_數量表1023(第二期)_普令厝農地重劃區西33路農水路改善工程_後溝子一農地重劃區南北八路農路改善工程" xfId="172" xr:uid="{00000000-0005-0000-0000-0000DE040000}"/>
    <cellStyle name="_四湖鄉雲165線道路排水改善工程_數量表1023(第二期)_普令厝農地重劃區西33路農水路改善工程_後溝子一農地重劃區南北八路農路改善工程 2" xfId="3080" xr:uid="{00000000-0005-0000-0000-0000DF040000}"/>
    <cellStyle name="_四湖鄉雲165線道路排水改善工程_數量表1023(第二期)_普令厝農地重劃區西33路農水路改善工程_後溝子一農地重劃區南北八路農路改善工程_施工日誌1" xfId="1795" xr:uid="{00000000-0005-0000-0000-0000E0040000}"/>
    <cellStyle name="_四湖鄉雲165線道路排水改善工程_數量表1023(第二期)_普令厝農地重劃區西33路農水路改善工程_施工日誌1" xfId="1793" xr:uid="{00000000-0005-0000-0000-0000E1040000}"/>
    <cellStyle name="_四湖鄉雲165線道路排水改善工程_數量表1023(第二期)_普令厝農地重劃區西33路農水路改善工程_崙背鄉雨水下水道清淤疏浚維護工程" xfId="173" xr:uid="{00000000-0005-0000-0000-0000E2040000}"/>
    <cellStyle name="_四湖鄉雲165線道路排水改善工程_數量表1023(第二期)_普令厝農地重劃區西33路農水路改善工程_崙背鄉雨水下水道清淤疏浚維護工程 2" xfId="3081" xr:uid="{00000000-0005-0000-0000-0000E3040000}"/>
    <cellStyle name="_四湖鄉雲165線道路排水改善工程_數量表1023(第二期)_普令厝農地重劃區西33路農水路改善工程_崙背鄉雨水下水道清淤疏浚維護工程_施工日誌1" xfId="1796" xr:uid="{00000000-0005-0000-0000-0000E4040000}"/>
    <cellStyle name="_四湖鄉雲165線道路排水改善工程_數量表1023(第二期)_普令厝農地重劃區西33路農水路改善工程_鹿寮農地重劃區補路農路改善工程等七件工程" xfId="174" xr:uid="{00000000-0005-0000-0000-0000E5040000}"/>
    <cellStyle name="_四湖鄉雲165線道路排水改善工程_數量表1023(第二期)_普令厝農地重劃區西33路農水路改善工程_鹿寮農地重劃區補路農路改善工程等七件工程 2" xfId="3082" xr:uid="{00000000-0005-0000-0000-0000E6040000}"/>
    <cellStyle name="_四湖鄉雲165線道路排水改善工程_數量表1023(第二期)_普令厝農地重劃區西33路農水路改善工程_鹿寮農地重劃區補路農路改善工程等七件工程_施工日誌1" xfId="1797" xr:uid="{00000000-0005-0000-0000-0000E7040000}"/>
    <cellStyle name="_四湖鄉雲165線道路排水改善工程_數量表1023(第二期)_普令厝農地重劃區西33路農水路改善工程_普令厝農地重劃區西33路農水路改善工程" xfId="175" xr:uid="{00000000-0005-0000-0000-0000E8040000}"/>
    <cellStyle name="_四湖鄉雲165線道路排水改善工程_數量表1023(第二期)_普令厝農地重劃區西33路農水路改善工程_普令厝農地重劃區西33路農水路改善工程 2" xfId="3083" xr:uid="{00000000-0005-0000-0000-0000E9040000}"/>
    <cellStyle name="_四湖鄉雲165線道路排水改善工程_數量表1023(第二期)_普令厝農地重劃區西33路農水路改善工程_普令厝農地重劃區西33路農水路改善工程_施工日誌1" xfId="1798" xr:uid="{00000000-0005-0000-0000-0000EA040000}"/>
    <cellStyle name="_四湖鄉雲165線道路排水改善工程_數量表1023(第二期)_普令厝農地重劃區西33路農水路改善工程_雲林縣崙背鄉雨水下水道清淤工程" xfId="176" xr:uid="{00000000-0005-0000-0000-0000EB040000}"/>
    <cellStyle name="_四湖鄉雲165線道路排水改善工程_數量表1023(第二期)_普令厝農地重劃區西33路農水路改善工程_雲林縣崙背鄉雨水下水道清淤工程 2" xfId="3084" xr:uid="{00000000-0005-0000-0000-0000EC040000}"/>
    <cellStyle name="_四湖鄉雲165線道路排水改善工程_數量表1023(第二期)_普令厝農地重劃區西33路農水路改善工程_雲林縣崙背鄉雨水下水道清淤工程_施工日誌1" xfId="1799" xr:uid="{00000000-0005-0000-0000-0000ED040000}"/>
    <cellStyle name="_四湖鄉雲165線道路排水改善工程_數量表1023(第二期)_普令厝農地重劃區西33路農水路改善工程_雲林縣臺西鄉A9～A9-3雨水下水道建設工程" xfId="3085" xr:uid="{00000000-0005-0000-0000-0000EE040000}"/>
    <cellStyle name="_四湖鄉雲165線道路排水改善工程_數量表1023(第二期)_普令厝農地重劃區西33路農水路改善工程_臺西鄉(凡那比颱風)鄉內道路排水災害復建工程" xfId="177" xr:uid="{00000000-0005-0000-0000-0000EF040000}"/>
    <cellStyle name="_四湖鄉雲165線道路排水改善工程_數量表1023(第二期)_普令厝農地重劃區西33路農水路改善工程_臺西鄉(凡那比颱風)鄉內道路排水災害復建工程 2" xfId="3086" xr:uid="{00000000-0005-0000-0000-0000F0040000}"/>
    <cellStyle name="_四湖鄉雲165線道路排水改善工程_數量表1023(第二期)_普令厝農地重劃區西33路農水路改善工程_臺西鄉(凡那比颱風)鄉內道路排水災害復建工程_施工日誌1" xfId="1800" xr:uid="{00000000-0005-0000-0000-0000F1040000}"/>
    <cellStyle name="_四湖鄉雲165線道路排水改善工程_數量表1023(第二期)_普令厝農地重劃區西33路農水路改善工程_臺西鄉蚊港村蚊港巷道改善工程" xfId="3087" xr:uid="{00000000-0005-0000-0000-0000F2040000}"/>
    <cellStyle name="_四湖鄉雲165線道路排水改善工程_數量表1023(第二期)_普令厝農地重劃區西33路農水路改善工程_臺西鄉普令厝重劃區西8路等道路排水改善工程(確定案)" xfId="178" xr:uid="{00000000-0005-0000-0000-0000F3040000}"/>
    <cellStyle name="_四湖鄉雲165線道路排水改善工程_數量表1023(第二期)_普令厝農地重劃區西33路農水路改善工程_臺西鄉普令厝重劃區西8路等道路排水改善工程(確定案) 2" xfId="3088" xr:uid="{00000000-0005-0000-0000-0000F4040000}"/>
    <cellStyle name="_四湖鄉雲165線道路排水改善工程_數量表1023(第二期)_普令厝農地重劃區西33路農水路改善工程_臺西鄉普令厝重劃區西8路等道路排水改善工程(確定案)_施工日誌1" xfId="1801" xr:uid="{00000000-0005-0000-0000-0000F5040000}"/>
    <cellStyle name="_四湖鄉雲165線道路排水改善工程_數量表1023(第二期)_普令厝農地重劃區西33路農水路改善工程_臺西鄉臺西公有零售市埸作為多目標使用改善工程" xfId="3089" xr:uid="{00000000-0005-0000-0000-0000F6040000}"/>
    <cellStyle name="_四湖鄉雲165線道路排水改善工程_數量表1023(第二期)_普令厝農地重劃區西33路農水路改善工程_豐榮、草湖等村道路及排水溝改善工程-(變更)2" xfId="3090" xr:uid="{00000000-0005-0000-0000-0000F7040000}"/>
    <cellStyle name="_四湖鄉雲165線道路排水改善工程_變更明細表0302" xfId="179" xr:uid="{00000000-0005-0000-0000-0000F8040000}"/>
    <cellStyle name="_四湖鄉雲165線道路排水改善工程_變更明細表0302 2" xfId="3091" xr:uid="{00000000-0005-0000-0000-0000F9040000}"/>
    <cellStyle name="_四湖鄉雲165線道路排水改善工程_變更明細表0302_施工日誌1" xfId="1802" xr:uid="{00000000-0005-0000-0000-0000FA040000}"/>
    <cellStyle name="_四湖鄉雲165線道路排水改善工程_變更明細表0302_普令厝農地重劃區西33路農水路改善工程" xfId="180" xr:uid="{00000000-0005-0000-0000-0000FB040000}"/>
    <cellStyle name="_四湖鄉雲165線道路排水改善工程_變更明細表0302_普令厝農地重劃區西33路農水路改善工程 2" xfId="3092" xr:uid="{00000000-0005-0000-0000-0000FC040000}"/>
    <cellStyle name="_四湖鄉雲165線道路排水改善工程_變更明細表0302_普令厝農地重劃區西33路農水路改善工程_土庫鎮埤腳里道路、排水溝改善工程101.05.18(修正3確定)" xfId="3093" xr:uid="{00000000-0005-0000-0000-0000FD040000}"/>
    <cellStyle name="_四湖鄉雲165線道路排水改善工程_變更明細表0302_普令厝農地重劃區西33路農水路改善工程_元長鄉長南村巷道排水改善工程" xfId="3094" xr:uid="{00000000-0005-0000-0000-0000FE040000}"/>
    <cellStyle name="_四湖鄉雲165線道路排水改善工程_變更明細表0302_普令厝農地重劃區西33路農水路改善工程_斗南鎮久安農地重劃區V51路農路路面改善工程" xfId="5098" xr:uid="{00000000-0005-0000-0000-0000FF040000}"/>
    <cellStyle name="_四湖鄉雲165線道路排水改善工程_變更明細表0302_普令厝農地重劃區西33路農水路改善工程_斗南鎮田頭農地重劃區農路改善工程" xfId="5099" xr:uid="{00000000-0005-0000-0000-000000050000}"/>
    <cellStyle name="_四湖鄉雲165線道路排水改善工程_變更明細表0302_普令厝農地重劃區西33路農水路改善工程_斗南鎮西岐里舊社里等路面改善工程-100.05.18" xfId="3095" xr:uid="{00000000-0005-0000-0000-000001050000}"/>
    <cellStyle name="_四湖鄉雲165線道路排水改善工程_變更明細表0302_普令厝農地重劃區西33路農水路改善工程_斗南鎮阿丹里、林子里相關公共設施改善工程100.11.29" xfId="3096" xr:uid="{00000000-0005-0000-0000-000002050000}"/>
    <cellStyle name="_四湖鄉雲165線道路排水改善工程_變更明細表0302_普令厝農地重劃區西33路農水路改善工程_斗南鎮將軍里等路面及附屬設施改善工程" xfId="3097" xr:uid="{00000000-0005-0000-0000-000003050000}"/>
    <cellStyle name="_四湖鄉雲165線道路排水改善工程_變更明細表0302_普令厝農地重劃區西33路農水路改善工程_古坑鄉大湖底段及麻園段路面改善工程" xfId="3098" xr:uid="{00000000-0005-0000-0000-000004050000}"/>
    <cellStyle name="_四湖鄉雲165線道路排水改善工程_變更明細表0302_普令厝農地重劃區西33路農水路改善工程_台西海埔地南4路排水9907豪雨災害復建工程" xfId="3099" xr:uid="{00000000-0005-0000-0000-000005050000}"/>
    <cellStyle name="_四湖鄉雲165線道路排水改善工程_變更明細表0302_普令厝農地重劃區西33路農水路改善工程_台西鄉四美重劃區南北幹路4農路復建工程" xfId="181" xr:uid="{00000000-0005-0000-0000-000006050000}"/>
    <cellStyle name="_四湖鄉雲165線道路排水改善工程_變更明細表0302_普令厝農地重劃區西33路農水路改善工程_台西鄉四美重劃區南北幹路4農路復建工程 2" xfId="3100" xr:uid="{00000000-0005-0000-0000-000007050000}"/>
    <cellStyle name="_四湖鄉雲165線道路排水改善工程_變更明細表0302_普令厝農地重劃區西33路農水路改善工程_台西鄉四美重劃區南北幹路4農路復建工程_施工日誌1" xfId="1804" xr:uid="{00000000-0005-0000-0000-000008050000}"/>
    <cellStyle name="_四湖鄉雲165線道路排水改善工程_變更明細表0302_普令厝農地重劃區西33路農水路改善工程_東勢鄉新坤村及麥寮鄉海豐村道路排水改善工程" xfId="5100" xr:uid="{00000000-0005-0000-0000-000009050000}"/>
    <cellStyle name="_四湖鄉雲165線道路排水改善工程_變更明細表0302_普令厝農地重劃區西33路農水路改善工程_林縣臺西鄉A10~A12雨水下水道建設工程(增減明細)" xfId="3101" xr:uid="{00000000-0005-0000-0000-00000A050000}"/>
    <cellStyle name="_四湖鄉雲165線道路排水改善工程_變更明細表0302_普令厝農地重劃區西33路農水路改善工程_虎尾鎮新吉里竹圍子農村社區生態魚池暨運動公園道路與排水改善工程(預算書)" xfId="3102" xr:uid="{00000000-0005-0000-0000-00000B050000}"/>
    <cellStyle name="_四湖鄉雲165線道路排水改善工程_變更明細表0302_普令厝農地重劃區西33路農水路改善工程_虎尾鎮新吉里竹圍子農村社區生態魚池暨運動公園道路與排水改善工程(確定)" xfId="5101" xr:uid="{00000000-0005-0000-0000-00000C050000}"/>
    <cellStyle name="_四湖鄉雲165線道路排水改善工程_變更明細表0302_普令厝農地重劃區西33路農水路改善工程_長北村等巷道排水改善工程" xfId="3103" xr:uid="{00000000-0005-0000-0000-00000D050000}"/>
    <cellStyle name="_四湖鄉雲165線道路排水改善工程_變更明細表0302_普令厝農地重劃區西33路農水路改善工程_後溝子一農地重劃區南北八路農路改善工程" xfId="182" xr:uid="{00000000-0005-0000-0000-00000E050000}"/>
    <cellStyle name="_四湖鄉雲165線道路排水改善工程_變更明細表0302_普令厝農地重劃區西33路農水路改善工程_後溝子一農地重劃區南北八路農路改善工程 2" xfId="3104" xr:uid="{00000000-0005-0000-0000-00000F050000}"/>
    <cellStyle name="_四湖鄉雲165線道路排水改善工程_變更明細表0302_普令厝農地重劃區西33路農水路改善工程_後溝子一農地重劃區南北八路農路改善工程_施工日誌1" xfId="1805" xr:uid="{00000000-0005-0000-0000-000010050000}"/>
    <cellStyle name="_四湖鄉雲165線道路排水改善工程_變更明細表0302_普令厝農地重劃區西33路農水路改善工程_施工日誌1" xfId="1803" xr:uid="{00000000-0005-0000-0000-000011050000}"/>
    <cellStyle name="_四湖鄉雲165線道路排水改善工程_變更明細表0302_普令厝農地重劃區西33路農水路改善工程_崙背鄉雨水下水道清淤疏浚維護工程" xfId="183" xr:uid="{00000000-0005-0000-0000-000012050000}"/>
    <cellStyle name="_四湖鄉雲165線道路排水改善工程_變更明細表0302_普令厝農地重劃區西33路農水路改善工程_崙背鄉雨水下水道清淤疏浚維護工程 2" xfId="3105" xr:uid="{00000000-0005-0000-0000-000013050000}"/>
    <cellStyle name="_四湖鄉雲165線道路排水改善工程_變更明細表0302_普令厝農地重劃區西33路農水路改善工程_崙背鄉雨水下水道清淤疏浚維護工程_施工日誌1" xfId="1806" xr:uid="{00000000-0005-0000-0000-000014050000}"/>
    <cellStyle name="_四湖鄉雲165線道路排水改善工程_變更明細表0302_普令厝農地重劃區西33路農水路改善工程_鹿寮農地重劃區補路農路改善工程等七件工程" xfId="184" xr:uid="{00000000-0005-0000-0000-000015050000}"/>
    <cellStyle name="_四湖鄉雲165線道路排水改善工程_變更明細表0302_普令厝農地重劃區西33路農水路改善工程_鹿寮農地重劃區補路農路改善工程等七件工程 2" xfId="3106" xr:uid="{00000000-0005-0000-0000-000016050000}"/>
    <cellStyle name="_四湖鄉雲165線道路排水改善工程_變更明細表0302_普令厝農地重劃區西33路農水路改善工程_鹿寮農地重劃區補路農路改善工程等七件工程_施工日誌1" xfId="1807" xr:uid="{00000000-0005-0000-0000-000017050000}"/>
    <cellStyle name="_四湖鄉雲165線道路排水改善工程_變更明細表0302_普令厝農地重劃區西33路農水路改善工程_普令厝農地重劃區西33路農水路改善工程" xfId="185" xr:uid="{00000000-0005-0000-0000-000018050000}"/>
    <cellStyle name="_四湖鄉雲165線道路排水改善工程_變更明細表0302_普令厝農地重劃區西33路農水路改善工程_普令厝農地重劃區西33路農水路改善工程 2" xfId="3107" xr:uid="{00000000-0005-0000-0000-000019050000}"/>
    <cellStyle name="_四湖鄉雲165線道路排水改善工程_變更明細表0302_普令厝農地重劃區西33路農水路改善工程_普令厝農地重劃區西33路農水路改善工程_施工日誌1" xfId="1808" xr:uid="{00000000-0005-0000-0000-00001A050000}"/>
    <cellStyle name="_四湖鄉雲165線道路排水改善工程_變更明細表0302_普令厝農地重劃區西33路農水路改善工程_雲林縣崙背鄉雨水下水道清淤工程" xfId="186" xr:uid="{00000000-0005-0000-0000-00001B050000}"/>
    <cellStyle name="_四湖鄉雲165線道路排水改善工程_變更明細表0302_普令厝農地重劃區西33路農水路改善工程_雲林縣崙背鄉雨水下水道清淤工程 2" xfId="3108" xr:uid="{00000000-0005-0000-0000-00001C050000}"/>
    <cellStyle name="_四湖鄉雲165線道路排水改善工程_變更明細表0302_普令厝農地重劃區西33路農水路改善工程_雲林縣崙背鄉雨水下水道清淤工程_施工日誌1" xfId="1809" xr:uid="{00000000-0005-0000-0000-00001D050000}"/>
    <cellStyle name="_四湖鄉雲165線道路排水改善工程_變更明細表0302_普令厝農地重劃區西33路農水路改善工程_雲林縣臺西鄉A9～A9-3雨水下水道建設工程" xfId="3109" xr:uid="{00000000-0005-0000-0000-00001E050000}"/>
    <cellStyle name="_四湖鄉雲165線道路排水改善工程_變更明細表0302_普令厝農地重劃區西33路農水路改善工程_臺西鄉(凡那比颱風)鄉內道路排水災害復建工程" xfId="187" xr:uid="{00000000-0005-0000-0000-00001F050000}"/>
    <cellStyle name="_四湖鄉雲165線道路排水改善工程_變更明細表0302_普令厝農地重劃區西33路農水路改善工程_臺西鄉(凡那比颱風)鄉內道路排水災害復建工程 2" xfId="3110" xr:uid="{00000000-0005-0000-0000-000020050000}"/>
    <cellStyle name="_四湖鄉雲165線道路排水改善工程_變更明細表0302_普令厝農地重劃區西33路農水路改善工程_臺西鄉(凡那比颱風)鄉內道路排水災害復建工程_施工日誌1" xfId="1810" xr:uid="{00000000-0005-0000-0000-000021050000}"/>
    <cellStyle name="_四湖鄉雲165線道路排水改善工程_變更明細表0302_普令厝農地重劃區西33路農水路改善工程_臺西鄉蚊港村蚊港巷道改善工程" xfId="3111" xr:uid="{00000000-0005-0000-0000-000022050000}"/>
    <cellStyle name="_四湖鄉雲165線道路排水改善工程_變更明細表0302_普令厝農地重劃區西33路農水路改善工程_臺西鄉普令厝重劃區西8路等道路排水改善工程(確定案)" xfId="188" xr:uid="{00000000-0005-0000-0000-000023050000}"/>
    <cellStyle name="_四湖鄉雲165線道路排水改善工程_變更明細表0302_普令厝農地重劃區西33路農水路改善工程_臺西鄉普令厝重劃區西8路等道路排水改善工程(確定案) 2" xfId="3112" xr:uid="{00000000-0005-0000-0000-000024050000}"/>
    <cellStyle name="_四湖鄉雲165線道路排水改善工程_變更明細表0302_普令厝農地重劃區西33路農水路改善工程_臺西鄉普令厝重劃區西8路等道路排水改善工程(確定案)_施工日誌1" xfId="1811" xr:uid="{00000000-0005-0000-0000-000025050000}"/>
    <cellStyle name="_四湖鄉雲165線道路排水改善工程_變更明細表0302_普令厝農地重劃區西33路農水路改善工程_臺西鄉臺西公有零售市埸作為多目標使用改善工程" xfId="3113" xr:uid="{00000000-0005-0000-0000-000026050000}"/>
    <cellStyle name="_四湖鄉雲165線道路排水改善工程_變更明細表0302_普令厝農地重劃區西33路農水路改善工程_豐榮、草湖等村道路及排水溝改善工程-(變更)2" xfId="3114" xr:uid="{00000000-0005-0000-0000-000027050000}"/>
    <cellStyle name="_四湖鄉雲165線道路排水改善工程_變更明細表0729" xfId="189" xr:uid="{00000000-0005-0000-0000-000028050000}"/>
    <cellStyle name="_四湖鄉雲165線道路排水改善工程_變更明細表0729 2" xfId="3115" xr:uid="{00000000-0005-0000-0000-000029050000}"/>
    <cellStyle name="_四湖鄉雲165線道路排水改善工程_變更明細表0729_施工日誌1" xfId="1812" xr:uid="{00000000-0005-0000-0000-00002A050000}"/>
    <cellStyle name="_四湖鄉雲165線道路排水改善工程_變更明細表0729_普令厝農地重劃區西33路農水路改善工程" xfId="190" xr:uid="{00000000-0005-0000-0000-00002B050000}"/>
    <cellStyle name="_四湖鄉雲165線道路排水改善工程_變更明細表0729_普令厝農地重劃區西33路農水路改善工程 2" xfId="3116" xr:uid="{00000000-0005-0000-0000-00002C050000}"/>
    <cellStyle name="_四湖鄉雲165線道路排水改善工程_變更明細表0729_普令厝農地重劃區西33路農水路改善工程_土庫鎮埤腳里道路、排水溝改善工程101.05.18(修正3確定)" xfId="3117" xr:uid="{00000000-0005-0000-0000-00002D050000}"/>
    <cellStyle name="_四湖鄉雲165線道路排水改善工程_變更明細表0729_普令厝農地重劃區西33路農水路改善工程_元長鄉長南村巷道排水改善工程" xfId="3118" xr:uid="{00000000-0005-0000-0000-00002E050000}"/>
    <cellStyle name="_四湖鄉雲165線道路排水改善工程_變更明細表0729_普令厝農地重劃區西33路農水路改善工程_斗南鎮久安農地重劃區V51路農路路面改善工程" xfId="5102" xr:uid="{00000000-0005-0000-0000-00002F050000}"/>
    <cellStyle name="_四湖鄉雲165線道路排水改善工程_變更明細表0729_普令厝農地重劃區西33路農水路改善工程_斗南鎮田頭農地重劃區農路改善工程" xfId="5103" xr:uid="{00000000-0005-0000-0000-000030050000}"/>
    <cellStyle name="_四湖鄉雲165線道路排水改善工程_變更明細表0729_普令厝農地重劃區西33路農水路改善工程_斗南鎮西岐里舊社里等路面改善工程-100.05.18" xfId="3119" xr:uid="{00000000-0005-0000-0000-000031050000}"/>
    <cellStyle name="_四湖鄉雲165線道路排水改善工程_變更明細表0729_普令厝農地重劃區西33路農水路改善工程_斗南鎮阿丹里、林子里相關公共設施改善工程100.11.29" xfId="3120" xr:uid="{00000000-0005-0000-0000-000032050000}"/>
    <cellStyle name="_四湖鄉雲165線道路排水改善工程_變更明細表0729_普令厝農地重劃區西33路農水路改善工程_斗南鎮將軍里等路面及附屬設施改善工程" xfId="3121" xr:uid="{00000000-0005-0000-0000-000033050000}"/>
    <cellStyle name="_四湖鄉雲165線道路排水改善工程_變更明細表0729_普令厝農地重劃區西33路農水路改善工程_古坑鄉大湖底段及麻園段路面改善工程" xfId="3122" xr:uid="{00000000-0005-0000-0000-000034050000}"/>
    <cellStyle name="_四湖鄉雲165線道路排水改善工程_變更明細表0729_普令厝農地重劃區西33路農水路改善工程_台西海埔地南4路排水9907豪雨災害復建工程" xfId="3123" xr:uid="{00000000-0005-0000-0000-000035050000}"/>
    <cellStyle name="_四湖鄉雲165線道路排水改善工程_變更明細表0729_普令厝農地重劃區西33路農水路改善工程_台西鄉四美重劃區南北幹路4農路復建工程" xfId="191" xr:uid="{00000000-0005-0000-0000-000036050000}"/>
    <cellStyle name="_四湖鄉雲165線道路排水改善工程_變更明細表0729_普令厝農地重劃區西33路農水路改善工程_台西鄉四美重劃區南北幹路4農路復建工程 2" xfId="3124" xr:uid="{00000000-0005-0000-0000-000037050000}"/>
    <cellStyle name="_四湖鄉雲165線道路排水改善工程_變更明細表0729_普令厝農地重劃區西33路農水路改善工程_台西鄉四美重劃區南北幹路4農路復建工程_施工日誌1" xfId="1814" xr:uid="{00000000-0005-0000-0000-000038050000}"/>
    <cellStyle name="_四湖鄉雲165線道路排水改善工程_變更明細表0729_普令厝農地重劃區西33路農水路改善工程_東勢鄉新坤村及麥寮鄉海豐村道路排水改善工程" xfId="5104" xr:uid="{00000000-0005-0000-0000-000039050000}"/>
    <cellStyle name="_四湖鄉雲165線道路排水改善工程_變更明細表0729_普令厝農地重劃區西33路農水路改善工程_林縣臺西鄉A10~A12雨水下水道建設工程(增減明細)" xfId="3125" xr:uid="{00000000-0005-0000-0000-00003A050000}"/>
    <cellStyle name="_四湖鄉雲165線道路排水改善工程_變更明細表0729_普令厝農地重劃區西33路農水路改善工程_虎尾鎮新吉里竹圍子農村社區生態魚池暨運動公園道路與排水改善工程(預算書)" xfId="3126" xr:uid="{00000000-0005-0000-0000-00003B050000}"/>
    <cellStyle name="_四湖鄉雲165線道路排水改善工程_變更明細表0729_普令厝農地重劃區西33路農水路改善工程_虎尾鎮新吉里竹圍子農村社區生態魚池暨運動公園道路與排水改善工程(確定)" xfId="5105" xr:uid="{00000000-0005-0000-0000-00003C050000}"/>
    <cellStyle name="_四湖鄉雲165線道路排水改善工程_變更明細表0729_普令厝農地重劃區西33路農水路改善工程_長北村等巷道排水改善工程" xfId="3127" xr:uid="{00000000-0005-0000-0000-00003D050000}"/>
    <cellStyle name="_四湖鄉雲165線道路排水改善工程_變更明細表0729_普令厝農地重劃區西33路農水路改善工程_後溝子一農地重劃區南北八路農路改善工程" xfId="192" xr:uid="{00000000-0005-0000-0000-00003E050000}"/>
    <cellStyle name="_四湖鄉雲165線道路排水改善工程_變更明細表0729_普令厝農地重劃區西33路農水路改善工程_後溝子一農地重劃區南北八路農路改善工程 2" xfId="3128" xr:uid="{00000000-0005-0000-0000-00003F050000}"/>
    <cellStyle name="_四湖鄉雲165線道路排水改善工程_變更明細表0729_普令厝農地重劃區西33路農水路改善工程_後溝子一農地重劃區南北八路農路改善工程_施工日誌1" xfId="1815" xr:uid="{00000000-0005-0000-0000-000040050000}"/>
    <cellStyle name="_四湖鄉雲165線道路排水改善工程_變更明細表0729_普令厝農地重劃區西33路農水路改善工程_施工日誌1" xfId="1813" xr:uid="{00000000-0005-0000-0000-000041050000}"/>
    <cellStyle name="_四湖鄉雲165線道路排水改善工程_變更明細表0729_普令厝農地重劃區西33路農水路改善工程_崙背鄉雨水下水道清淤疏浚維護工程" xfId="193" xr:uid="{00000000-0005-0000-0000-000042050000}"/>
    <cellStyle name="_四湖鄉雲165線道路排水改善工程_變更明細表0729_普令厝農地重劃區西33路農水路改善工程_崙背鄉雨水下水道清淤疏浚維護工程 2" xfId="3129" xr:uid="{00000000-0005-0000-0000-000043050000}"/>
    <cellStyle name="_四湖鄉雲165線道路排水改善工程_變更明細表0729_普令厝農地重劃區西33路農水路改善工程_崙背鄉雨水下水道清淤疏浚維護工程_施工日誌1" xfId="1816" xr:uid="{00000000-0005-0000-0000-000044050000}"/>
    <cellStyle name="_四湖鄉雲165線道路排水改善工程_變更明細表0729_普令厝農地重劃區西33路農水路改善工程_鹿寮農地重劃區補路農路改善工程等七件工程" xfId="194" xr:uid="{00000000-0005-0000-0000-000045050000}"/>
    <cellStyle name="_四湖鄉雲165線道路排水改善工程_變更明細表0729_普令厝農地重劃區西33路農水路改善工程_鹿寮農地重劃區補路農路改善工程等七件工程 2" xfId="3130" xr:uid="{00000000-0005-0000-0000-000046050000}"/>
    <cellStyle name="_四湖鄉雲165線道路排水改善工程_變更明細表0729_普令厝農地重劃區西33路農水路改善工程_鹿寮農地重劃區補路農路改善工程等七件工程_施工日誌1" xfId="1817" xr:uid="{00000000-0005-0000-0000-000047050000}"/>
    <cellStyle name="_四湖鄉雲165線道路排水改善工程_變更明細表0729_普令厝農地重劃區西33路農水路改善工程_普令厝農地重劃區西33路農水路改善工程" xfId="195" xr:uid="{00000000-0005-0000-0000-000048050000}"/>
    <cellStyle name="_四湖鄉雲165線道路排水改善工程_變更明細表0729_普令厝農地重劃區西33路農水路改善工程_普令厝農地重劃區西33路農水路改善工程 2" xfId="3131" xr:uid="{00000000-0005-0000-0000-000049050000}"/>
    <cellStyle name="_四湖鄉雲165線道路排水改善工程_變更明細表0729_普令厝農地重劃區西33路農水路改善工程_普令厝農地重劃區西33路農水路改善工程_施工日誌1" xfId="1818" xr:uid="{00000000-0005-0000-0000-00004A050000}"/>
    <cellStyle name="_四湖鄉雲165線道路排水改善工程_變更明細表0729_普令厝農地重劃區西33路農水路改善工程_雲林縣崙背鄉雨水下水道清淤工程" xfId="196" xr:uid="{00000000-0005-0000-0000-00004B050000}"/>
    <cellStyle name="_四湖鄉雲165線道路排水改善工程_變更明細表0729_普令厝農地重劃區西33路農水路改善工程_雲林縣崙背鄉雨水下水道清淤工程 2" xfId="3132" xr:uid="{00000000-0005-0000-0000-00004C050000}"/>
    <cellStyle name="_四湖鄉雲165線道路排水改善工程_變更明細表0729_普令厝農地重劃區西33路農水路改善工程_雲林縣崙背鄉雨水下水道清淤工程_施工日誌1" xfId="1819" xr:uid="{00000000-0005-0000-0000-00004D050000}"/>
    <cellStyle name="_四湖鄉雲165線道路排水改善工程_變更明細表0729_普令厝農地重劃區西33路農水路改善工程_雲林縣臺西鄉A9～A9-3雨水下水道建設工程" xfId="3133" xr:uid="{00000000-0005-0000-0000-00004E050000}"/>
    <cellStyle name="_四湖鄉雲165線道路排水改善工程_變更明細表0729_普令厝農地重劃區西33路農水路改善工程_臺西鄉(凡那比颱風)鄉內道路排水災害復建工程" xfId="197" xr:uid="{00000000-0005-0000-0000-00004F050000}"/>
    <cellStyle name="_四湖鄉雲165線道路排水改善工程_變更明細表0729_普令厝農地重劃區西33路農水路改善工程_臺西鄉(凡那比颱風)鄉內道路排水災害復建工程 2" xfId="3134" xr:uid="{00000000-0005-0000-0000-000050050000}"/>
    <cellStyle name="_四湖鄉雲165線道路排水改善工程_變更明細表0729_普令厝農地重劃區西33路農水路改善工程_臺西鄉(凡那比颱風)鄉內道路排水災害復建工程_施工日誌1" xfId="1820" xr:uid="{00000000-0005-0000-0000-000051050000}"/>
    <cellStyle name="_四湖鄉雲165線道路排水改善工程_變更明細表0729_普令厝農地重劃區西33路農水路改善工程_臺西鄉蚊港村蚊港巷道改善工程" xfId="3135" xr:uid="{00000000-0005-0000-0000-000052050000}"/>
    <cellStyle name="_四湖鄉雲165線道路排水改善工程_變更明細表0729_普令厝農地重劃區西33路農水路改善工程_臺西鄉普令厝重劃區西8路等道路排水改善工程(確定案)" xfId="198" xr:uid="{00000000-0005-0000-0000-000053050000}"/>
    <cellStyle name="_四湖鄉雲165線道路排水改善工程_變更明細表0729_普令厝農地重劃區西33路農水路改善工程_臺西鄉普令厝重劃區西8路等道路排水改善工程(確定案) 2" xfId="3136" xr:uid="{00000000-0005-0000-0000-000054050000}"/>
    <cellStyle name="_四湖鄉雲165線道路排水改善工程_變更明細表0729_普令厝農地重劃區西33路農水路改善工程_臺西鄉普令厝重劃區西8路等道路排水改善工程(確定案)_施工日誌1" xfId="1821" xr:uid="{00000000-0005-0000-0000-000055050000}"/>
    <cellStyle name="_四湖鄉雲165線道路排水改善工程_變更明細表0729_普令厝農地重劃區西33路農水路改善工程_臺西鄉臺西公有零售市埸作為多目標使用改善工程" xfId="3137" xr:uid="{00000000-0005-0000-0000-000056050000}"/>
    <cellStyle name="_四湖鄉雲165線道路排水改善工程_變更明細表0729_普令厝農地重劃區西33路農水路改善工程_豐榮、草湖等村道路及排水溝改善工程-(變更)2" xfId="3138" xr:uid="{00000000-0005-0000-0000-000057050000}"/>
    <cellStyle name="_四湖鄉新庄村排水護欄工程" xfId="199" xr:uid="{00000000-0005-0000-0000-000058050000}"/>
    <cellStyle name="_四湖鄉新庄村排水護欄工程 2" xfId="3139" xr:uid="{00000000-0005-0000-0000-000059050000}"/>
    <cellStyle name="_四湖鄉新庄村排水護欄工程_內湖大排災害復建工程" xfId="200" xr:uid="{00000000-0005-0000-0000-00005A050000}"/>
    <cellStyle name="_四湖鄉新庄村排水護欄工程_內湖大排災害復建工程 2" xfId="3140" xr:uid="{00000000-0005-0000-0000-00005B050000}"/>
    <cellStyle name="_四湖鄉新庄村排水護欄工程_內湖大排災害復建工程_施工日誌1" xfId="1823" xr:uid="{00000000-0005-0000-0000-00005C050000}"/>
    <cellStyle name="_四湖鄉新庄村排水護欄工程_內湖大排災害復建工程_普令厝農地重劃區西33路農水路改善工程" xfId="201" xr:uid="{00000000-0005-0000-0000-00005D050000}"/>
    <cellStyle name="_四湖鄉新庄村排水護欄工程_內湖大排災害復建工程_普令厝農地重劃區西33路農水路改善工程 2" xfId="3141" xr:uid="{00000000-0005-0000-0000-00005E050000}"/>
    <cellStyle name="_四湖鄉新庄村排水護欄工程_內湖大排災害復建工程_普令厝農地重劃區西33路農水路改善工程_土庫鎮埤腳里道路、排水溝改善工程101.05.18(修正3確定)" xfId="3142" xr:uid="{00000000-0005-0000-0000-00005F050000}"/>
    <cellStyle name="_四湖鄉新庄村排水護欄工程_內湖大排災害復建工程_普令厝農地重劃區西33路農水路改善工程_元長鄉長南村巷道排水改善工程" xfId="3143" xr:uid="{00000000-0005-0000-0000-000060050000}"/>
    <cellStyle name="_四湖鄉新庄村排水護欄工程_內湖大排災害復建工程_普令厝農地重劃區西33路農水路改善工程_斗南鎮久安農地重劃區V51路農路路面改善工程" xfId="5106" xr:uid="{00000000-0005-0000-0000-000061050000}"/>
    <cellStyle name="_四湖鄉新庄村排水護欄工程_內湖大排災害復建工程_普令厝農地重劃區西33路農水路改善工程_斗南鎮田頭農地重劃區農路改善工程" xfId="5107" xr:uid="{00000000-0005-0000-0000-000062050000}"/>
    <cellStyle name="_四湖鄉新庄村排水護欄工程_內湖大排災害復建工程_普令厝農地重劃區西33路農水路改善工程_斗南鎮西岐里舊社里等路面改善工程-100.05.18" xfId="3144" xr:uid="{00000000-0005-0000-0000-000063050000}"/>
    <cellStyle name="_四湖鄉新庄村排水護欄工程_內湖大排災害復建工程_普令厝農地重劃區西33路農水路改善工程_斗南鎮阿丹里、林子里相關公共設施改善工程100.11.29" xfId="3145" xr:uid="{00000000-0005-0000-0000-000064050000}"/>
    <cellStyle name="_四湖鄉新庄村排水護欄工程_內湖大排災害復建工程_普令厝農地重劃區西33路農水路改善工程_斗南鎮將軍里等路面及附屬設施改善工程" xfId="3146" xr:uid="{00000000-0005-0000-0000-000065050000}"/>
    <cellStyle name="_四湖鄉新庄村排水護欄工程_內湖大排災害復建工程_普令厝農地重劃區西33路農水路改善工程_古坑鄉大湖底段及麻園段路面改善工程" xfId="3147" xr:uid="{00000000-0005-0000-0000-000066050000}"/>
    <cellStyle name="_四湖鄉新庄村排水護欄工程_內湖大排災害復建工程_普令厝農地重劃區西33路農水路改善工程_台西海埔地南4路排水9907豪雨災害復建工程" xfId="3148" xr:uid="{00000000-0005-0000-0000-000067050000}"/>
    <cellStyle name="_四湖鄉新庄村排水護欄工程_內湖大排災害復建工程_普令厝農地重劃區西33路農水路改善工程_台西鄉四美重劃區南北幹路4農路復建工程" xfId="202" xr:uid="{00000000-0005-0000-0000-000068050000}"/>
    <cellStyle name="_四湖鄉新庄村排水護欄工程_內湖大排災害復建工程_普令厝農地重劃區西33路農水路改善工程_台西鄉四美重劃區南北幹路4農路復建工程 2" xfId="3149" xr:uid="{00000000-0005-0000-0000-000069050000}"/>
    <cellStyle name="_四湖鄉新庄村排水護欄工程_內湖大排災害復建工程_普令厝農地重劃區西33路農水路改善工程_台西鄉四美重劃區南北幹路4農路復建工程_施工日誌1" xfId="1825" xr:uid="{00000000-0005-0000-0000-00006A050000}"/>
    <cellStyle name="_四湖鄉新庄村排水護欄工程_內湖大排災害復建工程_普令厝農地重劃區西33路農水路改善工程_東勢鄉新坤村及麥寮鄉海豐村道路排水改善工程" xfId="5108" xr:uid="{00000000-0005-0000-0000-00006B050000}"/>
    <cellStyle name="_四湖鄉新庄村排水護欄工程_內湖大排災害復建工程_普令厝農地重劃區西33路農水路改善工程_林縣臺西鄉A10~A12雨水下水道建設工程(增減明細)" xfId="3150" xr:uid="{00000000-0005-0000-0000-00006C050000}"/>
    <cellStyle name="_四湖鄉新庄村排水護欄工程_內湖大排災害復建工程_普令厝農地重劃區西33路農水路改善工程_虎尾鎮新吉里竹圍子農村社區生態魚池暨運動公園道路與排水改善工程(預算書)" xfId="3151" xr:uid="{00000000-0005-0000-0000-00006D050000}"/>
    <cellStyle name="_四湖鄉新庄村排水護欄工程_內湖大排災害復建工程_普令厝農地重劃區西33路農水路改善工程_虎尾鎮新吉里竹圍子農村社區生態魚池暨運動公園道路與排水改善工程(確定)" xfId="5109" xr:uid="{00000000-0005-0000-0000-00006E050000}"/>
    <cellStyle name="_四湖鄉新庄村排水護欄工程_內湖大排災害復建工程_普令厝農地重劃區西33路農水路改善工程_長北村等巷道排水改善工程" xfId="3152" xr:uid="{00000000-0005-0000-0000-00006F050000}"/>
    <cellStyle name="_四湖鄉新庄村排水護欄工程_內湖大排災害復建工程_普令厝農地重劃區西33路農水路改善工程_後溝子一農地重劃區南北八路農路改善工程" xfId="203" xr:uid="{00000000-0005-0000-0000-000070050000}"/>
    <cellStyle name="_四湖鄉新庄村排水護欄工程_內湖大排災害復建工程_普令厝農地重劃區西33路農水路改善工程_後溝子一農地重劃區南北八路農路改善工程 2" xfId="3153" xr:uid="{00000000-0005-0000-0000-000071050000}"/>
    <cellStyle name="_四湖鄉新庄村排水護欄工程_內湖大排災害復建工程_普令厝農地重劃區西33路農水路改善工程_後溝子一農地重劃區南北八路農路改善工程_施工日誌1" xfId="1826" xr:uid="{00000000-0005-0000-0000-000072050000}"/>
    <cellStyle name="_四湖鄉新庄村排水護欄工程_內湖大排災害復建工程_普令厝農地重劃區西33路農水路改善工程_施工日誌1" xfId="1824" xr:uid="{00000000-0005-0000-0000-000073050000}"/>
    <cellStyle name="_四湖鄉新庄村排水護欄工程_內湖大排災害復建工程_普令厝農地重劃區西33路農水路改善工程_崙背鄉雨水下水道清淤疏浚維護工程" xfId="204" xr:uid="{00000000-0005-0000-0000-000074050000}"/>
    <cellStyle name="_四湖鄉新庄村排水護欄工程_內湖大排災害復建工程_普令厝農地重劃區西33路農水路改善工程_崙背鄉雨水下水道清淤疏浚維護工程 2" xfId="3154" xr:uid="{00000000-0005-0000-0000-000075050000}"/>
    <cellStyle name="_四湖鄉新庄村排水護欄工程_內湖大排災害復建工程_普令厝農地重劃區西33路農水路改善工程_崙背鄉雨水下水道清淤疏浚維護工程_施工日誌1" xfId="1827" xr:uid="{00000000-0005-0000-0000-000076050000}"/>
    <cellStyle name="_四湖鄉新庄村排水護欄工程_內湖大排災害復建工程_普令厝農地重劃區西33路農水路改善工程_鹿寮農地重劃區補路農路改善工程等七件工程" xfId="205" xr:uid="{00000000-0005-0000-0000-000077050000}"/>
    <cellStyle name="_四湖鄉新庄村排水護欄工程_內湖大排災害復建工程_普令厝農地重劃區西33路農水路改善工程_鹿寮農地重劃區補路農路改善工程等七件工程 2" xfId="3155" xr:uid="{00000000-0005-0000-0000-000078050000}"/>
    <cellStyle name="_四湖鄉新庄村排水護欄工程_內湖大排災害復建工程_普令厝農地重劃區西33路農水路改善工程_鹿寮農地重劃區補路農路改善工程等七件工程_施工日誌1" xfId="1828" xr:uid="{00000000-0005-0000-0000-000079050000}"/>
    <cellStyle name="_四湖鄉新庄村排水護欄工程_內湖大排災害復建工程_普令厝農地重劃區西33路農水路改善工程_普令厝農地重劃區西33路農水路改善工程" xfId="206" xr:uid="{00000000-0005-0000-0000-00007A050000}"/>
    <cellStyle name="_四湖鄉新庄村排水護欄工程_內湖大排災害復建工程_普令厝農地重劃區西33路農水路改善工程_普令厝農地重劃區西33路農水路改善工程 2" xfId="3156" xr:uid="{00000000-0005-0000-0000-00007B050000}"/>
    <cellStyle name="_四湖鄉新庄村排水護欄工程_內湖大排災害復建工程_普令厝農地重劃區西33路農水路改善工程_普令厝農地重劃區西33路農水路改善工程_施工日誌1" xfId="1829" xr:uid="{00000000-0005-0000-0000-00007C050000}"/>
    <cellStyle name="_四湖鄉新庄村排水護欄工程_內湖大排災害復建工程_普令厝農地重劃區西33路農水路改善工程_雲林縣崙背鄉雨水下水道清淤工程" xfId="207" xr:uid="{00000000-0005-0000-0000-00007D050000}"/>
    <cellStyle name="_四湖鄉新庄村排水護欄工程_內湖大排災害復建工程_普令厝農地重劃區西33路農水路改善工程_雲林縣崙背鄉雨水下水道清淤工程 2" xfId="3157" xr:uid="{00000000-0005-0000-0000-00007E050000}"/>
    <cellStyle name="_四湖鄉新庄村排水護欄工程_內湖大排災害復建工程_普令厝農地重劃區西33路農水路改善工程_雲林縣崙背鄉雨水下水道清淤工程_施工日誌1" xfId="1830" xr:uid="{00000000-0005-0000-0000-00007F050000}"/>
    <cellStyle name="_四湖鄉新庄村排水護欄工程_內湖大排災害復建工程_普令厝農地重劃區西33路農水路改善工程_雲林縣臺西鄉A9～A9-3雨水下水道建設工程" xfId="3158" xr:uid="{00000000-0005-0000-0000-000080050000}"/>
    <cellStyle name="_四湖鄉新庄村排水護欄工程_內湖大排災害復建工程_普令厝農地重劃區西33路農水路改善工程_臺西鄉(凡那比颱風)鄉內道路排水災害復建工程" xfId="208" xr:uid="{00000000-0005-0000-0000-000081050000}"/>
    <cellStyle name="_四湖鄉新庄村排水護欄工程_內湖大排災害復建工程_普令厝農地重劃區西33路農水路改善工程_臺西鄉(凡那比颱風)鄉內道路排水災害復建工程 2" xfId="3159" xr:uid="{00000000-0005-0000-0000-000082050000}"/>
    <cellStyle name="_四湖鄉新庄村排水護欄工程_內湖大排災害復建工程_普令厝農地重劃區西33路農水路改善工程_臺西鄉(凡那比颱風)鄉內道路排水災害復建工程_施工日誌1" xfId="1831" xr:uid="{00000000-0005-0000-0000-000083050000}"/>
    <cellStyle name="_四湖鄉新庄村排水護欄工程_內湖大排災害復建工程_普令厝農地重劃區西33路農水路改善工程_臺西鄉蚊港村蚊港巷道改善工程" xfId="3160" xr:uid="{00000000-0005-0000-0000-000084050000}"/>
    <cellStyle name="_四湖鄉新庄村排水護欄工程_內湖大排災害復建工程_普令厝農地重劃區西33路農水路改善工程_臺西鄉普令厝重劃區西8路等道路排水改善工程(確定案)" xfId="209" xr:uid="{00000000-0005-0000-0000-000085050000}"/>
    <cellStyle name="_四湖鄉新庄村排水護欄工程_內湖大排災害復建工程_普令厝農地重劃區西33路農水路改善工程_臺西鄉普令厝重劃區西8路等道路排水改善工程(確定案) 2" xfId="3161" xr:uid="{00000000-0005-0000-0000-000086050000}"/>
    <cellStyle name="_四湖鄉新庄村排水護欄工程_內湖大排災害復建工程_普令厝農地重劃區西33路農水路改善工程_臺西鄉普令厝重劃區西8路等道路排水改善工程(確定案)_施工日誌1" xfId="1832" xr:uid="{00000000-0005-0000-0000-000087050000}"/>
    <cellStyle name="_四湖鄉新庄村排水護欄工程_內湖大排災害復建工程_普令厝農地重劃區西33路農水路改善工程_臺西鄉臺西公有零售市埸作為多目標使用改善工程" xfId="3162" xr:uid="{00000000-0005-0000-0000-000088050000}"/>
    <cellStyle name="_四湖鄉新庄村排水護欄工程_內湖大排災害復建工程_普令厝農地重劃區西33路農水路改善工程_豐榮、草湖等村道路及排水溝改善工程-(變更)2" xfId="3163" xr:uid="{00000000-0005-0000-0000-000089050000}"/>
    <cellStyle name="_四湖鄉新庄村排水護欄工程_四湖大排災害復建工程數量表" xfId="210" xr:uid="{00000000-0005-0000-0000-00008A050000}"/>
    <cellStyle name="_四湖鄉新庄村排水護欄工程_四湖大排災害復建工程數量表 2" xfId="3164" xr:uid="{00000000-0005-0000-0000-00008B050000}"/>
    <cellStyle name="_四湖鄉新庄村排水護欄工程_四湖大排災害復建工程數量表_施工日誌1" xfId="1833" xr:uid="{00000000-0005-0000-0000-00008C050000}"/>
    <cellStyle name="_四湖鄉新庄村排水護欄工程_四湖大排災害復建工程數量表_普令厝農地重劃區西33路農水路改善工程" xfId="211" xr:uid="{00000000-0005-0000-0000-00008D050000}"/>
    <cellStyle name="_四湖鄉新庄村排水護欄工程_四湖大排災害復建工程數量表_普令厝農地重劃區西33路農水路改善工程 2" xfId="3165" xr:uid="{00000000-0005-0000-0000-00008E050000}"/>
    <cellStyle name="_四湖鄉新庄村排水護欄工程_四湖大排災害復建工程數量表_普令厝農地重劃區西33路農水路改善工程_土庫鎮埤腳里道路、排水溝改善工程101.05.18(修正3確定)" xfId="3166" xr:uid="{00000000-0005-0000-0000-00008F050000}"/>
    <cellStyle name="_四湖鄉新庄村排水護欄工程_四湖大排災害復建工程數量表_普令厝農地重劃區西33路農水路改善工程_元長鄉長南村巷道排水改善工程" xfId="3167" xr:uid="{00000000-0005-0000-0000-000090050000}"/>
    <cellStyle name="_四湖鄉新庄村排水護欄工程_四湖大排災害復建工程數量表_普令厝農地重劃區西33路農水路改善工程_斗南鎮久安農地重劃區V51路農路路面改善工程" xfId="5110" xr:uid="{00000000-0005-0000-0000-000091050000}"/>
    <cellStyle name="_四湖鄉新庄村排水護欄工程_四湖大排災害復建工程數量表_普令厝農地重劃區西33路農水路改善工程_斗南鎮田頭農地重劃區農路改善工程" xfId="5111" xr:uid="{00000000-0005-0000-0000-000092050000}"/>
    <cellStyle name="_四湖鄉新庄村排水護欄工程_四湖大排災害復建工程數量表_普令厝農地重劃區西33路農水路改善工程_斗南鎮西岐里舊社里等路面改善工程-100.05.18" xfId="3168" xr:uid="{00000000-0005-0000-0000-000093050000}"/>
    <cellStyle name="_四湖鄉新庄村排水護欄工程_四湖大排災害復建工程數量表_普令厝農地重劃區西33路農水路改善工程_斗南鎮阿丹里、林子里相關公共設施改善工程100.11.29" xfId="3169" xr:uid="{00000000-0005-0000-0000-000094050000}"/>
    <cellStyle name="_四湖鄉新庄村排水護欄工程_四湖大排災害復建工程數量表_普令厝農地重劃區西33路農水路改善工程_斗南鎮將軍里等路面及附屬設施改善工程" xfId="3170" xr:uid="{00000000-0005-0000-0000-000095050000}"/>
    <cellStyle name="_四湖鄉新庄村排水護欄工程_四湖大排災害復建工程數量表_普令厝農地重劃區西33路農水路改善工程_古坑鄉大湖底段及麻園段路面改善工程" xfId="3171" xr:uid="{00000000-0005-0000-0000-000096050000}"/>
    <cellStyle name="_四湖鄉新庄村排水護欄工程_四湖大排災害復建工程數量表_普令厝農地重劃區西33路農水路改善工程_台西海埔地南4路排水9907豪雨災害復建工程" xfId="3172" xr:uid="{00000000-0005-0000-0000-000097050000}"/>
    <cellStyle name="_四湖鄉新庄村排水護欄工程_四湖大排災害復建工程數量表_普令厝農地重劃區西33路農水路改善工程_台西鄉四美重劃區南北幹路4農路復建工程" xfId="212" xr:uid="{00000000-0005-0000-0000-000098050000}"/>
    <cellStyle name="_四湖鄉新庄村排水護欄工程_四湖大排災害復建工程數量表_普令厝農地重劃區西33路農水路改善工程_台西鄉四美重劃區南北幹路4農路復建工程 2" xfId="3173" xr:uid="{00000000-0005-0000-0000-000099050000}"/>
    <cellStyle name="_四湖鄉新庄村排水護欄工程_四湖大排災害復建工程數量表_普令厝農地重劃區西33路農水路改善工程_台西鄉四美重劃區南北幹路4農路復建工程_施工日誌1" xfId="1835" xr:uid="{00000000-0005-0000-0000-00009A050000}"/>
    <cellStyle name="_四湖鄉新庄村排水護欄工程_四湖大排災害復建工程數量表_普令厝農地重劃區西33路農水路改善工程_東勢鄉新坤村及麥寮鄉海豐村道路排水改善工程" xfId="5112" xr:uid="{00000000-0005-0000-0000-00009B050000}"/>
    <cellStyle name="_四湖鄉新庄村排水護欄工程_四湖大排災害復建工程數量表_普令厝農地重劃區西33路農水路改善工程_林縣臺西鄉A10~A12雨水下水道建設工程(增減明細)" xfId="3174" xr:uid="{00000000-0005-0000-0000-00009C050000}"/>
    <cellStyle name="_四湖鄉新庄村排水護欄工程_四湖大排災害復建工程數量表_普令厝農地重劃區西33路農水路改善工程_虎尾鎮新吉里竹圍子農村社區生態魚池暨運動公園道路與排水改善工程(預算書)" xfId="3175" xr:uid="{00000000-0005-0000-0000-00009D050000}"/>
    <cellStyle name="_四湖鄉新庄村排水護欄工程_四湖大排災害復建工程數量表_普令厝農地重劃區西33路農水路改善工程_虎尾鎮新吉里竹圍子農村社區生態魚池暨運動公園道路與排水改善工程(確定)" xfId="5113" xr:uid="{00000000-0005-0000-0000-00009E050000}"/>
    <cellStyle name="_四湖鄉新庄村排水護欄工程_四湖大排災害復建工程數量表_普令厝農地重劃區西33路農水路改善工程_長北村等巷道排水改善工程" xfId="3176" xr:uid="{00000000-0005-0000-0000-00009F050000}"/>
    <cellStyle name="_四湖鄉新庄村排水護欄工程_四湖大排災害復建工程數量表_普令厝農地重劃區西33路農水路改善工程_後溝子一農地重劃區南北八路農路改善工程" xfId="213" xr:uid="{00000000-0005-0000-0000-0000A0050000}"/>
    <cellStyle name="_四湖鄉新庄村排水護欄工程_四湖大排災害復建工程數量表_普令厝農地重劃區西33路農水路改善工程_後溝子一農地重劃區南北八路農路改善工程 2" xfId="3177" xr:uid="{00000000-0005-0000-0000-0000A1050000}"/>
    <cellStyle name="_四湖鄉新庄村排水護欄工程_四湖大排災害復建工程數量表_普令厝農地重劃區西33路農水路改善工程_後溝子一農地重劃區南北八路農路改善工程_施工日誌1" xfId="1836" xr:uid="{00000000-0005-0000-0000-0000A2050000}"/>
    <cellStyle name="_四湖鄉新庄村排水護欄工程_四湖大排災害復建工程數量表_普令厝農地重劃區西33路農水路改善工程_施工日誌1" xfId="1834" xr:uid="{00000000-0005-0000-0000-0000A3050000}"/>
    <cellStyle name="_四湖鄉新庄村排水護欄工程_四湖大排災害復建工程數量表_普令厝農地重劃區西33路農水路改善工程_崙背鄉雨水下水道清淤疏浚維護工程" xfId="214" xr:uid="{00000000-0005-0000-0000-0000A4050000}"/>
    <cellStyle name="_四湖鄉新庄村排水護欄工程_四湖大排災害復建工程數量表_普令厝農地重劃區西33路農水路改善工程_崙背鄉雨水下水道清淤疏浚維護工程 2" xfId="3178" xr:uid="{00000000-0005-0000-0000-0000A5050000}"/>
    <cellStyle name="_四湖鄉新庄村排水護欄工程_四湖大排災害復建工程數量表_普令厝農地重劃區西33路農水路改善工程_崙背鄉雨水下水道清淤疏浚維護工程_施工日誌1" xfId="1837" xr:uid="{00000000-0005-0000-0000-0000A6050000}"/>
    <cellStyle name="_四湖鄉新庄村排水護欄工程_四湖大排災害復建工程數量表_普令厝農地重劃區西33路農水路改善工程_鹿寮農地重劃區補路農路改善工程等七件工程" xfId="215" xr:uid="{00000000-0005-0000-0000-0000A7050000}"/>
    <cellStyle name="_四湖鄉新庄村排水護欄工程_四湖大排災害復建工程數量表_普令厝農地重劃區西33路農水路改善工程_鹿寮農地重劃區補路農路改善工程等七件工程 2" xfId="3179" xr:uid="{00000000-0005-0000-0000-0000A8050000}"/>
    <cellStyle name="_四湖鄉新庄村排水護欄工程_四湖大排災害復建工程數量表_普令厝農地重劃區西33路農水路改善工程_鹿寮農地重劃區補路農路改善工程等七件工程_施工日誌1" xfId="1838" xr:uid="{00000000-0005-0000-0000-0000A9050000}"/>
    <cellStyle name="_四湖鄉新庄村排水護欄工程_四湖大排災害復建工程數量表_普令厝農地重劃區西33路農水路改善工程_普令厝農地重劃區西33路農水路改善工程" xfId="216" xr:uid="{00000000-0005-0000-0000-0000AA050000}"/>
    <cellStyle name="_四湖鄉新庄村排水護欄工程_四湖大排災害復建工程數量表_普令厝農地重劃區西33路農水路改善工程_普令厝農地重劃區西33路農水路改善工程 2" xfId="3180" xr:uid="{00000000-0005-0000-0000-0000AB050000}"/>
    <cellStyle name="_四湖鄉新庄村排水護欄工程_四湖大排災害復建工程數量表_普令厝農地重劃區西33路農水路改善工程_普令厝農地重劃區西33路農水路改善工程_施工日誌1" xfId="1839" xr:uid="{00000000-0005-0000-0000-0000AC050000}"/>
    <cellStyle name="_四湖鄉新庄村排水護欄工程_四湖大排災害復建工程數量表_普令厝農地重劃區西33路農水路改善工程_雲林縣崙背鄉雨水下水道清淤工程" xfId="217" xr:uid="{00000000-0005-0000-0000-0000AD050000}"/>
    <cellStyle name="_四湖鄉新庄村排水護欄工程_四湖大排災害復建工程數量表_普令厝農地重劃區西33路農水路改善工程_雲林縣崙背鄉雨水下水道清淤工程 2" xfId="3181" xr:uid="{00000000-0005-0000-0000-0000AE050000}"/>
    <cellStyle name="_四湖鄉新庄村排水護欄工程_四湖大排災害復建工程數量表_普令厝農地重劃區西33路農水路改善工程_雲林縣崙背鄉雨水下水道清淤工程_施工日誌1" xfId="1840" xr:uid="{00000000-0005-0000-0000-0000AF050000}"/>
    <cellStyle name="_四湖鄉新庄村排水護欄工程_四湖大排災害復建工程數量表_普令厝農地重劃區西33路農水路改善工程_雲林縣臺西鄉A9～A9-3雨水下水道建設工程" xfId="3182" xr:uid="{00000000-0005-0000-0000-0000B0050000}"/>
    <cellStyle name="_四湖鄉新庄村排水護欄工程_四湖大排災害復建工程數量表_普令厝農地重劃區西33路農水路改善工程_臺西鄉(凡那比颱風)鄉內道路排水災害復建工程" xfId="218" xr:uid="{00000000-0005-0000-0000-0000B1050000}"/>
    <cellStyle name="_四湖鄉新庄村排水護欄工程_四湖大排災害復建工程數量表_普令厝農地重劃區西33路農水路改善工程_臺西鄉(凡那比颱風)鄉內道路排水災害復建工程 2" xfId="3183" xr:uid="{00000000-0005-0000-0000-0000B2050000}"/>
    <cellStyle name="_四湖鄉新庄村排水護欄工程_四湖大排災害復建工程數量表_普令厝農地重劃區西33路農水路改善工程_臺西鄉(凡那比颱風)鄉內道路排水災害復建工程_施工日誌1" xfId="1841" xr:uid="{00000000-0005-0000-0000-0000B3050000}"/>
    <cellStyle name="_四湖鄉新庄村排水護欄工程_四湖大排災害復建工程數量表_普令厝農地重劃區西33路農水路改善工程_臺西鄉蚊港村蚊港巷道改善工程" xfId="3184" xr:uid="{00000000-0005-0000-0000-0000B4050000}"/>
    <cellStyle name="_四湖鄉新庄村排水護欄工程_四湖大排災害復建工程數量表_普令厝農地重劃區西33路農水路改善工程_臺西鄉普令厝重劃區西8路等道路排水改善工程(確定案)" xfId="219" xr:uid="{00000000-0005-0000-0000-0000B5050000}"/>
    <cellStyle name="_四湖鄉新庄村排水護欄工程_四湖大排災害復建工程數量表_普令厝農地重劃區西33路農水路改善工程_臺西鄉普令厝重劃區西8路等道路排水改善工程(確定案) 2" xfId="3185" xr:uid="{00000000-0005-0000-0000-0000B6050000}"/>
    <cellStyle name="_四湖鄉新庄村排水護欄工程_四湖大排災害復建工程數量表_普令厝農地重劃區西33路農水路改善工程_臺西鄉普令厝重劃區西8路等道路排水改善工程(確定案)_施工日誌1" xfId="1842" xr:uid="{00000000-0005-0000-0000-0000B7050000}"/>
    <cellStyle name="_四湖鄉新庄村排水護欄工程_四湖大排災害復建工程數量表_普令厝農地重劃區西33路農水路改善工程_臺西鄉臺西公有零售市埸作為多目標使用改善工程" xfId="3186" xr:uid="{00000000-0005-0000-0000-0000B8050000}"/>
    <cellStyle name="_四湖鄉新庄村排水護欄工程_四湖大排災害復建工程數量表_普令厝農地重劃區西33路農水路改善工程_豐榮、草湖等村道路及排水溝改善工程-(變更)2" xfId="3187" xr:uid="{00000000-0005-0000-0000-0000B9050000}"/>
    <cellStyle name="_四湖鄉新庄村排水護欄工程_四湖鄉廣溝厝農路改善工程" xfId="220" xr:uid="{00000000-0005-0000-0000-0000BA050000}"/>
    <cellStyle name="_四湖鄉新庄村排水護欄工程_四湖鄉廣溝厝農路改善工程 2" xfId="3188" xr:uid="{00000000-0005-0000-0000-0000BB050000}"/>
    <cellStyle name="_四湖鄉新庄村排水護欄工程_四湖鄉廣溝厝農路改善工程_施工日誌1" xfId="1843" xr:uid="{00000000-0005-0000-0000-0000BC050000}"/>
    <cellStyle name="_四湖鄉新庄村排水護欄工程_四湖鄉廣溝厝農路改善工程_普令厝農地重劃區西33路農水路改善工程" xfId="221" xr:uid="{00000000-0005-0000-0000-0000BD050000}"/>
    <cellStyle name="_四湖鄉新庄村排水護欄工程_四湖鄉廣溝厝農路改善工程_普令厝農地重劃區西33路農水路改善工程 2" xfId="3189" xr:uid="{00000000-0005-0000-0000-0000BE050000}"/>
    <cellStyle name="_四湖鄉新庄村排水護欄工程_四湖鄉廣溝厝農路改善工程_普令厝農地重劃區西33路農水路改善工程_土庫鎮埤腳里道路、排水溝改善工程101.05.18(修正3確定)" xfId="3190" xr:uid="{00000000-0005-0000-0000-0000BF050000}"/>
    <cellStyle name="_四湖鄉新庄村排水護欄工程_四湖鄉廣溝厝農路改善工程_普令厝農地重劃區西33路農水路改善工程_元長鄉長南村巷道排水改善工程" xfId="3191" xr:uid="{00000000-0005-0000-0000-0000C0050000}"/>
    <cellStyle name="_四湖鄉新庄村排水護欄工程_四湖鄉廣溝厝農路改善工程_普令厝農地重劃區西33路農水路改善工程_斗南鎮久安農地重劃區V51路農路路面改善工程" xfId="5114" xr:uid="{00000000-0005-0000-0000-0000C1050000}"/>
    <cellStyle name="_四湖鄉新庄村排水護欄工程_四湖鄉廣溝厝農路改善工程_普令厝農地重劃區西33路農水路改善工程_斗南鎮田頭農地重劃區農路改善工程" xfId="5115" xr:uid="{00000000-0005-0000-0000-0000C2050000}"/>
    <cellStyle name="_四湖鄉新庄村排水護欄工程_四湖鄉廣溝厝農路改善工程_普令厝農地重劃區西33路農水路改善工程_斗南鎮西岐里舊社里等路面改善工程-100.05.18" xfId="3192" xr:uid="{00000000-0005-0000-0000-0000C3050000}"/>
    <cellStyle name="_四湖鄉新庄村排水護欄工程_四湖鄉廣溝厝農路改善工程_普令厝農地重劃區西33路農水路改善工程_斗南鎮阿丹里、林子里相關公共設施改善工程100.11.29" xfId="3193" xr:uid="{00000000-0005-0000-0000-0000C4050000}"/>
    <cellStyle name="_四湖鄉新庄村排水護欄工程_四湖鄉廣溝厝農路改善工程_普令厝農地重劃區西33路農水路改善工程_斗南鎮將軍里等路面及附屬設施改善工程" xfId="3194" xr:uid="{00000000-0005-0000-0000-0000C5050000}"/>
    <cellStyle name="_四湖鄉新庄村排水護欄工程_四湖鄉廣溝厝農路改善工程_普令厝農地重劃區西33路農水路改善工程_古坑鄉大湖底段及麻園段路面改善工程" xfId="3195" xr:uid="{00000000-0005-0000-0000-0000C6050000}"/>
    <cellStyle name="_四湖鄉新庄村排水護欄工程_四湖鄉廣溝厝農路改善工程_普令厝農地重劃區西33路農水路改善工程_台西海埔地南4路排水9907豪雨災害復建工程" xfId="3196" xr:uid="{00000000-0005-0000-0000-0000C7050000}"/>
    <cellStyle name="_四湖鄉新庄村排水護欄工程_四湖鄉廣溝厝農路改善工程_普令厝農地重劃區西33路農水路改善工程_台西鄉四美重劃區南北幹路4農路復建工程" xfId="222" xr:uid="{00000000-0005-0000-0000-0000C8050000}"/>
    <cellStyle name="_四湖鄉新庄村排水護欄工程_四湖鄉廣溝厝農路改善工程_普令厝農地重劃區西33路農水路改善工程_台西鄉四美重劃區南北幹路4農路復建工程 2" xfId="3197" xr:uid="{00000000-0005-0000-0000-0000C9050000}"/>
    <cellStyle name="_四湖鄉新庄村排水護欄工程_四湖鄉廣溝厝農路改善工程_普令厝農地重劃區西33路農水路改善工程_台西鄉四美重劃區南北幹路4農路復建工程_施工日誌1" xfId="1845" xr:uid="{00000000-0005-0000-0000-0000CA050000}"/>
    <cellStyle name="_四湖鄉新庄村排水護欄工程_四湖鄉廣溝厝農路改善工程_普令厝農地重劃區西33路農水路改善工程_東勢鄉新坤村及麥寮鄉海豐村道路排水改善工程" xfId="5116" xr:uid="{00000000-0005-0000-0000-0000CB050000}"/>
    <cellStyle name="_四湖鄉新庄村排水護欄工程_四湖鄉廣溝厝農路改善工程_普令厝農地重劃區西33路農水路改善工程_林縣臺西鄉A10~A12雨水下水道建設工程(增減明細)" xfId="3198" xr:uid="{00000000-0005-0000-0000-0000CC050000}"/>
    <cellStyle name="_四湖鄉新庄村排水護欄工程_四湖鄉廣溝厝農路改善工程_普令厝農地重劃區西33路農水路改善工程_虎尾鎮新吉里竹圍子農村社區生態魚池暨運動公園道路與排水改善工程(預算書)" xfId="3199" xr:uid="{00000000-0005-0000-0000-0000CD050000}"/>
    <cellStyle name="_四湖鄉新庄村排水護欄工程_四湖鄉廣溝厝農路改善工程_普令厝農地重劃區西33路農水路改善工程_虎尾鎮新吉里竹圍子農村社區生態魚池暨運動公園道路與排水改善工程(確定)" xfId="5117" xr:uid="{00000000-0005-0000-0000-0000CE050000}"/>
    <cellStyle name="_四湖鄉新庄村排水護欄工程_四湖鄉廣溝厝農路改善工程_普令厝農地重劃區西33路農水路改善工程_長北村等巷道排水改善工程" xfId="3200" xr:uid="{00000000-0005-0000-0000-0000CF050000}"/>
    <cellStyle name="_四湖鄉新庄村排水護欄工程_四湖鄉廣溝厝農路改善工程_普令厝農地重劃區西33路農水路改善工程_後溝子一農地重劃區南北八路農路改善工程" xfId="223" xr:uid="{00000000-0005-0000-0000-0000D0050000}"/>
    <cellStyle name="_四湖鄉新庄村排水護欄工程_四湖鄉廣溝厝農路改善工程_普令厝農地重劃區西33路農水路改善工程_後溝子一農地重劃區南北八路農路改善工程 2" xfId="3201" xr:uid="{00000000-0005-0000-0000-0000D1050000}"/>
    <cellStyle name="_四湖鄉新庄村排水護欄工程_四湖鄉廣溝厝農路改善工程_普令厝農地重劃區西33路農水路改善工程_後溝子一農地重劃區南北八路農路改善工程_施工日誌1" xfId="1846" xr:uid="{00000000-0005-0000-0000-0000D2050000}"/>
    <cellStyle name="_四湖鄉新庄村排水護欄工程_四湖鄉廣溝厝農路改善工程_普令厝農地重劃區西33路農水路改善工程_施工日誌1" xfId="1844" xr:uid="{00000000-0005-0000-0000-0000D3050000}"/>
    <cellStyle name="_四湖鄉新庄村排水護欄工程_四湖鄉廣溝厝農路改善工程_普令厝農地重劃區西33路農水路改善工程_崙背鄉雨水下水道清淤疏浚維護工程" xfId="224" xr:uid="{00000000-0005-0000-0000-0000D4050000}"/>
    <cellStyle name="_四湖鄉新庄村排水護欄工程_四湖鄉廣溝厝農路改善工程_普令厝農地重劃區西33路農水路改善工程_崙背鄉雨水下水道清淤疏浚維護工程 2" xfId="3202" xr:uid="{00000000-0005-0000-0000-0000D5050000}"/>
    <cellStyle name="_四湖鄉新庄村排水護欄工程_四湖鄉廣溝厝農路改善工程_普令厝農地重劃區西33路農水路改善工程_崙背鄉雨水下水道清淤疏浚維護工程_施工日誌1" xfId="1847" xr:uid="{00000000-0005-0000-0000-0000D6050000}"/>
    <cellStyle name="_四湖鄉新庄村排水護欄工程_四湖鄉廣溝厝農路改善工程_普令厝農地重劃區西33路農水路改善工程_鹿寮農地重劃區補路農路改善工程等七件工程" xfId="225" xr:uid="{00000000-0005-0000-0000-0000D7050000}"/>
    <cellStyle name="_四湖鄉新庄村排水護欄工程_四湖鄉廣溝厝農路改善工程_普令厝農地重劃區西33路農水路改善工程_鹿寮農地重劃區補路農路改善工程等七件工程 2" xfId="3203" xr:uid="{00000000-0005-0000-0000-0000D8050000}"/>
    <cellStyle name="_四湖鄉新庄村排水護欄工程_四湖鄉廣溝厝農路改善工程_普令厝農地重劃區西33路農水路改善工程_鹿寮農地重劃區補路農路改善工程等七件工程_施工日誌1" xfId="1848" xr:uid="{00000000-0005-0000-0000-0000D9050000}"/>
    <cellStyle name="_四湖鄉新庄村排水護欄工程_四湖鄉廣溝厝農路改善工程_普令厝農地重劃區西33路農水路改善工程_普令厝農地重劃區西33路農水路改善工程" xfId="226" xr:uid="{00000000-0005-0000-0000-0000DA050000}"/>
    <cellStyle name="_四湖鄉新庄村排水護欄工程_四湖鄉廣溝厝農路改善工程_普令厝農地重劃區西33路農水路改善工程_普令厝農地重劃區西33路農水路改善工程 2" xfId="3204" xr:uid="{00000000-0005-0000-0000-0000DB050000}"/>
    <cellStyle name="_四湖鄉新庄村排水護欄工程_四湖鄉廣溝厝農路改善工程_普令厝農地重劃區西33路農水路改善工程_普令厝農地重劃區西33路農水路改善工程_施工日誌1" xfId="1849" xr:uid="{00000000-0005-0000-0000-0000DC050000}"/>
    <cellStyle name="_四湖鄉新庄村排水護欄工程_四湖鄉廣溝厝農路改善工程_普令厝農地重劃區西33路農水路改善工程_雲林縣崙背鄉雨水下水道清淤工程" xfId="227" xr:uid="{00000000-0005-0000-0000-0000DD050000}"/>
    <cellStyle name="_四湖鄉新庄村排水護欄工程_四湖鄉廣溝厝農路改善工程_普令厝農地重劃區西33路農水路改善工程_雲林縣崙背鄉雨水下水道清淤工程 2" xfId="3205" xr:uid="{00000000-0005-0000-0000-0000DE050000}"/>
    <cellStyle name="_四湖鄉新庄村排水護欄工程_四湖鄉廣溝厝農路改善工程_普令厝農地重劃區西33路農水路改善工程_雲林縣崙背鄉雨水下水道清淤工程_施工日誌1" xfId="1850" xr:uid="{00000000-0005-0000-0000-0000DF050000}"/>
    <cellStyle name="_四湖鄉新庄村排水護欄工程_四湖鄉廣溝厝農路改善工程_普令厝農地重劃區西33路農水路改善工程_雲林縣臺西鄉A9～A9-3雨水下水道建設工程" xfId="3206" xr:uid="{00000000-0005-0000-0000-0000E0050000}"/>
    <cellStyle name="_四湖鄉新庄村排水護欄工程_四湖鄉廣溝厝農路改善工程_普令厝農地重劃區西33路農水路改善工程_臺西鄉(凡那比颱風)鄉內道路排水災害復建工程" xfId="228" xr:uid="{00000000-0005-0000-0000-0000E1050000}"/>
    <cellStyle name="_四湖鄉新庄村排水護欄工程_四湖鄉廣溝厝農路改善工程_普令厝農地重劃區西33路農水路改善工程_臺西鄉(凡那比颱風)鄉內道路排水災害復建工程 2" xfId="3207" xr:uid="{00000000-0005-0000-0000-0000E2050000}"/>
    <cellStyle name="_四湖鄉新庄村排水護欄工程_四湖鄉廣溝厝農路改善工程_普令厝農地重劃區西33路農水路改善工程_臺西鄉(凡那比颱風)鄉內道路排水災害復建工程_施工日誌1" xfId="1851" xr:uid="{00000000-0005-0000-0000-0000E3050000}"/>
    <cellStyle name="_四湖鄉新庄村排水護欄工程_四湖鄉廣溝厝農路改善工程_普令厝農地重劃區西33路農水路改善工程_臺西鄉蚊港村蚊港巷道改善工程" xfId="3208" xr:uid="{00000000-0005-0000-0000-0000E4050000}"/>
    <cellStyle name="_四湖鄉新庄村排水護欄工程_四湖鄉廣溝厝農路改善工程_普令厝農地重劃區西33路農水路改善工程_臺西鄉普令厝重劃區西8路等道路排水改善工程(確定案)" xfId="229" xr:uid="{00000000-0005-0000-0000-0000E5050000}"/>
    <cellStyle name="_四湖鄉新庄村排水護欄工程_四湖鄉廣溝厝農路改善工程_普令厝農地重劃區西33路農水路改善工程_臺西鄉普令厝重劃區西8路等道路排水改善工程(確定案) 2" xfId="3209" xr:uid="{00000000-0005-0000-0000-0000E6050000}"/>
    <cellStyle name="_四湖鄉新庄村排水護欄工程_四湖鄉廣溝厝農路改善工程_普令厝農地重劃區西33路農水路改善工程_臺西鄉普令厝重劃區西8路等道路排水改善工程(確定案)_施工日誌1" xfId="1852" xr:uid="{00000000-0005-0000-0000-0000E7050000}"/>
    <cellStyle name="_四湖鄉新庄村排水護欄工程_四湖鄉廣溝厝農路改善工程_普令厝農地重劃區西33路農水路改善工程_臺西鄉臺西公有零售市埸作為多目標使用改善工程" xfId="3210" xr:uid="{00000000-0005-0000-0000-0000E8050000}"/>
    <cellStyle name="_四湖鄉新庄村排水護欄工程_四湖鄉廣溝厝農路改善工程_普令厝農地重劃區西33路農水路改善工程_豐榮、草湖等村道路及排水溝改善工程-(變更)2" xfId="3211" xr:uid="{00000000-0005-0000-0000-0000E9050000}"/>
    <cellStyle name="_四湖鄉新庄村排水護欄工程_決算-文化館" xfId="230" xr:uid="{00000000-0005-0000-0000-0000EA050000}"/>
    <cellStyle name="_四湖鄉新庄村排水護欄工程_決算-文化館_施工日誌1" xfId="1853" xr:uid="{00000000-0005-0000-0000-0000EB050000}"/>
    <cellStyle name="_四湖鄉新庄村排水護欄工程_空白標單97-8-28" xfId="231" xr:uid="{00000000-0005-0000-0000-0000EC050000}"/>
    <cellStyle name="_四湖鄉新庄村排水護欄工程_空白標單97-8-28_施工日誌1" xfId="1854" xr:uid="{00000000-0005-0000-0000-0000ED050000}"/>
    <cellStyle name="_四湖鄉新庄村排水護欄工程_施工日誌1" xfId="1822" xr:uid="{00000000-0005-0000-0000-0000EE050000}"/>
    <cellStyle name="_四湖鄉新庄村排水護欄工程_參天宮-竣工結算1127" xfId="232" xr:uid="{00000000-0005-0000-0000-0000EF050000}"/>
    <cellStyle name="_四湖鄉新庄村排水護欄工程_參天宮-竣工結算1127_施工日誌1" xfId="1855" xr:uid="{00000000-0005-0000-0000-0000F0050000}"/>
    <cellStyle name="_四湖鄉新庄村排水護欄工程_普令厝農地重劃區西33路農水路改善工程" xfId="233" xr:uid="{00000000-0005-0000-0000-0000F1050000}"/>
    <cellStyle name="_四湖鄉新庄村排水護欄工程_普令厝農地重劃區西33路農水路改善工程 2" xfId="3212" xr:uid="{00000000-0005-0000-0000-0000F2050000}"/>
    <cellStyle name="_四湖鄉新庄村排水護欄工程_普令厝農地重劃區西33路農水路改善工程_土庫鎮埤腳里道路、排水溝改善工程101.05.18(修正3確定)" xfId="3213" xr:uid="{00000000-0005-0000-0000-0000F3050000}"/>
    <cellStyle name="_四湖鄉新庄村排水護欄工程_普令厝農地重劃區西33路農水路改善工程_元長鄉長南村巷道排水改善工程" xfId="3214" xr:uid="{00000000-0005-0000-0000-0000F4050000}"/>
    <cellStyle name="_四湖鄉新庄村排水護欄工程_普令厝農地重劃區西33路農水路改善工程_斗南鎮久安農地重劃區V51路農路路面改善工程" xfId="5118" xr:uid="{00000000-0005-0000-0000-0000F5050000}"/>
    <cellStyle name="_四湖鄉新庄村排水護欄工程_普令厝農地重劃區西33路農水路改善工程_斗南鎮田頭農地重劃區農路改善工程" xfId="5119" xr:uid="{00000000-0005-0000-0000-0000F6050000}"/>
    <cellStyle name="_四湖鄉新庄村排水護欄工程_普令厝農地重劃區西33路農水路改善工程_斗南鎮西岐里舊社里等路面改善工程-100.05.18" xfId="3215" xr:uid="{00000000-0005-0000-0000-0000F7050000}"/>
    <cellStyle name="_四湖鄉新庄村排水護欄工程_普令厝農地重劃區西33路農水路改善工程_斗南鎮阿丹里、林子里相關公共設施改善工程100.11.29" xfId="3216" xr:uid="{00000000-0005-0000-0000-0000F8050000}"/>
    <cellStyle name="_四湖鄉新庄村排水護欄工程_普令厝農地重劃區西33路農水路改善工程_斗南鎮將軍里等路面及附屬設施改善工程" xfId="3217" xr:uid="{00000000-0005-0000-0000-0000F9050000}"/>
    <cellStyle name="_四湖鄉新庄村排水護欄工程_普令厝農地重劃區西33路農水路改善工程_古坑鄉大湖底段及麻園段路面改善工程" xfId="3218" xr:uid="{00000000-0005-0000-0000-0000FA050000}"/>
    <cellStyle name="_四湖鄉新庄村排水護欄工程_普令厝農地重劃區西33路農水路改善工程_台西海埔地南4路排水9907豪雨災害復建工程" xfId="3219" xr:uid="{00000000-0005-0000-0000-0000FB050000}"/>
    <cellStyle name="_四湖鄉新庄村排水護欄工程_普令厝農地重劃區西33路農水路改善工程_台西鄉四美重劃區南北幹路4農路復建工程" xfId="234" xr:uid="{00000000-0005-0000-0000-0000FC050000}"/>
    <cellStyle name="_四湖鄉新庄村排水護欄工程_普令厝農地重劃區西33路農水路改善工程_台西鄉四美重劃區南北幹路4農路復建工程 2" xfId="3220" xr:uid="{00000000-0005-0000-0000-0000FD050000}"/>
    <cellStyle name="_四湖鄉新庄村排水護欄工程_普令厝農地重劃區西33路農水路改善工程_台西鄉四美重劃區南北幹路4農路復建工程_施工日誌1" xfId="1857" xr:uid="{00000000-0005-0000-0000-0000FE050000}"/>
    <cellStyle name="_四湖鄉新庄村排水護欄工程_普令厝農地重劃區西33路農水路改善工程_東勢鄉新坤村及麥寮鄉海豐村道路排水改善工程" xfId="5120" xr:uid="{00000000-0005-0000-0000-0000FF050000}"/>
    <cellStyle name="_四湖鄉新庄村排水護欄工程_普令厝農地重劃區西33路農水路改善工程_林縣臺西鄉A10~A12雨水下水道建設工程(增減明細)" xfId="3221" xr:uid="{00000000-0005-0000-0000-000000060000}"/>
    <cellStyle name="_四湖鄉新庄村排水護欄工程_普令厝農地重劃區西33路農水路改善工程_虎尾鎮新吉里竹圍子農村社區生態魚池暨運動公園道路與排水改善工程(預算書)" xfId="3222" xr:uid="{00000000-0005-0000-0000-000001060000}"/>
    <cellStyle name="_四湖鄉新庄村排水護欄工程_普令厝農地重劃區西33路農水路改善工程_虎尾鎮新吉里竹圍子農村社區生態魚池暨運動公園道路與排水改善工程(確定)" xfId="5121" xr:uid="{00000000-0005-0000-0000-000002060000}"/>
    <cellStyle name="_四湖鄉新庄村排水護欄工程_普令厝農地重劃區西33路農水路改善工程_長北村等巷道排水改善工程" xfId="3223" xr:uid="{00000000-0005-0000-0000-000003060000}"/>
    <cellStyle name="_四湖鄉新庄村排水護欄工程_普令厝農地重劃區西33路農水路改善工程_後溝子一農地重劃區南北八路農路改善工程" xfId="235" xr:uid="{00000000-0005-0000-0000-000004060000}"/>
    <cellStyle name="_四湖鄉新庄村排水護欄工程_普令厝農地重劃區西33路農水路改善工程_後溝子一農地重劃區南北八路農路改善工程 2" xfId="3224" xr:uid="{00000000-0005-0000-0000-000005060000}"/>
    <cellStyle name="_四湖鄉新庄村排水護欄工程_普令厝農地重劃區西33路農水路改善工程_後溝子一農地重劃區南北八路農路改善工程_施工日誌1" xfId="1858" xr:uid="{00000000-0005-0000-0000-000006060000}"/>
    <cellStyle name="_四湖鄉新庄村排水護欄工程_普令厝農地重劃區西33路農水路改善工程_施工日誌1" xfId="1856" xr:uid="{00000000-0005-0000-0000-000007060000}"/>
    <cellStyle name="_四湖鄉新庄村排水護欄工程_普令厝農地重劃區西33路農水路改善工程_崙背鄉雨水下水道清淤疏浚維護工程" xfId="236" xr:uid="{00000000-0005-0000-0000-000008060000}"/>
    <cellStyle name="_四湖鄉新庄村排水護欄工程_普令厝農地重劃區西33路農水路改善工程_崙背鄉雨水下水道清淤疏浚維護工程 2" xfId="3225" xr:uid="{00000000-0005-0000-0000-000009060000}"/>
    <cellStyle name="_四湖鄉新庄村排水護欄工程_普令厝農地重劃區西33路農水路改善工程_崙背鄉雨水下水道清淤疏浚維護工程_施工日誌1" xfId="1859" xr:uid="{00000000-0005-0000-0000-00000A060000}"/>
    <cellStyle name="_四湖鄉新庄村排水護欄工程_普令厝農地重劃區西33路農水路改善工程_鹿寮農地重劃區補路農路改善工程等七件工程" xfId="237" xr:uid="{00000000-0005-0000-0000-00000B060000}"/>
    <cellStyle name="_四湖鄉新庄村排水護欄工程_普令厝農地重劃區西33路農水路改善工程_鹿寮農地重劃區補路農路改善工程等七件工程 2" xfId="3226" xr:uid="{00000000-0005-0000-0000-00000C060000}"/>
    <cellStyle name="_四湖鄉新庄村排水護欄工程_普令厝農地重劃區西33路農水路改善工程_鹿寮農地重劃區補路農路改善工程等七件工程_施工日誌1" xfId="1860" xr:uid="{00000000-0005-0000-0000-00000D060000}"/>
    <cellStyle name="_四湖鄉新庄村排水護欄工程_普令厝農地重劃區西33路農水路改善工程_普令厝農地重劃區西33路農水路改善工程" xfId="238" xr:uid="{00000000-0005-0000-0000-00000E060000}"/>
    <cellStyle name="_四湖鄉新庄村排水護欄工程_普令厝農地重劃區西33路農水路改善工程_普令厝農地重劃區西33路農水路改善工程 2" xfId="3227" xr:uid="{00000000-0005-0000-0000-00000F060000}"/>
    <cellStyle name="_四湖鄉新庄村排水護欄工程_普令厝農地重劃區西33路農水路改善工程_普令厝農地重劃區西33路農水路改善工程_施工日誌1" xfId="1861" xr:uid="{00000000-0005-0000-0000-000010060000}"/>
    <cellStyle name="_四湖鄉新庄村排水護欄工程_普令厝農地重劃區西33路農水路改善工程_雲林縣崙背鄉雨水下水道清淤工程" xfId="239" xr:uid="{00000000-0005-0000-0000-000011060000}"/>
    <cellStyle name="_四湖鄉新庄村排水護欄工程_普令厝農地重劃區西33路農水路改善工程_雲林縣崙背鄉雨水下水道清淤工程 2" xfId="3228" xr:uid="{00000000-0005-0000-0000-000012060000}"/>
    <cellStyle name="_四湖鄉新庄村排水護欄工程_普令厝農地重劃區西33路農水路改善工程_雲林縣崙背鄉雨水下水道清淤工程_施工日誌1" xfId="1862" xr:uid="{00000000-0005-0000-0000-000013060000}"/>
    <cellStyle name="_四湖鄉新庄村排水護欄工程_普令厝農地重劃區西33路農水路改善工程_雲林縣臺西鄉A9～A9-3雨水下水道建設工程" xfId="3229" xr:uid="{00000000-0005-0000-0000-000014060000}"/>
    <cellStyle name="_四湖鄉新庄村排水護欄工程_普令厝農地重劃區西33路農水路改善工程_臺西鄉(凡那比颱風)鄉內道路排水災害復建工程" xfId="240" xr:uid="{00000000-0005-0000-0000-000015060000}"/>
    <cellStyle name="_四湖鄉新庄村排水護欄工程_普令厝農地重劃區西33路農水路改善工程_臺西鄉(凡那比颱風)鄉內道路排水災害復建工程 2" xfId="3230" xr:uid="{00000000-0005-0000-0000-000016060000}"/>
    <cellStyle name="_四湖鄉新庄村排水護欄工程_普令厝農地重劃區西33路農水路改善工程_臺西鄉(凡那比颱風)鄉內道路排水災害復建工程_施工日誌1" xfId="1863" xr:uid="{00000000-0005-0000-0000-000017060000}"/>
    <cellStyle name="_四湖鄉新庄村排水護欄工程_普令厝農地重劃區西33路農水路改善工程_臺西鄉蚊港村蚊港巷道改善工程" xfId="3231" xr:uid="{00000000-0005-0000-0000-000018060000}"/>
    <cellStyle name="_四湖鄉新庄村排水護欄工程_普令厝農地重劃區西33路農水路改善工程_臺西鄉普令厝重劃區西8路等道路排水改善工程(確定案)" xfId="241" xr:uid="{00000000-0005-0000-0000-000019060000}"/>
    <cellStyle name="_四湖鄉新庄村排水護欄工程_普令厝農地重劃區西33路農水路改善工程_臺西鄉普令厝重劃區西8路等道路排水改善工程(確定案) 2" xfId="3232" xr:uid="{00000000-0005-0000-0000-00001A060000}"/>
    <cellStyle name="_四湖鄉新庄村排水護欄工程_普令厝農地重劃區西33路農水路改善工程_臺西鄉普令厝重劃區西8路等道路排水改善工程(確定案)_施工日誌1" xfId="1864" xr:uid="{00000000-0005-0000-0000-00001B060000}"/>
    <cellStyle name="_四湖鄉新庄村排水護欄工程_普令厝農地重劃區西33路農水路改善工程_臺西鄉臺西公有零售市埸作為多目標使用改善工程" xfId="3233" xr:uid="{00000000-0005-0000-0000-00001C060000}"/>
    <cellStyle name="_四湖鄉新庄村排水護欄工程_普令厝農地重劃區西33路農水路改善工程_豐榮、草湖等村道路及排水溝改善工程-(變更)2" xfId="3234" xr:uid="{00000000-0005-0000-0000-00001D060000}"/>
    <cellStyle name="_四湖鄉新庄村排水護欄工程_預算書1210" xfId="242" xr:uid="{00000000-0005-0000-0000-00001E060000}"/>
    <cellStyle name="_四湖鄉新庄村排水護欄工程_預算書1210 2" xfId="3235" xr:uid="{00000000-0005-0000-0000-00001F060000}"/>
    <cellStyle name="_四湖鄉新庄村排水護欄工程_預算書1210_施工日誌1" xfId="1865" xr:uid="{00000000-0005-0000-0000-000020060000}"/>
    <cellStyle name="_四湖鄉新庄村排水護欄工程_預算書1210_普令厝農地重劃區西33路農水路改善工程" xfId="243" xr:uid="{00000000-0005-0000-0000-000021060000}"/>
    <cellStyle name="_四湖鄉新庄村排水護欄工程_預算書1210_普令厝農地重劃區西33路農水路改善工程 2" xfId="3236" xr:uid="{00000000-0005-0000-0000-000022060000}"/>
    <cellStyle name="_四湖鄉新庄村排水護欄工程_預算書1210_普令厝農地重劃區西33路農水路改善工程_土庫鎮埤腳里道路、排水溝改善工程101.05.18(修正3確定)" xfId="3237" xr:uid="{00000000-0005-0000-0000-000023060000}"/>
    <cellStyle name="_四湖鄉新庄村排水護欄工程_預算書1210_普令厝農地重劃區西33路農水路改善工程_元長鄉長南村巷道排水改善工程" xfId="3238" xr:uid="{00000000-0005-0000-0000-000024060000}"/>
    <cellStyle name="_四湖鄉新庄村排水護欄工程_預算書1210_普令厝農地重劃區西33路農水路改善工程_斗南鎮久安農地重劃區V51路農路路面改善工程" xfId="5122" xr:uid="{00000000-0005-0000-0000-000025060000}"/>
    <cellStyle name="_四湖鄉新庄村排水護欄工程_預算書1210_普令厝農地重劃區西33路農水路改善工程_斗南鎮田頭農地重劃區農路改善工程" xfId="5123" xr:uid="{00000000-0005-0000-0000-000026060000}"/>
    <cellStyle name="_四湖鄉新庄村排水護欄工程_預算書1210_普令厝農地重劃區西33路農水路改善工程_斗南鎮西岐里舊社里等路面改善工程-100.05.18" xfId="3239" xr:uid="{00000000-0005-0000-0000-000027060000}"/>
    <cellStyle name="_四湖鄉新庄村排水護欄工程_預算書1210_普令厝農地重劃區西33路農水路改善工程_斗南鎮阿丹里、林子里相關公共設施改善工程100.11.29" xfId="3240" xr:uid="{00000000-0005-0000-0000-000028060000}"/>
    <cellStyle name="_四湖鄉新庄村排水護欄工程_預算書1210_普令厝農地重劃區西33路農水路改善工程_斗南鎮將軍里等路面及附屬設施改善工程" xfId="3241" xr:uid="{00000000-0005-0000-0000-000029060000}"/>
    <cellStyle name="_四湖鄉新庄村排水護欄工程_預算書1210_普令厝農地重劃區西33路農水路改善工程_古坑鄉大湖底段及麻園段路面改善工程" xfId="3242" xr:uid="{00000000-0005-0000-0000-00002A060000}"/>
    <cellStyle name="_四湖鄉新庄村排水護欄工程_預算書1210_普令厝農地重劃區西33路農水路改善工程_台西海埔地南4路排水9907豪雨災害復建工程" xfId="3243" xr:uid="{00000000-0005-0000-0000-00002B060000}"/>
    <cellStyle name="_四湖鄉新庄村排水護欄工程_預算書1210_普令厝農地重劃區西33路農水路改善工程_台西鄉四美重劃區南北幹路4農路復建工程" xfId="244" xr:uid="{00000000-0005-0000-0000-00002C060000}"/>
    <cellStyle name="_四湖鄉新庄村排水護欄工程_預算書1210_普令厝農地重劃區西33路農水路改善工程_台西鄉四美重劃區南北幹路4農路復建工程 2" xfId="3244" xr:uid="{00000000-0005-0000-0000-00002D060000}"/>
    <cellStyle name="_四湖鄉新庄村排水護欄工程_預算書1210_普令厝農地重劃區西33路農水路改善工程_台西鄉四美重劃區南北幹路4農路復建工程_施工日誌1" xfId="1867" xr:uid="{00000000-0005-0000-0000-00002E060000}"/>
    <cellStyle name="_四湖鄉新庄村排水護欄工程_預算書1210_普令厝農地重劃區西33路農水路改善工程_東勢鄉新坤村及麥寮鄉海豐村道路排水改善工程" xfId="5124" xr:uid="{00000000-0005-0000-0000-00002F060000}"/>
    <cellStyle name="_四湖鄉新庄村排水護欄工程_預算書1210_普令厝農地重劃區西33路農水路改善工程_林縣臺西鄉A10~A12雨水下水道建設工程(增減明細)" xfId="3245" xr:uid="{00000000-0005-0000-0000-000030060000}"/>
    <cellStyle name="_四湖鄉新庄村排水護欄工程_預算書1210_普令厝農地重劃區西33路農水路改善工程_虎尾鎮新吉里竹圍子農村社區生態魚池暨運動公園道路與排水改善工程(預算書)" xfId="3246" xr:uid="{00000000-0005-0000-0000-000031060000}"/>
    <cellStyle name="_四湖鄉新庄村排水護欄工程_預算書1210_普令厝農地重劃區西33路農水路改善工程_虎尾鎮新吉里竹圍子農村社區生態魚池暨運動公園道路與排水改善工程(確定)" xfId="5125" xr:uid="{00000000-0005-0000-0000-000032060000}"/>
    <cellStyle name="_四湖鄉新庄村排水護欄工程_預算書1210_普令厝農地重劃區西33路農水路改善工程_長北村等巷道排水改善工程" xfId="3247" xr:uid="{00000000-0005-0000-0000-000033060000}"/>
    <cellStyle name="_四湖鄉新庄村排水護欄工程_預算書1210_普令厝農地重劃區西33路農水路改善工程_後溝子一農地重劃區南北八路農路改善工程" xfId="245" xr:uid="{00000000-0005-0000-0000-000034060000}"/>
    <cellStyle name="_四湖鄉新庄村排水護欄工程_預算書1210_普令厝農地重劃區西33路農水路改善工程_後溝子一農地重劃區南北八路農路改善工程 2" xfId="3248" xr:uid="{00000000-0005-0000-0000-000035060000}"/>
    <cellStyle name="_四湖鄉新庄村排水護欄工程_預算書1210_普令厝農地重劃區西33路農水路改善工程_後溝子一農地重劃區南北八路農路改善工程_施工日誌1" xfId="1868" xr:uid="{00000000-0005-0000-0000-000036060000}"/>
    <cellStyle name="_四湖鄉新庄村排水護欄工程_預算書1210_普令厝農地重劃區西33路農水路改善工程_施工日誌1" xfId="1866" xr:uid="{00000000-0005-0000-0000-000037060000}"/>
    <cellStyle name="_四湖鄉新庄村排水護欄工程_預算書1210_普令厝農地重劃區西33路農水路改善工程_崙背鄉雨水下水道清淤疏浚維護工程" xfId="246" xr:uid="{00000000-0005-0000-0000-000038060000}"/>
    <cellStyle name="_四湖鄉新庄村排水護欄工程_預算書1210_普令厝農地重劃區西33路農水路改善工程_崙背鄉雨水下水道清淤疏浚維護工程 2" xfId="3249" xr:uid="{00000000-0005-0000-0000-000039060000}"/>
    <cellStyle name="_四湖鄉新庄村排水護欄工程_預算書1210_普令厝農地重劃區西33路農水路改善工程_崙背鄉雨水下水道清淤疏浚維護工程_施工日誌1" xfId="1869" xr:uid="{00000000-0005-0000-0000-00003A060000}"/>
    <cellStyle name="_四湖鄉新庄村排水護欄工程_預算書1210_普令厝農地重劃區西33路農水路改善工程_鹿寮農地重劃區補路農路改善工程等七件工程" xfId="247" xr:uid="{00000000-0005-0000-0000-00003B060000}"/>
    <cellStyle name="_四湖鄉新庄村排水護欄工程_預算書1210_普令厝農地重劃區西33路農水路改善工程_鹿寮農地重劃區補路農路改善工程等七件工程 2" xfId="3250" xr:uid="{00000000-0005-0000-0000-00003C060000}"/>
    <cellStyle name="_四湖鄉新庄村排水護欄工程_預算書1210_普令厝農地重劃區西33路農水路改善工程_鹿寮農地重劃區補路農路改善工程等七件工程_施工日誌1" xfId="1870" xr:uid="{00000000-0005-0000-0000-00003D060000}"/>
    <cellStyle name="_四湖鄉新庄村排水護欄工程_預算書1210_普令厝農地重劃區西33路農水路改善工程_普令厝農地重劃區西33路農水路改善工程" xfId="248" xr:uid="{00000000-0005-0000-0000-00003E060000}"/>
    <cellStyle name="_四湖鄉新庄村排水護欄工程_預算書1210_普令厝農地重劃區西33路農水路改善工程_普令厝農地重劃區西33路農水路改善工程 2" xfId="3251" xr:uid="{00000000-0005-0000-0000-00003F060000}"/>
    <cellStyle name="_四湖鄉新庄村排水護欄工程_預算書1210_普令厝農地重劃區西33路農水路改善工程_普令厝農地重劃區西33路農水路改善工程_施工日誌1" xfId="1871" xr:uid="{00000000-0005-0000-0000-000040060000}"/>
    <cellStyle name="_四湖鄉新庄村排水護欄工程_預算書1210_普令厝農地重劃區西33路農水路改善工程_雲林縣崙背鄉雨水下水道清淤工程" xfId="249" xr:uid="{00000000-0005-0000-0000-000041060000}"/>
    <cellStyle name="_四湖鄉新庄村排水護欄工程_預算書1210_普令厝農地重劃區西33路農水路改善工程_雲林縣崙背鄉雨水下水道清淤工程 2" xfId="3252" xr:uid="{00000000-0005-0000-0000-000042060000}"/>
    <cellStyle name="_四湖鄉新庄村排水護欄工程_預算書1210_普令厝農地重劃區西33路農水路改善工程_雲林縣崙背鄉雨水下水道清淤工程_施工日誌1" xfId="1872" xr:uid="{00000000-0005-0000-0000-000043060000}"/>
    <cellStyle name="_四湖鄉新庄村排水護欄工程_預算書1210_普令厝農地重劃區西33路農水路改善工程_雲林縣臺西鄉A9～A9-3雨水下水道建設工程" xfId="3253" xr:uid="{00000000-0005-0000-0000-000044060000}"/>
    <cellStyle name="_四湖鄉新庄村排水護欄工程_預算書1210_普令厝農地重劃區西33路農水路改善工程_臺西鄉(凡那比颱風)鄉內道路排水災害復建工程" xfId="250" xr:uid="{00000000-0005-0000-0000-000045060000}"/>
    <cellStyle name="_四湖鄉新庄村排水護欄工程_預算書1210_普令厝農地重劃區西33路農水路改善工程_臺西鄉(凡那比颱風)鄉內道路排水災害復建工程 2" xfId="3254" xr:uid="{00000000-0005-0000-0000-000046060000}"/>
    <cellStyle name="_四湖鄉新庄村排水護欄工程_預算書1210_普令厝農地重劃區西33路農水路改善工程_臺西鄉(凡那比颱風)鄉內道路排水災害復建工程_施工日誌1" xfId="1873" xr:uid="{00000000-0005-0000-0000-000047060000}"/>
    <cellStyle name="_四湖鄉新庄村排水護欄工程_預算書1210_普令厝農地重劃區西33路農水路改善工程_臺西鄉蚊港村蚊港巷道改善工程" xfId="3255" xr:uid="{00000000-0005-0000-0000-000048060000}"/>
    <cellStyle name="_四湖鄉新庄村排水護欄工程_預算書1210_普令厝農地重劃區西33路農水路改善工程_臺西鄉普令厝重劃區西8路等道路排水改善工程(確定案)" xfId="251" xr:uid="{00000000-0005-0000-0000-000049060000}"/>
    <cellStyle name="_四湖鄉新庄村排水護欄工程_預算書1210_普令厝農地重劃區西33路農水路改善工程_臺西鄉普令厝重劃區西8路等道路排水改善工程(確定案) 2" xfId="3256" xr:uid="{00000000-0005-0000-0000-00004A060000}"/>
    <cellStyle name="_四湖鄉新庄村排水護欄工程_預算書1210_普令厝農地重劃區西33路農水路改善工程_臺西鄉普令厝重劃區西8路等道路排水改善工程(確定案)_施工日誌1" xfId="1874" xr:uid="{00000000-0005-0000-0000-00004B060000}"/>
    <cellStyle name="_四湖鄉新庄村排水護欄工程_預算書1210_普令厝農地重劃區西33路農水路改善工程_臺西鄉臺西公有零售市埸作為多目標使用改善工程" xfId="3257" xr:uid="{00000000-0005-0000-0000-00004C060000}"/>
    <cellStyle name="_四湖鄉新庄村排水護欄工程_預算書1210_普令厝農地重劃區西33路農水路改善工程_豐榮、草湖等村道路及排水溝改善工程-(變更)2" xfId="3258" xr:uid="{00000000-0005-0000-0000-00004D060000}"/>
    <cellStyle name="_四湖鄉新庄村排水護欄工程_數量97-10-28" xfId="252" xr:uid="{00000000-0005-0000-0000-00004E060000}"/>
    <cellStyle name="_四湖鄉新庄村排水護欄工程_數量97-10-28 2" xfId="3259" xr:uid="{00000000-0005-0000-0000-00004F060000}"/>
    <cellStyle name="_四湖鄉新庄村排水護欄工程_數量97-10-28_施工日誌1" xfId="1875" xr:uid="{00000000-0005-0000-0000-000050060000}"/>
    <cellStyle name="_四湖鄉新庄村排水護欄工程_數量97-10-28_普令厝農地重劃區西33路農水路改善工程" xfId="253" xr:uid="{00000000-0005-0000-0000-000051060000}"/>
    <cellStyle name="_四湖鄉新庄村排水護欄工程_數量97-10-28_普令厝農地重劃區西33路農水路改善工程 2" xfId="3260" xr:uid="{00000000-0005-0000-0000-000052060000}"/>
    <cellStyle name="_四湖鄉新庄村排水護欄工程_數量97-10-28_普令厝農地重劃區西33路農水路改善工程_土庫鎮埤腳里道路、排水溝改善工程101.05.18(修正3確定)" xfId="3261" xr:uid="{00000000-0005-0000-0000-000053060000}"/>
    <cellStyle name="_四湖鄉新庄村排水護欄工程_數量97-10-28_普令厝農地重劃區西33路農水路改善工程_元長鄉長南村巷道排水改善工程" xfId="3262" xr:uid="{00000000-0005-0000-0000-000054060000}"/>
    <cellStyle name="_四湖鄉新庄村排水護欄工程_數量97-10-28_普令厝農地重劃區西33路農水路改善工程_斗南鎮久安農地重劃區V51路農路路面改善工程" xfId="5126" xr:uid="{00000000-0005-0000-0000-000055060000}"/>
    <cellStyle name="_四湖鄉新庄村排水護欄工程_數量97-10-28_普令厝農地重劃區西33路農水路改善工程_斗南鎮田頭農地重劃區農路改善工程" xfId="5127" xr:uid="{00000000-0005-0000-0000-000056060000}"/>
    <cellStyle name="_四湖鄉新庄村排水護欄工程_數量97-10-28_普令厝農地重劃區西33路農水路改善工程_斗南鎮西岐里舊社里等路面改善工程-100.05.18" xfId="3263" xr:uid="{00000000-0005-0000-0000-000057060000}"/>
    <cellStyle name="_四湖鄉新庄村排水護欄工程_數量97-10-28_普令厝農地重劃區西33路農水路改善工程_斗南鎮阿丹里、林子里相關公共設施改善工程100.11.29" xfId="3264" xr:uid="{00000000-0005-0000-0000-000058060000}"/>
    <cellStyle name="_四湖鄉新庄村排水護欄工程_數量97-10-28_普令厝農地重劃區西33路農水路改善工程_斗南鎮將軍里等路面及附屬設施改善工程" xfId="3265" xr:uid="{00000000-0005-0000-0000-000059060000}"/>
    <cellStyle name="_四湖鄉新庄村排水護欄工程_數量97-10-28_普令厝農地重劃區西33路農水路改善工程_古坑鄉大湖底段及麻園段路面改善工程" xfId="3266" xr:uid="{00000000-0005-0000-0000-00005A060000}"/>
    <cellStyle name="_四湖鄉新庄村排水護欄工程_數量97-10-28_普令厝農地重劃區西33路農水路改善工程_台西海埔地南4路排水9907豪雨災害復建工程" xfId="3267" xr:uid="{00000000-0005-0000-0000-00005B060000}"/>
    <cellStyle name="_四湖鄉新庄村排水護欄工程_數量97-10-28_普令厝農地重劃區西33路農水路改善工程_台西鄉四美重劃區南北幹路4農路復建工程" xfId="254" xr:uid="{00000000-0005-0000-0000-00005C060000}"/>
    <cellStyle name="_四湖鄉新庄村排水護欄工程_數量97-10-28_普令厝農地重劃區西33路農水路改善工程_台西鄉四美重劃區南北幹路4農路復建工程 2" xfId="3268" xr:uid="{00000000-0005-0000-0000-00005D060000}"/>
    <cellStyle name="_四湖鄉新庄村排水護欄工程_數量97-10-28_普令厝農地重劃區西33路農水路改善工程_台西鄉四美重劃區南北幹路4農路復建工程_施工日誌1" xfId="1877" xr:uid="{00000000-0005-0000-0000-00005E060000}"/>
    <cellStyle name="_四湖鄉新庄村排水護欄工程_數量97-10-28_普令厝農地重劃區西33路農水路改善工程_東勢鄉新坤村及麥寮鄉海豐村道路排水改善工程" xfId="5128" xr:uid="{00000000-0005-0000-0000-00005F060000}"/>
    <cellStyle name="_四湖鄉新庄村排水護欄工程_數量97-10-28_普令厝農地重劃區西33路農水路改善工程_林縣臺西鄉A10~A12雨水下水道建設工程(增減明細)" xfId="3269" xr:uid="{00000000-0005-0000-0000-000060060000}"/>
    <cellStyle name="_四湖鄉新庄村排水護欄工程_數量97-10-28_普令厝農地重劃區西33路農水路改善工程_虎尾鎮新吉里竹圍子農村社區生態魚池暨運動公園道路與排水改善工程(預算書)" xfId="3270" xr:uid="{00000000-0005-0000-0000-000061060000}"/>
    <cellStyle name="_四湖鄉新庄村排水護欄工程_數量97-10-28_普令厝農地重劃區西33路農水路改善工程_虎尾鎮新吉里竹圍子農村社區生態魚池暨運動公園道路與排水改善工程(確定)" xfId="5129" xr:uid="{00000000-0005-0000-0000-000062060000}"/>
    <cellStyle name="_四湖鄉新庄村排水護欄工程_數量97-10-28_普令厝農地重劃區西33路農水路改善工程_長北村等巷道排水改善工程" xfId="3271" xr:uid="{00000000-0005-0000-0000-000063060000}"/>
    <cellStyle name="_四湖鄉新庄村排水護欄工程_數量97-10-28_普令厝農地重劃區西33路農水路改善工程_後溝子一農地重劃區南北八路農路改善工程" xfId="255" xr:uid="{00000000-0005-0000-0000-000064060000}"/>
    <cellStyle name="_四湖鄉新庄村排水護欄工程_數量97-10-28_普令厝農地重劃區西33路農水路改善工程_後溝子一農地重劃區南北八路農路改善工程 2" xfId="3272" xr:uid="{00000000-0005-0000-0000-000065060000}"/>
    <cellStyle name="_四湖鄉新庄村排水護欄工程_數量97-10-28_普令厝農地重劃區西33路農水路改善工程_後溝子一農地重劃區南北八路農路改善工程_施工日誌1" xfId="1878" xr:uid="{00000000-0005-0000-0000-000066060000}"/>
    <cellStyle name="_四湖鄉新庄村排水護欄工程_數量97-10-28_普令厝農地重劃區西33路農水路改善工程_施工日誌1" xfId="1876" xr:uid="{00000000-0005-0000-0000-000067060000}"/>
    <cellStyle name="_四湖鄉新庄村排水護欄工程_數量97-10-28_普令厝農地重劃區西33路農水路改善工程_崙背鄉雨水下水道清淤疏浚維護工程" xfId="256" xr:uid="{00000000-0005-0000-0000-000068060000}"/>
    <cellStyle name="_四湖鄉新庄村排水護欄工程_數量97-10-28_普令厝農地重劃區西33路農水路改善工程_崙背鄉雨水下水道清淤疏浚維護工程 2" xfId="3273" xr:uid="{00000000-0005-0000-0000-000069060000}"/>
    <cellStyle name="_四湖鄉新庄村排水護欄工程_數量97-10-28_普令厝農地重劃區西33路農水路改善工程_崙背鄉雨水下水道清淤疏浚維護工程_施工日誌1" xfId="1879" xr:uid="{00000000-0005-0000-0000-00006A060000}"/>
    <cellStyle name="_四湖鄉新庄村排水護欄工程_數量97-10-28_普令厝農地重劃區西33路農水路改善工程_鹿寮農地重劃區補路農路改善工程等七件工程" xfId="257" xr:uid="{00000000-0005-0000-0000-00006B060000}"/>
    <cellStyle name="_四湖鄉新庄村排水護欄工程_數量97-10-28_普令厝農地重劃區西33路農水路改善工程_鹿寮農地重劃區補路農路改善工程等七件工程 2" xfId="3274" xr:uid="{00000000-0005-0000-0000-00006C060000}"/>
    <cellStyle name="_四湖鄉新庄村排水護欄工程_數量97-10-28_普令厝農地重劃區西33路農水路改善工程_鹿寮農地重劃區補路農路改善工程等七件工程_施工日誌1" xfId="1880" xr:uid="{00000000-0005-0000-0000-00006D060000}"/>
    <cellStyle name="_四湖鄉新庄村排水護欄工程_數量97-10-28_普令厝農地重劃區西33路農水路改善工程_普令厝農地重劃區西33路農水路改善工程" xfId="258" xr:uid="{00000000-0005-0000-0000-00006E060000}"/>
    <cellStyle name="_四湖鄉新庄村排水護欄工程_數量97-10-28_普令厝農地重劃區西33路農水路改善工程_普令厝農地重劃區西33路農水路改善工程 2" xfId="3275" xr:uid="{00000000-0005-0000-0000-00006F060000}"/>
    <cellStyle name="_四湖鄉新庄村排水護欄工程_數量97-10-28_普令厝農地重劃區西33路農水路改善工程_普令厝農地重劃區西33路農水路改善工程_施工日誌1" xfId="1881" xr:uid="{00000000-0005-0000-0000-000070060000}"/>
    <cellStyle name="_四湖鄉新庄村排水護欄工程_數量97-10-28_普令厝農地重劃區西33路農水路改善工程_雲林縣崙背鄉雨水下水道清淤工程" xfId="259" xr:uid="{00000000-0005-0000-0000-000071060000}"/>
    <cellStyle name="_四湖鄉新庄村排水護欄工程_數量97-10-28_普令厝農地重劃區西33路農水路改善工程_雲林縣崙背鄉雨水下水道清淤工程 2" xfId="3276" xr:uid="{00000000-0005-0000-0000-000072060000}"/>
    <cellStyle name="_四湖鄉新庄村排水護欄工程_數量97-10-28_普令厝農地重劃區西33路農水路改善工程_雲林縣崙背鄉雨水下水道清淤工程_施工日誌1" xfId="1882" xr:uid="{00000000-0005-0000-0000-000073060000}"/>
    <cellStyle name="_四湖鄉新庄村排水護欄工程_數量97-10-28_普令厝農地重劃區西33路農水路改善工程_雲林縣臺西鄉A9～A9-3雨水下水道建設工程" xfId="3277" xr:uid="{00000000-0005-0000-0000-000074060000}"/>
    <cellStyle name="_四湖鄉新庄村排水護欄工程_數量97-10-28_普令厝農地重劃區西33路農水路改善工程_臺西鄉(凡那比颱風)鄉內道路排水災害復建工程" xfId="260" xr:uid="{00000000-0005-0000-0000-000075060000}"/>
    <cellStyle name="_四湖鄉新庄村排水護欄工程_數量97-10-28_普令厝農地重劃區西33路農水路改善工程_臺西鄉(凡那比颱風)鄉內道路排水災害復建工程 2" xfId="3278" xr:uid="{00000000-0005-0000-0000-000076060000}"/>
    <cellStyle name="_四湖鄉新庄村排水護欄工程_數量97-10-28_普令厝農地重劃區西33路農水路改善工程_臺西鄉(凡那比颱風)鄉內道路排水災害復建工程_施工日誌1" xfId="1883" xr:uid="{00000000-0005-0000-0000-000077060000}"/>
    <cellStyle name="_四湖鄉新庄村排水護欄工程_數量97-10-28_普令厝農地重劃區西33路農水路改善工程_臺西鄉蚊港村蚊港巷道改善工程" xfId="3279" xr:uid="{00000000-0005-0000-0000-000078060000}"/>
    <cellStyle name="_四湖鄉新庄村排水護欄工程_數量97-10-28_普令厝農地重劃區西33路農水路改善工程_臺西鄉普令厝重劃區西8路等道路排水改善工程(確定案)" xfId="261" xr:uid="{00000000-0005-0000-0000-000079060000}"/>
    <cellStyle name="_四湖鄉新庄村排水護欄工程_數量97-10-28_普令厝農地重劃區西33路農水路改善工程_臺西鄉普令厝重劃區西8路等道路排水改善工程(確定案) 2" xfId="3280" xr:uid="{00000000-0005-0000-0000-00007A060000}"/>
    <cellStyle name="_四湖鄉新庄村排水護欄工程_數量97-10-28_普令厝農地重劃區西33路農水路改善工程_臺西鄉普令厝重劃區西8路等道路排水改善工程(確定案)_施工日誌1" xfId="1884" xr:uid="{00000000-0005-0000-0000-00007B060000}"/>
    <cellStyle name="_四湖鄉新庄村排水護欄工程_數量97-10-28_普令厝農地重劃區西33路農水路改善工程_臺西鄉臺西公有零售市埸作為多目標使用改善工程" xfId="3281" xr:uid="{00000000-0005-0000-0000-00007C060000}"/>
    <cellStyle name="_四湖鄉新庄村排水護欄工程_數量97-10-28_普令厝農地重劃區西33路農水路改善工程_豐榮、草湖等村道路及排水溝改善工程-(變更)2" xfId="3282" xr:uid="{00000000-0005-0000-0000-00007D060000}"/>
    <cellStyle name="_四湖鄉新庄村排水護欄工程_數量表1023(第一期)" xfId="262" xr:uid="{00000000-0005-0000-0000-00007E060000}"/>
    <cellStyle name="_四湖鄉新庄村排水護欄工程_數量表1023(第一期) 2" xfId="3283" xr:uid="{00000000-0005-0000-0000-00007F060000}"/>
    <cellStyle name="_四湖鄉新庄村排水護欄工程_數量表1023(第一期)_施工日誌1" xfId="1885" xr:uid="{00000000-0005-0000-0000-000080060000}"/>
    <cellStyle name="_四湖鄉新庄村排水護欄工程_數量表1023(第一期)_普令厝農地重劃區西33路農水路改善工程" xfId="263" xr:uid="{00000000-0005-0000-0000-000081060000}"/>
    <cellStyle name="_四湖鄉新庄村排水護欄工程_數量表1023(第一期)_普令厝農地重劃區西33路農水路改善工程 2" xfId="3284" xr:uid="{00000000-0005-0000-0000-000082060000}"/>
    <cellStyle name="_四湖鄉新庄村排水護欄工程_數量表1023(第一期)_普令厝農地重劃區西33路農水路改善工程_土庫鎮埤腳里道路、排水溝改善工程101.05.18(修正3確定)" xfId="3285" xr:uid="{00000000-0005-0000-0000-000083060000}"/>
    <cellStyle name="_四湖鄉新庄村排水護欄工程_數量表1023(第一期)_普令厝農地重劃區西33路農水路改善工程_元長鄉長南村巷道排水改善工程" xfId="3286" xr:uid="{00000000-0005-0000-0000-000084060000}"/>
    <cellStyle name="_四湖鄉新庄村排水護欄工程_數量表1023(第一期)_普令厝農地重劃區西33路農水路改善工程_斗南鎮久安農地重劃區V51路農路路面改善工程" xfId="5130" xr:uid="{00000000-0005-0000-0000-000085060000}"/>
    <cellStyle name="_四湖鄉新庄村排水護欄工程_數量表1023(第一期)_普令厝農地重劃區西33路農水路改善工程_斗南鎮田頭農地重劃區農路改善工程" xfId="5131" xr:uid="{00000000-0005-0000-0000-000086060000}"/>
    <cellStyle name="_四湖鄉新庄村排水護欄工程_數量表1023(第一期)_普令厝農地重劃區西33路農水路改善工程_斗南鎮西岐里舊社里等路面改善工程-100.05.18" xfId="3287" xr:uid="{00000000-0005-0000-0000-000087060000}"/>
    <cellStyle name="_四湖鄉新庄村排水護欄工程_數量表1023(第一期)_普令厝農地重劃區西33路農水路改善工程_斗南鎮阿丹里、林子里相關公共設施改善工程100.11.29" xfId="3288" xr:uid="{00000000-0005-0000-0000-000088060000}"/>
    <cellStyle name="_四湖鄉新庄村排水護欄工程_數量表1023(第一期)_普令厝農地重劃區西33路農水路改善工程_斗南鎮將軍里等路面及附屬設施改善工程" xfId="3289" xr:uid="{00000000-0005-0000-0000-000089060000}"/>
    <cellStyle name="_四湖鄉新庄村排水護欄工程_數量表1023(第一期)_普令厝農地重劃區西33路農水路改善工程_古坑鄉大湖底段及麻園段路面改善工程" xfId="3290" xr:uid="{00000000-0005-0000-0000-00008A060000}"/>
    <cellStyle name="_四湖鄉新庄村排水護欄工程_數量表1023(第一期)_普令厝農地重劃區西33路農水路改善工程_台西海埔地南4路排水9907豪雨災害復建工程" xfId="3291" xr:uid="{00000000-0005-0000-0000-00008B060000}"/>
    <cellStyle name="_四湖鄉新庄村排水護欄工程_數量表1023(第一期)_普令厝農地重劃區西33路農水路改善工程_台西鄉四美重劃區南北幹路4農路復建工程" xfId="264" xr:uid="{00000000-0005-0000-0000-00008C060000}"/>
    <cellStyle name="_四湖鄉新庄村排水護欄工程_數量表1023(第一期)_普令厝農地重劃區西33路農水路改善工程_台西鄉四美重劃區南北幹路4農路復建工程 2" xfId="3292" xr:uid="{00000000-0005-0000-0000-00008D060000}"/>
    <cellStyle name="_四湖鄉新庄村排水護欄工程_數量表1023(第一期)_普令厝農地重劃區西33路農水路改善工程_台西鄉四美重劃區南北幹路4農路復建工程_施工日誌1" xfId="1887" xr:uid="{00000000-0005-0000-0000-00008E060000}"/>
    <cellStyle name="_四湖鄉新庄村排水護欄工程_數量表1023(第一期)_普令厝農地重劃區西33路農水路改善工程_東勢鄉新坤村及麥寮鄉海豐村道路排水改善工程" xfId="5132" xr:uid="{00000000-0005-0000-0000-00008F060000}"/>
    <cellStyle name="_四湖鄉新庄村排水護欄工程_數量表1023(第一期)_普令厝農地重劃區西33路農水路改善工程_林縣臺西鄉A10~A12雨水下水道建設工程(增減明細)" xfId="3293" xr:uid="{00000000-0005-0000-0000-000090060000}"/>
    <cellStyle name="_四湖鄉新庄村排水護欄工程_數量表1023(第一期)_普令厝農地重劃區西33路農水路改善工程_虎尾鎮新吉里竹圍子農村社區生態魚池暨運動公園道路與排水改善工程(預算書)" xfId="3294" xr:uid="{00000000-0005-0000-0000-000091060000}"/>
    <cellStyle name="_四湖鄉新庄村排水護欄工程_數量表1023(第一期)_普令厝農地重劃區西33路農水路改善工程_虎尾鎮新吉里竹圍子農村社區生態魚池暨運動公園道路與排水改善工程(確定)" xfId="5133" xr:uid="{00000000-0005-0000-0000-000092060000}"/>
    <cellStyle name="_四湖鄉新庄村排水護欄工程_數量表1023(第一期)_普令厝農地重劃區西33路農水路改善工程_長北村等巷道排水改善工程" xfId="3295" xr:uid="{00000000-0005-0000-0000-000093060000}"/>
    <cellStyle name="_四湖鄉新庄村排水護欄工程_數量表1023(第一期)_普令厝農地重劃區西33路農水路改善工程_後溝子一農地重劃區南北八路農路改善工程" xfId="265" xr:uid="{00000000-0005-0000-0000-000094060000}"/>
    <cellStyle name="_四湖鄉新庄村排水護欄工程_數量表1023(第一期)_普令厝農地重劃區西33路農水路改善工程_後溝子一農地重劃區南北八路農路改善工程 2" xfId="3296" xr:uid="{00000000-0005-0000-0000-000095060000}"/>
    <cellStyle name="_四湖鄉新庄村排水護欄工程_數量表1023(第一期)_普令厝農地重劃區西33路農水路改善工程_後溝子一農地重劃區南北八路農路改善工程_施工日誌1" xfId="1888" xr:uid="{00000000-0005-0000-0000-000096060000}"/>
    <cellStyle name="_四湖鄉新庄村排水護欄工程_數量表1023(第一期)_普令厝農地重劃區西33路農水路改善工程_施工日誌1" xfId="1886" xr:uid="{00000000-0005-0000-0000-000097060000}"/>
    <cellStyle name="_四湖鄉新庄村排水護欄工程_數量表1023(第一期)_普令厝農地重劃區西33路農水路改善工程_崙背鄉雨水下水道清淤疏浚維護工程" xfId="266" xr:uid="{00000000-0005-0000-0000-000098060000}"/>
    <cellStyle name="_四湖鄉新庄村排水護欄工程_數量表1023(第一期)_普令厝農地重劃區西33路農水路改善工程_崙背鄉雨水下水道清淤疏浚維護工程 2" xfId="3297" xr:uid="{00000000-0005-0000-0000-000099060000}"/>
    <cellStyle name="_四湖鄉新庄村排水護欄工程_數量表1023(第一期)_普令厝農地重劃區西33路農水路改善工程_崙背鄉雨水下水道清淤疏浚維護工程_施工日誌1" xfId="1889" xr:uid="{00000000-0005-0000-0000-00009A060000}"/>
    <cellStyle name="_四湖鄉新庄村排水護欄工程_數量表1023(第一期)_普令厝農地重劃區西33路農水路改善工程_鹿寮農地重劃區補路農路改善工程等七件工程" xfId="267" xr:uid="{00000000-0005-0000-0000-00009B060000}"/>
    <cellStyle name="_四湖鄉新庄村排水護欄工程_數量表1023(第一期)_普令厝農地重劃區西33路農水路改善工程_鹿寮農地重劃區補路農路改善工程等七件工程 2" xfId="3298" xr:uid="{00000000-0005-0000-0000-00009C060000}"/>
    <cellStyle name="_四湖鄉新庄村排水護欄工程_數量表1023(第一期)_普令厝農地重劃區西33路農水路改善工程_鹿寮農地重劃區補路農路改善工程等七件工程_施工日誌1" xfId="1890" xr:uid="{00000000-0005-0000-0000-00009D060000}"/>
    <cellStyle name="_四湖鄉新庄村排水護欄工程_數量表1023(第一期)_普令厝農地重劃區西33路農水路改善工程_普令厝農地重劃區西33路農水路改善工程" xfId="268" xr:uid="{00000000-0005-0000-0000-00009E060000}"/>
    <cellStyle name="_四湖鄉新庄村排水護欄工程_數量表1023(第一期)_普令厝農地重劃區西33路農水路改善工程_普令厝農地重劃區西33路農水路改善工程 2" xfId="3299" xr:uid="{00000000-0005-0000-0000-00009F060000}"/>
    <cellStyle name="_四湖鄉新庄村排水護欄工程_數量表1023(第一期)_普令厝農地重劃區西33路農水路改善工程_普令厝農地重劃區西33路農水路改善工程_施工日誌1" xfId="1891" xr:uid="{00000000-0005-0000-0000-0000A0060000}"/>
    <cellStyle name="_四湖鄉新庄村排水護欄工程_數量表1023(第一期)_普令厝農地重劃區西33路農水路改善工程_雲林縣崙背鄉雨水下水道清淤工程" xfId="269" xr:uid="{00000000-0005-0000-0000-0000A1060000}"/>
    <cellStyle name="_四湖鄉新庄村排水護欄工程_數量表1023(第一期)_普令厝農地重劃區西33路農水路改善工程_雲林縣崙背鄉雨水下水道清淤工程 2" xfId="3300" xr:uid="{00000000-0005-0000-0000-0000A2060000}"/>
    <cellStyle name="_四湖鄉新庄村排水護欄工程_數量表1023(第一期)_普令厝農地重劃區西33路農水路改善工程_雲林縣崙背鄉雨水下水道清淤工程_施工日誌1" xfId="1892" xr:uid="{00000000-0005-0000-0000-0000A3060000}"/>
    <cellStyle name="_四湖鄉新庄村排水護欄工程_數量表1023(第一期)_普令厝農地重劃區西33路農水路改善工程_雲林縣臺西鄉A9～A9-3雨水下水道建設工程" xfId="3301" xr:uid="{00000000-0005-0000-0000-0000A4060000}"/>
    <cellStyle name="_四湖鄉新庄村排水護欄工程_數量表1023(第一期)_普令厝農地重劃區西33路農水路改善工程_臺西鄉(凡那比颱風)鄉內道路排水災害復建工程" xfId="270" xr:uid="{00000000-0005-0000-0000-0000A5060000}"/>
    <cellStyle name="_四湖鄉新庄村排水護欄工程_數量表1023(第一期)_普令厝農地重劃區西33路農水路改善工程_臺西鄉(凡那比颱風)鄉內道路排水災害復建工程 2" xfId="3302" xr:uid="{00000000-0005-0000-0000-0000A6060000}"/>
    <cellStyle name="_四湖鄉新庄村排水護欄工程_數量表1023(第一期)_普令厝農地重劃區西33路農水路改善工程_臺西鄉(凡那比颱風)鄉內道路排水災害復建工程_施工日誌1" xfId="1893" xr:uid="{00000000-0005-0000-0000-0000A7060000}"/>
    <cellStyle name="_四湖鄉新庄村排水護欄工程_數量表1023(第一期)_普令厝農地重劃區西33路農水路改善工程_臺西鄉蚊港村蚊港巷道改善工程" xfId="3303" xr:uid="{00000000-0005-0000-0000-0000A8060000}"/>
    <cellStyle name="_四湖鄉新庄村排水護欄工程_數量表1023(第一期)_普令厝農地重劃區西33路農水路改善工程_臺西鄉普令厝重劃區西8路等道路排水改善工程(確定案)" xfId="271" xr:uid="{00000000-0005-0000-0000-0000A9060000}"/>
    <cellStyle name="_四湖鄉新庄村排水護欄工程_數量表1023(第一期)_普令厝農地重劃區西33路農水路改善工程_臺西鄉普令厝重劃區西8路等道路排水改善工程(確定案) 2" xfId="3304" xr:uid="{00000000-0005-0000-0000-0000AA060000}"/>
    <cellStyle name="_四湖鄉新庄村排水護欄工程_數量表1023(第一期)_普令厝農地重劃區西33路農水路改善工程_臺西鄉普令厝重劃區西8路等道路排水改善工程(確定案)_施工日誌1" xfId="1894" xr:uid="{00000000-0005-0000-0000-0000AB060000}"/>
    <cellStyle name="_四湖鄉新庄村排水護欄工程_數量表1023(第一期)_普令厝農地重劃區西33路農水路改善工程_臺西鄉臺西公有零售市埸作為多目標使用改善工程" xfId="3305" xr:uid="{00000000-0005-0000-0000-0000AC060000}"/>
    <cellStyle name="_四湖鄉新庄村排水護欄工程_數量表1023(第一期)_普令厝農地重劃區西33路農水路改善工程_豐榮、草湖等村道路及排水溝改善工程-(變更)2" xfId="3306" xr:uid="{00000000-0005-0000-0000-0000AD060000}"/>
    <cellStyle name="_四湖鄉新庄村排水護欄工程_數量表1023(第二期)" xfId="272" xr:uid="{00000000-0005-0000-0000-0000AE060000}"/>
    <cellStyle name="_四湖鄉新庄村排水護欄工程_數量表1023(第二期) 2" xfId="3307" xr:uid="{00000000-0005-0000-0000-0000AF060000}"/>
    <cellStyle name="_四湖鄉新庄村排水護欄工程_數量表1023(第二期)_施工日誌1" xfId="1895" xr:uid="{00000000-0005-0000-0000-0000B0060000}"/>
    <cellStyle name="_四湖鄉新庄村排水護欄工程_數量表1023(第二期)_普令厝農地重劃區西33路農水路改善工程" xfId="273" xr:uid="{00000000-0005-0000-0000-0000B1060000}"/>
    <cellStyle name="_四湖鄉新庄村排水護欄工程_數量表1023(第二期)_普令厝農地重劃區西33路農水路改善工程 2" xfId="3308" xr:uid="{00000000-0005-0000-0000-0000B2060000}"/>
    <cellStyle name="_四湖鄉新庄村排水護欄工程_數量表1023(第二期)_普令厝農地重劃區西33路農水路改善工程_土庫鎮埤腳里道路、排水溝改善工程101.05.18(修正3確定)" xfId="3309" xr:uid="{00000000-0005-0000-0000-0000B3060000}"/>
    <cellStyle name="_四湖鄉新庄村排水護欄工程_數量表1023(第二期)_普令厝農地重劃區西33路農水路改善工程_元長鄉長南村巷道排水改善工程" xfId="3310" xr:uid="{00000000-0005-0000-0000-0000B4060000}"/>
    <cellStyle name="_四湖鄉新庄村排水護欄工程_數量表1023(第二期)_普令厝農地重劃區西33路農水路改善工程_斗南鎮久安農地重劃區V51路農路路面改善工程" xfId="5134" xr:uid="{00000000-0005-0000-0000-0000B5060000}"/>
    <cellStyle name="_四湖鄉新庄村排水護欄工程_數量表1023(第二期)_普令厝農地重劃區西33路農水路改善工程_斗南鎮田頭農地重劃區農路改善工程" xfId="5135" xr:uid="{00000000-0005-0000-0000-0000B6060000}"/>
    <cellStyle name="_四湖鄉新庄村排水護欄工程_數量表1023(第二期)_普令厝農地重劃區西33路農水路改善工程_斗南鎮西岐里舊社里等路面改善工程-100.05.18" xfId="3311" xr:uid="{00000000-0005-0000-0000-0000B7060000}"/>
    <cellStyle name="_四湖鄉新庄村排水護欄工程_數量表1023(第二期)_普令厝農地重劃區西33路農水路改善工程_斗南鎮阿丹里、林子里相關公共設施改善工程100.11.29" xfId="3312" xr:uid="{00000000-0005-0000-0000-0000B8060000}"/>
    <cellStyle name="_四湖鄉新庄村排水護欄工程_數量表1023(第二期)_普令厝農地重劃區西33路農水路改善工程_斗南鎮將軍里等路面及附屬設施改善工程" xfId="3313" xr:uid="{00000000-0005-0000-0000-0000B9060000}"/>
    <cellStyle name="_四湖鄉新庄村排水護欄工程_數量表1023(第二期)_普令厝農地重劃區西33路農水路改善工程_古坑鄉大湖底段及麻園段路面改善工程" xfId="3314" xr:uid="{00000000-0005-0000-0000-0000BA060000}"/>
    <cellStyle name="_四湖鄉新庄村排水護欄工程_數量表1023(第二期)_普令厝農地重劃區西33路農水路改善工程_台西海埔地南4路排水9907豪雨災害復建工程" xfId="3315" xr:uid="{00000000-0005-0000-0000-0000BB060000}"/>
    <cellStyle name="_四湖鄉新庄村排水護欄工程_數量表1023(第二期)_普令厝農地重劃區西33路農水路改善工程_台西鄉四美重劃區南北幹路4農路復建工程" xfId="274" xr:uid="{00000000-0005-0000-0000-0000BC060000}"/>
    <cellStyle name="_四湖鄉新庄村排水護欄工程_數量表1023(第二期)_普令厝農地重劃區西33路農水路改善工程_台西鄉四美重劃區南北幹路4農路復建工程 2" xfId="3316" xr:uid="{00000000-0005-0000-0000-0000BD060000}"/>
    <cellStyle name="_四湖鄉新庄村排水護欄工程_數量表1023(第二期)_普令厝農地重劃區西33路農水路改善工程_台西鄉四美重劃區南北幹路4農路復建工程_施工日誌1" xfId="1897" xr:uid="{00000000-0005-0000-0000-0000BE060000}"/>
    <cellStyle name="_四湖鄉新庄村排水護欄工程_數量表1023(第二期)_普令厝農地重劃區西33路農水路改善工程_東勢鄉新坤村及麥寮鄉海豐村道路排水改善工程" xfId="5136" xr:uid="{00000000-0005-0000-0000-0000BF060000}"/>
    <cellStyle name="_四湖鄉新庄村排水護欄工程_數量表1023(第二期)_普令厝農地重劃區西33路農水路改善工程_林縣臺西鄉A10~A12雨水下水道建設工程(增減明細)" xfId="3317" xr:uid="{00000000-0005-0000-0000-0000C0060000}"/>
    <cellStyle name="_四湖鄉新庄村排水護欄工程_數量表1023(第二期)_普令厝農地重劃區西33路農水路改善工程_虎尾鎮新吉里竹圍子農村社區生態魚池暨運動公園道路與排水改善工程(預算書)" xfId="3318" xr:uid="{00000000-0005-0000-0000-0000C1060000}"/>
    <cellStyle name="_四湖鄉新庄村排水護欄工程_數量表1023(第二期)_普令厝農地重劃區西33路農水路改善工程_虎尾鎮新吉里竹圍子農村社區生態魚池暨運動公園道路與排水改善工程(確定)" xfId="5137" xr:uid="{00000000-0005-0000-0000-0000C2060000}"/>
    <cellStyle name="_四湖鄉新庄村排水護欄工程_數量表1023(第二期)_普令厝農地重劃區西33路農水路改善工程_長北村等巷道排水改善工程" xfId="3319" xr:uid="{00000000-0005-0000-0000-0000C3060000}"/>
    <cellStyle name="_四湖鄉新庄村排水護欄工程_數量表1023(第二期)_普令厝農地重劃區西33路農水路改善工程_後溝子一農地重劃區南北八路農路改善工程" xfId="275" xr:uid="{00000000-0005-0000-0000-0000C4060000}"/>
    <cellStyle name="_四湖鄉新庄村排水護欄工程_數量表1023(第二期)_普令厝農地重劃區西33路農水路改善工程_後溝子一農地重劃區南北八路農路改善工程 2" xfId="3320" xr:uid="{00000000-0005-0000-0000-0000C5060000}"/>
    <cellStyle name="_四湖鄉新庄村排水護欄工程_數量表1023(第二期)_普令厝農地重劃區西33路農水路改善工程_後溝子一農地重劃區南北八路農路改善工程_施工日誌1" xfId="1898" xr:uid="{00000000-0005-0000-0000-0000C6060000}"/>
    <cellStyle name="_四湖鄉新庄村排水護欄工程_數量表1023(第二期)_普令厝農地重劃區西33路農水路改善工程_施工日誌1" xfId="1896" xr:uid="{00000000-0005-0000-0000-0000C7060000}"/>
    <cellStyle name="_四湖鄉新庄村排水護欄工程_數量表1023(第二期)_普令厝農地重劃區西33路農水路改善工程_崙背鄉雨水下水道清淤疏浚維護工程" xfId="276" xr:uid="{00000000-0005-0000-0000-0000C8060000}"/>
    <cellStyle name="_四湖鄉新庄村排水護欄工程_數量表1023(第二期)_普令厝農地重劃區西33路農水路改善工程_崙背鄉雨水下水道清淤疏浚維護工程 2" xfId="3321" xr:uid="{00000000-0005-0000-0000-0000C9060000}"/>
    <cellStyle name="_四湖鄉新庄村排水護欄工程_數量表1023(第二期)_普令厝農地重劃區西33路農水路改善工程_崙背鄉雨水下水道清淤疏浚維護工程_施工日誌1" xfId="1899" xr:uid="{00000000-0005-0000-0000-0000CA060000}"/>
    <cellStyle name="_四湖鄉新庄村排水護欄工程_數量表1023(第二期)_普令厝農地重劃區西33路農水路改善工程_鹿寮農地重劃區補路農路改善工程等七件工程" xfId="277" xr:uid="{00000000-0005-0000-0000-0000CB060000}"/>
    <cellStyle name="_四湖鄉新庄村排水護欄工程_數量表1023(第二期)_普令厝農地重劃區西33路農水路改善工程_鹿寮農地重劃區補路農路改善工程等七件工程 2" xfId="3322" xr:uid="{00000000-0005-0000-0000-0000CC060000}"/>
    <cellStyle name="_四湖鄉新庄村排水護欄工程_數量表1023(第二期)_普令厝農地重劃區西33路農水路改善工程_鹿寮農地重劃區補路農路改善工程等七件工程_施工日誌1" xfId="1900" xr:uid="{00000000-0005-0000-0000-0000CD060000}"/>
    <cellStyle name="_四湖鄉新庄村排水護欄工程_數量表1023(第二期)_普令厝農地重劃區西33路農水路改善工程_普令厝農地重劃區西33路農水路改善工程" xfId="278" xr:uid="{00000000-0005-0000-0000-0000CE060000}"/>
    <cellStyle name="_四湖鄉新庄村排水護欄工程_數量表1023(第二期)_普令厝農地重劃區西33路農水路改善工程_普令厝農地重劃區西33路農水路改善工程 2" xfId="3323" xr:uid="{00000000-0005-0000-0000-0000CF060000}"/>
    <cellStyle name="_四湖鄉新庄村排水護欄工程_數量表1023(第二期)_普令厝農地重劃區西33路農水路改善工程_普令厝農地重劃區西33路農水路改善工程_施工日誌1" xfId="1901" xr:uid="{00000000-0005-0000-0000-0000D0060000}"/>
    <cellStyle name="_四湖鄉新庄村排水護欄工程_數量表1023(第二期)_普令厝農地重劃區西33路農水路改善工程_雲林縣崙背鄉雨水下水道清淤工程" xfId="279" xr:uid="{00000000-0005-0000-0000-0000D1060000}"/>
    <cellStyle name="_四湖鄉新庄村排水護欄工程_數量表1023(第二期)_普令厝農地重劃區西33路農水路改善工程_雲林縣崙背鄉雨水下水道清淤工程 2" xfId="3324" xr:uid="{00000000-0005-0000-0000-0000D2060000}"/>
    <cellStyle name="_四湖鄉新庄村排水護欄工程_數量表1023(第二期)_普令厝農地重劃區西33路農水路改善工程_雲林縣崙背鄉雨水下水道清淤工程_施工日誌1" xfId="1902" xr:uid="{00000000-0005-0000-0000-0000D3060000}"/>
    <cellStyle name="_四湖鄉新庄村排水護欄工程_數量表1023(第二期)_普令厝農地重劃區西33路農水路改善工程_雲林縣臺西鄉A9～A9-3雨水下水道建設工程" xfId="3325" xr:uid="{00000000-0005-0000-0000-0000D4060000}"/>
    <cellStyle name="_四湖鄉新庄村排水護欄工程_數量表1023(第二期)_普令厝農地重劃區西33路農水路改善工程_臺西鄉(凡那比颱風)鄉內道路排水災害復建工程" xfId="280" xr:uid="{00000000-0005-0000-0000-0000D5060000}"/>
    <cellStyle name="_四湖鄉新庄村排水護欄工程_數量表1023(第二期)_普令厝農地重劃區西33路農水路改善工程_臺西鄉(凡那比颱風)鄉內道路排水災害復建工程 2" xfId="3326" xr:uid="{00000000-0005-0000-0000-0000D6060000}"/>
    <cellStyle name="_四湖鄉新庄村排水護欄工程_數量表1023(第二期)_普令厝農地重劃區西33路農水路改善工程_臺西鄉(凡那比颱風)鄉內道路排水災害復建工程_施工日誌1" xfId="1903" xr:uid="{00000000-0005-0000-0000-0000D7060000}"/>
    <cellStyle name="_四湖鄉新庄村排水護欄工程_數量表1023(第二期)_普令厝農地重劃區西33路農水路改善工程_臺西鄉蚊港村蚊港巷道改善工程" xfId="3327" xr:uid="{00000000-0005-0000-0000-0000D8060000}"/>
    <cellStyle name="_四湖鄉新庄村排水護欄工程_數量表1023(第二期)_普令厝農地重劃區西33路農水路改善工程_臺西鄉普令厝重劃區西8路等道路排水改善工程(確定案)" xfId="281" xr:uid="{00000000-0005-0000-0000-0000D9060000}"/>
    <cellStyle name="_四湖鄉新庄村排水護欄工程_數量表1023(第二期)_普令厝農地重劃區西33路農水路改善工程_臺西鄉普令厝重劃區西8路等道路排水改善工程(確定案) 2" xfId="3328" xr:uid="{00000000-0005-0000-0000-0000DA060000}"/>
    <cellStyle name="_四湖鄉新庄村排水護欄工程_數量表1023(第二期)_普令厝農地重劃區西33路農水路改善工程_臺西鄉普令厝重劃區西8路等道路排水改善工程(確定案)_施工日誌1" xfId="1904" xr:uid="{00000000-0005-0000-0000-0000DB060000}"/>
    <cellStyle name="_四湖鄉新庄村排水護欄工程_數量表1023(第二期)_普令厝農地重劃區西33路農水路改善工程_臺西鄉臺西公有零售市埸作為多目標使用改善工程" xfId="3329" xr:uid="{00000000-0005-0000-0000-0000DC060000}"/>
    <cellStyle name="_四湖鄉新庄村排水護欄工程_數量表1023(第二期)_普令厝農地重劃區西33路農水路改善工程_豐榮、草湖等村道路及排水溝改善工程-(變更)2" xfId="3330" xr:uid="{00000000-0005-0000-0000-0000DD060000}"/>
    <cellStyle name="_四湖鄉新庄村排水護欄工程_變更明細表0302" xfId="282" xr:uid="{00000000-0005-0000-0000-0000DE060000}"/>
    <cellStyle name="_四湖鄉新庄村排水護欄工程_變更明細表0302 2" xfId="3331" xr:uid="{00000000-0005-0000-0000-0000DF060000}"/>
    <cellStyle name="_四湖鄉新庄村排水護欄工程_變更明細表0302_施工日誌1" xfId="1905" xr:uid="{00000000-0005-0000-0000-0000E0060000}"/>
    <cellStyle name="_四湖鄉新庄村排水護欄工程_變更明細表0302_普令厝農地重劃區西33路農水路改善工程" xfId="283" xr:uid="{00000000-0005-0000-0000-0000E1060000}"/>
    <cellStyle name="_四湖鄉新庄村排水護欄工程_變更明細表0302_普令厝農地重劃區西33路農水路改善工程 2" xfId="3332" xr:uid="{00000000-0005-0000-0000-0000E2060000}"/>
    <cellStyle name="_四湖鄉新庄村排水護欄工程_變更明細表0302_普令厝農地重劃區西33路農水路改善工程_土庫鎮埤腳里道路、排水溝改善工程101.05.18(修正3確定)" xfId="3333" xr:uid="{00000000-0005-0000-0000-0000E3060000}"/>
    <cellStyle name="_四湖鄉新庄村排水護欄工程_變更明細表0302_普令厝農地重劃區西33路農水路改善工程_元長鄉長南村巷道排水改善工程" xfId="3334" xr:uid="{00000000-0005-0000-0000-0000E4060000}"/>
    <cellStyle name="_四湖鄉新庄村排水護欄工程_變更明細表0302_普令厝農地重劃區西33路農水路改善工程_斗南鎮久安農地重劃區V51路農路路面改善工程" xfId="5138" xr:uid="{00000000-0005-0000-0000-0000E5060000}"/>
    <cellStyle name="_四湖鄉新庄村排水護欄工程_變更明細表0302_普令厝農地重劃區西33路農水路改善工程_斗南鎮田頭農地重劃區農路改善工程" xfId="5139" xr:uid="{00000000-0005-0000-0000-0000E6060000}"/>
    <cellStyle name="_四湖鄉新庄村排水護欄工程_變更明細表0302_普令厝農地重劃區西33路農水路改善工程_斗南鎮西岐里舊社里等路面改善工程-100.05.18" xfId="3335" xr:uid="{00000000-0005-0000-0000-0000E7060000}"/>
    <cellStyle name="_四湖鄉新庄村排水護欄工程_變更明細表0302_普令厝農地重劃區西33路農水路改善工程_斗南鎮阿丹里、林子里相關公共設施改善工程100.11.29" xfId="3336" xr:uid="{00000000-0005-0000-0000-0000E8060000}"/>
    <cellStyle name="_四湖鄉新庄村排水護欄工程_變更明細表0302_普令厝農地重劃區西33路農水路改善工程_斗南鎮將軍里等路面及附屬設施改善工程" xfId="3337" xr:uid="{00000000-0005-0000-0000-0000E9060000}"/>
    <cellStyle name="_四湖鄉新庄村排水護欄工程_變更明細表0302_普令厝農地重劃區西33路農水路改善工程_古坑鄉大湖底段及麻園段路面改善工程" xfId="3338" xr:uid="{00000000-0005-0000-0000-0000EA060000}"/>
    <cellStyle name="_四湖鄉新庄村排水護欄工程_變更明細表0302_普令厝農地重劃區西33路農水路改善工程_台西海埔地南4路排水9907豪雨災害復建工程" xfId="3339" xr:uid="{00000000-0005-0000-0000-0000EB060000}"/>
    <cellStyle name="_四湖鄉新庄村排水護欄工程_變更明細表0302_普令厝農地重劃區西33路農水路改善工程_台西鄉四美重劃區南北幹路4農路復建工程" xfId="284" xr:uid="{00000000-0005-0000-0000-0000EC060000}"/>
    <cellStyle name="_四湖鄉新庄村排水護欄工程_變更明細表0302_普令厝農地重劃區西33路農水路改善工程_台西鄉四美重劃區南北幹路4農路復建工程 2" xfId="3340" xr:uid="{00000000-0005-0000-0000-0000ED060000}"/>
    <cellStyle name="_四湖鄉新庄村排水護欄工程_變更明細表0302_普令厝農地重劃區西33路農水路改善工程_台西鄉四美重劃區南北幹路4農路復建工程_施工日誌1" xfId="1907" xr:uid="{00000000-0005-0000-0000-0000EE060000}"/>
    <cellStyle name="_四湖鄉新庄村排水護欄工程_變更明細表0302_普令厝農地重劃區西33路農水路改善工程_東勢鄉新坤村及麥寮鄉海豐村道路排水改善工程" xfId="5140" xr:uid="{00000000-0005-0000-0000-0000EF060000}"/>
    <cellStyle name="_四湖鄉新庄村排水護欄工程_變更明細表0302_普令厝農地重劃區西33路農水路改善工程_林縣臺西鄉A10~A12雨水下水道建設工程(增減明細)" xfId="3341" xr:uid="{00000000-0005-0000-0000-0000F0060000}"/>
    <cellStyle name="_四湖鄉新庄村排水護欄工程_變更明細表0302_普令厝農地重劃區西33路農水路改善工程_虎尾鎮新吉里竹圍子農村社區生態魚池暨運動公園道路與排水改善工程(預算書)" xfId="3342" xr:uid="{00000000-0005-0000-0000-0000F1060000}"/>
    <cellStyle name="_四湖鄉新庄村排水護欄工程_變更明細表0302_普令厝農地重劃區西33路農水路改善工程_虎尾鎮新吉里竹圍子農村社區生態魚池暨運動公園道路與排水改善工程(確定)" xfId="5141" xr:uid="{00000000-0005-0000-0000-0000F2060000}"/>
    <cellStyle name="_四湖鄉新庄村排水護欄工程_變更明細表0302_普令厝農地重劃區西33路農水路改善工程_長北村等巷道排水改善工程" xfId="3343" xr:uid="{00000000-0005-0000-0000-0000F3060000}"/>
    <cellStyle name="_四湖鄉新庄村排水護欄工程_變更明細表0302_普令厝農地重劃區西33路農水路改善工程_後溝子一農地重劃區南北八路農路改善工程" xfId="285" xr:uid="{00000000-0005-0000-0000-0000F4060000}"/>
    <cellStyle name="_四湖鄉新庄村排水護欄工程_變更明細表0302_普令厝農地重劃區西33路農水路改善工程_後溝子一農地重劃區南北八路農路改善工程 2" xfId="3344" xr:uid="{00000000-0005-0000-0000-0000F5060000}"/>
    <cellStyle name="_四湖鄉新庄村排水護欄工程_變更明細表0302_普令厝農地重劃區西33路農水路改善工程_後溝子一農地重劃區南北八路農路改善工程_施工日誌1" xfId="1908" xr:uid="{00000000-0005-0000-0000-0000F6060000}"/>
    <cellStyle name="_四湖鄉新庄村排水護欄工程_變更明細表0302_普令厝農地重劃區西33路農水路改善工程_施工日誌1" xfId="1906" xr:uid="{00000000-0005-0000-0000-0000F7060000}"/>
    <cellStyle name="_四湖鄉新庄村排水護欄工程_變更明細表0302_普令厝農地重劃區西33路農水路改善工程_崙背鄉雨水下水道清淤疏浚維護工程" xfId="286" xr:uid="{00000000-0005-0000-0000-0000F8060000}"/>
    <cellStyle name="_四湖鄉新庄村排水護欄工程_變更明細表0302_普令厝農地重劃區西33路農水路改善工程_崙背鄉雨水下水道清淤疏浚維護工程 2" xfId="3345" xr:uid="{00000000-0005-0000-0000-0000F9060000}"/>
    <cellStyle name="_四湖鄉新庄村排水護欄工程_變更明細表0302_普令厝農地重劃區西33路農水路改善工程_崙背鄉雨水下水道清淤疏浚維護工程_施工日誌1" xfId="1909" xr:uid="{00000000-0005-0000-0000-0000FA060000}"/>
    <cellStyle name="_四湖鄉新庄村排水護欄工程_變更明細表0302_普令厝農地重劃區西33路農水路改善工程_鹿寮農地重劃區補路農路改善工程等七件工程" xfId="287" xr:uid="{00000000-0005-0000-0000-0000FB060000}"/>
    <cellStyle name="_四湖鄉新庄村排水護欄工程_變更明細表0302_普令厝農地重劃區西33路農水路改善工程_鹿寮農地重劃區補路農路改善工程等七件工程 2" xfId="3346" xr:uid="{00000000-0005-0000-0000-0000FC060000}"/>
    <cellStyle name="_四湖鄉新庄村排水護欄工程_變更明細表0302_普令厝農地重劃區西33路農水路改善工程_鹿寮農地重劃區補路農路改善工程等七件工程_施工日誌1" xfId="1910" xr:uid="{00000000-0005-0000-0000-0000FD060000}"/>
    <cellStyle name="_四湖鄉新庄村排水護欄工程_變更明細表0302_普令厝農地重劃區西33路農水路改善工程_普令厝農地重劃區西33路農水路改善工程" xfId="288" xr:uid="{00000000-0005-0000-0000-0000FE060000}"/>
    <cellStyle name="_四湖鄉新庄村排水護欄工程_變更明細表0302_普令厝農地重劃區西33路農水路改善工程_普令厝農地重劃區西33路農水路改善工程 2" xfId="3347" xr:uid="{00000000-0005-0000-0000-0000FF060000}"/>
    <cellStyle name="_四湖鄉新庄村排水護欄工程_變更明細表0302_普令厝農地重劃區西33路農水路改善工程_普令厝農地重劃區西33路農水路改善工程_施工日誌1" xfId="1911" xr:uid="{00000000-0005-0000-0000-000000070000}"/>
    <cellStyle name="_四湖鄉新庄村排水護欄工程_變更明細表0302_普令厝農地重劃區西33路農水路改善工程_雲林縣崙背鄉雨水下水道清淤工程" xfId="289" xr:uid="{00000000-0005-0000-0000-000001070000}"/>
    <cellStyle name="_四湖鄉新庄村排水護欄工程_變更明細表0302_普令厝農地重劃區西33路農水路改善工程_雲林縣崙背鄉雨水下水道清淤工程 2" xfId="3348" xr:uid="{00000000-0005-0000-0000-000002070000}"/>
    <cellStyle name="_四湖鄉新庄村排水護欄工程_變更明細表0302_普令厝農地重劃區西33路農水路改善工程_雲林縣崙背鄉雨水下水道清淤工程_施工日誌1" xfId="1912" xr:uid="{00000000-0005-0000-0000-000003070000}"/>
    <cellStyle name="_四湖鄉新庄村排水護欄工程_變更明細表0302_普令厝農地重劃區西33路農水路改善工程_雲林縣臺西鄉A9～A9-3雨水下水道建設工程" xfId="3349" xr:uid="{00000000-0005-0000-0000-000004070000}"/>
    <cellStyle name="_四湖鄉新庄村排水護欄工程_變更明細表0302_普令厝農地重劃區西33路農水路改善工程_臺西鄉(凡那比颱風)鄉內道路排水災害復建工程" xfId="290" xr:uid="{00000000-0005-0000-0000-000005070000}"/>
    <cellStyle name="_四湖鄉新庄村排水護欄工程_變更明細表0302_普令厝農地重劃區西33路農水路改善工程_臺西鄉(凡那比颱風)鄉內道路排水災害復建工程 2" xfId="3350" xr:uid="{00000000-0005-0000-0000-000006070000}"/>
    <cellStyle name="_四湖鄉新庄村排水護欄工程_變更明細表0302_普令厝農地重劃區西33路農水路改善工程_臺西鄉(凡那比颱風)鄉內道路排水災害復建工程_施工日誌1" xfId="1913" xr:uid="{00000000-0005-0000-0000-000007070000}"/>
    <cellStyle name="_四湖鄉新庄村排水護欄工程_變更明細表0302_普令厝農地重劃區西33路農水路改善工程_臺西鄉蚊港村蚊港巷道改善工程" xfId="3351" xr:uid="{00000000-0005-0000-0000-000008070000}"/>
    <cellStyle name="_四湖鄉新庄村排水護欄工程_變更明細表0302_普令厝農地重劃區西33路農水路改善工程_臺西鄉普令厝重劃區西8路等道路排水改善工程(確定案)" xfId="291" xr:uid="{00000000-0005-0000-0000-000009070000}"/>
    <cellStyle name="_四湖鄉新庄村排水護欄工程_變更明細表0302_普令厝農地重劃區西33路農水路改善工程_臺西鄉普令厝重劃區西8路等道路排水改善工程(確定案) 2" xfId="3352" xr:uid="{00000000-0005-0000-0000-00000A070000}"/>
    <cellStyle name="_四湖鄉新庄村排水護欄工程_變更明細表0302_普令厝農地重劃區西33路農水路改善工程_臺西鄉普令厝重劃區西8路等道路排水改善工程(確定案)_施工日誌1" xfId="1914" xr:uid="{00000000-0005-0000-0000-00000B070000}"/>
    <cellStyle name="_四湖鄉新庄村排水護欄工程_變更明細表0302_普令厝農地重劃區西33路農水路改善工程_臺西鄉臺西公有零售市埸作為多目標使用改善工程" xfId="3353" xr:uid="{00000000-0005-0000-0000-00000C070000}"/>
    <cellStyle name="_四湖鄉新庄村排水護欄工程_變更明細表0302_普令厝農地重劃區西33路農水路改善工程_豐榮、草湖等村道路及排水溝改善工程-(變更)2" xfId="3354" xr:uid="{00000000-0005-0000-0000-00000D070000}"/>
    <cellStyle name="_四湖鄉新庄村排水護欄工程_變更明細表0729" xfId="292" xr:uid="{00000000-0005-0000-0000-00000E070000}"/>
    <cellStyle name="_四湖鄉新庄村排水護欄工程_變更明細表0729 2" xfId="3355" xr:uid="{00000000-0005-0000-0000-00000F070000}"/>
    <cellStyle name="_四湖鄉新庄村排水護欄工程_變更明細表0729_施工日誌1" xfId="1915" xr:uid="{00000000-0005-0000-0000-000010070000}"/>
    <cellStyle name="_四湖鄉新庄村排水護欄工程_變更明細表0729_普令厝農地重劃區西33路農水路改善工程" xfId="293" xr:uid="{00000000-0005-0000-0000-000011070000}"/>
    <cellStyle name="_四湖鄉新庄村排水護欄工程_變更明細表0729_普令厝農地重劃區西33路農水路改善工程 2" xfId="3356" xr:uid="{00000000-0005-0000-0000-000012070000}"/>
    <cellStyle name="_四湖鄉新庄村排水護欄工程_變更明細表0729_普令厝農地重劃區西33路農水路改善工程_土庫鎮埤腳里道路、排水溝改善工程101.05.18(修正3確定)" xfId="3357" xr:uid="{00000000-0005-0000-0000-000013070000}"/>
    <cellStyle name="_四湖鄉新庄村排水護欄工程_變更明細表0729_普令厝農地重劃區西33路農水路改善工程_元長鄉長南村巷道排水改善工程" xfId="3358" xr:uid="{00000000-0005-0000-0000-000014070000}"/>
    <cellStyle name="_四湖鄉新庄村排水護欄工程_變更明細表0729_普令厝農地重劃區西33路農水路改善工程_斗南鎮久安農地重劃區V51路農路路面改善工程" xfId="5142" xr:uid="{00000000-0005-0000-0000-000015070000}"/>
    <cellStyle name="_四湖鄉新庄村排水護欄工程_變更明細表0729_普令厝農地重劃區西33路農水路改善工程_斗南鎮田頭農地重劃區農路改善工程" xfId="5143" xr:uid="{00000000-0005-0000-0000-000016070000}"/>
    <cellStyle name="_四湖鄉新庄村排水護欄工程_變更明細表0729_普令厝農地重劃區西33路農水路改善工程_斗南鎮西岐里舊社里等路面改善工程-100.05.18" xfId="3359" xr:uid="{00000000-0005-0000-0000-000017070000}"/>
    <cellStyle name="_四湖鄉新庄村排水護欄工程_變更明細表0729_普令厝農地重劃區西33路農水路改善工程_斗南鎮阿丹里、林子里相關公共設施改善工程100.11.29" xfId="3360" xr:uid="{00000000-0005-0000-0000-000018070000}"/>
    <cellStyle name="_四湖鄉新庄村排水護欄工程_變更明細表0729_普令厝農地重劃區西33路農水路改善工程_斗南鎮將軍里等路面及附屬設施改善工程" xfId="3361" xr:uid="{00000000-0005-0000-0000-000019070000}"/>
    <cellStyle name="_四湖鄉新庄村排水護欄工程_變更明細表0729_普令厝農地重劃區西33路農水路改善工程_古坑鄉大湖底段及麻園段路面改善工程" xfId="3362" xr:uid="{00000000-0005-0000-0000-00001A070000}"/>
    <cellStyle name="_四湖鄉新庄村排水護欄工程_變更明細表0729_普令厝農地重劃區西33路農水路改善工程_台西海埔地南4路排水9907豪雨災害復建工程" xfId="3363" xr:uid="{00000000-0005-0000-0000-00001B070000}"/>
    <cellStyle name="_四湖鄉新庄村排水護欄工程_變更明細表0729_普令厝農地重劃區西33路農水路改善工程_台西鄉四美重劃區南北幹路4農路復建工程" xfId="294" xr:uid="{00000000-0005-0000-0000-00001C070000}"/>
    <cellStyle name="_四湖鄉新庄村排水護欄工程_變更明細表0729_普令厝農地重劃區西33路農水路改善工程_台西鄉四美重劃區南北幹路4農路復建工程 2" xfId="3364" xr:uid="{00000000-0005-0000-0000-00001D070000}"/>
    <cellStyle name="_四湖鄉新庄村排水護欄工程_變更明細表0729_普令厝農地重劃區西33路農水路改善工程_台西鄉四美重劃區南北幹路4農路復建工程_施工日誌1" xfId="1917" xr:uid="{00000000-0005-0000-0000-00001E070000}"/>
    <cellStyle name="_四湖鄉新庄村排水護欄工程_變更明細表0729_普令厝農地重劃區西33路農水路改善工程_東勢鄉新坤村及麥寮鄉海豐村道路排水改善工程" xfId="5144" xr:uid="{00000000-0005-0000-0000-00001F070000}"/>
    <cellStyle name="_四湖鄉新庄村排水護欄工程_變更明細表0729_普令厝農地重劃區西33路農水路改善工程_林縣臺西鄉A10~A12雨水下水道建設工程(增減明細)" xfId="3365" xr:uid="{00000000-0005-0000-0000-000020070000}"/>
    <cellStyle name="_四湖鄉新庄村排水護欄工程_變更明細表0729_普令厝農地重劃區西33路農水路改善工程_虎尾鎮新吉里竹圍子農村社區生態魚池暨運動公園道路與排水改善工程(預算書)" xfId="3366" xr:uid="{00000000-0005-0000-0000-000021070000}"/>
    <cellStyle name="_四湖鄉新庄村排水護欄工程_變更明細表0729_普令厝農地重劃區西33路農水路改善工程_虎尾鎮新吉里竹圍子農村社區生態魚池暨運動公園道路與排水改善工程(確定)" xfId="5145" xr:uid="{00000000-0005-0000-0000-000022070000}"/>
    <cellStyle name="_四湖鄉新庄村排水護欄工程_變更明細表0729_普令厝農地重劃區西33路農水路改善工程_長北村等巷道排水改善工程" xfId="3367" xr:uid="{00000000-0005-0000-0000-000023070000}"/>
    <cellStyle name="_四湖鄉新庄村排水護欄工程_變更明細表0729_普令厝農地重劃區西33路農水路改善工程_後溝子一農地重劃區南北八路農路改善工程" xfId="295" xr:uid="{00000000-0005-0000-0000-000024070000}"/>
    <cellStyle name="_四湖鄉新庄村排水護欄工程_變更明細表0729_普令厝農地重劃區西33路農水路改善工程_後溝子一農地重劃區南北八路農路改善工程 2" xfId="3368" xr:uid="{00000000-0005-0000-0000-000025070000}"/>
    <cellStyle name="_四湖鄉新庄村排水護欄工程_變更明細表0729_普令厝農地重劃區西33路農水路改善工程_後溝子一農地重劃區南北八路農路改善工程_施工日誌1" xfId="1918" xr:uid="{00000000-0005-0000-0000-000026070000}"/>
    <cellStyle name="_四湖鄉新庄村排水護欄工程_變更明細表0729_普令厝農地重劃區西33路農水路改善工程_施工日誌1" xfId="1916" xr:uid="{00000000-0005-0000-0000-000027070000}"/>
    <cellStyle name="_四湖鄉新庄村排水護欄工程_變更明細表0729_普令厝農地重劃區西33路農水路改善工程_崙背鄉雨水下水道清淤疏浚維護工程" xfId="296" xr:uid="{00000000-0005-0000-0000-000028070000}"/>
    <cellStyle name="_四湖鄉新庄村排水護欄工程_變更明細表0729_普令厝農地重劃區西33路農水路改善工程_崙背鄉雨水下水道清淤疏浚維護工程 2" xfId="3369" xr:uid="{00000000-0005-0000-0000-000029070000}"/>
    <cellStyle name="_四湖鄉新庄村排水護欄工程_變更明細表0729_普令厝農地重劃區西33路農水路改善工程_崙背鄉雨水下水道清淤疏浚維護工程_施工日誌1" xfId="1919" xr:uid="{00000000-0005-0000-0000-00002A070000}"/>
    <cellStyle name="_四湖鄉新庄村排水護欄工程_變更明細表0729_普令厝農地重劃區西33路農水路改善工程_鹿寮農地重劃區補路農路改善工程等七件工程" xfId="297" xr:uid="{00000000-0005-0000-0000-00002B070000}"/>
    <cellStyle name="_四湖鄉新庄村排水護欄工程_變更明細表0729_普令厝農地重劃區西33路農水路改善工程_鹿寮農地重劃區補路農路改善工程等七件工程 2" xfId="3370" xr:uid="{00000000-0005-0000-0000-00002C070000}"/>
    <cellStyle name="_四湖鄉新庄村排水護欄工程_變更明細表0729_普令厝農地重劃區西33路農水路改善工程_鹿寮農地重劃區補路農路改善工程等七件工程_施工日誌1" xfId="1920" xr:uid="{00000000-0005-0000-0000-00002D070000}"/>
    <cellStyle name="_四湖鄉新庄村排水護欄工程_變更明細表0729_普令厝農地重劃區西33路農水路改善工程_普令厝農地重劃區西33路農水路改善工程" xfId="298" xr:uid="{00000000-0005-0000-0000-00002E070000}"/>
    <cellStyle name="_四湖鄉新庄村排水護欄工程_變更明細表0729_普令厝農地重劃區西33路農水路改善工程_普令厝農地重劃區西33路農水路改善工程 2" xfId="3371" xr:uid="{00000000-0005-0000-0000-00002F070000}"/>
    <cellStyle name="_四湖鄉新庄村排水護欄工程_變更明細表0729_普令厝農地重劃區西33路農水路改善工程_普令厝農地重劃區西33路農水路改善工程_施工日誌1" xfId="1921" xr:uid="{00000000-0005-0000-0000-000030070000}"/>
    <cellStyle name="_四湖鄉新庄村排水護欄工程_變更明細表0729_普令厝農地重劃區西33路農水路改善工程_雲林縣崙背鄉雨水下水道清淤工程" xfId="299" xr:uid="{00000000-0005-0000-0000-000031070000}"/>
    <cellStyle name="_四湖鄉新庄村排水護欄工程_變更明細表0729_普令厝農地重劃區西33路農水路改善工程_雲林縣崙背鄉雨水下水道清淤工程 2" xfId="3372" xr:uid="{00000000-0005-0000-0000-000032070000}"/>
    <cellStyle name="_四湖鄉新庄村排水護欄工程_變更明細表0729_普令厝農地重劃區西33路農水路改善工程_雲林縣崙背鄉雨水下水道清淤工程_施工日誌1" xfId="1922" xr:uid="{00000000-0005-0000-0000-000033070000}"/>
    <cellStyle name="_四湖鄉新庄村排水護欄工程_變更明細表0729_普令厝農地重劃區西33路農水路改善工程_雲林縣臺西鄉A9～A9-3雨水下水道建設工程" xfId="3373" xr:uid="{00000000-0005-0000-0000-000034070000}"/>
    <cellStyle name="_四湖鄉新庄村排水護欄工程_變更明細表0729_普令厝農地重劃區西33路農水路改善工程_臺西鄉(凡那比颱風)鄉內道路排水災害復建工程" xfId="300" xr:uid="{00000000-0005-0000-0000-000035070000}"/>
    <cellStyle name="_四湖鄉新庄村排水護欄工程_變更明細表0729_普令厝農地重劃區西33路農水路改善工程_臺西鄉(凡那比颱風)鄉內道路排水災害復建工程 2" xfId="3374" xr:uid="{00000000-0005-0000-0000-000036070000}"/>
    <cellStyle name="_四湖鄉新庄村排水護欄工程_變更明細表0729_普令厝農地重劃區西33路農水路改善工程_臺西鄉(凡那比颱風)鄉內道路排水災害復建工程_施工日誌1" xfId="1923" xr:uid="{00000000-0005-0000-0000-000037070000}"/>
    <cellStyle name="_四湖鄉新庄村排水護欄工程_變更明細表0729_普令厝農地重劃區西33路農水路改善工程_臺西鄉蚊港村蚊港巷道改善工程" xfId="3375" xr:uid="{00000000-0005-0000-0000-000038070000}"/>
    <cellStyle name="_四湖鄉新庄村排水護欄工程_變更明細表0729_普令厝農地重劃區西33路農水路改善工程_臺西鄉普令厝重劃區西8路等道路排水改善工程(確定案)" xfId="301" xr:uid="{00000000-0005-0000-0000-000039070000}"/>
    <cellStyle name="_四湖鄉新庄村排水護欄工程_變更明細表0729_普令厝農地重劃區西33路農水路改善工程_臺西鄉普令厝重劃區西8路等道路排水改善工程(確定案) 2" xfId="3376" xr:uid="{00000000-0005-0000-0000-00003A070000}"/>
    <cellStyle name="_四湖鄉新庄村排水護欄工程_變更明細表0729_普令厝農地重劃區西33路農水路改善工程_臺西鄉普令厝重劃區西8路等道路排水改善工程(確定案)_施工日誌1" xfId="1924" xr:uid="{00000000-0005-0000-0000-00003B070000}"/>
    <cellStyle name="_四湖鄉新庄村排水護欄工程_變更明細表0729_普令厝農地重劃區西33路農水路改善工程_臺西鄉臺西公有零售市埸作為多目標使用改善工程" xfId="3377" xr:uid="{00000000-0005-0000-0000-00003C070000}"/>
    <cellStyle name="_四湖鄉新庄村排水護欄工程_變更明細表0729_普令厝農地重劃區西33路農水路改善工程_豐榮、草湖等村道路及排水溝改善工程-(變更)2" xfId="3378" xr:uid="{00000000-0005-0000-0000-00003D070000}"/>
    <cellStyle name="_四湖鄉新庄村排水護欄工程標單" xfId="302" xr:uid="{00000000-0005-0000-0000-00003E070000}"/>
    <cellStyle name="_四湖鄉新庄村排水護欄工程標單_施工日誌1" xfId="1925" xr:uid="{00000000-0005-0000-0000-00003F070000}"/>
    <cellStyle name="_四湖鄉溪仔崙農路十七號改善工程(預算書)sh6_ap_bdgt" xfId="303" xr:uid="{00000000-0005-0000-0000-000040070000}"/>
    <cellStyle name="_四湖鄉溪仔崙農路十七號改善工程(預算書)sh6_ap_bdgt 2" xfId="3379" xr:uid="{00000000-0005-0000-0000-000041070000}"/>
    <cellStyle name="_四湖鄉溪仔崙農路十七號改善工程(預算書)sh6_ap_bdgt_yang數量表1127" xfId="304" xr:uid="{00000000-0005-0000-0000-000042070000}"/>
    <cellStyle name="_四湖鄉溪仔崙農路十七號改善工程(預算書)sh6_ap_bdgt_yang數量表1127 2" xfId="3380" xr:uid="{00000000-0005-0000-0000-000043070000}"/>
    <cellStyle name="_四湖鄉溪仔崙農路十七號改善工程(預算書)sh6_ap_bdgt_yang數量表1127_施工日誌1" xfId="1927" xr:uid="{00000000-0005-0000-0000-000044070000}"/>
    <cellStyle name="_四湖鄉溪仔崙農路十七號改善工程(預算書)sh6_ap_bdgt_yang數量表1127_普令厝農地重劃區西33路農水路改善工程" xfId="305" xr:uid="{00000000-0005-0000-0000-000045070000}"/>
    <cellStyle name="_四湖鄉溪仔崙農路十七號改善工程(預算書)sh6_ap_bdgt_yang數量表1127_普令厝農地重劃區西33路農水路改善工程 2" xfId="3381" xr:uid="{00000000-0005-0000-0000-000046070000}"/>
    <cellStyle name="_四湖鄉溪仔崙農路十七號改善工程(預算書)sh6_ap_bdgt_yang數量表1127_普令厝農地重劃區西33路農水路改善工程_土庫鎮埤腳里道路、排水溝改善工程101.05.18(修正3確定)" xfId="3382" xr:uid="{00000000-0005-0000-0000-000047070000}"/>
    <cellStyle name="_四湖鄉溪仔崙農路十七號改善工程(預算書)sh6_ap_bdgt_yang數量表1127_普令厝農地重劃區西33路農水路改善工程_元長鄉長南村巷道排水改善工程" xfId="3383" xr:uid="{00000000-0005-0000-0000-000048070000}"/>
    <cellStyle name="_四湖鄉溪仔崙農路十七號改善工程(預算書)sh6_ap_bdgt_yang數量表1127_普令厝農地重劃區西33路農水路改善工程_斗南鎮久安農地重劃區V51路農路路面改善工程" xfId="5146" xr:uid="{00000000-0005-0000-0000-000049070000}"/>
    <cellStyle name="_四湖鄉溪仔崙農路十七號改善工程(預算書)sh6_ap_bdgt_yang數量表1127_普令厝農地重劃區西33路農水路改善工程_斗南鎮田頭農地重劃區農路改善工程" xfId="5147" xr:uid="{00000000-0005-0000-0000-00004A070000}"/>
    <cellStyle name="_四湖鄉溪仔崙農路十七號改善工程(預算書)sh6_ap_bdgt_yang數量表1127_普令厝農地重劃區西33路農水路改善工程_斗南鎮西岐里舊社里等路面改善工程-100.05.18" xfId="3384" xr:uid="{00000000-0005-0000-0000-00004B070000}"/>
    <cellStyle name="_四湖鄉溪仔崙農路十七號改善工程(預算書)sh6_ap_bdgt_yang數量表1127_普令厝農地重劃區西33路農水路改善工程_斗南鎮阿丹里、林子里相關公共設施改善工程100.11.29" xfId="3385" xr:uid="{00000000-0005-0000-0000-00004C070000}"/>
    <cellStyle name="_四湖鄉溪仔崙農路十七號改善工程(預算書)sh6_ap_bdgt_yang數量表1127_普令厝農地重劃區西33路農水路改善工程_斗南鎮將軍里等路面及附屬設施改善工程" xfId="3386" xr:uid="{00000000-0005-0000-0000-00004D070000}"/>
    <cellStyle name="_四湖鄉溪仔崙農路十七號改善工程(預算書)sh6_ap_bdgt_yang數量表1127_普令厝農地重劃區西33路農水路改善工程_古坑鄉大湖底段及麻園段路面改善工程" xfId="3387" xr:uid="{00000000-0005-0000-0000-00004E070000}"/>
    <cellStyle name="_四湖鄉溪仔崙農路十七號改善工程(預算書)sh6_ap_bdgt_yang數量表1127_普令厝農地重劃區西33路農水路改善工程_台西海埔地南4路排水9907豪雨災害復建工程" xfId="3388" xr:uid="{00000000-0005-0000-0000-00004F070000}"/>
    <cellStyle name="_四湖鄉溪仔崙農路十七號改善工程(預算書)sh6_ap_bdgt_yang數量表1127_普令厝農地重劃區西33路農水路改善工程_台西鄉四美重劃區南北幹路4農路復建工程" xfId="306" xr:uid="{00000000-0005-0000-0000-000050070000}"/>
    <cellStyle name="_四湖鄉溪仔崙農路十七號改善工程(預算書)sh6_ap_bdgt_yang數量表1127_普令厝農地重劃區西33路農水路改善工程_台西鄉四美重劃區南北幹路4農路復建工程 2" xfId="3389" xr:uid="{00000000-0005-0000-0000-000051070000}"/>
    <cellStyle name="_四湖鄉溪仔崙農路十七號改善工程(預算書)sh6_ap_bdgt_yang數量表1127_普令厝農地重劃區西33路農水路改善工程_台西鄉四美重劃區南北幹路4農路復建工程_施工日誌1" xfId="1929" xr:uid="{00000000-0005-0000-0000-000052070000}"/>
    <cellStyle name="_四湖鄉溪仔崙農路十七號改善工程(預算書)sh6_ap_bdgt_yang數量表1127_普令厝農地重劃區西33路農水路改善工程_東勢鄉新坤村及麥寮鄉海豐村道路排水改善工程" xfId="5148" xr:uid="{00000000-0005-0000-0000-000053070000}"/>
    <cellStyle name="_四湖鄉溪仔崙農路十七號改善工程(預算書)sh6_ap_bdgt_yang數量表1127_普令厝農地重劃區西33路農水路改善工程_林縣臺西鄉A10~A12雨水下水道建設工程(增減明細)" xfId="3390" xr:uid="{00000000-0005-0000-0000-000054070000}"/>
    <cellStyle name="_四湖鄉溪仔崙農路十七號改善工程(預算書)sh6_ap_bdgt_yang數量表1127_普令厝農地重劃區西33路農水路改善工程_虎尾鎮新吉里竹圍子農村社區生態魚池暨運動公園道路與排水改善工程(預算書)" xfId="3391" xr:uid="{00000000-0005-0000-0000-000055070000}"/>
    <cellStyle name="_四湖鄉溪仔崙農路十七號改善工程(預算書)sh6_ap_bdgt_yang數量表1127_普令厝農地重劃區西33路農水路改善工程_虎尾鎮新吉里竹圍子農村社區生態魚池暨運動公園道路與排水改善工程(確定)" xfId="5149" xr:uid="{00000000-0005-0000-0000-000056070000}"/>
    <cellStyle name="_四湖鄉溪仔崙農路十七號改善工程(預算書)sh6_ap_bdgt_yang數量表1127_普令厝農地重劃區西33路農水路改善工程_長北村等巷道排水改善工程" xfId="3392" xr:uid="{00000000-0005-0000-0000-000057070000}"/>
    <cellStyle name="_四湖鄉溪仔崙農路十七號改善工程(預算書)sh6_ap_bdgt_yang數量表1127_普令厝農地重劃區西33路農水路改善工程_後溝子一農地重劃區南北八路農路改善工程" xfId="307" xr:uid="{00000000-0005-0000-0000-000058070000}"/>
    <cellStyle name="_四湖鄉溪仔崙農路十七號改善工程(預算書)sh6_ap_bdgt_yang數量表1127_普令厝農地重劃區西33路農水路改善工程_後溝子一農地重劃區南北八路農路改善工程 2" xfId="3393" xr:uid="{00000000-0005-0000-0000-000059070000}"/>
    <cellStyle name="_四湖鄉溪仔崙農路十七號改善工程(預算書)sh6_ap_bdgt_yang數量表1127_普令厝農地重劃區西33路農水路改善工程_後溝子一農地重劃區南北八路農路改善工程_施工日誌1" xfId="1930" xr:uid="{00000000-0005-0000-0000-00005A070000}"/>
    <cellStyle name="_四湖鄉溪仔崙農路十七號改善工程(預算書)sh6_ap_bdgt_yang數量表1127_普令厝農地重劃區西33路農水路改善工程_施工日誌1" xfId="1928" xr:uid="{00000000-0005-0000-0000-00005B070000}"/>
    <cellStyle name="_四湖鄉溪仔崙農路十七號改善工程(預算書)sh6_ap_bdgt_yang數量表1127_普令厝農地重劃區西33路農水路改善工程_崙背鄉雨水下水道清淤疏浚維護工程" xfId="308" xr:uid="{00000000-0005-0000-0000-00005C070000}"/>
    <cellStyle name="_四湖鄉溪仔崙農路十七號改善工程(預算書)sh6_ap_bdgt_yang數量表1127_普令厝農地重劃區西33路農水路改善工程_崙背鄉雨水下水道清淤疏浚維護工程 2" xfId="3394" xr:uid="{00000000-0005-0000-0000-00005D070000}"/>
    <cellStyle name="_四湖鄉溪仔崙農路十七號改善工程(預算書)sh6_ap_bdgt_yang數量表1127_普令厝農地重劃區西33路農水路改善工程_崙背鄉雨水下水道清淤疏浚維護工程_施工日誌1" xfId="1931" xr:uid="{00000000-0005-0000-0000-00005E070000}"/>
    <cellStyle name="_四湖鄉溪仔崙農路十七號改善工程(預算書)sh6_ap_bdgt_yang數量表1127_普令厝農地重劃區西33路農水路改善工程_鹿寮農地重劃區補路農路改善工程等七件工程" xfId="309" xr:uid="{00000000-0005-0000-0000-00005F070000}"/>
    <cellStyle name="_四湖鄉溪仔崙農路十七號改善工程(預算書)sh6_ap_bdgt_yang數量表1127_普令厝農地重劃區西33路農水路改善工程_鹿寮農地重劃區補路農路改善工程等七件工程 2" xfId="3395" xr:uid="{00000000-0005-0000-0000-000060070000}"/>
    <cellStyle name="_四湖鄉溪仔崙農路十七號改善工程(預算書)sh6_ap_bdgt_yang數量表1127_普令厝農地重劃區西33路農水路改善工程_鹿寮農地重劃區補路農路改善工程等七件工程_施工日誌1" xfId="1932" xr:uid="{00000000-0005-0000-0000-000061070000}"/>
    <cellStyle name="_四湖鄉溪仔崙農路十七號改善工程(預算書)sh6_ap_bdgt_yang數量表1127_普令厝農地重劃區西33路農水路改善工程_普令厝農地重劃區西33路農水路改善工程" xfId="310" xr:uid="{00000000-0005-0000-0000-000062070000}"/>
    <cellStyle name="_四湖鄉溪仔崙農路十七號改善工程(預算書)sh6_ap_bdgt_yang數量表1127_普令厝農地重劃區西33路農水路改善工程_普令厝農地重劃區西33路農水路改善工程 2" xfId="3396" xr:uid="{00000000-0005-0000-0000-000063070000}"/>
    <cellStyle name="_四湖鄉溪仔崙農路十七號改善工程(預算書)sh6_ap_bdgt_yang數量表1127_普令厝農地重劃區西33路農水路改善工程_普令厝農地重劃區西33路農水路改善工程_施工日誌1" xfId="1933" xr:uid="{00000000-0005-0000-0000-000064070000}"/>
    <cellStyle name="_四湖鄉溪仔崙農路十七號改善工程(預算書)sh6_ap_bdgt_yang數量表1127_普令厝農地重劃區西33路農水路改善工程_雲林縣崙背鄉雨水下水道清淤工程" xfId="311" xr:uid="{00000000-0005-0000-0000-000065070000}"/>
    <cellStyle name="_四湖鄉溪仔崙農路十七號改善工程(預算書)sh6_ap_bdgt_yang數量表1127_普令厝農地重劃區西33路農水路改善工程_雲林縣崙背鄉雨水下水道清淤工程 2" xfId="3397" xr:uid="{00000000-0005-0000-0000-000066070000}"/>
    <cellStyle name="_四湖鄉溪仔崙農路十七號改善工程(預算書)sh6_ap_bdgt_yang數量表1127_普令厝農地重劃區西33路農水路改善工程_雲林縣崙背鄉雨水下水道清淤工程_施工日誌1" xfId="1934" xr:uid="{00000000-0005-0000-0000-000067070000}"/>
    <cellStyle name="_四湖鄉溪仔崙農路十七號改善工程(預算書)sh6_ap_bdgt_yang數量表1127_普令厝農地重劃區西33路農水路改善工程_雲林縣臺西鄉A9～A9-3雨水下水道建設工程" xfId="3398" xr:uid="{00000000-0005-0000-0000-000068070000}"/>
    <cellStyle name="_四湖鄉溪仔崙農路十七號改善工程(預算書)sh6_ap_bdgt_yang數量表1127_普令厝農地重劃區西33路農水路改善工程_臺西鄉(凡那比颱風)鄉內道路排水災害復建工程" xfId="312" xr:uid="{00000000-0005-0000-0000-000069070000}"/>
    <cellStyle name="_四湖鄉溪仔崙農路十七號改善工程(預算書)sh6_ap_bdgt_yang數量表1127_普令厝農地重劃區西33路農水路改善工程_臺西鄉(凡那比颱風)鄉內道路排水災害復建工程 2" xfId="3399" xr:uid="{00000000-0005-0000-0000-00006A070000}"/>
    <cellStyle name="_四湖鄉溪仔崙農路十七號改善工程(預算書)sh6_ap_bdgt_yang數量表1127_普令厝農地重劃區西33路農水路改善工程_臺西鄉(凡那比颱風)鄉內道路排水災害復建工程_施工日誌1" xfId="1935" xr:uid="{00000000-0005-0000-0000-00006B070000}"/>
    <cellStyle name="_四湖鄉溪仔崙農路十七號改善工程(預算書)sh6_ap_bdgt_yang數量表1127_普令厝農地重劃區西33路農水路改善工程_臺西鄉蚊港村蚊港巷道改善工程" xfId="3400" xr:uid="{00000000-0005-0000-0000-00006C070000}"/>
    <cellStyle name="_四湖鄉溪仔崙農路十七號改善工程(預算書)sh6_ap_bdgt_yang數量表1127_普令厝農地重劃區西33路農水路改善工程_臺西鄉普令厝重劃區西8路等道路排水改善工程(確定案)" xfId="313" xr:uid="{00000000-0005-0000-0000-00006D070000}"/>
    <cellStyle name="_四湖鄉溪仔崙農路十七號改善工程(預算書)sh6_ap_bdgt_yang數量表1127_普令厝農地重劃區西33路農水路改善工程_臺西鄉普令厝重劃區西8路等道路排水改善工程(確定案) 2" xfId="3401" xr:uid="{00000000-0005-0000-0000-00006E070000}"/>
    <cellStyle name="_四湖鄉溪仔崙農路十七號改善工程(預算書)sh6_ap_bdgt_yang數量表1127_普令厝農地重劃區西33路農水路改善工程_臺西鄉普令厝重劃區西8路等道路排水改善工程(確定案)_施工日誌1" xfId="1936" xr:uid="{00000000-0005-0000-0000-00006F070000}"/>
    <cellStyle name="_四湖鄉溪仔崙農路十七號改善工程(預算書)sh6_ap_bdgt_yang數量表1127_普令厝農地重劃區西33路農水路改善工程_臺西鄉臺西公有零售市埸作為多目標使用改善工程" xfId="3402" xr:uid="{00000000-0005-0000-0000-000070070000}"/>
    <cellStyle name="_四湖鄉溪仔崙農路十七號改善工程(預算書)sh6_ap_bdgt_yang數量表1127_普令厝農地重劃區西33路農水路改善工程_豐榮、草湖等村道路及排水溝改善工程-(變更)2" xfId="3403" xr:uid="{00000000-0005-0000-0000-000071070000}"/>
    <cellStyle name="_四湖鄉溪仔崙農路十七號改善工程(預算書)sh6_ap_bdgt_施工日誌1" xfId="1926" xr:uid="{00000000-0005-0000-0000-000072070000}"/>
    <cellStyle name="_四湖鄉溪仔崙農路十七號改善工程(預算書)sh6_ap_bdgt_普令厝農地重劃區西33路農水路改善工程" xfId="314" xr:uid="{00000000-0005-0000-0000-000073070000}"/>
    <cellStyle name="_四湖鄉溪仔崙農路十七號改善工程(預算書)sh6_ap_bdgt_普令厝農地重劃區西33路農水路改善工程 2" xfId="3404" xr:uid="{00000000-0005-0000-0000-000074070000}"/>
    <cellStyle name="_四湖鄉溪仔崙農路十七號改善工程(預算書)sh6_ap_bdgt_普令厝農地重劃區西33路農水路改善工程_土庫鎮埤腳里道路、排水溝改善工程101.05.18(修正3確定)" xfId="3405" xr:uid="{00000000-0005-0000-0000-000075070000}"/>
    <cellStyle name="_四湖鄉溪仔崙農路十七號改善工程(預算書)sh6_ap_bdgt_普令厝農地重劃區西33路農水路改善工程_元長鄉長南村巷道排水改善工程" xfId="3406" xr:uid="{00000000-0005-0000-0000-000076070000}"/>
    <cellStyle name="_四湖鄉溪仔崙農路十七號改善工程(預算書)sh6_ap_bdgt_普令厝農地重劃區西33路農水路改善工程_斗南鎮久安農地重劃區V51路農路路面改善工程" xfId="5150" xr:uid="{00000000-0005-0000-0000-000077070000}"/>
    <cellStyle name="_四湖鄉溪仔崙農路十七號改善工程(預算書)sh6_ap_bdgt_普令厝農地重劃區西33路農水路改善工程_斗南鎮田頭農地重劃區農路改善工程" xfId="5151" xr:uid="{00000000-0005-0000-0000-000078070000}"/>
    <cellStyle name="_四湖鄉溪仔崙農路十七號改善工程(預算書)sh6_ap_bdgt_普令厝農地重劃區西33路農水路改善工程_斗南鎮西岐里舊社里等路面改善工程-100.05.18" xfId="3407" xr:uid="{00000000-0005-0000-0000-000079070000}"/>
    <cellStyle name="_四湖鄉溪仔崙農路十七號改善工程(預算書)sh6_ap_bdgt_普令厝農地重劃區西33路農水路改善工程_斗南鎮阿丹里、林子里相關公共設施改善工程100.11.29" xfId="3408" xr:uid="{00000000-0005-0000-0000-00007A070000}"/>
    <cellStyle name="_四湖鄉溪仔崙農路十七號改善工程(預算書)sh6_ap_bdgt_普令厝農地重劃區西33路農水路改善工程_斗南鎮將軍里等路面及附屬設施改善工程" xfId="3409" xr:uid="{00000000-0005-0000-0000-00007B070000}"/>
    <cellStyle name="_四湖鄉溪仔崙農路十七號改善工程(預算書)sh6_ap_bdgt_普令厝農地重劃區西33路農水路改善工程_古坑鄉大湖底段及麻園段路面改善工程" xfId="3410" xr:uid="{00000000-0005-0000-0000-00007C070000}"/>
    <cellStyle name="_四湖鄉溪仔崙農路十七號改善工程(預算書)sh6_ap_bdgt_普令厝農地重劃區西33路農水路改善工程_台西海埔地南4路排水9907豪雨災害復建工程" xfId="3411" xr:uid="{00000000-0005-0000-0000-00007D070000}"/>
    <cellStyle name="_四湖鄉溪仔崙農路十七號改善工程(預算書)sh6_ap_bdgt_普令厝農地重劃區西33路農水路改善工程_台西鄉四美重劃區南北幹路4農路復建工程" xfId="315" xr:uid="{00000000-0005-0000-0000-00007E070000}"/>
    <cellStyle name="_四湖鄉溪仔崙農路十七號改善工程(預算書)sh6_ap_bdgt_普令厝農地重劃區西33路農水路改善工程_台西鄉四美重劃區南北幹路4農路復建工程 2" xfId="3412" xr:uid="{00000000-0005-0000-0000-00007F070000}"/>
    <cellStyle name="_四湖鄉溪仔崙農路十七號改善工程(預算書)sh6_ap_bdgt_普令厝農地重劃區西33路農水路改善工程_台西鄉四美重劃區南北幹路4農路復建工程_施工日誌1" xfId="1938" xr:uid="{00000000-0005-0000-0000-000080070000}"/>
    <cellStyle name="_四湖鄉溪仔崙農路十七號改善工程(預算書)sh6_ap_bdgt_普令厝農地重劃區西33路農水路改善工程_東勢鄉新坤村及麥寮鄉海豐村道路排水改善工程" xfId="5152" xr:uid="{00000000-0005-0000-0000-000081070000}"/>
    <cellStyle name="_四湖鄉溪仔崙農路十七號改善工程(預算書)sh6_ap_bdgt_普令厝農地重劃區西33路農水路改善工程_林縣臺西鄉A10~A12雨水下水道建設工程(增減明細)" xfId="3413" xr:uid="{00000000-0005-0000-0000-000082070000}"/>
    <cellStyle name="_四湖鄉溪仔崙農路十七號改善工程(預算書)sh6_ap_bdgt_普令厝農地重劃區西33路農水路改善工程_虎尾鎮新吉里竹圍子農村社區生態魚池暨運動公園道路與排水改善工程(預算書)" xfId="3414" xr:uid="{00000000-0005-0000-0000-000083070000}"/>
    <cellStyle name="_四湖鄉溪仔崙農路十七號改善工程(預算書)sh6_ap_bdgt_普令厝農地重劃區西33路農水路改善工程_虎尾鎮新吉里竹圍子農村社區生態魚池暨運動公園道路與排水改善工程(確定)" xfId="5153" xr:uid="{00000000-0005-0000-0000-000084070000}"/>
    <cellStyle name="_四湖鄉溪仔崙農路十七號改善工程(預算書)sh6_ap_bdgt_普令厝農地重劃區西33路農水路改善工程_長北村等巷道排水改善工程" xfId="3415" xr:uid="{00000000-0005-0000-0000-000085070000}"/>
    <cellStyle name="_四湖鄉溪仔崙農路十七號改善工程(預算書)sh6_ap_bdgt_普令厝農地重劃區西33路農水路改善工程_後溝子一農地重劃區南北八路農路改善工程" xfId="316" xr:uid="{00000000-0005-0000-0000-000086070000}"/>
    <cellStyle name="_四湖鄉溪仔崙農路十七號改善工程(預算書)sh6_ap_bdgt_普令厝農地重劃區西33路農水路改善工程_後溝子一農地重劃區南北八路農路改善工程 2" xfId="3416" xr:uid="{00000000-0005-0000-0000-000087070000}"/>
    <cellStyle name="_四湖鄉溪仔崙農路十七號改善工程(預算書)sh6_ap_bdgt_普令厝農地重劃區西33路農水路改善工程_後溝子一農地重劃區南北八路農路改善工程_施工日誌1" xfId="1939" xr:uid="{00000000-0005-0000-0000-000088070000}"/>
    <cellStyle name="_四湖鄉溪仔崙農路十七號改善工程(預算書)sh6_ap_bdgt_普令厝農地重劃區西33路農水路改善工程_施工日誌1" xfId="1937" xr:uid="{00000000-0005-0000-0000-000089070000}"/>
    <cellStyle name="_四湖鄉溪仔崙農路十七號改善工程(預算書)sh6_ap_bdgt_普令厝農地重劃區西33路農水路改善工程_崙背鄉雨水下水道清淤疏浚維護工程" xfId="317" xr:uid="{00000000-0005-0000-0000-00008A070000}"/>
    <cellStyle name="_四湖鄉溪仔崙農路十七號改善工程(預算書)sh6_ap_bdgt_普令厝農地重劃區西33路農水路改善工程_崙背鄉雨水下水道清淤疏浚維護工程 2" xfId="3417" xr:uid="{00000000-0005-0000-0000-00008B070000}"/>
    <cellStyle name="_四湖鄉溪仔崙農路十七號改善工程(預算書)sh6_ap_bdgt_普令厝農地重劃區西33路農水路改善工程_崙背鄉雨水下水道清淤疏浚維護工程_施工日誌1" xfId="1940" xr:uid="{00000000-0005-0000-0000-00008C070000}"/>
    <cellStyle name="_四湖鄉溪仔崙農路十七號改善工程(預算書)sh6_ap_bdgt_普令厝農地重劃區西33路農水路改善工程_鹿寮農地重劃區補路農路改善工程等七件工程" xfId="318" xr:uid="{00000000-0005-0000-0000-00008D070000}"/>
    <cellStyle name="_四湖鄉溪仔崙農路十七號改善工程(預算書)sh6_ap_bdgt_普令厝農地重劃區西33路農水路改善工程_鹿寮農地重劃區補路農路改善工程等七件工程 2" xfId="3418" xr:uid="{00000000-0005-0000-0000-00008E070000}"/>
    <cellStyle name="_四湖鄉溪仔崙農路十七號改善工程(預算書)sh6_ap_bdgt_普令厝農地重劃區西33路農水路改善工程_鹿寮農地重劃區補路農路改善工程等七件工程_施工日誌1" xfId="1941" xr:uid="{00000000-0005-0000-0000-00008F070000}"/>
    <cellStyle name="_四湖鄉溪仔崙農路十七號改善工程(預算書)sh6_ap_bdgt_普令厝農地重劃區西33路農水路改善工程_普令厝農地重劃區西33路農水路改善工程" xfId="319" xr:uid="{00000000-0005-0000-0000-000090070000}"/>
    <cellStyle name="_四湖鄉溪仔崙農路十七號改善工程(預算書)sh6_ap_bdgt_普令厝農地重劃區西33路農水路改善工程_普令厝農地重劃區西33路農水路改善工程 2" xfId="3419" xr:uid="{00000000-0005-0000-0000-000091070000}"/>
    <cellStyle name="_四湖鄉溪仔崙農路十七號改善工程(預算書)sh6_ap_bdgt_普令厝農地重劃區西33路農水路改善工程_普令厝農地重劃區西33路農水路改善工程_施工日誌1" xfId="1942" xr:uid="{00000000-0005-0000-0000-000092070000}"/>
    <cellStyle name="_四湖鄉溪仔崙農路十七號改善工程(預算書)sh6_ap_bdgt_普令厝農地重劃區西33路農水路改善工程_雲林縣崙背鄉雨水下水道清淤工程" xfId="320" xr:uid="{00000000-0005-0000-0000-000093070000}"/>
    <cellStyle name="_四湖鄉溪仔崙農路十七號改善工程(預算書)sh6_ap_bdgt_普令厝農地重劃區西33路農水路改善工程_雲林縣崙背鄉雨水下水道清淤工程 2" xfId="3420" xr:uid="{00000000-0005-0000-0000-000094070000}"/>
    <cellStyle name="_四湖鄉溪仔崙農路十七號改善工程(預算書)sh6_ap_bdgt_普令厝農地重劃區西33路農水路改善工程_雲林縣崙背鄉雨水下水道清淤工程_施工日誌1" xfId="1943" xr:uid="{00000000-0005-0000-0000-000095070000}"/>
    <cellStyle name="_四湖鄉溪仔崙農路十七號改善工程(預算書)sh6_ap_bdgt_普令厝農地重劃區西33路農水路改善工程_雲林縣臺西鄉A9～A9-3雨水下水道建設工程" xfId="3421" xr:uid="{00000000-0005-0000-0000-000096070000}"/>
    <cellStyle name="_四湖鄉溪仔崙農路十七號改善工程(預算書)sh6_ap_bdgt_普令厝農地重劃區西33路農水路改善工程_臺西鄉(凡那比颱風)鄉內道路排水災害復建工程" xfId="321" xr:uid="{00000000-0005-0000-0000-000097070000}"/>
    <cellStyle name="_四湖鄉溪仔崙農路十七號改善工程(預算書)sh6_ap_bdgt_普令厝農地重劃區西33路農水路改善工程_臺西鄉(凡那比颱風)鄉內道路排水災害復建工程 2" xfId="3422" xr:uid="{00000000-0005-0000-0000-000098070000}"/>
    <cellStyle name="_四湖鄉溪仔崙農路十七號改善工程(預算書)sh6_ap_bdgt_普令厝農地重劃區西33路農水路改善工程_臺西鄉(凡那比颱風)鄉內道路排水災害復建工程_施工日誌1" xfId="1944" xr:uid="{00000000-0005-0000-0000-000099070000}"/>
    <cellStyle name="_四湖鄉溪仔崙農路十七號改善工程(預算書)sh6_ap_bdgt_普令厝農地重劃區西33路農水路改善工程_臺西鄉蚊港村蚊港巷道改善工程" xfId="3423" xr:uid="{00000000-0005-0000-0000-00009A070000}"/>
    <cellStyle name="_四湖鄉溪仔崙農路十七號改善工程(預算書)sh6_ap_bdgt_普令厝農地重劃區西33路農水路改善工程_臺西鄉普令厝重劃區西8路等道路排水改善工程(確定案)" xfId="322" xr:uid="{00000000-0005-0000-0000-00009B070000}"/>
    <cellStyle name="_四湖鄉溪仔崙農路十七號改善工程(預算書)sh6_ap_bdgt_普令厝農地重劃區西33路農水路改善工程_臺西鄉普令厝重劃區西8路等道路排水改善工程(確定案) 2" xfId="3424" xr:uid="{00000000-0005-0000-0000-00009C070000}"/>
    <cellStyle name="_四湖鄉溪仔崙農路十七號改善工程(預算書)sh6_ap_bdgt_普令厝農地重劃區西33路農水路改善工程_臺西鄉普令厝重劃區西8路等道路排水改善工程(確定案)_施工日誌1" xfId="1945" xr:uid="{00000000-0005-0000-0000-00009D070000}"/>
    <cellStyle name="_四湖鄉溪仔崙農路十七號改善工程(預算書)sh6_ap_bdgt_普令厝農地重劃區西33路農水路改善工程_臺西鄉臺西公有零售市埸作為多目標使用改善工程" xfId="3425" xr:uid="{00000000-0005-0000-0000-00009E070000}"/>
    <cellStyle name="_四湖鄉溪仔崙農路十七號改善工程(預算書)sh6_ap_bdgt_普令厝農地重劃區西33路農水路改善工程_豐榮、草湖等村道路及排水溝改善工程-(變更)2" xfId="3426" xr:uid="{00000000-0005-0000-0000-00009F070000}"/>
    <cellStyle name="_四湖鄉溪仔崙農路十七號改善工程-數量" xfId="323" xr:uid="{00000000-0005-0000-0000-0000A0070000}"/>
    <cellStyle name="_四湖鄉溪仔崙農路十七號改善工程-數量 2" xfId="3427" xr:uid="{00000000-0005-0000-0000-0000A1070000}"/>
    <cellStyle name="_四湖鄉溪仔崙農路十七號改善工程-數量_施工日誌1" xfId="1946" xr:uid="{00000000-0005-0000-0000-0000A2070000}"/>
    <cellStyle name="_四湖鄉溪仔崙農路十七號改善工程-數量_普令厝農地重劃區西33路農水路改善工程" xfId="324" xr:uid="{00000000-0005-0000-0000-0000A3070000}"/>
    <cellStyle name="_四湖鄉溪仔崙農路十七號改善工程-數量_普令厝農地重劃區西33路農水路改善工程 2" xfId="3428" xr:uid="{00000000-0005-0000-0000-0000A4070000}"/>
    <cellStyle name="_四湖鄉溪仔崙農路十七號改善工程-數量_普令厝農地重劃區西33路農水路改善工程_土庫鎮埤腳里道路、排水溝改善工程101.05.18(修正3確定)" xfId="3429" xr:uid="{00000000-0005-0000-0000-0000A5070000}"/>
    <cellStyle name="_四湖鄉溪仔崙農路十七號改善工程-數量_普令厝農地重劃區西33路農水路改善工程_元長鄉長南村巷道排水改善工程" xfId="3430" xr:uid="{00000000-0005-0000-0000-0000A6070000}"/>
    <cellStyle name="_四湖鄉溪仔崙農路十七號改善工程-數量_普令厝農地重劃區西33路農水路改善工程_斗南鎮久安農地重劃區V51路農路路面改善工程" xfId="5154" xr:uid="{00000000-0005-0000-0000-0000A7070000}"/>
    <cellStyle name="_四湖鄉溪仔崙農路十七號改善工程-數量_普令厝農地重劃區西33路農水路改善工程_斗南鎮田頭農地重劃區農路改善工程" xfId="5155" xr:uid="{00000000-0005-0000-0000-0000A8070000}"/>
    <cellStyle name="_四湖鄉溪仔崙農路十七號改善工程-數量_普令厝農地重劃區西33路農水路改善工程_斗南鎮西岐里舊社里等路面改善工程-100.05.18" xfId="3431" xr:uid="{00000000-0005-0000-0000-0000A9070000}"/>
    <cellStyle name="_四湖鄉溪仔崙農路十七號改善工程-數量_普令厝農地重劃區西33路農水路改善工程_斗南鎮阿丹里、林子里相關公共設施改善工程100.11.29" xfId="3432" xr:uid="{00000000-0005-0000-0000-0000AA070000}"/>
    <cellStyle name="_四湖鄉溪仔崙農路十七號改善工程-數量_普令厝農地重劃區西33路農水路改善工程_斗南鎮將軍里等路面及附屬設施改善工程" xfId="3433" xr:uid="{00000000-0005-0000-0000-0000AB070000}"/>
    <cellStyle name="_四湖鄉溪仔崙農路十七號改善工程-數量_普令厝農地重劃區西33路農水路改善工程_古坑鄉大湖底段及麻園段路面改善工程" xfId="3434" xr:uid="{00000000-0005-0000-0000-0000AC070000}"/>
    <cellStyle name="_四湖鄉溪仔崙農路十七號改善工程-數量_普令厝農地重劃區西33路農水路改善工程_台西海埔地南4路排水9907豪雨災害復建工程" xfId="3435" xr:uid="{00000000-0005-0000-0000-0000AD070000}"/>
    <cellStyle name="_四湖鄉溪仔崙農路十七號改善工程-數量_普令厝農地重劃區西33路農水路改善工程_台西鄉四美重劃區南北幹路4農路復建工程" xfId="325" xr:uid="{00000000-0005-0000-0000-0000AE070000}"/>
    <cellStyle name="_四湖鄉溪仔崙農路十七號改善工程-數量_普令厝農地重劃區西33路農水路改善工程_台西鄉四美重劃區南北幹路4農路復建工程 2" xfId="3436" xr:uid="{00000000-0005-0000-0000-0000AF070000}"/>
    <cellStyle name="_四湖鄉溪仔崙農路十七號改善工程-數量_普令厝農地重劃區西33路農水路改善工程_台西鄉四美重劃區南北幹路4農路復建工程_施工日誌1" xfId="1948" xr:uid="{00000000-0005-0000-0000-0000B0070000}"/>
    <cellStyle name="_四湖鄉溪仔崙農路十七號改善工程-數量_普令厝農地重劃區西33路農水路改善工程_東勢鄉新坤村及麥寮鄉海豐村道路排水改善工程" xfId="5156" xr:uid="{00000000-0005-0000-0000-0000B1070000}"/>
    <cellStyle name="_四湖鄉溪仔崙農路十七號改善工程-數量_普令厝農地重劃區西33路農水路改善工程_林縣臺西鄉A10~A12雨水下水道建設工程(增減明細)" xfId="3437" xr:uid="{00000000-0005-0000-0000-0000B2070000}"/>
    <cellStyle name="_四湖鄉溪仔崙農路十七號改善工程-數量_普令厝農地重劃區西33路農水路改善工程_虎尾鎮新吉里竹圍子農村社區生態魚池暨運動公園道路與排水改善工程(預算書)" xfId="3438" xr:uid="{00000000-0005-0000-0000-0000B3070000}"/>
    <cellStyle name="_四湖鄉溪仔崙農路十七號改善工程-數量_普令厝農地重劃區西33路農水路改善工程_虎尾鎮新吉里竹圍子農村社區生態魚池暨運動公園道路與排水改善工程(確定)" xfId="5157" xr:uid="{00000000-0005-0000-0000-0000B4070000}"/>
    <cellStyle name="_四湖鄉溪仔崙農路十七號改善工程-數量_普令厝農地重劃區西33路農水路改善工程_長北村等巷道排水改善工程" xfId="3439" xr:uid="{00000000-0005-0000-0000-0000B5070000}"/>
    <cellStyle name="_四湖鄉溪仔崙農路十七號改善工程-數量_普令厝農地重劃區西33路農水路改善工程_後溝子一農地重劃區南北八路農路改善工程" xfId="326" xr:uid="{00000000-0005-0000-0000-0000B6070000}"/>
    <cellStyle name="_四湖鄉溪仔崙農路十七號改善工程-數量_普令厝農地重劃區西33路農水路改善工程_後溝子一農地重劃區南北八路農路改善工程 2" xfId="3440" xr:uid="{00000000-0005-0000-0000-0000B7070000}"/>
    <cellStyle name="_四湖鄉溪仔崙農路十七號改善工程-數量_普令厝農地重劃區西33路農水路改善工程_後溝子一農地重劃區南北八路農路改善工程_施工日誌1" xfId="1949" xr:uid="{00000000-0005-0000-0000-0000B8070000}"/>
    <cellStyle name="_四湖鄉溪仔崙農路十七號改善工程-數量_普令厝農地重劃區西33路農水路改善工程_施工日誌1" xfId="1947" xr:uid="{00000000-0005-0000-0000-0000B9070000}"/>
    <cellStyle name="_四湖鄉溪仔崙農路十七號改善工程-數量_普令厝農地重劃區西33路農水路改善工程_崙背鄉雨水下水道清淤疏浚維護工程" xfId="327" xr:uid="{00000000-0005-0000-0000-0000BA070000}"/>
    <cellStyle name="_四湖鄉溪仔崙農路十七號改善工程-數量_普令厝農地重劃區西33路農水路改善工程_崙背鄉雨水下水道清淤疏浚維護工程 2" xfId="3441" xr:uid="{00000000-0005-0000-0000-0000BB070000}"/>
    <cellStyle name="_四湖鄉溪仔崙農路十七號改善工程-數量_普令厝農地重劃區西33路農水路改善工程_崙背鄉雨水下水道清淤疏浚維護工程_施工日誌1" xfId="1950" xr:uid="{00000000-0005-0000-0000-0000BC070000}"/>
    <cellStyle name="_四湖鄉溪仔崙農路十七號改善工程-數量_普令厝農地重劃區西33路農水路改善工程_鹿寮農地重劃區補路農路改善工程等七件工程" xfId="328" xr:uid="{00000000-0005-0000-0000-0000BD070000}"/>
    <cellStyle name="_四湖鄉溪仔崙農路十七號改善工程-數量_普令厝農地重劃區西33路農水路改善工程_鹿寮農地重劃區補路農路改善工程等七件工程 2" xfId="3442" xr:uid="{00000000-0005-0000-0000-0000BE070000}"/>
    <cellStyle name="_四湖鄉溪仔崙農路十七號改善工程-數量_普令厝農地重劃區西33路農水路改善工程_鹿寮農地重劃區補路農路改善工程等七件工程_施工日誌1" xfId="1951" xr:uid="{00000000-0005-0000-0000-0000BF070000}"/>
    <cellStyle name="_四湖鄉溪仔崙農路十七號改善工程-數量_普令厝農地重劃區西33路農水路改善工程_普令厝農地重劃區西33路農水路改善工程" xfId="329" xr:uid="{00000000-0005-0000-0000-0000C0070000}"/>
    <cellStyle name="_四湖鄉溪仔崙農路十七號改善工程-數量_普令厝農地重劃區西33路農水路改善工程_普令厝農地重劃區西33路農水路改善工程 2" xfId="3443" xr:uid="{00000000-0005-0000-0000-0000C1070000}"/>
    <cellStyle name="_四湖鄉溪仔崙農路十七號改善工程-數量_普令厝農地重劃區西33路農水路改善工程_普令厝農地重劃區西33路農水路改善工程_施工日誌1" xfId="1952" xr:uid="{00000000-0005-0000-0000-0000C2070000}"/>
    <cellStyle name="_四湖鄉溪仔崙農路十七號改善工程-數量_普令厝農地重劃區西33路農水路改善工程_雲林縣崙背鄉雨水下水道清淤工程" xfId="330" xr:uid="{00000000-0005-0000-0000-0000C3070000}"/>
    <cellStyle name="_四湖鄉溪仔崙農路十七號改善工程-數量_普令厝農地重劃區西33路農水路改善工程_雲林縣崙背鄉雨水下水道清淤工程 2" xfId="3444" xr:uid="{00000000-0005-0000-0000-0000C4070000}"/>
    <cellStyle name="_四湖鄉溪仔崙農路十七號改善工程-數量_普令厝農地重劃區西33路農水路改善工程_雲林縣崙背鄉雨水下水道清淤工程_施工日誌1" xfId="1953" xr:uid="{00000000-0005-0000-0000-0000C5070000}"/>
    <cellStyle name="_四湖鄉溪仔崙農路十七號改善工程-數量_普令厝農地重劃區西33路農水路改善工程_雲林縣臺西鄉A9～A9-3雨水下水道建設工程" xfId="3445" xr:uid="{00000000-0005-0000-0000-0000C6070000}"/>
    <cellStyle name="_四湖鄉溪仔崙農路十七號改善工程-數量_普令厝農地重劃區西33路農水路改善工程_臺西鄉(凡那比颱風)鄉內道路排水災害復建工程" xfId="331" xr:uid="{00000000-0005-0000-0000-0000C7070000}"/>
    <cellStyle name="_四湖鄉溪仔崙農路十七號改善工程-數量_普令厝農地重劃區西33路農水路改善工程_臺西鄉(凡那比颱風)鄉內道路排水災害復建工程 2" xfId="3446" xr:uid="{00000000-0005-0000-0000-0000C8070000}"/>
    <cellStyle name="_四湖鄉溪仔崙農路十七號改善工程-數量_普令厝農地重劃區西33路農水路改善工程_臺西鄉(凡那比颱風)鄉內道路排水災害復建工程_施工日誌1" xfId="1954" xr:uid="{00000000-0005-0000-0000-0000C9070000}"/>
    <cellStyle name="_四湖鄉溪仔崙農路十七號改善工程-數量_普令厝農地重劃區西33路農水路改善工程_臺西鄉蚊港村蚊港巷道改善工程" xfId="3447" xr:uid="{00000000-0005-0000-0000-0000CA070000}"/>
    <cellStyle name="_四湖鄉溪仔崙農路十七號改善工程-數量_普令厝農地重劃區西33路農水路改善工程_臺西鄉普令厝重劃區西8路等道路排水改善工程(確定案)" xfId="332" xr:uid="{00000000-0005-0000-0000-0000CB070000}"/>
    <cellStyle name="_四湖鄉溪仔崙農路十七號改善工程-數量_普令厝農地重劃區西33路農水路改善工程_臺西鄉普令厝重劃區西8路等道路排水改善工程(確定案) 2" xfId="3448" xr:uid="{00000000-0005-0000-0000-0000CC070000}"/>
    <cellStyle name="_四湖鄉溪仔崙農路十七號改善工程-數量_普令厝農地重劃區西33路農水路改善工程_臺西鄉普令厝重劃區西8路等道路排水改善工程(確定案)_施工日誌1" xfId="1955" xr:uid="{00000000-0005-0000-0000-0000CD070000}"/>
    <cellStyle name="_四湖鄉溪仔崙農路十七號改善工程-數量_普令厝農地重劃區西33路農水路改善工程_臺西鄉臺西公有零售市埸作為多目標使用改善工程" xfId="3449" xr:uid="{00000000-0005-0000-0000-0000CE070000}"/>
    <cellStyle name="_四湖鄉溪仔崙農路十七號改善工程-數量_普令厝農地重劃區西33路農水路改善工程_豐榮、草湖等村道路及排水溝改善工程-(變更)2" xfId="3450" xr:uid="{00000000-0005-0000-0000-0000CF070000}"/>
    <cellStyle name="_四湖鄉箔子村排水改善工程10-29" xfId="333" xr:uid="{00000000-0005-0000-0000-0000D0070000}"/>
    <cellStyle name="_四湖鄉箔子村排水改善工程10-29_施工日誌1" xfId="1956" xr:uid="{00000000-0005-0000-0000-0000D1070000}"/>
    <cellStyle name="_四湖鄉廣溝厝農路改善工程" xfId="334" xr:uid="{00000000-0005-0000-0000-0000D2070000}"/>
    <cellStyle name="_四湖鄉廣溝厝農路改善工程 2" xfId="3451" xr:uid="{00000000-0005-0000-0000-0000D3070000}"/>
    <cellStyle name="_四湖鄉廣溝厝農路改善工程_施工日誌1" xfId="1957" xr:uid="{00000000-0005-0000-0000-0000D4070000}"/>
    <cellStyle name="_四湖鄉蔡厝村農路復建工程(空白標單)097-SH-003-2_bp_rbid" xfId="335" xr:uid="{00000000-0005-0000-0000-0000D5070000}"/>
    <cellStyle name="_四湖鄉蔡厝村農路復建工程(空白標單)097-SH-003-2_bp_rbid_施工日誌1" xfId="1958" xr:uid="{00000000-0005-0000-0000-0000D6070000}"/>
    <cellStyle name="_四湖農漁村生活文化館-數量計算1014" xfId="336" xr:uid="{00000000-0005-0000-0000-0000D7070000}"/>
    <cellStyle name="_四湖農漁村生活文化館-數量計算1014_施工日誌1" xfId="1959" xr:uid="{00000000-0005-0000-0000-0000D8070000}"/>
    <cellStyle name="_正確-水林鄉後寮村雲153線旁排水等道路排水改善工程" xfId="1509" xr:uid="{00000000-0005-0000-0000-0000D9070000}"/>
    <cellStyle name="_正確-水林鄉後寮村雲153線旁排水等道路排水改善工程 2" xfId="3452" xr:uid="{00000000-0005-0000-0000-0000DA070000}"/>
    <cellStyle name="_安慶大排-預算書950206-1" xfId="337" xr:uid="{00000000-0005-0000-0000-0000DB070000}"/>
    <cellStyle name="_安慶大排-預算書950206-1_施工日誌1" xfId="1960" xr:uid="{00000000-0005-0000-0000-0000DC070000}"/>
    <cellStyle name="_羊稠厝農路災害復建工程(空白標單)" xfId="338" xr:uid="{00000000-0005-0000-0000-0000DD070000}"/>
    <cellStyle name="_羊稠厝農路災害復建工程(空白標單)_施工日誌1" xfId="1961" xr:uid="{00000000-0005-0000-0000-0000DE070000}"/>
    <cellStyle name="_西羊稠中排-數量表0408" xfId="339" xr:uid="{00000000-0005-0000-0000-0000DF070000}"/>
    <cellStyle name="_西羊稠中排-數量表0408 2" xfId="3453" xr:uid="{00000000-0005-0000-0000-0000E0070000}"/>
    <cellStyle name="_西羊稠中排-數量表0408_施工日誌1" xfId="1962" xr:uid="{00000000-0005-0000-0000-0000E1070000}"/>
    <cellStyle name="_估價單" xfId="340" xr:uid="{00000000-0005-0000-0000-0000E2070000}"/>
    <cellStyle name="_估價單 2" xfId="3454" xr:uid="{00000000-0005-0000-0000-0000E3070000}"/>
    <cellStyle name="_估價單_施工日誌1" xfId="1963" xr:uid="{00000000-0005-0000-0000-0000E4070000}"/>
    <cellStyle name="_估價單_普令厝農地重劃區西33路農水路改善工程" xfId="341" xr:uid="{00000000-0005-0000-0000-0000E5070000}"/>
    <cellStyle name="_估價單_普令厝農地重劃區西33路農水路改善工程 2" xfId="3455" xr:uid="{00000000-0005-0000-0000-0000E6070000}"/>
    <cellStyle name="_估價單_普令厝農地重劃區西33路農水路改善工程_土庫鎮埤腳里道路、排水溝改善工程101.05.18(修正3確定)" xfId="3456" xr:uid="{00000000-0005-0000-0000-0000E7070000}"/>
    <cellStyle name="_估價單_普令厝農地重劃區西33路農水路改善工程_元長鄉長南村巷道排水改善工程" xfId="3457" xr:uid="{00000000-0005-0000-0000-0000E8070000}"/>
    <cellStyle name="_估價單_普令厝農地重劃區西33路農水路改善工程_斗南鎮久安農地重劃區V51路農路路面改善工程" xfId="5158" xr:uid="{00000000-0005-0000-0000-0000E9070000}"/>
    <cellStyle name="_估價單_普令厝農地重劃區西33路農水路改善工程_斗南鎮田頭農地重劃區農路改善工程" xfId="5159" xr:uid="{00000000-0005-0000-0000-0000EA070000}"/>
    <cellStyle name="_估價單_普令厝農地重劃區西33路農水路改善工程_斗南鎮西岐里舊社里等路面改善工程-100.05.18" xfId="3458" xr:uid="{00000000-0005-0000-0000-0000EB070000}"/>
    <cellStyle name="_估價單_普令厝農地重劃區西33路農水路改善工程_斗南鎮阿丹里、林子里相關公共設施改善工程100.11.29" xfId="3459" xr:uid="{00000000-0005-0000-0000-0000EC070000}"/>
    <cellStyle name="_估價單_普令厝農地重劃區西33路農水路改善工程_斗南鎮將軍里等路面及附屬設施改善工程" xfId="3460" xr:uid="{00000000-0005-0000-0000-0000ED070000}"/>
    <cellStyle name="_估價單_普令厝農地重劃區西33路農水路改善工程_古坑鄉大湖底段及麻園段路面改善工程" xfId="3461" xr:uid="{00000000-0005-0000-0000-0000EE070000}"/>
    <cellStyle name="_估價單_普令厝農地重劃區西33路農水路改善工程_台西海埔地南4路排水9907豪雨災害復建工程" xfId="3462" xr:uid="{00000000-0005-0000-0000-0000EF070000}"/>
    <cellStyle name="_估價單_普令厝農地重劃區西33路農水路改善工程_台西鄉四美重劃區南北幹路4農路復建工程" xfId="342" xr:uid="{00000000-0005-0000-0000-0000F0070000}"/>
    <cellStyle name="_估價單_普令厝農地重劃區西33路農水路改善工程_台西鄉四美重劃區南北幹路4農路復建工程 2" xfId="3463" xr:uid="{00000000-0005-0000-0000-0000F1070000}"/>
    <cellStyle name="_估價單_普令厝農地重劃區西33路農水路改善工程_台西鄉四美重劃區南北幹路4農路復建工程_施工日誌1" xfId="1965" xr:uid="{00000000-0005-0000-0000-0000F2070000}"/>
    <cellStyle name="_估價單_普令厝農地重劃區西33路農水路改善工程_東勢鄉新坤村及麥寮鄉海豐村道路排水改善工程" xfId="5160" xr:uid="{00000000-0005-0000-0000-0000F3070000}"/>
    <cellStyle name="_估價單_普令厝農地重劃區西33路農水路改善工程_林縣臺西鄉A10~A12雨水下水道建設工程(增減明細)" xfId="3464" xr:uid="{00000000-0005-0000-0000-0000F4070000}"/>
    <cellStyle name="_估價單_普令厝農地重劃區西33路農水路改善工程_虎尾鎮新吉里竹圍子農村社區生態魚池暨運動公園道路與排水改善工程(預算書)" xfId="3465" xr:uid="{00000000-0005-0000-0000-0000F5070000}"/>
    <cellStyle name="_估價單_普令厝農地重劃區西33路農水路改善工程_虎尾鎮新吉里竹圍子農村社區生態魚池暨運動公園道路與排水改善工程(確定)" xfId="5161" xr:uid="{00000000-0005-0000-0000-0000F6070000}"/>
    <cellStyle name="_估價單_普令厝農地重劃區西33路農水路改善工程_長北村等巷道排水改善工程" xfId="3466" xr:uid="{00000000-0005-0000-0000-0000F7070000}"/>
    <cellStyle name="_估價單_普令厝農地重劃區西33路農水路改善工程_後溝子一農地重劃區南北八路農路改善工程" xfId="343" xr:uid="{00000000-0005-0000-0000-0000F8070000}"/>
    <cellStyle name="_估價單_普令厝農地重劃區西33路農水路改善工程_後溝子一農地重劃區南北八路農路改善工程 2" xfId="3467" xr:uid="{00000000-0005-0000-0000-0000F9070000}"/>
    <cellStyle name="_估價單_普令厝農地重劃區西33路農水路改善工程_後溝子一農地重劃區南北八路農路改善工程_施工日誌1" xfId="1966" xr:uid="{00000000-0005-0000-0000-0000FA070000}"/>
    <cellStyle name="_估價單_普令厝農地重劃區西33路農水路改善工程_施工日誌1" xfId="1964" xr:uid="{00000000-0005-0000-0000-0000FB070000}"/>
    <cellStyle name="_估價單_普令厝農地重劃區西33路農水路改善工程_崙背鄉雨水下水道清淤疏浚維護工程" xfId="344" xr:uid="{00000000-0005-0000-0000-0000FC070000}"/>
    <cellStyle name="_估價單_普令厝農地重劃區西33路農水路改善工程_崙背鄉雨水下水道清淤疏浚維護工程 2" xfId="3468" xr:uid="{00000000-0005-0000-0000-0000FD070000}"/>
    <cellStyle name="_估價單_普令厝農地重劃區西33路農水路改善工程_崙背鄉雨水下水道清淤疏浚維護工程_施工日誌1" xfId="1967" xr:uid="{00000000-0005-0000-0000-0000FE070000}"/>
    <cellStyle name="_估價單_普令厝農地重劃區西33路農水路改善工程_鹿寮農地重劃區補路農路改善工程等七件工程" xfId="345" xr:uid="{00000000-0005-0000-0000-0000FF070000}"/>
    <cellStyle name="_估價單_普令厝農地重劃區西33路農水路改善工程_鹿寮農地重劃區補路農路改善工程等七件工程 2" xfId="3469" xr:uid="{00000000-0005-0000-0000-000000080000}"/>
    <cellStyle name="_估價單_普令厝農地重劃區西33路農水路改善工程_鹿寮農地重劃區補路農路改善工程等七件工程_施工日誌1" xfId="1968" xr:uid="{00000000-0005-0000-0000-000001080000}"/>
    <cellStyle name="_估價單_普令厝農地重劃區西33路農水路改善工程_普令厝農地重劃區西33路農水路改善工程" xfId="346" xr:uid="{00000000-0005-0000-0000-000002080000}"/>
    <cellStyle name="_估價單_普令厝農地重劃區西33路農水路改善工程_普令厝農地重劃區西33路農水路改善工程 2" xfId="3470" xr:uid="{00000000-0005-0000-0000-000003080000}"/>
    <cellStyle name="_估價單_普令厝農地重劃區西33路農水路改善工程_普令厝農地重劃區西33路農水路改善工程_施工日誌1" xfId="1969" xr:uid="{00000000-0005-0000-0000-000004080000}"/>
    <cellStyle name="_估價單_普令厝農地重劃區西33路農水路改善工程_雲林縣崙背鄉雨水下水道清淤工程" xfId="347" xr:uid="{00000000-0005-0000-0000-000005080000}"/>
    <cellStyle name="_估價單_普令厝農地重劃區西33路農水路改善工程_雲林縣崙背鄉雨水下水道清淤工程 2" xfId="3471" xr:uid="{00000000-0005-0000-0000-000006080000}"/>
    <cellStyle name="_估價單_普令厝農地重劃區西33路農水路改善工程_雲林縣崙背鄉雨水下水道清淤工程_施工日誌1" xfId="1970" xr:uid="{00000000-0005-0000-0000-000007080000}"/>
    <cellStyle name="_估價單_普令厝農地重劃區西33路農水路改善工程_雲林縣臺西鄉A9～A9-3雨水下水道建設工程" xfId="3472" xr:uid="{00000000-0005-0000-0000-000008080000}"/>
    <cellStyle name="_估價單_普令厝農地重劃區西33路農水路改善工程_臺西鄉(凡那比颱風)鄉內道路排水災害復建工程" xfId="348" xr:uid="{00000000-0005-0000-0000-000009080000}"/>
    <cellStyle name="_估價單_普令厝農地重劃區西33路農水路改善工程_臺西鄉(凡那比颱風)鄉內道路排水災害復建工程 2" xfId="3473" xr:uid="{00000000-0005-0000-0000-00000A080000}"/>
    <cellStyle name="_估價單_普令厝農地重劃區西33路農水路改善工程_臺西鄉(凡那比颱風)鄉內道路排水災害復建工程_施工日誌1" xfId="1971" xr:uid="{00000000-0005-0000-0000-00000B080000}"/>
    <cellStyle name="_估價單_普令厝農地重劃區西33路農水路改善工程_臺西鄉蚊港村蚊港巷道改善工程" xfId="3474" xr:uid="{00000000-0005-0000-0000-00000C080000}"/>
    <cellStyle name="_估價單_普令厝農地重劃區西33路農水路改善工程_臺西鄉普令厝重劃區西8路等道路排水改善工程(確定案)" xfId="349" xr:uid="{00000000-0005-0000-0000-00000D080000}"/>
    <cellStyle name="_估價單_普令厝農地重劃區西33路農水路改善工程_臺西鄉普令厝重劃區西8路等道路排水改善工程(確定案) 2" xfId="3475" xr:uid="{00000000-0005-0000-0000-00000E080000}"/>
    <cellStyle name="_估價單_普令厝農地重劃區西33路農水路改善工程_臺西鄉普令厝重劃區西8路等道路排水改善工程(確定案)_施工日誌1" xfId="1972" xr:uid="{00000000-0005-0000-0000-00000F080000}"/>
    <cellStyle name="_估價單_普令厝農地重劃區西33路農水路改善工程_臺西鄉臺西公有零售市埸作為多目標使用改善工程" xfId="3476" xr:uid="{00000000-0005-0000-0000-000010080000}"/>
    <cellStyle name="_估價單_普令厝農地重劃區西33路農水路改善工程_豐榮、草湖等村道路及排水溝改善工程-(變更)2" xfId="3477" xr:uid="{00000000-0005-0000-0000-000011080000}"/>
    <cellStyle name="_村道路排水改善工程(監施工日報表)阿泰" xfId="350" xr:uid="{00000000-0005-0000-0000-000012080000}"/>
    <cellStyle name="_村道路排水改善工程(監施工日報表)阿泰_施工日誌1" xfId="1973" xr:uid="{00000000-0005-0000-0000-000013080000}"/>
    <cellStyle name="_決算-文化館" xfId="351" xr:uid="{00000000-0005-0000-0000-000014080000}"/>
    <cellStyle name="_決算-文化館_施工日誌1" xfId="1974" xr:uid="{00000000-0005-0000-0000-000015080000}"/>
    <cellStyle name="_府修改0816 -四湖鄉雲136線AC路面舖設工程" xfId="352" xr:uid="{00000000-0005-0000-0000-000016080000}"/>
    <cellStyle name="_府修改0816 -四湖鄉雲136線AC路面舖設工程 2" xfId="3478" xr:uid="{00000000-0005-0000-0000-000017080000}"/>
    <cellStyle name="_府修改0816 -四湖鄉雲136線AC路面舖設工程_施工日誌1" xfId="1975" xr:uid="{00000000-0005-0000-0000-000018080000}"/>
    <cellStyle name="_東勢鄉新坤、四美村道路排水改善工程-竣工" xfId="353" xr:uid="{00000000-0005-0000-0000-000019080000}"/>
    <cellStyle name="_東勢鄉新坤、四美村道路排水改善工程-竣工 2" xfId="3479" xr:uid="{00000000-0005-0000-0000-00001A080000}"/>
    <cellStyle name="_東勢鄉新坤、四美村道路排水改善工程-竣工_施工日誌1" xfId="1976" xr:uid="{00000000-0005-0000-0000-00001B080000}"/>
    <cellStyle name="_林厝等2-0110" xfId="354" xr:uid="{00000000-0005-0000-0000-00001C080000}"/>
    <cellStyle name="_林厝等2-0110 2" xfId="3480" xr:uid="{00000000-0005-0000-0000-00001D080000}"/>
    <cellStyle name="_林厝等2-0110_施工日誌1" xfId="1977" xr:uid="{00000000-0005-0000-0000-00001E080000}"/>
    <cellStyle name="_林厝等2-0110_普令厝農地重劃區西33路農水路改善工程" xfId="355" xr:uid="{00000000-0005-0000-0000-00001F080000}"/>
    <cellStyle name="_林厝等2-0110_普令厝農地重劃區西33路農水路改善工程 2" xfId="3481" xr:uid="{00000000-0005-0000-0000-000020080000}"/>
    <cellStyle name="_林厝等2-0110_普令厝農地重劃區西33路農水路改善工程_土庫鎮埤腳里道路、排水溝改善工程101.05.18(修正3確定)" xfId="3482" xr:uid="{00000000-0005-0000-0000-000021080000}"/>
    <cellStyle name="_林厝等2-0110_普令厝農地重劃區西33路農水路改善工程_元長鄉長南村巷道排水改善工程" xfId="3483" xr:uid="{00000000-0005-0000-0000-000022080000}"/>
    <cellStyle name="_林厝等2-0110_普令厝農地重劃區西33路農水路改善工程_斗南鎮久安農地重劃區V51路農路路面改善工程" xfId="5162" xr:uid="{00000000-0005-0000-0000-000023080000}"/>
    <cellStyle name="_林厝等2-0110_普令厝農地重劃區西33路農水路改善工程_斗南鎮田頭農地重劃區農路改善工程" xfId="5163" xr:uid="{00000000-0005-0000-0000-000024080000}"/>
    <cellStyle name="_林厝等2-0110_普令厝農地重劃區西33路農水路改善工程_斗南鎮西岐里舊社里等路面改善工程-100.05.18" xfId="3484" xr:uid="{00000000-0005-0000-0000-000025080000}"/>
    <cellStyle name="_林厝等2-0110_普令厝農地重劃區西33路農水路改善工程_斗南鎮阿丹里、林子里相關公共設施改善工程100.11.29" xfId="3485" xr:uid="{00000000-0005-0000-0000-000026080000}"/>
    <cellStyle name="_林厝等2-0110_普令厝農地重劃區西33路農水路改善工程_斗南鎮將軍里等路面及附屬設施改善工程" xfId="3486" xr:uid="{00000000-0005-0000-0000-000027080000}"/>
    <cellStyle name="_林厝等2-0110_普令厝農地重劃區西33路農水路改善工程_古坑鄉大湖底段及麻園段路面改善工程" xfId="3487" xr:uid="{00000000-0005-0000-0000-000028080000}"/>
    <cellStyle name="_林厝等2-0110_普令厝農地重劃區西33路農水路改善工程_台西海埔地南4路排水9907豪雨災害復建工程" xfId="3488" xr:uid="{00000000-0005-0000-0000-000029080000}"/>
    <cellStyle name="_林厝等2-0110_普令厝農地重劃區西33路農水路改善工程_台西鄉四美重劃區南北幹路4農路復建工程" xfId="356" xr:uid="{00000000-0005-0000-0000-00002A080000}"/>
    <cellStyle name="_林厝等2-0110_普令厝農地重劃區西33路農水路改善工程_台西鄉四美重劃區南北幹路4農路復建工程 2" xfId="3489" xr:uid="{00000000-0005-0000-0000-00002B080000}"/>
    <cellStyle name="_林厝等2-0110_普令厝農地重劃區西33路農水路改善工程_台西鄉四美重劃區南北幹路4農路復建工程_施工日誌1" xfId="1979" xr:uid="{00000000-0005-0000-0000-00002C080000}"/>
    <cellStyle name="_林厝等2-0110_普令厝農地重劃區西33路農水路改善工程_東勢鄉新坤村及麥寮鄉海豐村道路排水改善工程" xfId="5164" xr:uid="{00000000-0005-0000-0000-00002D080000}"/>
    <cellStyle name="_林厝等2-0110_普令厝農地重劃區西33路農水路改善工程_林縣臺西鄉A10~A12雨水下水道建設工程(增減明細)" xfId="3490" xr:uid="{00000000-0005-0000-0000-00002E080000}"/>
    <cellStyle name="_林厝等2-0110_普令厝農地重劃區西33路農水路改善工程_虎尾鎮新吉里竹圍子農村社區生態魚池暨運動公園道路與排水改善工程(預算書)" xfId="3491" xr:uid="{00000000-0005-0000-0000-00002F080000}"/>
    <cellStyle name="_林厝等2-0110_普令厝農地重劃區西33路農水路改善工程_虎尾鎮新吉里竹圍子農村社區生態魚池暨運動公園道路與排水改善工程(確定)" xfId="5165" xr:uid="{00000000-0005-0000-0000-000030080000}"/>
    <cellStyle name="_林厝等2-0110_普令厝農地重劃區西33路農水路改善工程_長北村等巷道排水改善工程" xfId="3492" xr:uid="{00000000-0005-0000-0000-000031080000}"/>
    <cellStyle name="_林厝等2-0110_普令厝農地重劃區西33路農水路改善工程_後溝子一農地重劃區南北八路農路改善工程" xfId="357" xr:uid="{00000000-0005-0000-0000-000032080000}"/>
    <cellStyle name="_林厝等2-0110_普令厝農地重劃區西33路農水路改善工程_後溝子一農地重劃區南北八路農路改善工程 2" xfId="3493" xr:uid="{00000000-0005-0000-0000-000033080000}"/>
    <cellStyle name="_林厝等2-0110_普令厝農地重劃區西33路農水路改善工程_後溝子一農地重劃區南北八路農路改善工程_施工日誌1" xfId="1980" xr:uid="{00000000-0005-0000-0000-000034080000}"/>
    <cellStyle name="_林厝等2-0110_普令厝農地重劃區西33路農水路改善工程_施工日誌1" xfId="1978" xr:uid="{00000000-0005-0000-0000-000035080000}"/>
    <cellStyle name="_林厝等2-0110_普令厝農地重劃區西33路農水路改善工程_崙背鄉雨水下水道清淤疏浚維護工程" xfId="358" xr:uid="{00000000-0005-0000-0000-000036080000}"/>
    <cellStyle name="_林厝等2-0110_普令厝農地重劃區西33路農水路改善工程_崙背鄉雨水下水道清淤疏浚維護工程 2" xfId="3494" xr:uid="{00000000-0005-0000-0000-000037080000}"/>
    <cellStyle name="_林厝等2-0110_普令厝農地重劃區西33路農水路改善工程_崙背鄉雨水下水道清淤疏浚維護工程_施工日誌1" xfId="1981" xr:uid="{00000000-0005-0000-0000-000038080000}"/>
    <cellStyle name="_林厝等2-0110_普令厝農地重劃區西33路農水路改善工程_鹿寮農地重劃區補路農路改善工程等七件工程" xfId="359" xr:uid="{00000000-0005-0000-0000-000039080000}"/>
    <cellStyle name="_林厝等2-0110_普令厝農地重劃區西33路農水路改善工程_鹿寮農地重劃區補路農路改善工程等七件工程 2" xfId="3495" xr:uid="{00000000-0005-0000-0000-00003A080000}"/>
    <cellStyle name="_林厝等2-0110_普令厝農地重劃區西33路農水路改善工程_鹿寮農地重劃區補路農路改善工程等七件工程_施工日誌1" xfId="1982" xr:uid="{00000000-0005-0000-0000-00003B080000}"/>
    <cellStyle name="_林厝等2-0110_普令厝農地重劃區西33路農水路改善工程_普令厝農地重劃區西33路農水路改善工程" xfId="360" xr:uid="{00000000-0005-0000-0000-00003C080000}"/>
    <cellStyle name="_林厝等2-0110_普令厝農地重劃區西33路農水路改善工程_普令厝農地重劃區西33路農水路改善工程 2" xfId="3496" xr:uid="{00000000-0005-0000-0000-00003D080000}"/>
    <cellStyle name="_林厝等2-0110_普令厝農地重劃區西33路農水路改善工程_普令厝農地重劃區西33路農水路改善工程_施工日誌1" xfId="1983" xr:uid="{00000000-0005-0000-0000-00003E080000}"/>
    <cellStyle name="_林厝等2-0110_普令厝農地重劃區西33路農水路改善工程_雲林縣崙背鄉雨水下水道清淤工程" xfId="361" xr:uid="{00000000-0005-0000-0000-00003F080000}"/>
    <cellStyle name="_林厝等2-0110_普令厝農地重劃區西33路農水路改善工程_雲林縣崙背鄉雨水下水道清淤工程 2" xfId="3497" xr:uid="{00000000-0005-0000-0000-000040080000}"/>
    <cellStyle name="_林厝等2-0110_普令厝農地重劃區西33路農水路改善工程_雲林縣崙背鄉雨水下水道清淤工程_施工日誌1" xfId="1984" xr:uid="{00000000-0005-0000-0000-000041080000}"/>
    <cellStyle name="_林厝等2-0110_普令厝農地重劃區西33路農水路改善工程_雲林縣臺西鄉A9～A9-3雨水下水道建設工程" xfId="3498" xr:uid="{00000000-0005-0000-0000-000042080000}"/>
    <cellStyle name="_林厝等2-0110_普令厝農地重劃區西33路農水路改善工程_臺西鄉(凡那比颱風)鄉內道路排水災害復建工程" xfId="362" xr:uid="{00000000-0005-0000-0000-000043080000}"/>
    <cellStyle name="_林厝等2-0110_普令厝農地重劃區西33路農水路改善工程_臺西鄉(凡那比颱風)鄉內道路排水災害復建工程 2" xfId="3499" xr:uid="{00000000-0005-0000-0000-000044080000}"/>
    <cellStyle name="_林厝等2-0110_普令厝農地重劃區西33路農水路改善工程_臺西鄉(凡那比颱風)鄉內道路排水災害復建工程_施工日誌1" xfId="1985" xr:uid="{00000000-0005-0000-0000-000045080000}"/>
    <cellStyle name="_林厝等2-0110_普令厝農地重劃區西33路農水路改善工程_臺西鄉蚊港村蚊港巷道改善工程" xfId="3500" xr:uid="{00000000-0005-0000-0000-000046080000}"/>
    <cellStyle name="_林厝等2-0110_普令厝農地重劃區西33路農水路改善工程_臺西鄉普令厝重劃區西8路等道路排水改善工程(確定案)" xfId="363" xr:uid="{00000000-0005-0000-0000-000047080000}"/>
    <cellStyle name="_林厝等2-0110_普令厝農地重劃區西33路農水路改善工程_臺西鄉普令厝重劃區西8路等道路排水改善工程(確定案) 2" xfId="3501" xr:uid="{00000000-0005-0000-0000-000048080000}"/>
    <cellStyle name="_林厝等2-0110_普令厝農地重劃區西33路農水路改善工程_臺西鄉普令厝重劃區西8路等道路排水改善工程(確定案)_施工日誌1" xfId="1986" xr:uid="{00000000-0005-0000-0000-000049080000}"/>
    <cellStyle name="_林厝等2-0110_普令厝農地重劃區西33路農水路改善工程_臺西鄉臺西公有零售市埸作為多目標使用改善工程" xfId="3502" xr:uid="{00000000-0005-0000-0000-00004A080000}"/>
    <cellStyle name="_林厝等2-0110_普令厝農地重劃區西33路農水路改善工程_豐榮、草湖等村道路及排水溝改善工程-(變更)2" xfId="3503" xr:uid="{00000000-0005-0000-0000-00004B080000}"/>
    <cellStyle name="_空.材抽" xfId="1510" xr:uid="{00000000-0005-0000-0000-00004C080000}"/>
    <cellStyle name="_空.材抽 2" xfId="3504" xr:uid="{00000000-0005-0000-0000-00004D080000}"/>
    <cellStyle name="_空白標單97-8-28" xfId="364" xr:uid="{00000000-0005-0000-0000-00004E080000}"/>
    <cellStyle name="_空白標單97-8-28_施工日誌1" xfId="1987" xr:uid="{00000000-0005-0000-0000-00004F080000}"/>
    <cellStyle name="_施工日報原稿(新版)3-5" xfId="365" xr:uid="{00000000-0005-0000-0000-000050080000}"/>
    <cellStyle name="_施工日報原稿(新版)3-5_施工日誌1" xfId="1988" xr:uid="{00000000-0005-0000-0000-000051080000}"/>
    <cellStyle name="_施工日誌" xfId="366" xr:uid="{00000000-0005-0000-0000-000052080000}"/>
    <cellStyle name="_施工日誌_施工日誌1" xfId="1989" xr:uid="{00000000-0005-0000-0000-000053080000}"/>
    <cellStyle name="_施湖村下湖庄內小排改善工程監工日報" xfId="367" xr:uid="{00000000-0005-0000-0000-000054080000}"/>
    <cellStyle name="_施湖村下湖庄內小排改善工程監工日報 2" xfId="3505" xr:uid="{00000000-0005-0000-0000-000055080000}"/>
    <cellStyle name="_施湖村下湖庄內小排改善工程監工日報_施工日誌1" xfId="1990" xr:uid="{00000000-0005-0000-0000-000056080000}"/>
    <cellStyle name="_美群國小預算" xfId="368" xr:uid="{00000000-0005-0000-0000-000057080000}"/>
    <cellStyle name="_美群國小預算_施工日誌1" xfId="1991" xr:uid="{00000000-0005-0000-0000-000058080000}"/>
    <cellStyle name="_修正預算書0724-2" xfId="369" xr:uid="{00000000-0005-0000-0000-000059080000}"/>
    <cellStyle name="_修正預算書0724-2 2" xfId="3506" xr:uid="{00000000-0005-0000-0000-00005A080000}"/>
    <cellStyle name="_修正預算書0724-2_內湖大排災害復建工程" xfId="370" xr:uid="{00000000-0005-0000-0000-00005B080000}"/>
    <cellStyle name="_修正預算書0724-2_內湖大排災害復建工程 2" xfId="3507" xr:uid="{00000000-0005-0000-0000-00005C080000}"/>
    <cellStyle name="_修正預算書0724-2_內湖大排災害復建工程_施工日誌1" xfId="1993" xr:uid="{00000000-0005-0000-0000-00005D080000}"/>
    <cellStyle name="_修正預算書0724-2_內湖大排災害復建工程_普令厝農地重劃區西33路農水路改善工程" xfId="371" xr:uid="{00000000-0005-0000-0000-00005E080000}"/>
    <cellStyle name="_修正預算書0724-2_內湖大排災害復建工程_普令厝農地重劃區西33路農水路改善工程 2" xfId="3508" xr:uid="{00000000-0005-0000-0000-00005F080000}"/>
    <cellStyle name="_修正預算書0724-2_內湖大排災害復建工程_普令厝農地重劃區西33路農水路改善工程_土庫鎮埤腳里道路、排水溝改善工程101.05.18(修正3確定)" xfId="3509" xr:uid="{00000000-0005-0000-0000-000060080000}"/>
    <cellStyle name="_修正預算書0724-2_內湖大排災害復建工程_普令厝農地重劃區西33路農水路改善工程_元長鄉長南村巷道排水改善工程" xfId="3510" xr:uid="{00000000-0005-0000-0000-000061080000}"/>
    <cellStyle name="_修正預算書0724-2_內湖大排災害復建工程_普令厝農地重劃區西33路農水路改善工程_斗南鎮久安農地重劃區V51路農路路面改善工程" xfId="5166" xr:uid="{00000000-0005-0000-0000-000062080000}"/>
    <cellStyle name="_修正預算書0724-2_內湖大排災害復建工程_普令厝農地重劃區西33路農水路改善工程_斗南鎮田頭農地重劃區農路改善工程" xfId="5167" xr:uid="{00000000-0005-0000-0000-000063080000}"/>
    <cellStyle name="_修正預算書0724-2_內湖大排災害復建工程_普令厝農地重劃區西33路農水路改善工程_斗南鎮西岐里舊社里等路面改善工程-100.05.18" xfId="3511" xr:uid="{00000000-0005-0000-0000-000064080000}"/>
    <cellStyle name="_修正預算書0724-2_內湖大排災害復建工程_普令厝農地重劃區西33路農水路改善工程_斗南鎮阿丹里、林子里相關公共設施改善工程100.11.29" xfId="3512" xr:uid="{00000000-0005-0000-0000-000065080000}"/>
    <cellStyle name="_修正預算書0724-2_內湖大排災害復建工程_普令厝農地重劃區西33路農水路改善工程_斗南鎮將軍里等路面及附屬設施改善工程" xfId="3513" xr:uid="{00000000-0005-0000-0000-000066080000}"/>
    <cellStyle name="_修正預算書0724-2_內湖大排災害復建工程_普令厝農地重劃區西33路農水路改善工程_古坑鄉大湖底段及麻園段路面改善工程" xfId="3514" xr:uid="{00000000-0005-0000-0000-000067080000}"/>
    <cellStyle name="_修正預算書0724-2_內湖大排災害復建工程_普令厝農地重劃區西33路農水路改善工程_台西海埔地南4路排水9907豪雨災害復建工程" xfId="3515" xr:uid="{00000000-0005-0000-0000-000068080000}"/>
    <cellStyle name="_修正預算書0724-2_內湖大排災害復建工程_普令厝農地重劃區西33路農水路改善工程_台西鄉四美重劃區南北幹路4農路復建工程" xfId="372" xr:uid="{00000000-0005-0000-0000-000069080000}"/>
    <cellStyle name="_修正預算書0724-2_內湖大排災害復建工程_普令厝農地重劃區西33路農水路改善工程_台西鄉四美重劃區南北幹路4農路復建工程 2" xfId="3516" xr:uid="{00000000-0005-0000-0000-00006A080000}"/>
    <cellStyle name="_修正預算書0724-2_內湖大排災害復建工程_普令厝農地重劃區西33路農水路改善工程_台西鄉四美重劃區南北幹路4農路復建工程_施工日誌1" xfId="1995" xr:uid="{00000000-0005-0000-0000-00006B080000}"/>
    <cellStyle name="_修正預算書0724-2_內湖大排災害復建工程_普令厝農地重劃區西33路農水路改善工程_東勢鄉新坤村及麥寮鄉海豐村道路排水改善工程" xfId="5168" xr:uid="{00000000-0005-0000-0000-00006C080000}"/>
    <cellStyle name="_修正預算書0724-2_內湖大排災害復建工程_普令厝農地重劃區西33路農水路改善工程_林縣臺西鄉A10~A12雨水下水道建設工程(增減明細)" xfId="3517" xr:uid="{00000000-0005-0000-0000-00006D080000}"/>
    <cellStyle name="_修正預算書0724-2_內湖大排災害復建工程_普令厝農地重劃區西33路農水路改善工程_虎尾鎮新吉里竹圍子農村社區生態魚池暨運動公園道路與排水改善工程(預算書)" xfId="3518" xr:uid="{00000000-0005-0000-0000-00006E080000}"/>
    <cellStyle name="_修正預算書0724-2_內湖大排災害復建工程_普令厝農地重劃區西33路農水路改善工程_虎尾鎮新吉里竹圍子農村社區生態魚池暨運動公園道路與排水改善工程(確定)" xfId="5169" xr:uid="{00000000-0005-0000-0000-00006F080000}"/>
    <cellStyle name="_修正預算書0724-2_內湖大排災害復建工程_普令厝農地重劃區西33路農水路改善工程_長北村等巷道排水改善工程" xfId="3519" xr:uid="{00000000-0005-0000-0000-000070080000}"/>
    <cellStyle name="_修正預算書0724-2_內湖大排災害復建工程_普令厝農地重劃區西33路農水路改善工程_後溝子一農地重劃區南北八路農路改善工程" xfId="373" xr:uid="{00000000-0005-0000-0000-000071080000}"/>
    <cellStyle name="_修正預算書0724-2_內湖大排災害復建工程_普令厝農地重劃區西33路農水路改善工程_後溝子一農地重劃區南北八路農路改善工程 2" xfId="3520" xr:uid="{00000000-0005-0000-0000-000072080000}"/>
    <cellStyle name="_修正預算書0724-2_內湖大排災害復建工程_普令厝農地重劃區西33路農水路改善工程_後溝子一農地重劃區南北八路農路改善工程_施工日誌1" xfId="1996" xr:uid="{00000000-0005-0000-0000-000073080000}"/>
    <cellStyle name="_修正預算書0724-2_內湖大排災害復建工程_普令厝農地重劃區西33路農水路改善工程_施工日誌1" xfId="1994" xr:uid="{00000000-0005-0000-0000-000074080000}"/>
    <cellStyle name="_修正預算書0724-2_內湖大排災害復建工程_普令厝農地重劃區西33路農水路改善工程_崙背鄉雨水下水道清淤疏浚維護工程" xfId="374" xr:uid="{00000000-0005-0000-0000-000075080000}"/>
    <cellStyle name="_修正預算書0724-2_內湖大排災害復建工程_普令厝農地重劃區西33路農水路改善工程_崙背鄉雨水下水道清淤疏浚維護工程 2" xfId="3521" xr:uid="{00000000-0005-0000-0000-000076080000}"/>
    <cellStyle name="_修正預算書0724-2_內湖大排災害復建工程_普令厝農地重劃區西33路農水路改善工程_崙背鄉雨水下水道清淤疏浚維護工程_施工日誌1" xfId="1997" xr:uid="{00000000-0005-0000-0000-000077080000}"/>
    <cellStyle name="_修正預算書0724-2_內湖大排災害復建工程_普令厝農地重劃區西33路農水路改善工程_鹿寮農地重劃區補路農路改善工程等七件工程" xfId="375" xr:uid="{00000000-0005-0000-0000-000078080000}"/>
    <cellStyle name="_修正預算書0724-2_內湖大排災害復建工程_普令厝農地重劃區西33路農水路改善工程_鹿寮農地重劃區補路農路改善工程等七件工程 2" xfId="3522" xr:uid="{00000000-0005-0000-0000-000079080000}"/>
    <cellStyle name="_修正預算書0724-2_內湖大排災害復建工程_普令厝農地重劃區西33路農水路改善工程_鹿寮農地重劃區補路農路改善工程等七件工程_施工日誌1" xfId="1998" xr:uid="{00000000-0005-0000-0000-00007A080000}"/>
    <cellStyle name="_修正預算書0724-2_內湖大排災害復建工程_普令厝農地重劃區西33路農水路改善工程_普令厝農地重劃區西33路農水路改善工程" xfId="376" xr:uid="{00000000-0005-0000-0000-00007B080000}"/>
    <cellStyle name="_修正預算書0724-2_內湖大排災害復建工程_普令厝農地重劃區西33路農水路改善工程_普令厝農地重劃區西33路農水路改善工程 2" xfId="3523" xr:uid="{00000000-0005-0000-0000-00007C080000}"/>
    <cellStyle name="_修正預算書0724-2_內湖大排災害復建工程_普令厝農地重劃區西33路農水路改善工程_普令厝農地重劃區西33路農水路改善工程_施工日誌1" xfId="1999" xr:uid="{00000000-0005-0000-0000-00007D080000}"/>
    <cellStyle name="_修正預算書0724-2_內湖大排災害復建工程_普令厝農地重劃區西33路農水路改善工程_雲林縣崙背鄉雨水下水道清淤工程" xfId="377" xr:uid="{00000000-0005-0000-0000-00007E080000}"/>
    <cellStyle name="_修正預算書0724-2_內湖大排災害復建工程_普令厝農地重劃區西33路農水路改善工程_雲林縣崙背鄉雨水下水道清淤工程 2" xfId="3524" xr:uid="{00000000-0005-0000-0000-00007F080000}"/>
    <cellStyle name="_修正預算書0724-2_內湖大排災害復建工程_普令厝農地重劃區西33路農水路改善工程_雲林縣崙背鄉雨水下水道清淤工程_施工日誌1" xfId="2000" xr:uid="{00000000-0005-0000-0000-000080080000}"/>
    <cellStyle name="_修正預算書0724-2_內湖大排災害復建工程_普令厝農地重劃區西33路農水路改善工程_雲林縣臺西鄉A9～A9-3雨水下水道建設工程" xfId="3525" xr:uid="{00000000-0005-0000-0000-000081080000}"/>
    <cellStyle name="_修正預算書0724-2_內湖大排災害復建工程_普令厝農地重劃區西33路農水路改善工程_臺西鄉(凡那比颱風)鄉內道路排水災害復建工程" xfId="378" xr:uid="{00000000-0005-0000-0000-000082080000}"/>
    <cellStyle name="_修正預算書0724-2_內湖大排災害復建工程_普令厝農地重劃區西33路農水路改善工程_臺西鄉(凡那比颱風)鄉內道路排水災害復建工程 2" xfId="3526" xr:uid="{00000000-0005-0000-0000-000083080000}"/>
    <cellStyle name="_修正預算書0724-2_內湖大排災害復建工程_普令厝農地重劃區西33路農水路改善工程_臺西鄉(凡那比颱風)鄉內道路排水災害復建工程_施工日誌1" xfId="2001" xr:uid="{00000000-0005-0000-0000-000084080000}"/>
    <cellStyle name="_修正預算書0724-2_內湖大排災害復建工程_普令厝農地重劃區西33路農水路改善工程_臺西鄉蚊港村蚊港巷道改善工程" xfId="3527" xr:uid="{00000000-0005-0000-0000-000085080000}"/>
    <cellStyle name="_修正預算書0724-2_內湖大排災害復建工程_普令厝農地重劃區西33路農水路改善工程_臺西鄉普令厝重劃區西8路等道路排水改善工程(確定案)" xfId="379" xr:uid="{00000000-0005-0000-0000-000086080000}"/>
    <cellStyle name="_修正預算書0724-2_內湖大排災害復建工程_普令厝農地重劃區西33路農水路改善工程_臺西鄉普令厝重劃區西8路等道路排水改善工程(確定案) 2" xfId="3528" xr:uid="{00000000-0005-0000-0000-000087080000}"/>
    <cellStyle name="_修正預算書0724-2_內湖大排災害復建工程_普令厝農地重劃區西33路農水路改善工程_臺西鄉普令厝重劃區西8路等道路排水改善工程(確定案)_施工日誌1" xfId="2002" xr:uid="{00000000-0005-0000-0000-000088080000}"/>
    <cellStyle name="_修正預算書0724-2_內湖大排災害復建工程_普令厝農地重劃區西33路農水路改善工程_臺西鄉臺西公有零售市埸作為多目標使用改善工程" xfId="3529" xr:uid="{00000000-0005-0000-0000-000089080000}"/>
    <cellStyle name="_修正預算書0724-2_內湖大排災害復建工程_普令厝農地重劃區西33路農水路改善工程_豐榮、草湖等村道路及排水溝改善工程-(變更)2" xfId="3530" xr:uid="{00000000-0005-0000-0000-00008A080000}"/>
    <cellStyle name="_修正預算書0724-2_四湖大排災害復建工程數量表" xfId="380" xr:uid="{00000000-0005-0000-0000-00008B080000}"/>
    <cellStyle name="_修正預算書0724-2_四湖大排災害復建工程數量表 2" xfId="3531" xr:uid="{00000000-0005-0000-0000-00008C080000}"/>
    <cellStyle name="_修正預算書0724-2_四湖大排災害復建工程數量表_施工日誌1" xfId="2003" xr:uid="{00000000-0005-0000-0000-00008D080000}"/>
    <cellStyle name="_修正預算書0724-2_四湖大排災害復建工程數量表_普令厝農地重劃區西33路農水路改善工程" xfId="381" xr:uid="{00000000-0005-0000-0000-00008E080000}"/>
    <cellStyle name="_修正預算書0724-2_四湖大排災害復建工程數量表_普令厝農地重劃區西33路農水路改善工程 2" xfId="3532" xr:uid="{00000000-0005-0000-0000-00008F080000}"/>
    <cellStyle name="_修正預算書0724-2_四湖大排災害復建工程數量表_普令厝農地重劃區西33路農水路改善工程_土庫鎮埤腳里道路、排水溝改善工程101.05.18(修正3確定)" xfId="3533" xr:uid="{00000000-0005-0000-0000-000090080000}"/>
    <cellStyle name="_修正預算書0724-2_四湖大排災害復建工程數量表_普令厝農地重劃區西33路農水路改善工程_元長鄉長南村巷道排水改善工程" xfId="3534" xr:uid="{00000000-0005-0000-0000-000091080000}"/>
    <cellStyle name="_修正預算書0724-2_四湖大排災害復建工程數量表_普令厝農地重劃區西33路農水路改善工程_斗南鎮久安農地重劃區V51路農路路面改善工程" xfId="5170" xr:uid="{00000000-0005-0000-0000-000092080000}"/>
    <cellStyle name="_修正預算書0724-2_四湖大排災害復建工程數量表_普令厝農地重劃區西33路農水路改善工程_斗南鎮田頭農地重劃區農路改善工程" xfId="5171" xr:uid="{00000000-0005-0000-0000-000093080000}"/>
    <cellStyle name="_修正預算書0724-2_四湖大排災害復建工程數量表_普令厝農地重劃區西33路農水路改善工程_斗南鎮西岐里舊社里等路面改善工程-100.05.18" xfId="3535" xr:uid="{00000000-0005-0000-0000-000094080000}"/>
    <cellStyle name="_修正預算書0724-2_四湖大排災害復建工程數量表_普令厝農地重劃區西33路農水路改善工程_斗南鎮阿丹里、林子里相關公共設施改善工程100.11.29" xfId="3536" xr:uid="{00000000-0005-0000-0000-000095080000}"/>
    <cellStyle name="_修正預算書0724-2_四湖大排災害復建工程數量表_普令厝農地重劃區西33路農水路改善工程_斗南鎮將軍里等路面及附屬設施改善工程" xfId="3537" xr:uid="{00000000-0005-0000-0000-000096080000}"/>
    <cellStyle name="_修正預算書0724-2_四湖大排災害復建工程數量表_普令厝農地重劃區西33路農水路改善工程_古坑鄉大湖底段及麻園段路面改善工程" xfId="3538" xr:uid="{00000000-0005-0000-0000-000097080000}"/>
    <cellStyle name="_修正預算書0724-2_四湖大排災害復建工程數量表_普令厝農地重劃區西33路農水路改善工程_台西海埔地南4路排水9907豪雨災害復建工程" xfId="3539" xr:uid="{00000000-0005-0000-0000-000098080000}"/>
    <cellStyle name="_修正預算書0724-2_四湖大排災害復建工程數量表_普令厝農地重劃區西33路農水路改善工程_台西鄉四美重劃區南北幹路4農路復建工程" xfId="382" xr:uid="{00000000-0005-0000-0000-000099080000}"/>
    <cellStyle name="_修正預算書0724-2_四湖大排災害復建工程數量表_普令厝農地重劃區西33路農水路改善工程_台西鄉四美重劃區南北幹路4農路復建工程 2" xfId="3540" xr:uid="{00000000-0005-0000-0000-00009A080000}"/>
    <cellStyle name="_修正預算書0724-2_四湖大排災害復建工程數量表_普令厝農地重劃區西33路農水路改善工程_台西鄉四美重劃區南北幹路4農路復建工程_施工日誌1" xfId="2005" xr:uid="{00000000-0005-0000-0000-00009B080000}"/>
    <cellStyle name="_修正預算書0724-2_四湖大排災害復建工程數量表_普令厝農地重劃區西33路農水路改善工程_東勢鄉新坤村及麥寮鄉海豐村道路排水改善工程" xfId="5172" xr:uid="{00000000-0005-0000-0000-00009C080000}"/>
    <cellStyle name="_修正預算書0724-2_四湖大排災害復建工程數量表_普令厝農地重劃區西33路農水路改善工程_林縣臺西鄉A10~A12雨水下水道建設工程(增減明細)" xfId="3541" xr:uid="{00000000-0005-0000-0000-00009D080000}"/>
    <cellStyle name="_修正預算書0724-2_四湖大排災害復建工程數量表_普令厝農地重劃區西33路農水路改善工程_虎尾鎮新吉里竹圍子農村社區生態魚池暨運動公園道路與排水改善工程(預算書)" xfId="3542" xr:uid="{00000000-0005-0000-0000-00009E080000}"/>
    <cellStyle name="_修正預算書0724-2_四湖大排災害復建工程數量表_普令厝農地重劃區西33路農水路改善工程_虎尾鎮新吉里竹圍子農村社區生態魚池暨運動公園道路與排水改善工程(確定)" xfId="5173" xr:uid="{00000000-0005-0000-0000-00009F080000}"/>
    <cellStyle name="_修正預算書0724-2_四湖大排災害復建工程數量表_普令厝農地重劃區西33路農水路改善工程_長北村等巷道排水改善工程" xfId="3543" xr:uid="{00000000-0005-0000-0000-0000A0080000}"/>
    <cellStyle name="_修正預算書0724-2_四湖大排災害復建工程數量表_普令厝農地重劃區西33路農水路改善工程_後溝子一農地重劃區南北八路農路改善工程" xfId="383" xr:uid="{00000000-0005-0000-0000-0000A1080000}"/>
    <cellStyle name="_修正預算書0724-2_四湖大排災害復建工程數量表_普令厝農地重劃區西33路農水路改善工程_後溝子一農地重劃區南北八路農路改善工程 2" xfId="3544" xr:uid="{00000000-0005-0000-0000-0000A2080000}"/>
    <cellStyle name="_修正預算書0724-2_四湖大排災害復建工程數量表_普令厝農地重劃區西33路農水路改善工程_後溝子一農地重劃區南北八路農路改善工程_施工日誌1" xfId="2006" xr:uid="{00000000-0005-0000-0000-0000A3080000}"/>
    <cellStyle name="_修正預算書0724-2_四湖大排災害復建工程數量表_普令厝農地重劃區西33路農水路改善工程_施工日誌1" xfId="2004" xr:uid="{00000000-0005-0000-0000-0000A4080000}"/>
    <cellStyle name="_修正預算書0724-2_四湖大排災害復建工程數量表_普令厝農地重劃區西33路農水路改善工程_崙背鄉雨水下水道清淤疏浚維護工程" xfId="384" xr:uid="{00000000-0005-0000-0000-0000A5080000}"/>
    <cellStyle name="_修正預算書0724-2_四湖大排災害復建工程數量表_普令厝農地重劃區西33路農水路改善工程_崙背鄉雨水下水道清淤疏浚維護工程 2" xfId="3545" xr:uid="{00000000-0005-0000-0000-0000A6080000}"/>
    <cellStyle name="_修正預算書0724-2_四湖大排災害復建工程數量表_普令厝農地重劃區西33路農水路改善工程_崙背鄉雨水下水道清淤疏浚維護工程_施工日誌1" xfId="2007" xr:uid="{00000000-0005-0000-0000-0000A7080000}"/>
    <cellStyle name="_修正預算書0724-2_四湖大排災害復建工程數量表_普令厝農地重劃區西33路農水路改善工程_鹿寮農地重劃區補路農路改善工程等七件工程" xfId="385" xr:uid="{00000000-0005-0000-0000-0000A8080000}"/>
    <cellStyle name="_修正預算書0724-2_四湖大排災害復建工程數量表_普令厝農地重劃區西33路農水路改善工程_鹿寮農地重劃區補路農路改善工程等七件工程 2" xfId="3546" xr:uid="{00000000-0005-0000-0000-0000A9080000}"/>
    <cellStyle name="_修正預算書0724-2_四湖大排災害復建工程數量表_普令厝農地重劃區西33路農水路改善工程_鹿寮農地重劃區補路農路改善工程等七件工程_施工日誌1" xfId="2008" xr:uid="{00000000-0005-0000-0000-0000AA080000}"/>
    <cellStyle name="_修正預算書0724-2_四湖大排災害復建工程數量表_普令厝農地重劃區西33路農水路改善工程_普令厝農地重劃區西33路農水路改善工程" xfId="386" xr:uid="{00000000-0005-0000-0000-0000AB080000}"/>
    <cellStyle name="_修正預算書0724-2_四湖大排災害復建工程數量表_普令厝農地重劃區西33路農水路改善工程_普令厝農地重劃區西33路農水路改善工程 2" xfId="3547" xr:uid="{00000000-0005-0000-0000-0000AC080000}"/>
    <cellStyle name="_修正預算書0724-2_四湖大排災害復建工程數量表_普令厝農地重劃區西33路農水路改善工程_普令厝農地重劃區西33路農水路改善工程_施工日誌1" xfId="2009" xr:uid="{00000000-0005-0000-0000-0000AD080000}"/>
    <cellStyle name="_修正預算書0724-2_四湖大排災害復建工程數量表_普令厝農地重劃區西33路農水路改善工程_雲林縣崙背鄉雨水下水道清淤工程" xfId="387" xr:uid="{00000000-0005-0000-0000-0000AE080000}"/>
    <cellStyle name="_修正預算書0724-2_四湖大排災害復建工程數量表_普令厝農地重劃區西33路農水路改善工程_雲林縣崙背鄉雨水下水道清淤工程 2" xfId="3548" xr:uid="{00000000-0005-0000-0000-0000AF080000}"/>
    <cellStyle name="_修正預算書0724-2_四湖大排災害復建工程數量表_普令厝農地重劃區西33路農水路改善工程_雲林縣崙背鄉雨水下水道清淤工程_施工日誌1" xfId="2010" xr:uid="{00000000-0005-0000-0000-0000B0080000}"/>
    <cellStyle name="_修正預算書0724-2_四湖大排災害復建工程數量表_普令厝農地重劃區西33路農水路改善工程_雲林縣臺西鄉A9～A9-3雨水下水道建設工程" xfId="3549" xr:uid="{00000000-0005-0000-0000-0000B1080000}"/>
    <cellStyle name="_修正預算書0724-2_四湖大排災害復建工程數量表_普令厝農地重劃區西33路農水路改善工程_臺西鄉(凡那比颱風)鄉內道路排水災害復建工程" xfId="388" xr:uid="{00000000-0005-0000-0000-0000B2080000}"/>
    <cellStyle name="_修正預算書0724-2_四湖大排災害復建工程數量表_普令厝農地重劃區西33路農水路改善工程_臺西鄉(凡那比颱風)鄉內道路排水災害復建工程 2" xfId="3550" xr:uid="{00000000-0005-0000-0000-0000B3080000}"/>
    <cellStyle name="_修正預算書0724-2_四湖大排災害復建工程數量表_普令厝農地重劃區西33路農水路改善工程_臺西鄉(凡那比颱風)鄉內道路排水災害復建工程_施工日誌1" xfId="2011" xr:uid="{00000000-0005-0000-0000-0000B4080000}"/>
    <cellStyle name="_修正預算書0724-2_四湖大排災害復建工程數量表_普令厝農地重劃區西33路農水路改善工程_臺西鄉蚊港村蚊港巷道改善工程" xfId="3551" xr:uid="{00000000-0005-0000-0000-0000B5080000}"/>
    <cellStyle name="_修正預算書0724-2_四湖大排災害復建工程數量表_普令厝農地重劃區西33路農水路改善工程_臺西鄉普令厝重劃區西8路等道路排水改善工程(確定案)" xfId="389" xr:uid="{00000000-0005-0000-0000-0000B6080000}"/>
    <cellStyle name="_修正預算書0724-2_四湖大排災害復建工程數量表_普令厝農地重劃區西33路農水路改善工程_臺西鄉普令厝重劃區西8路等道路排水改善工程(確定案) 2" xfId="3552" xr:uid="{00000000-0005-0000-0000-0000B7080000}"/>
    <cellStyle name="_修正預算書0724-2_四湖大排災害復建工程數量表_普令厝農地重劃區西33路農水路改善工程_臺西鄉普令厝重劃區西8路等道路排水改善工程(確定案)_施工日誌1" xfId="2012" xr:uid="{00000000-0005-0000-0000-0000B8080000}"/>
    <cellStyle name="_修正預算書0724-2_四湖大排災害復建工程數量表_普令厝農地重劃區西33路農水路改善工程_臺西鄉臺西公有零售市埸作為多目標使用改善工程" xfId="3553" xr:uid="{00000000-0005-0000-0000-0000B9080000}"/>
    <cellStyle name="_修正預算書0724-2_四湖大排災害復建工程數量表_普令厝農地重劃區西33路農水路改善工程_豐榮、草湖等村道路及排水溝改善工程-(變更)2" xfId="3554" xr:uid="{00000000-0005-0000-0000-0000BA080000}"/>
    <cellStyle name="_修正預算書0724-2_四湖鄉廣溝厝農路改善工程" xfId="390" xr:uid="{00000000-0005-0000-0000-0000BB080000}"/>
    <cellStyle name="_修正預算書0724-2_四湖鄉廣溝厝農路改善工程 2" xfId="3555" xr:uid="{00000000-0005-0000-0000-0000BC080000}"/>
    <cellStyle name="_修正預算書0724-2_四湖鄉廣溝厝農路改善工程_施工日誌1" xfId="2013" xr:uid="{00000000-0005-0000-0000-0000BD080000}"/>
    <cellStyle name="_修正預算書0724-2_四湖鄉廣溝厝農路改善工程_普令厝農地重劃區西33路農水路改善工程" xfId="391" xr:uid="{00000000-0005-0000-0000-0000BE080000}"/>
    <cellStyle name="_修正預算書0724-2_四湖鄉廣溝厝農路改善工程_普令厝農地重劃區西33路農水路改善工程 2" xfId="3556" xr:uid="{00000000-0005-0000-0000-0000BF080000}"/>
    <cellStyle name="_修正預算書0724-2_四湖鄉廣溝厝農路改善工程_普令厝農地重劃區西33路農水路改善工程_土庫鎮埤腳里道路、排水溝改善工程101.05.18(修正3確定)" xfId="3557" xr:uid="{00000000-0005-0000-0000-0000C0080000}"/>
    <cellStyle name="_修正預算書0724-2_四湖鄉廣溝厝農路改善工程_普令厝農地重劃區西33路農水路改善工程_元長鄉長南村巷道排水改善工程" xfId="3558" xr:uid="{00000000-0005-0000-0000-0000C1080000}"/>
    <cellStyle name="_修正預算書0724-2_四湖鄉廣溝厝農路改善工程_普令厝農地重劃區西33路農水路改善工程_斗南鎮久安農地重劃區V51路農路路面改善工程" xfId="5174" xr:uid="{00000000-0005-0000-0000-0000C2080000}"/>
    <cellStyle name="_修正預算書0724-2_四湖鄉廣溝厝農路改善工程_普令厝農地重劃區西33路農水路改善工程_斗南鎮田頭農地重劃區農路改善工程" xfId="5175" xr:uid="{00000000-0005-0000-0000-0000C3080000}"/>
    <cellStyle name="_修正預算書0724-2_四湖鄉廣溝厝農路改善工程_普令厝農地重劃區西33路農水路改善工程_斗南鎮西岐里舊社里等路面改善工程-100.05.18" xfId="3559" xr:uid="{00000000-0005-0000-0000-0000C4080000}"/>
    <cellStyle name="_修正預算書0724-2_四湖鄉廣溝厝農路改善工程_普令厝農地重劃區西33路農水路改善工程_斗南鎮阿丹里、林子里相關公共設施改善工程100.11.29" xfId="3560" xr:uid="{00000000-0005-0000-0000-0000C5080000}"/>
    <cellStyle name="_修正預算書0724-2_四湖鄉廣溝厝農路改善工程_普令厝農地重劃區西33路農水路改善工程_斗南鎮將軍里等路面及附屬設施改善工程" xfId="3561" xr:uid="{00000000-0005-0000-0000-0000C6080000}"/>
    <cellStyle name="_修正預算書0724-2_四湖鄉廣溝厝農路改善工程_普令厝農地重劃區西33路農水路改善工程_古坑鄉大湖底段及麻園段路面改善工程" xfId="3562" xr:uid="{00000000-0005-0000-0000-0000C7080000}"/>
    <cellStyle name="_修正預算書0724-2_四湖鄉廣溝厝農路改善工程_普令厝農地重劃區西33路農水路改善工程_台西海埔地南4路排水9907豪雨災害復建工程" xfId="3563" xr:uid="{00000000-0005-0000-0000-0000C8080000}"/>
    <cellStyle name="_修正預算書0724-2_四湖鄉廣溝厝農路改善工程_普令厝農地重劃區西33路農水路改善工程_台西鄉四美重劃區南北幹路4農路復建工程" xfId="392" xr:uid="{00000000-0005-0000-0000-0000C9080000}"/>
    <cellStyle name="_修正預算書0724-2_四湖鄉廣溝厝農路改善工程_普令厝農地重劃區西33路農水路改善工程_台西鄉四美重劃區南北幹路4農路復建工程 2" xfId="3564" xr:uid="{00000000-0005-0000-0000-0000CA080000}"/>
    <cellStyle name="_修正預算書0724-2_四湖鄉廣溝厝農路改善工程_普令厝農地重劃區西33路農水路改善工程_台西鄉四美重劃區南北幹路4農路復建工程_施工日誌1" xfId="2015" xr:uid="{00000000-0005-0000-0000-0000CB080000}"/>
    <cellStyle name="_修正預算書0724-2_四湖鄉廣溝厝農路改善工程_普令厝農地重劃區西33路農水路改善工程_東勢鄉新坤村及麥寮鄉海豐村道路排水改善工程" xfId="5176" xr:uid="{00000000-0005-0000-0000-0000CC080000}"/>
    <cellStyle name="_修正預算書0724-2_四湖鄉廣溝厝農路改善工程_普令厝農地重劃區西33路農水路改善工程_林縣臺西鄉A10~A12雨水下水道建設工程(增減明細)" xfId="3565" xr:uid="{00000000-0005-0000-0000-0000CD080000}"/>
    <cellStyle name="_修正預算書0724-2_四湖鄉廣溝厝農路改善工程_普令厝農地重劃區西33路農水路改善工程_虎尾鎮新吉里竹圍子農村社區生態魚池暨運動公園道路與排水改善工程(預算書)" xfId="3566" xr:uid="{00000000-0005-0000-0000-0000CE080000}"/>
    <cellStyle name="_修正預算書0724-2_四湖鄉廣溝厝農路改善工程_普令厝農地重劃區西33路農水路改善工程_虎尾鎮新吉里竹圍子農村社區生態魚池暨運動公園道路與排水改善工程(確定)" xfId="5177" xr:uid="{00000000-0005-0000-0000-0000CF080000}"/>
    <cellStyle name="_修正預算書0724-2_四湖鄉廣溝厝農路改善工程_普令厝農地重劃區西33路農水路改善工程_長北村等巷道排水改善工程" xfId="3567" xr:uid="{00000000-0005-0000-0000-0000D0080000}"/>
    <cellStyle name="_修正預算書0724-2_四湖鄉廣溝厝農路改善工程_普令厝農地重劃區西33路農水路改善工程_後溝子一農地重劃區南北八路農路改善工程" xfId="393" xr:uid="{00000000-0005-0000-0000-0000D1080000}"/>
    <cellStyle name="_修正預算書0724-2_四湖鄉廣溝厝農路改善工程_普令厝農地重劃區西33路農水路改善工程_後溝子一農地重劃區南北八路農路改善工程 2" xfId="3568" xr:uid="{00000000-0005-0000-0000-0000D2080000}"/>
    <cellStyle name="_修正預算書0724-2_四湖鄉廣溝厝農路改善工程_普令厝農地重劃區西33路農水路改善工程_後溝子一農地重劃區南北八路農路改善工程_施工日誌1" xfId="2016" xr:uid="{00000000-0005-0000-0000-0000D3080000}"/>
    <cellStyle name="_修正預算書0724-2_四湖鄉廣溝厝農路改善工程_普令厝農地重劃區西33路農水路改善工程_施工日誌1" xfId="2014" xr:uid="{00000000-0005-0000-0000-0000D4080000}"/>
    <cellStyle name="_修正預算書0724-2_四湖鄉廣溝厝農路改善工程_普令厝農地重劃區西33路農水路改善工程_崙背鄉雨水下水道清淤疏浚維護工程" xfId="394" xr:uid="{00000000-0005-0000-0000-0000D5080000}"/>
    <cellStyle name="_修正預算書0724-2_四湖鄉廣溝厝農路改善工程_普令厝農地重劃區西33路農水路改善工程_崙背鄉雨水下水道清淤疏浚維護工程 2" xfId="3569" xr:uid="{00000000-0005-0000-0000-0000D6080000}"/>
    <cellStyle name="_修正預算書0724-2_四湖鄉廣溝厝農路改善工程_普令厝農地重劃區西33路農水路改善工程_崙背鄉雨水下水道清淤疏浚維護工程_施工日誌1" xfId="2017" xr:uid="{00000000-0005-0000-0000-0000D7080000}"/>
    <cellStyle name="_修正預算書0724-2_四湖鄉廣溝厝農路改善工程_普令厝農地重劃區西33路農水路改善工程_鹿寮農地重劃區補路農路改善工程等七件工程" xfId="395" xr:uid="{00000000-0005-0000-0000-0000D8080000}"/>
    <cellStyle name="_修正預算書0724-2_四湖鄉廣溝厝農路改善工程_普令厝農地重劃區西33路農水路改善工程_鹿寮農地重劃區補路農路改善工程等七件工程 2" xfId="3570" xr:uid="{00000000-0005-0000-0000-0000D9080000}"/>
    <cellStyle name="_修正預算書0724-2_四湖鄉廣溝厝農路改善工程_普令厝農地重劃區西33路農水路改善工程_鹿寮農地重劃區補路農路改善工程等七件工程_施工日誌1" xfId="2018" xr:uid="{00000000-0005-0000-0000-0000DA080000}"/>
    <cellStyle name="_修正預算書0724-2_四湖鄉廣溝厝農路改善工程_普令厝農地重劃區西33路農水路改善工程_普令厝農地重劃區西33路農水路改善工程" xfId="396" xr:uid="{00000000-0005-0000-0000-0000DB080000}"/>
    <cellStyle name="_修正預算書0724-2_四湖鄉廣溝厝農路改善工程_普令厝農地重劃區西33路農水路改善工程_普令厝農地重劃區西33路農水路改善工程 2" xfId="3571" xr:uid="{00000000-0005-0000-0000-0000DC080000}"/>
    <cellStyle name="_修正預算書0724-2_四湖鄉廣溝厝農路改善工程_普令厝農地重劃區西33路農水路改善工程_普令厝農地重劃區西33路農水路改善工程_施工日誌1" xfId="2019" xr:uid="{00000000-0005-0000-0000-0000DD080000}"/>
    <cellStyle name="_修正預算書0724-2_四湖鄉廣溝厝農路改善工程_普令厝農地重劃區西33路農水路改善工程_雲林縣崙背鄉雨水下水道清淤工程" xfId="397" xr:uid="{00000000-0005-0000-0000-0000DE080000}"/>
    <cellStyle name="_修正預算書0724-2_四湖鄉廣溝厝農路改善工程_普令厝農地重劃區西33路農水路改善工程_雲林縣崙背鄉雨水下水道清淤工程 2" xfId="3572" xr:uid="{00000000-0005-0000-0000-0000DF080000}"/>
    <cellStyle name="_修正預算書0724-2_四湖鄉廣溝厝農路改善工程_普令厝農地重劃區西33路農水路改善工程_雲林縣崙背鄉雨水下水道清淤工程_施工日誌1" xfId="2020" xr:uid="{00000000-0005-0000-0000-0000E0080000}"/>
    <cellStyle name="_修正預算書0724-2_四湖鄉廣溝厝農路改善工程_普令厝農地重劃區西33路農水路改善工程_雲林縣臺西鄉A9～A9-3雨水下水道建設工程" xfId="3573" xr:uid="{00000000-0005-0000-0000-0000E1080000}"/>
    <cellStyle name="_修正預算書0724-2_四湖鄉廣溝厝農路改善工程_普令厝農地重劃區西33路農水路改善工程_臺西鄉(凡那比颱風)鄉內道路排水災害復建工程" xfId="398" xr:uid="{00000000-0005-0000-0000-0000E2080000}"/>
    <cellStyle name="_修正預算書0724-2_四湖鄉廣溝厝農路改善工程_普令厝農地重劃區西33路農水路改善工程_臺西鄉(凡那比颱風)鄉內道路排水災害復建工程 2" xfId="3574" xr:uid="{00000000-0005-0000-0000-0000E3080000}"/>
    <cellStyle name="_修正預算書0724-2_四湖鄉廣溝厝農路改善工程_普令厝農地重劃區西33路農水路改善工程_臺西鄉(凡那比颱風)鄉內道路排水災害復建工程_施工日誌1" xfId="2021" xr:uid="{00000000-0005-0000-0000-0000E4080000}"/>
    <cellStyle name="_修正預算書0724-2_四湖鄉廣溝厝農路改善工程_普令厝農地重劃區西33路農水路改善工程_臺西鄉蚊港村蚊港巷道改善工程" xfId="3575" xr:uid="{00000000-0005-0000-0000-0000E5080000}"/>
    <cellStyle name="_修正預算書0724-2_四湖鄉廣溝厝農路改善工程_普令厝農地重劃區西33路農水路改善工程_臺西鄉普令厝重劃區西8路等道路排水改善工程(確定案)" xfId="399" xr:uid="{00000000-0005-0000-0000-0000E6080000}"/>
    <cellStyle name="_修正預算書0724-2_四湖鄉廣溝厝農路改善工程_普令厝農地重劃區西33路農水路改善工程_臺西鄉普令厝重劃區西8路等道路排水改善工程(確定案) 2" xfId="3576" xr:uid="{00000000-0005-0000-0000-0000E7080000}"/>
    <cellStyle name="_修正預算書0724-2_四湖鄉廣溝厝農路改善工程_普令厝農地重劃區西33路農水路改善工程_臺西鄉普令厝重劃區西8路等道路排水改善工程(確定案)_施工日誌1" xfId="2022" xr:uid="{00000000-0005-0000-0000-0000E8080000}"/>
    <cellStyle name="_修正預算書0724-2_四湖鄉廣溝厝農路改善工程_普令厝農地重劃區西33路農水路改善工程_臺西鄉臺西公有零售市埸作為多目標使用改善工程" xfId="3577" xr:uid="{00000000-0005-0000-0000-0000E9080000}"/>
    <cellStyle name="_修正預算書0724-2_四湖鄉廣溝厝農路改善工程_普令厝農地重劃區西33路農水路改善工程_豐榮、草湖等村道路及排水溝改善工程-(變更)2" xfId="3578" xr:uid="{00000000-0005-0000-0000-0000EA080000}"/>
    <cellStyle name="_修正預算書0724-2_決算-文化館" xfId="400" xr:uid="{00000000-0005-0000-0000-0000EB080000}"/>
    <cellStyle name="_修正預算書0724-2_決算-文化館_施工日誌1" xfId="2023" xr:uid="{00000000-0005-0000-0000-0000EC080000}"/>
    <cellStyle name="_修正預算書0724-2_空白標單97-8-28" xfId="401" xr:uid="{00000000-0005-0000-0000-0000ED080000}"/>
    <cellStyle name="_修正預算書0724-2_空白標單97-8-28_施工日誌1" xfId="2024" xr:uid="{00000000-0005-0000-0000-0000EE080000}"/>
    <cellStyle name="_修正預算書0724-2_施工日誌1" xfId="1992" xr:uid="{00000000-0005-0000-0000-0000EF080000}"/>
    <cellStyle name="_修正預算書0724-2_參天宮-竣工結算1127" xfId="402" xr:uid="{00000000-0005-0000-0000-0000F0080000}"/>
    <cellStyle name="_修正預算書0724-2_參天宮-竣工結算1127_施工日誌1" xfId="2025" xr:uid="{00000000-0005-0000-0000-0000F1080000}"/>
    <cellStyle name="_修正預算書0724-2_普令厝農地重劃區西33路農水路改善工程" xfId="403" xr:uid="{00000000-0005-0000-0000-0000F2080000}"/>
    <cellStyle name="_修正預算書0724-2_普令厝農地重劃區西33路農水路改善工程 2" xfId="3579" xr:uid="{00000000-0005-0000-0000-0000F3080000}"/>
    <cellStyle name="_修正預算書0724-2_普令厝農地重劃區西33路農水路改善工程_土庫鎮埤腳里道路、排水溝改善工程101.05.18(修正3確定)" xfId="3580" xr:uid="{00000000-0005-0000-0000-0000F4080000}"/>
    <cellStyle name="_修正預算書0724-2_普令厝農地重劃區西33路農水路改善工程_元長鄉長南村巷道排水改善工程" xfId="3581" xr:uid="{00000000-0005-0000-0000-0000F5080000}"/>
    <cellStyle name="_修正預算書0724-2_普令厝農地重劃區西33路農水路改善工程_斗南鎮久安農地重劃區V51路農路路面改善工程" xfId="5178" xr:uid="{00000000-0005-0000-0000-0000F6080000}"/>
    <cellStyle name="_修正預算書0724-2_普令厝農地重劃區西33路農水路改善工程_斗南鎮田頭農地重劃區農路改善工程" xfId="5179" xr:uid="{00000000-0005-0000-0000-0000F7080000}"/>
    <cellStyle name="_修正預算書0724-2_普令厝農地重劃區西33路農水路改善工程_斗南鎮西岐里舊社里等路面改善工程-100.05.18" xfId="3582" xr:uid="{00000000-0005-0000-0000-0000F8080000}"/>
    <cellStyle name="_修正預算書0724-2_普令厝農地重劃區西33路農水路改善工程_斗南鎮阿丹里、林子里相關公共設施改善工程100.11.29" xfId="3583" xr:uid="{00000000-0005-0000-0000-0000F9080000}"/>
    <cellStyle name="_修正預算書0724-2_普令厝農地重劃區西33路農水路改善工程_斗南鎮將軍里等路面及附屬設施改善工程" xfId="3584" xr:uid="{00000000-0005-0000-0000-0000FA080000}"/>
    <cellStyle name="_修正預算書0724-2_普令厝農地重劃區西33路農水路改善工程_古坑鄉大湖底段及麻園段路面改善工程" xfId="3585" xr:uid="{00000000-0005-0000-0000-0000FB080000}"/>
    <cellStyle name="_修正預算書0724-2_普令厝農地重劃區西33路農水路改善工程_台西海埔地南4路排水9907豪雨災害復建工程" xfId="3586" xr:uid="{00000000-0005-0000-0000-0000FC080000}"/>
    <cellStyle name="_修正預算書0724-2_普令厝農地重劃區西33路農水路改善工程_台西鄉四美重劃區南北幹路4農路復建工程" xfId="404" xr:uid="{00000000-0005-0000-0000-0000FD080000}"/>
    <cellStyle name="_修正預算書0724-2_普令厝農地重劃區西33路農水路改善工程_台西鄉四美重劃區南北幹路4農路復建工程 2" xfId="3587" xr:uid="{00000000-0005-0000-0000-0000FE080000}"/>
    <cellStyle name="_修正預算書0724-2_普令厝農地重劃區西33路農水路改善工程_台西鄉四美重劃區南北幹路4農路復建工程_施工日誌1" xfId="2027" xr:uid="{00000000-0005-0000-0000-0000FF080000}"/>
    <cellStyle name="_修正預算書0724-2_普令厝農地重劃區西33路農水路改善工程_東勢鄉新坤村及麥寮鄉海豐村道路排水改善工程" xfId="5180" xr:uid="{00000000-0005-0000-0000-000000090000}"/>
    <cellStyle name="_修正預算書0724-2_普令厝農地重劃區西33路農水路改善工程_林縣臺西鄉A10~A12雨水下水道建設工程(增減明細)" xfId="3588" xr:uid="{00000000-0005-0000-0000-000001090000}"/>
    <cellStyle name="_修正預算書0724-2_普令厝農地重劃區西33路農水路改善工程_虎尾鎮新吉里竹圍子農村社區生態魚池暨運動公園道路與排水改善工程(預算書)" xfId="3589" xr:uid="{00000000-0005-0000-0000-000002090000}"/>
    <cellStyle name="_修正預算書0724-2_普令厝農地重劃區西33路農水路改善工程_虎尾鎮新吉里竹圍子農村社區生態魚池暨運動公園道路與排水改善工程(確定)" xfId="5181" xr:uid="{00000000-0005-0000-0000-000003090000}"/>
    <cellStyle name="_修正預算書0724-2_普令厝農地重劃區西33路農水路改善工程_長北村等巷道排水改善工程" xfId="3590" xr:uid="{00000000-0005-0000-0000-000004090000}"/>
    <cellStyle name="_修正預算書0724-2_普令厝農地重劃區西33路農水路改善工程_後溝子一農地重劃區南北八路農路改善工程" xfId="405" xr:uid="{00000000-0005-0000-0000-000005090000}"/>
    <cellStyle name="_修正預算書0724-2_普令厝農地重劃區西33路農水路改善工程_後溝子一農地重劃區南北八路農路改善工程 2" xfId="3591" xr:uid="{00000000-0005-0000-0000-000006090000}"/>
    <cellStyle name="_修正預算書0724-2_普令厝農地重劃區西33路農水路改善工程_後溝子一農地重劃區南北八路農路改善工程_施工日誌1" xfId="2028" xr:uid="{00000000-0005-0000-0000-000007090000}"/>
    <cellStyle name="_修正預算書0724-2_普令厝農地重劃區西33路農水路改善工程_施工日誌1" xfId="2026" xr:uid="{00000000-0005-0000-0000-000008090000}"/>
    <cellStyle name="_修正預算書0724-2_普令厝農地重劃區西33路農水路改善工程_崙背鄉雨水下水道清淤疏浚維護工程" xfId="406" xr:uid="{00000000-0005-0000-0000-000009090000}"/>
    <cellStyle name="_修正預算書0724-2_普令厝農地重劃區西33路農水路改善工程_崙背鄉雨水下水道清淤疏浚維護工程 2" xfId="3592" xr:uid="{00000000-0005-0000-0000-00000A090000}"/>
    <cellStyle name="_修正預算書0724-2_普令厝農地重劃區西33路農水路改善工程_崙背鄉雨水下水道清淤疏浚維護工程_施工日誌1" xfId="2029" xr:uid="{00000000-0005-0000-0000-00000B090000}"/>
    <cellStyle name="_修正預算書0724-2_普令厝農地重劃區西33路農水路改善工程_鹿寮農地重劃區補路農路改善工程等七件工程" xfId="407" xr:uid="{00000000-0005-0000-0000-00000C090000}"/>
    <cellStyle name="_修正預算書0724-2_普令厝農地重劃區西33路農水路改善工程_鹿寮農地重劃區補路農路改善工程等七件工程 2" xfId="3593" xr:uid="{00000000-0005-0000-0000-00000D090000}"/>
    <cellStyle name="_修正預算書0724-2_普令厝農地重劃區西33路農水路改善工程_鹿寮農地重劃區補路農路改善工程等七件工程_施工日誌1" xfId="2030" xr:uid="{00000000-0005-0000-0000-00000E090000}"/>
    <cellStyle name="_修正預算書0724-2_普令厝農地重劃區西33路農水路改善工程_普令厝農地重劃區西33路農水路改善工程" xfId="408" xr:uid="{00000000-0005-0000-0000-00000F090000}"/>
    <cellStyle name="_修正預算書0724-2_普令厝農地重劃區西33路農水路改善工程_普令厝農地重劃區西33路農水路改善工程 2" xfId="3594" xr:uid="{00000000-0005-0000-0000-000010090000}"/>
    <cellStyle name="_修正預算書0724-2_普令厝農地重劃區西33路農水路改善工程_普令厝農地重劃區西33路農水路改善工程_施工日誌1" xfId="2031" xr:uid="{00000000-0005-0000-0000-000011090000}"/>
    <cellStyle name="_修正預算書0724-2_普令厝農地重劃區西33路農水路改善工程_雲林縣崙背鄉雨水下水道清淤工程" xfId="409" xr:uid="{00000000-0005-0000-0000-000012090000}"/>
    <cellStyle name="_修正預算書0724-2_普令厝農地重劃區西33路農水路改善工程_雲林縣崙背鄉雨水下水道清淤工程 2" xfId="3595" xr:uid="{00000000-0005-0000-0000-000013090000}"/>
    <cellStyle name="_修正預算書0724-2_普令厝農地重劃區西33路農水路改善工程_雲林縣崙背鄉雨水下水道清淤工程_施工日誌1" xfId="2032" xr:uid="{00000000-0005-0000-0000-000014090000}"/>
    <cellStyle name="_修正預算書0724-2_普令厝農地重劃區西33路農水路改善工程_雲林縣臺西鄉A9～A9-3雨水下水道建設工程" xfId="3596" xr:uid="{00000000-0005-0000-0000-000015090000}"/>
    <cellStyle name="_修正預算書0724-2_普令厝農地重劃區西33路農水路改善工程_臺西鄉(凡那比颱風)鄉內道路排水災害復建工程" xfId="410" xr:uid="{00000000-0005-0000-0000-000016090000}"/>
    <cellStyle name="_修正預算書0724-2_普令厝農地重劃區西33路農水路改善工程_臺西鄉(凡那比颱風)鄉內道路排水災害復建工程 2" xfId="3597" xr:uid="{00000000-0005-0000-0000-000017090000}"/>
    <cellStyle name="_修正預算書0724-2_普令厝農地重劃區西33路農水路改善工程_臺西鄉(凡那比颱風)鄉內道路排水災害復建工程_施工日誌1" xfId="2033" xr:uid="{00000000-0005-0000-0000-000018090000}"/>
    <cellStyle name="_修正預算書0724-2_普令厝農地重劃區西33路農水路改善工程_臺西鄉蚊港村蚊港巷道改善工程" xfId="3598" xr:uid="{00000000-0005-0000-0000-000019090000}"/>
    <cellStyle name="_修正預算書0724-2_普令厝農地重劃區西33路農水路改善工程_臺西鄉普令厝重劃區西8路等道路排水改善工程(確定案)" xfId="411" xr:uid="{00000000-0005-0000-0000-00001A090000}"/>
    <cellStyle name="_修正預算書0724-2_普令厝農地重劃區西33路農水路改善工程_臺西鄉普令厝重劃區西8路等道路排水改善工程(確定案) 2" xfId="3599" xr:uid="{00000000-0005-0000-0000-00001B090000}"/>
    <cellStyle name="_修正預算書0724-2_普令厝農地重劃區西33路農水路改善工程_臺西鄉普令厝重劃區西8路等道路排水改善工程(確定案)_施工日誌1" xfId="2034" xr:uid="{00000000-0005-0000-0000-00001C090000}"/>
    <cellStyle name="_修正預算書0724-2_普令厝農地重劃區西33路農水路改善工程_臺西鄉臺西公有零售市埸作為多目標使用改善工程" xfId="3600" xr:uid="{00000000-0005-0000-0000-00001D090000}"/>
    <cellStyle name="_修正預算書0724-2_普令厝農地重劃區西33路農水路改善工程_豐榮、草湖等村道路及排水溝改善工程-(變更)2" xfId="3601" xr:uid="{00000000-0005-0000-0000-00001E090000}"/>
    <cellStyle name="_修正預算書0724-2_雲林縣政府--結算4" xfId="412" xr:uid="{00000000-0005-0000-0000-00001F090000}"/>
    <cellStyle name="_修正預算書0724-2_雲林縣政府--結算4_施工日誌1" xfId="2035" xr:uid="{00000000-0005-0000-0000-000020090000}"/>
    <cellStyle name="_修正預算書0724-2_預算書1210" xfId="413" xr:uid="{00000000-0005-0000-0000-000021090000}"/>
    <cellStyle name="_修正預算書0724-2_預算書1210 2" xfId="3602" xr:uid="{00000000-0005-0000-0000-000022090000}"/>
    <cellStyle name="_修正預算書0724-2_預算書1210_施工日誌1" xfId="2036" xr:uid="{00000000-0005-0000-0000-000023090000}"/>
    <cellStyle name="_修正預算書0724-2_預算書1210_普令厝農地重劃區西33路農水路改善工程" xfId="414" xr:uid="{00000000-0005-0000-0000-000024090000}"/>
    <cellStyle name="_修正預算書0724-2_預算書1210_普令厝農地重劃區西33路農水路改善工程 2" xfId="3603" xr:uid="{00000000-0005-0000-0000-000025090000}"/>
    <cellStyle name="_修正預算書0724-2_預算書1210_普令厝農地重劃區西33路農水路改善工程_土庫鎮埤腳里道路、排水溝改善工程101.05.18(修正3確定)" xfId="3604" xr:uid="{00000000-0005-0000-0000-000026090000}"/>
    <cellStyle name="_修正預算書0724-2_預算書1210_普令厝農地重劃區西33路農水路改善工程_元長鄉長南村巷道排水改善工程" xfId="3605" xr:uid="{00000000-0005-0000-0000-000027090000}"/>
    <cellStyle name="_修正預算書0724-2_預算書1210_普令厝農地重劃區西33路農水路改善工程_斗南鎮久安農地重劃區V51路農路路面改善工程" xfId="5182" xr:uid="{00000000-0005-0000-0000-000028090000}"/>
    <cellStyle name="_修正預算書0724-2_預算書1210_普令厝農地重劃區西33路農水路改善工程_斗南鎮田頭農地重劃區農路改善工程" xfId="5183" xr:uid="{00000000-0005-0000-0000-000029090000}"/>
    <cellStyle name="_修正預算書0724-2_預算書1210_普令厝農地重劃區西33路農水路改善工程_斗南鎮西岐里舊社里等路面改善工程-100.05.18" xfId="3606" xr:uid="{00000000-0005-0000-0000-00002A090000}"/>
    <cellStyle name="_修正預算書0724-2_預算書1210_普令厝農地重劃區西33路農水路改善工程_斗南鎮阿丹里、林子里相關公共設施改善工程100.11.29" xfId="3607" xr:uid="{00000000-0005-0000-0000-00002B090000}"/>
    <cellStyle name="_修正預算書0724-2_預算書1210_普令厝農地重劃區西33路農水路改善工程_斗南鎮將軍里等路面及附屬設施改善工程" xfId="3608" xr:uid="{00000000-0005-0000-0000-00002C090000}"/>
    <cellStyle name="_修正預算書0724-2_預算書1210_普令厝農地重劃區西33路農水路改善工程_古坑鄉大湖底段及麻園段路面改善工程" xfId="3609" xr:uid="{00000000-0005-0000-0000-00002D090000}"/>
    <cellStyle name="_修正預算書0724-2_預算書1210_普令厝農地重劃區西33路農水路改善工程_台西海埔地南4路排水9907豪雨災害復建工程" xfId="3610" xr:uid="{00000000-0005-0000-0000-00002E090000}"/>
    <cellStyle name="_修正預算書0724-2_預算書1210_普令厝農地重劃區西33路農水路改善工程_台西鄉四美重劃區南北幹路4農路復建工程" xfId="415" xr:uid="{00000000-0005-0000-0000-00002F090000}"/>
    <cellStyle name="_修正預算書0724-2_預算書1210_普令厝農地重劃區西33路農水路改善工程_台西鄉四美重劃區南北幹路4農路復建工程 2" xfId="3611" xr:uid="{00000000-0005-0000-0000-000030090000}"/>
    <cellStyle name="_修正預算書0724-2_預算書1210_普令厝農地重劃區西33路農水路改善工程_台西鄉四美重劃區南北幹路4農路復建工程_施工日誌1" xfId="2038" xr:uid="{00000000-0005-0000-0000-000031090000}"/>
    <cellStyle name="_修正預算書0724-2_預算書1210_普令厝農地重劃區西33路農水路改善工程_東勢鄉新坤村及麥寮鄉海豐村道路排水改善工程" xfId="5184" xr:uid="{00000000-0005-0000-0000-000032090000}"/>
    <cellStyle name="_修正預算書0724-2_預算書1210_普令厝農地重劃區西33路農水路改善工程_林縣臺西鄉A10~A12雨水下水道建設工程(增減明細)" xfId="3612" xr:uid="{00000000-0005-0000-0000-000033090000}"/>
    <cellStyle name="_修正預算書0724-2_預算書1210_普令厝農地重劃區西33路農水路改善工程_虎尾鎮新吉里竹圍子農村社區生態魚池暨運動公園道路與排水改善工程(預算書)" xfId="3613" xr:uid="{00000000-0005-0000-0000-000034090000}"/>
    <cellStyle name="_修正預算書0724-2_預算書1210_普令厝農地重劃區西33路農水路改善工程_虎尾鎮新吉里竹圍子農村社區生態魚池暨運動公園道路與排水改善工程(確定)" xfId="5185" xr:uid="{00000000-0005-0000-0000-000035090000}"/>
    <cellStyle name="_修正預算書0724-2_預算書1210_普令厝農地重劃區西33路農水路改善工程_長北村等巷道排水改善工程" xfId="3614" xr:uid="{00000000-0005-0000-0000-000036090000}"/>
    <cellStyle name="_修正預算書0724-2_預算書1210_普令厝農地重劃區西33路農水路改善工程_後溝子一農地重劃區南北八路農路改善工程" xfId="416" xr:uid="{00000000-0005-0000-0000-000037090000}"/>
    <cellStyle name="_修正預算書0724-2_預算書1210_普令厝農地重劃區西33路農水路改善工程_後溝子一農地重劃區南北八路農路改善工程 2" xfId="3615" xr:uid="{00000000-0005-0000-0000-000038090000}"/>
    <cellStyle name="_修正預算書0724-2_預算書1210_普令厝農地重劃區西33路農水路改善工程_後溝子一農地重劃區南北八路農路改善工程_施工日誌1" xfId="2039" xr:uid="{00000000-0005-0000-0000-000039090000}"/>
    <cellStyle name="_修正預算書0724-2_預算書1210_普令厝農地重劃區西33路農水路改善工程_施工日誌1" xfId="2037" xr:uid="{00000000-0005-0000-0000-00003A090000}"/>
    <cellStyle name="_修正預算書0724-2_預算書1210_普令厝農地重劃區西33路農水路改善工程_崙背鄉雨水下水道清淤疏浚維護工程" xfId="417" xr:uid="{00000000-0005-0000-0000-00003B090000}"/>
    <cellStyle name="_修正預算書0724-2_預算書1210_普令厝農地重劃區西33路農水路改善工程_崙背鄉雨水下水道清淤疏浚維護工程 2" xfId="3616" xr:uid="{00000000-0005-0000-0000-00003C090000}"/>
    <cellStyle name="_修正預算書0724-2_預算書1210_普令厝農地重劃區西33路農水路改善工程_崙背鄉雨水下水道清淤疏浚維護工程_施工日誌1" xfId="2040" xr:uid="{00000000-0005-0000-0000-00003D090000}"/>
    <cellStyle name="_修正預算書0724-2_預算書1210_普令厝農地重劃區西33路農水路改善工程_鹿寮農地重劃區補路農路改善工程等七件工程" xfId="418" xr:uid="{00000000-0005-0000-0000-00003E090000}"/>
    <cellStyle name="_修正預算書0724-2_預算書1210_普令厝農地重劃區西33路農水路改善工程_鹿寮農地重劃區補路農路改善工程等七件工程 2" xfId="3617" xr:uid="{00000000-0005-0000-0000-00003F090000}"/>
    <cellStyle name="_修正預算書0724-2_預算書1210_普令厝農地重劃區西33路農水路改善工程_鹿寮農地重劃區補路農路改善工程等七件工程_施工日誌1" xfId="2041" xr:uid="{00000000-0005-0000-0000-000040090000}"/>
    <cellStyle name="_修正預算書0724-2_預算書1210_普令厝農地重劃區西33路農水路改善工程_普令厝農地重劃區西33路農水路改善工程" xfId="419" xr:uid="{00000000-0005-0000-0000-000041090000}"/>
    <cellStyle name="_修正預算書0724-2_預算書1210_普令厝農地重劃區西33路農水路改善工程_普令厝農地重劃區西33路農水路改善工程 2" xfId="3618" xr:uid="{00000000-0005-0000-0000-000042090000}"/>
    <cellStyle name="_修正預算書0724-2_預算書1210_普令厝農地重劃區西33路農水路改善工程_普令厝農地重劃區西33路農水路改善工程_施工日誌1" xfId="2042" xr:uid="{00000000-0005-0000-0000-000043090000}"/>
    <cellStyle name="_修正預算書0724-2_預算書1210_普令厝農地重劃區西33路農水路改善工程_雲林縣崙背鄉雨水下水道清淤工程" xfId="420" xr:uid="{00000000-0005-0000-0000-000044090000}"/>
    <cellStyle name="_修正預算書0724-2_預算書1210_普令厝農地重劃區西33路農水路改善工程_雲林縣崙背鄉雨水下水道清淤工程 2" xfId="3619" xr:uid="{00000000-0005-0000-0000-000045090000}"/>
    <cellStyle name="_修正預算書0724-2_預算書1210_普令厝農地重劃區西33路農水路改善工程_雲林縣崙背鄉雨水下水道清淤工程_施工日誌1" xfId="2043" xr:uid="{00000000-0005-0000-0000-000046090000}"/>
    <cellStyle name="_修正預算書0724-2_預算書1210_普令厝農地重劃區西33路農水路改善工程_雲林縣臺西鄉A9～A9-3雨水下水道建設工程" xfId="3620" xr:uid="{00000000-0005-0000-0000-000047090000}"/>
    <cellStyle name="_修正預算書0724-2_預算書1210_普令厝農地重劃區西33路農水路改善工程_臺西鄉(凡那比颱風)鄉內道路排水災害復建工程" xfId="421" xr:uid="{00000000-0005-0000-0000-000048090000}"/>
    <cellStyle name="_修正預算書0724-2_預算書1210_普令厝農地重劃區西33路農水路改善工程_臺西鄉(凡那比颱風)鄉內道路排水災害復建工程 2" xfId="3621" xr:uid="{00000000-0005-0000-0000-000049090000}"/>
    <cellStyle name="_修正預算書0724-2_預算書1210_普令厝農地重劃區西33路農水路改善工程_臺西鄉(凡那比颱風)鄉內道路排水災害復建工程_施工日誌1" xfId="2044" xr:uid="{00000000-0005-0000-0000-00004A090000}"/>
    <cellStyle name="_修正預算書0724-2_預算書1210_普令厝農地重劃區西33路農水路改善工程_臺西鄉蚊港村蚊港巷道改善工程" xfId="3622" xr:uid="{00000000-0005-0000-0000-00004B090000}"/>
    <cellStyle name="_修正預算書0724-2_預算書1210_普令厝農地重劃區西33路農水路改善工程_臺西鄉普令厝重劃區西8路等道路排水改善工程(確定案)" xfId="422" xr:uid="{00000000-0005-0000-0000-00004C090000}"/>
    <cellStyle name="_修正預算書0724-2_預算書1210_普令厝農地重劃區西33路農水路改善工程_臺西鄉普令厝重劃區西8路等道路排水改善工程(確定案) 2" xfId="3623" xr:uid="{00000000-0005-0000-0000-00004D090000}"/>
    <cellStyle name="_修正預算書0724-2_預算書1210_普令厝農地重劃區西33路農水路改善工程_臺西鄉普令厝重劃區西8路等道路排水改善工程(確定案)_施工日誌1" xfId="2045" xr:uid="{00000000-0005-0000-0000-00004E090000}"/>
    <cellStyle name="_修正預算書0724-2_預算書1210_普令厝農地重劃區西33路農水路改善工程_臺西鄉臺西公有零售市埸作為多目標使用改善工程" xfId="3624" xr:uid="{00000000-0005-0000-0000-00004F090000}"/>
    <cellStyle name="_修正預算書0724-2_預算書1210_普令厝農地重劃區西33路農水路改善工程_豐榮、草湖等村道路及排水溝改善工程-(變更)2" xfId="3625" xr:uid="{00000000-0005-0000-0000-000050090000}"/>
    <cellStyle name="_修正預算書0724-2_數量97-10-28" xfId="423" xr:uid="{00000000-0005-0000-0000-000051090000}"/>
    <cellStyle name="_修正預算書0724-2_數量97-10-28 2" xfId="3626" xr:uid="{00000000-0005-0000-0000-000052090000}"/>
    <cellStyle name="_修正預算書0724-2_數量97-10-28_施工日誌1" xfId="2046" xr:uid="{00000000-0005-0000-0000-000053090000}"/>
    <cellStyle name="_修正預算書0724-2_數量97-10-28_普令厝農地重劃區西33路農水路改善工程" xfId="424" xr:uid="{00000000-0005-0000-0000-000054090000}"/>
    <cellStyle name="_修正預算書0724-2_數量97-10-28_普令厝農地重劃區西33路農水路改善工程 2" xfId="3627" xr:uid="{00000000-0005-0000-0000-000055090000}"/>
    <cellStyle name="_修正預算書0724-2_數量97-10-28_普令厝農地重劃區西33路農水路改善工程_土庫鎮埤腳里道路、排水溝改善工程101.05.18(修正3確定)" xfId="3628" xr:uid="{00000000-0005-0000-0000-000056090000}"/>
    <cellStyle name="_修正預算書0724-2_數量97-10-28_普令厝農地重劃區西33路農水路改善工程_元長鄉長南村巷道排水改善工程" xfId="3629" xr:uid="{00000000-0005-0000-0000-000057090000}"/>
    <cellStyle name="_修正預算書0724-2_數量97-10-28_普令厝農地重劃區西33路農水路改善工程_斗南鎮久安農地重劃區V51路農路路面改善工程" xfId="5186" xr:uid="{00000000-0005-0000-0000-000058090000}"/>
    <cellStyle name="_修正預算書0724-2_數量97-10-28_普令厝農地重劃區西33路農水路改善工程_斗南鎮田頭農地重劃區農路改善工程" xfId="5187" xr:uid="{00000000-0005-0000-0000-000059090000}"/>
    <cellStyle name="_修正預算書0724-2_數量97-10-28_普令厝農地重劃區西33路農水路改善工程_斗南鎮西岐里舊社里等路面改善工程-100.05.18" xfId="3630" xr:uid="{00000000-0005-0000-0000-00005A090000}"/>
    <cellStyle name="_修正預算書0724-2_數量97-10-28_普令厝農地重劃區西33路農水路改善工程_斗南鎮阿丹里、林子里相關公共設施改善工程100.11.29" xfId="3631" xr:uid="{00000000-0005-0000-0000-00005B090000}"/>
    <cellStyle name="_修正預算書0724-2_數量97-10-28_普令厝農地重劃區西33路農水路改善工程_斗南鎮將軍里等路面及附屬設施改善工程" xfId="3632" xr:uid="{00000000-0005-0000-0000-00005C090000}"/>
    <cellStyle name="_修正預算書0724-2_數量97-10-28_普令厝農地重劃區西33路農水路改善工程_古坑鄉大湖底段及麻園段路面改善工程" xfId="3633" xr:uid="{00000000-0005-0000-0000-00005D090000}"/>
    <cellStyle name="_修正預算書0724-2_數量97-10-28_普令厝農地重劃區西33路農水路改善工程_台西海埔地南4路排水9907豪雨災害復建工程" xfId="3634" xr:uid="{00000000-0005-0000-0000-00005E090000}"/>
    <cellStyle name="_修正預算書0724-2_數量97-10-28_普令厝農地重劃區西33路農水路改善工程_台西鄉四美重劃區南北幹路4農路復建工程" xfId="425" xr:uid="{00000000-0005-0000-0000-00005F090000}"/>
    <cellStyle name="_修正預算書0724-2_數量97-10-28_普令厝農地重劃區西33路農水路改善工程_台西鄉四美重劃區南北幹路4農路復建工程 2" xfId="3635" xr:uid="{00000000-0005-0000-0000-000060090000}"/>
    <cellStyle name="_修正預算書0724-2_數量97-10-28_普令厝農地重劃區西33路農水路改善工程_台西鄉四美重劃區南北幹路4農路復建工程_施工日誌1" xfId="2048" xr:uid="{00000000-0005-0000-0000-000061090000}"/>
    <cellStyle name="_修正預算書0724-2_數量97-10-28_普令厝農地重劃區西33路農水路改善工程_東勢鄉新坤村及麥寮鄉海豐村道路排水改善工程" xfId="5188" xr:uid="{00000000-0005-0000-0000-000062090000}"/>
    <cellStyle name="_修正預算書0724-2_數量97-10-28_普令厝農地重劃區西33路農水路改善工程_林縣臺西鄉A10~A12雨水下水道建設工程(增減明細)" xfId="3636" xr:uid="{00000000-0005-0000-0000-000063090000}"/>
    <cellStyle name="_修正預算書0724-2_數量97-10-28_普令厝農地重劃區西33路農水路改善工程_虎尾鎮新吉里竹圍子農村社區生態魚池暨運動公園道路與排水改善工程(預算書)" xfId="3637" xr:uid="{00000000-0005-0000-0000-000064090000}"/>
    <cellStyle name="_修正預算書0724-2_數量97-10-28_普令厝農地重劃區西33路農水路改善工程_虎尾鎮新吉里竹圍子農村社區生態魚池暨運動公園道路與排水改善工程(確定)" xfId="5189" xr:uid="{00000000-0005-0000-0000-000065090000}"/>
    <cellStyle name="_修正預算書0724-2_數量97-10-28_普令厝農地重劃區西33路農水路改善工程_長北村等巷道排水改善工程" xfId="3638" xr:uid="{00000000-0005-0000-0000-000066090000}"/>
    <cellStyle name="_修正預算書0724-2_數量97-10-28_普令厝農地重劃區西33路農水路改善工程_後溝子一農地重劃區南北八路農路改善工程" xfId="426" xr:uid="{00000000-0005-0000-0000-000067090000}"/>
    <cellStyle name="_修正預算書0724-2_數量97-10-28_普令厝農地重劃區西33路農水路改善工程_後溝子一農地重劃區南北八路農路改善工程 2" xfId="3639" xr:uid="{00000000-0005-0000-0000-000068090000}"/>
    <cellStyle name="_修正預算書0724-2_數量97-10-28_普令厝農地重劃區西33路農水路改善工程_後溝子一農地重劃區南北八路農路改善工程_施工日誌1" xfId="2049" xr:uid="{00000000-0005-0000-0000-000069090000}"/>
    <cellStyle name="_修正預算書0724-2_數量97-10-28_普令厝農地重劃區西33路農水路改善工程_施工日誌1" xfId="2047" xr:uid="{00000000-0005-0000-0000-00006A090000}"/>
    <cellStyle name="_修正預算書0724-2_數量97-10-28_普令厝農地重劃區西33路農水路改善工程_崙背鄉雨水下水道清淤疏浚維護工程" xfId="427" xr:uid="{00000000-0005-0000-0000-00006B090000}"/>
    <cellStyle name="_修正預算書0724-2_數量97-10-28_普令厝農地重劃區西33路農水路改善工程_崙背鄉雨水下水道清淤疏浚維護工程 2" xfId="3640" xr:uid="{00000000-0005-0000-0000-00006C090000}"/>
    <cellStyle name="_修正預算書0724-2_數量97-10-28_普令厝農地重劃區西33路農水路改善工程_崙背鄉雨水下水道清淤疏浚維護工程_施工日誌1" xfId="2050" xr:uid="{00000000-0005-0000-0000-00006D090000}"/>
    <cellStyle name="_修正預算書0724-2_數量97-10-28_普令厝農地重劃區西33路農水路改善工程_鹿寮農地重劃區補路農路改善工程等七件工程" xfId="428" xr:uid="{00000000-0005-0000-0000-00006E090000}"/>
    <cellStyle name="_修正預算書0724-2_數量97-10-28_普令厝農地重劃區西33路農水路改善工程_鹿寮農地重劃區補路農路改善工程等七件工程 2" xfId="3641" xr:uid="{00000000-0005-0000-0000-00006F090000}"/>
    <cellStyle name="_修正預算書0724-2_數量97-10-28_普令厝農地重劃區西33路農水路改善工程_鹿寮農地重劃區補路農路改善工程等七件工程_施工日誌1" xfId="2051" xr:uid="{00000000-0005-0000-0000-000070090000}"/>
    <cellStyle name="_修正預算書0724-2_數量97-10-28_普令厝農地重劃區西33路農水路改善工程_普令厝農地重劃區西33路農水路改善工程" xfId="429" xr:uid="{00000000-0005-0000-0000-000071090000}"/>
    <cellStyle name="_修正預算書0724-2_數量97-10-28_普令厝農地重劃區西33路農水路改善工程_普令厝農地重劃區西33路農水路改善工程 2" xfId="3642" xr:uid="{00000000-0005-0000-0000-000072090000}"/>
    <cellStyle name="_修正預算書0724-2_數量97-10-28_普令厝農地重劃區西33路農水路改善工程_普令厝農地重劃區西33路農水路改善工程_施工日誌1" xfId="2052" xr:uid="{00000000-0005-0000-0000-000073090000}"/>
    <cellStyle name="_修正預算書0724-2_數量97-10-28_普令厝農地重劃區西33路農水路改善工程_雲林縣崙背鄉雨水下水道清淤工程" xfId="430" xr:uid="{00000000-0005-0000-0000-000074090000}"/>
    <cellStyle name="_修正預算書0724-2_數量97-10-28_普令厝農地重劃區西33路農水路改善工程_雲林縣崙背鄉雨水下水道清淤工程 2" xfId="3643" xr:uid="{00000000-0005-0000-0000-000075090000}"/>
    <cellStyle name="_修正預算書0724-2_數量97-10-28_普令厝農地重劃區西33路農水路改善工程_雲林縣崙背鄉雨水下水道清淤工程_施工日誌1" xfId="2053" xr:uid="{00000000-0005-0000-0000-000076090000}"/>
    <cellStyle name="_修正預算書0724-2_數量97-10-28_普令厝農地重劃區西33路農水路改善工程_雲林縣臺西鄉A9～A9-3雨水下水道建設工程" xfId="3644" xr:uid="{00000000-0005-0000-0000-000077090000}"/>
    <cellStyle name="_修正預算書0724-2_數量97-10-28_普令厝農地重劃區西33路農水路改善工程_臺西鄉(凡那比颱風)鄉內道路排水災害復建工程" xfId="431" xr:uid="{00000000-0005-0000-0000-000078090000}"/>
    <cellStyle name="_修正預算書0724-2_數量97-10-28_普令厝農地重劃區西33路農水路改善工程_臺西鄉(凡那比颱風)鄉內道路排水災害復建工程 2" xfId="3645" xr:uid="{00000000-0005-0000-0000-000079090000}"/>
    <cellStyle name="_修正預算書0724-2_數量97-10-28_普令厝農地重劃區西33路農水路改善工程_臺西鄉(凡那比颱風)鄉內道路排水災害復建工程_施工日誌1" xfId="2054" xr:uid="{00000000-0005-0000-0000-00007A090000}"/>
    <cellStyle name="_修正預算書0724-2_數量97-10-28_普令厝農地重劃區西33路農水路改善工程_臺西鄉蚊港村蚊港巷道改善工程" xfId="3646" xr:uid="{00000000-0005-0000-0000-00007B090000}"/>
    <cellStyle name="_修正預算書0724-2_數量97-10-28_普令厝農地重劃區西33路農水路改善工程_臺西鄉普令厝重劃區西8路等道路排水改善工程(確定案)" xfId="432" xr:uid="{00000000-0005-0000-0000-00007C090000}"/>
    <cellStyle name="_修正預算書0724-2_數量97-10-28_普令厝農地重劃區西33路農水路改善工程_臺西鄉普令厝重劃區西8路等道路排水改善工程(確定案) 2" xfId="3647" xr:uid="{00000000-0005-0000-0000-00007D090000}"/>
    <cellStyle name="_修正預算書0724-2_數量97-10-28_普令厝農地重劃區西33路農水路改善工程_臺西鄉普令厝重劃區西8路等道路排水改善工程(確定案)_施工日誌1" xfId="2055" xr:uid="{00000000-0005-0000-0000-00007E090000}"/>
    <cellStyle name="_修正預算書0724-2_數量97-10-28_普令厝農地重劃區西33路農水路改善工程_臺西鄉臺西公有零售市埸作為多目標使用改善工程" xfId="3648" xr:uid="{00000000-0005-0000-0000-00007F090000}"/>
    <cellStyle name="_修正預算書0724-2_數量97-10-28_普令厝農地重劃區西33路農水路改善工程_豐榮、草湖等村道路及排水溝改善工程-(變更)2" xfId="3649" xr:uid="{00000000-0005-0000-0000-000080090000}"/>
    <cellStyle name="_修正預算書0724-2_數量表1023(第一期)" xfId="433" xr:uid="{00000000-0005-0000-0000-000081090000}"/>
    <cellStyle name="_修正預算書0724-2_數量表1023(第一期) 2" xfId="3650" xr:uid="{00000000-0005-0000-0000-000082090000}"/>
    <cellStyle name="_修正預算書0724-2_數量表1023(第一期)_施工日誌1" xfId="2056" xr:uid="{00000000-0005-0000-0000-000083090000}"/>
    <cellStyle name="_修正預算書0724-2_數量表1023(第一期)_普令厝農地重劃區西33路農水路改善工程" xfId="434" xr:uid="{00000000-0005-0000-0000-000084090000}"/>
    <cellStyle name="_修正預算書0724-2_數量表1023(第一期)_普令厝農地重劃區西33路農水路改善工程 2" xfId="3651" xr:uid="{00000000-0005-0000-0000-000085090000}"/>
    <cellStyle name="_修正預算書0724-2_數量表1023(第一期)_普令厝農地重劃區西33路農水路改善工程_土庫鎮埤腳里道路、排水溝改善工程101.05.18(修正3確定)" xfId="3652" xr:uid="{00000000-0005-0000-0000-000086090000}"/>
    <cellStyle name="_修正預算書0724-2_數量表1023(第一期)_普令厝農地重劃區西33路農水路改善工程_元長鄉長南村巷道排水改善工程" xfId="3653" xr:uid="{00000000-0005-0000-0000-000087090000}"/>
    <cellStyle name="_修正預算書0724-2_數量表1023(第一期)_普令厝農地重劃區西33路農水路改善工程_斗南鎮久安農地重劃區V51路農路路面改善工程" xfId="5190" xr:uid="{00000000-0005-0000-0000-000088090000}"/>
    <cellStyle name="_修正預算書0724-2_數量表1023(第一期)_普令厝農地重劃區西33路農水路改善工程_斗南鎮田頭農地重劃區農路改善工程" xfId="5191" xr:uid="{00000000-0005-0000-0000-000089090000}"/>
    <cellStyle name="_修正預算書0724-2_數量表1023(第一期)_普令厝農地重劃區西33路農水路改善工程_斗南鎮西岐里舊社里等路面改善工程-100.05.18" xfId="3654" xr:uid="{00000000-0005-0000-0000-00008A090000}"/>
    <cellStyle name="_修正預算書0724-2_數量表1023(第一期)_普令厝農地重劃區西33路農水路改善工程_斗南鎮阿丹里、林子里相關公共設施改善工程100.11.29" xfId="3655" xr:uid="{00000000-0005-0000-0000-00008B090000}"/>
    <cellStyle name="_修正預算書0724-2_數量表1023(第一期)_普令厝農地重劃區西33路農水路改善工程_斗南鎮將軍里等路面及附屬設施改善工程" xfId="3656" xr:uid="{00000000-0005-0000-0000-00008C090000}"/>
    <cellStyle name="_修正預算書0724-2_數量表1023(第一期)_普令厝農地重劃區西33路農水路改善工程_古坑鄉大湖底段及麻園段路面改善工程" xfId="3657" xr:uid="{00000000-0005-0000-0000-00008D090000}"/>
    <cellStyle name="_修正預算書0724-2_數量表1023(第一期)_普令厝農地重劃區西33路農水路改善工程_台西海埔地南4路排水9907豪雨災害復建工程" xfId="3658" xr:uid="{00000000-0005-0000-0000-00008E090000}"/>
    <cellStyle name="_修正預算書0724-2_數量表1023(第一期)_普令厝農地重劃區西33路農水路改善工程_台西鄉四美重劃區南北幹路4農路復建工程" xfId="435" xr:uid="{00000000-0005-0000-0000-00008F090000}"/>
    <cellStyle name="_修正預算書0724-2_數量表1023(第一期)_普令厝農地重劃區西33路農水路改善工程_台西鄉四美重劃區南北幹路4農路復建工程 2" xfId="3659" xr:uid="{00000000-0005-0000-0000-000090090000}"/>
    <cellStyle name="_修正預算書0724-2_數量表1023(第一期)_普令厝農地重劃區西33路農水路改善工程_台西鄉四美重劃區南北幹路4農路復建工程_施工日誌1" xfId="2058" xr:uid="{00000000-0005-0000-0000-000091090000}"/>
    <cellStyle name="_修正預算書0724-2_數量表1023(第一期)_普令厝農地重劃區西33路農水路改善工程_東勢鄉新坤村及麥寮鄉海豐村道路排水改善工程" xfId="5192" xr:uid="{00000000-0005-0000-0000-000092090000}"/>
    <cellStyle name="_修正預算書0724-2_數量表1023(第一期)_普令厝農地重劃區西33路農水路改善工程_林縣臺西鄉A10~A12雨水下水道建設工程(增減明細)" xfId="3660" xr:uid="{00000000-0005-0000-0000-000093090000}"/>
    <cellStyle name="_修正預算書0724-2_數量表1023(第一期)_普令厝農地重劃區西33路農水路改善工程_虎尾鎮新吉里竹圍子農村社區生態魚池暨運動公園道路與排水改善工程(預算書)" xfId="3661" xr:uid="{00000000-0005-0000-0000-000094090000}"/>
    <cellStyle name="_修正預算書0724-2_數量表1023(第一期)_普令厝農地重劃區西33路農水路改善工程_虎尾鎮新吉里竹圍子農村社區生態魚池暨運動公園道路與排水改善工程(確定)" xfId="5193" xr:uid="{00000000-0005-0000-0000-000095090000}"/>
    <cellStyle name="_修正預算書0724-2_數量表1023(第一期)_普令厝農地重劃區西33路農水路改善工程_長北村等巷道排水改善工程" xfId="3662" xr:uid="{00000000-0005-0000-0000-000096090000}"/>
    <cellStyle name="_修正預算書0724-2_數量表1023(第一期)_普令厝農地重劃區西33路農水路改善工程_後溝子一農地重劃區南北八路農路改善工程" xfId="436" xr:uid="{00000000-0005-0000-0000-000097090000}"/>
    <cellStyle name="_修正預算書0724-2_數量表1023(第一期)_普令厝農地重劃區西33路農水路改善工程_後溝子一農地重劃區南北八路農路改善工程 2" xfId="3663" xr:uid="{00000000-0005-0000-0000-000098090000}"/>
    <cellStyle name="_修正預算書0724-2_數量表1023(第一期)_普令厝農地重劃區西33路農水路改善工程_後溝子一農地重劃區南北八路農路改善工程_施工日誌1" xfId="2059" xr:uid="{00000000-0005-0000-0000-000099090000}"/>
    <cellStyle name="_修正預算書0724-2_數量表1023(第一期)_普令厝農地重劃區西33路農水路改善工程_施工日誌1" xfId="2057" xr:uid="{00000000-0005-0000-0000-00009A090000}"/>
    <cellStyle name="_修正預算書0724-2_數量表1023(第一期)_普令厝農地重劃區西33路農水路改善工程_崙背鄉雨水下水道清淤疏浚維護工程" xfId="437" xr:uid="{00000000-0005-0000-0000-00009B090000}"/>
    <cellStyle name="_修正預算書0724-2_數量表1023(第一期)_普令厝農地重劃區西33路農水路改善工程_崙背鄉雨水下水道清淤疏浚維護工程 2" xfId="3664" xr:uid="{00000000-0005-0000-0000-00009C090000}"/>
    <cellStyle name="_修正預算書0724-2_數量表1023(第一期)_普令厝農地重劃區西33路農水路改善工程_崙背鄉雨水下水道清淤疏浚維護工程_施工日誌1" xfId="2060" xr:uid="{00000000-0005-0000-0000-00009D090000}"/>
    <cellStyle name="_修正預算書0724-2_數量表1023(第一期)_普令厝農地重劃區西33路農水路改善工程_鹿寮農地重劃區補路農路改善工程等七件工程" xfId="438" xr:uid="{00000000-0005-0000-0000-00009E090000}"/>
    <cellStyle name="_修正預算書0724-2_數量表1023(第一期)_普令厝農地重劃區西33路農水路改善工程_鹿寮農地重劃區補路農路改善工程等七件工程 2" xfId="3665" xr:uid="{00000000-0005-0000-0000-00009F090000}"/>
    <cellStyle name="_修正預算書0724-2_數量表1023(第一期)_普令厝農地重劃區西33路農水路改善工程_鹿寮農地重劃區補路農路改善工程等七件工程_施工日誌1" xfId="2061" xr:uid="{00000000-0005-0000-0000-0000A0090000}"/>
    <cellStyle name="_修正預算書0724-2_數量表1023(第一期)_普令厝農地重劃區西33路農水路改善工程_普令厝農地重劃區西33路農水路改善工程" xfId="439" xr:uid="{00000000-0005-0000-0000-0000A1090000}"/>
    <cellStyle name="_修正預算書0724-2_數量表1023(第一期)_普令厝農地重劃區西33路農水路改善工程_普令厝農地重劃區西33路農水路改善工程 2" xfId="3666" xr:uid="{00000000-0005-0000-0000-0000A2090000}"/>
    <cellStyle name="_修正預算書0724-2_數量表1023(第一期)_普令厝農地重劃區西33路農水路改善工程_普令厝農地重劃區西33路農水路改善工程_施工日誌1" xfId="2062" xr:uid="{00000000-0005-0000-0000-0000A3090000}"/>
    <cellStyle name="_修正預算書0724-2_數量表1023(第一期)_普令厝農地重劃區西33路農水路改善工程_雲林縣崙背鄉雨水下水道清淤工程" xfId="440" xr:uid="{00000000-0005-0000-0000-0000A4090000}"/>
    <cellStyle name="_修正預算書0724-2_數量表1023(第一期)_普令厝農地重劃區西33路農水路改善工程_雲林縣崙背鄉雨水下水道清淤工程 2" xfId="3667" xr:uid="{00000000-0005-0000-0000-0000A5090000}"/>
    <cellStyle name="_修正預算書0724-2_數量表1023(第一期)_普令厝農地重劃區西33路農水路改善工程_雲林縣崙背鄉雨水下水道清淤工程_施工日誌1" xfId="2063" xr:uid="{00000000-0005-0000-0000-0000A6090000}"/>
    <cellStyle name="_修正預算書0724-2_數量表1023(第一期)_普令厝農地重劃區西33路農水路改善工程_雲林縣臺西鄉A9～A9-3雨水下水道建設工程" xfId="3668" xr:uid="{00000000-0005-0000-0000-0000A7090000}"/>
    <cellStyle name="_修正預算書0724-2_數量表1023(第一期)_普令厝農地重劃區西33路農水路改善工程_臺西鄉(凡那比颱風)鄉內道路排水災害復建工程" xfId="441" xr:uid="{00000000-0005-0000-0000-0000A8090000}"/>
    <cellStyle name="_修正預算書0724-2_數量表1023(第一期)_普令厝農地重劃區西33路農水路改善工程_臺西鄉(凡那比颱風)鄉內道路排水災害復建工程 2" xfId="3669" xr:uid="{00000000-0005-0000-0000-0000A9090000}"/>
    <cellStyle name="_修正預算書0724-2_數量表1023(第一期)_普令厝農地重劃區西33路農水路改善工程_臺西鄉(凡那比颱風)鄉內道路排水災害復建工程_施工日誌1" xfId="2064" xr:uid="{00000000-0005-0000-0000-0000AA090000}"/>
    <cellStyle name="_修正預算書0724-2_數量表1023(第一期)_普令厝農地重劃區西33路農水路改善工程_臺西鄉蚊港村蚊港巷道改善工程" xfId="3670" xr:uid="{00000000-0005-0000-0000-0000AB090000}"/>
    <cellStyle name="_修正預算書0724-2_數量表1023(第一期)_普令厝農地重劃區西33路農水路改善工程_臺西鄉普令厝重劃區西8路等道路排水改善工程(確定案)" xfId="442" xr:uid="{00000000-0005-0000-0000-0000AC090000}"/>
    <cellStyle name="_修正預算書0724-2_數量表1023(第一期)_普令厝農地重劃區西33路農水路改善工程_臺西鄉普令厝重劃區西8路等道路排水改善工程(確定案) 2" xfId="3671" xr:uid="{00000000-0005-0000-0000-0000AD090000}"/>
    <cellStyle name="_修正預算書0724-2_數量表1023(第一期)_普令厝農地重劃區西33路農水路改善工程_臺西鄉普令厝重劃區西8路等道路排水改善工程(確定案)_施工日誌1" xfId="2065" xr:uid="{00000000-0005-0000-0000-0000AE090000}"/>
    <cellStyle name="_修正預算書0724-2_數量表1023(第一期)_普令厝農地重劃區西33路農水路改善工程_臺西鄉臺西公有零售市埸作為多目標使用改善工程" xfId="3672" xr:uid="{00000000-0005-0000-0000-0000AF090000}"/>
    <cellStyle name="_修正預算書0724-2_數量表1023(第一期)_普令厝農地重劃區西33路農水路改善工程_豐榮、草湖等村道路及排水溝改善工程-(變更)2" xfId="3673" xr:uid="{00000000-0005-0000-0000-0000B0090000}"/>
    <cellStyle name="_修正預算書0724-2_數量表1023(第二期)" xfId="443" xr:uid="{00000000-0005-0000-0000-0000B1090000}"/>
    <cellStyle name="_修正預算書0724-2_數量表1023(第二期) 2" xfId="3674" xr:uid="{00000000-0005-0000-0000-0000B2090000}"/>
    <cellStyle name="_修正預算書0724-2_數量表1023(第二期)_施工日誌1" xfId="2066" xr:uid="{00000000-0005-0000-0000-0000B3090000}"/>
    <cellStyle name="_修正預算書0724-2_數量表1023(第二期)_普令厝農地重劃區西33路農水路改善工程" xfId="444" xr:uid="{00000000-0005-0000-0000-0000B4090000}"/>
    <cellStyle name="_修正預算書0724-2_數量表1023(第二期)_普令厝農地重劃區西33路農水路改善工程 2" xfId="3675" xr:uid="{00000000-0005-0000-0000-0000B5090000}"/>
    <cellStyle name="_修正預算書0724-2_數量表1023(第二期)_普令厝農地重劃區西33路農水路改善工程_土庫鎮埤腳里道路、排水溝改善工程101.05.18(修正3確定)" xfId="3676" xr:uid="{00000000-0005-0000-0000-0000B6090000}"/>
    <cellStyle name="_修正預算書0724-2_數量表1023(第二期)_普令厝農地重劃區西33路農水路改善工程_元長鄉長南村巷道排水改善工程" xfId="3677" xr:uid="{00000000-0005-0000-0000-0000B7090000}"/>
    <cellStyle name="_修正預算書0724-2_數量表1023(第二期)_普令厝農地重劃區西33路農水路改善工程_斗南鎮久安農地重劃區V51路農路路面改善工程" xfId="5194" xr:uid="{00000000-0005-0000-0000-0000B8090000}"/>
    <cellStyle name="_修正預算書0724-2_數量表1023(第二期)_普令厝農地重劃區西33路農水路改善工程_斗南鎮田頭農地重劃區農路改善工程" xfId="5195" xr:uid="{00000000-0005-0000-0000-0000B9090000}"/>
    <cellStyle name="_修正預算書0724-2_數量表1023(第二期)_普令厝農地重劃區西33路農水路改善工程_斗南鎮西岐里舊社里等路面改善工程-100.05.18" xfId="3678" xr:uid="{00000000-0005-0000-0000-0000BA090000}"/>
    <cellStyle name="_修正預算書0724-2_數量表1023(第二期)_普令厝農地重劃區西33路農水路改善工程_斗南鎮阿丹里、林子里相關公共設施改善工程100.11.29" xfId="3679" xr:uid="{00000000-0005-0000-0000-0000BB090000}"/>
    <cellStyle name="_修正預算書0724-2_數量表1023(第二期)_普令厝農地重劃區西33路農水路改善工程_斗南鎮將軍里等路面及附屬設施改善工程" xfId="3680" xr:uid="{00000000-0005-0000-0000-0000BC090000}"/>
    <cellStyle name="_修正預算書0724-2_數量表1023(第二期)_普令厝農地重劃區西33路農水路改善工程_古坑鄉大湖底段及麻園段路面改善工程" xfId="3681" xr:uid="{00000000-0005-0000-0000-0000BD090000}"/>
    <cellStyle name="_修正預算書0724-2_數量表1023(第二期)_普令厝農地重劃區西33路農水路改善工程_台西海埔地南4路排水9907豪雨災害復建工程" xfId="3682" xr:uid="{00000000-0005-0000-0000-0000BE090000}"/>
    <cellStyle name="_修正預算書0724-2_數量表1023(第二期)_普令厝農地重劃區西33路農水路改善工程_台西鄉四美重劃區南北幹路4農路復建工程" xfId="445" xr:uid="{00000000-0005-0000-0000-0000BF090000}"/>
    <cellStyle name="_修正預算書0724-2_數量表1023(第二期)_普令厝農地重劃區西33路農水路改善工程_台西鄉四美重劃區南北幹路4農路復建工程 2" xfId="3683" xr:uid="{00000000-0005-0000-0000-0000C0090000}"/>
    <cellStyle name="_修正預算書0724-2_數量表1023(第二期)_普令厝農地重劃區西33路農水路改善工程_台西鄉四美重劃區南北幹路4農路復建工程_施工日誌1" xfId="2068" xr:uid="{00000000-0005-0000-0000-0000C1090000}"/>
    <cellStyle name="_修正預算書0724-2_數量表1023(第二期)_普令厝農地重劃區西33路農水路改善工程_東勢鄉新坤村及麥寮鄉海豐村道路排水改善工程" xfId="5196" xr:uid="{00000000-0005-0000-0000-0000C2090000}"/>
    <cellStyle name="_修正預算書0724-2_數量表1023(第二期)_普令厝農地重劃區西33路農水路改善工程_林縣臺西鄉A10~A12雨水下水道建設工程(增減明細)" xfId="3684" xr:uid="{00000000-0005-0000-0000-0000C3090000}"/>
    <cellStyle name="_修正預算書0724-2_數量表1023(第二期)_普令厝農地重劃區西33路農水路改善工程_虎尾鎮新吉里竹圍子農村社區生態魚池暨運動公園道路與排水改善工程(預算書)" xfId="3685" xr:uid="{00000000-0005-0000-0000-0000C4090000}"/>
    <cellStyle name="_修正預算書0724-2_數量表1023(第二期)_普令厝農地重劃區西33路農水路改善工程_虎尾鎮新吉里竹圍子農村社區生態魚池暨運動公園道路與排水改善工程(確定)" xfId="5197" xr:uid="{00000000-0005-0000-0000-0000C5090000}"/>
    <cellStyle name="_修正預算書0724-2_數量表1023(第二期)_普令厝農地重劃區西33路農水路改善工程_長北村等巷道排水改善工程" xfId="3686" xr:uid="{00000000-0005-0000-0000-0000C6090000}"/>
    <cellStyle name="_修正預算書0724-2_數量表1023(第二期)_普令厝農地重劃區西33路農水路改善工程_後溝子一農地重劃區南北八路農路改善工程" xfId="446" xr:uid="{00000000-0005-0000-0000-0000C7090000}"/>
    <cellStyle name="_修正預算書0724-2_數量表1023(第二期)_普令厝農地重劃區西33路農水路改善工程_後溝子一農地重劃區南北八路農路改善工程 2" xfId="3687" xr:uid="{00000000-0005-0000-0000-0000C8090000}"/>
    <cellStyle name="_修正預算書0724-2_數量表1023(第二期)_普令厝農地重劃區西33路農水路改善工程_後溝子一農地重劃區南北八路農路改善工程_施工日誌1" xfId="2069" xr:uid="{00000000-0005-0000-0000-0000C9090000}"/>
    <cellStyle name="_修正預算書0724-2_數量表1023(第二期)_普令厝農地重劃區西33路農水路改善工程_施工日誌1" xfId="2067" xr:uid="{00000000-0005-0000-0000-0000CA090000}"/>
    <cellStyle name="_修正預算書0724-2_數量表1023(第二期)_普令厝農地重劃區西33路農水路改善工程_崙背鄉雨水下水道清淤疏浚維護工程" xfId="447" xr:uid="{00000000-0005-0000-0000-0000CB090000}"/>
    <cellStyle name="_修正預算書0724-2_數量表1023(第二期)_普令厝農地重劃區西33路農水路改善工程_崙背鄉雨水下水道清淤疏浚維護工程 2" xfId="3688" xr:uid="{00000000-0005-0000-0000-0000CC090000}"/>
    <cellStyle name="_修正預算書0724-2_數量表1023(第二期)_普令厝農地重劃區西33路農水路改善工程_崙背鄉雨水下水道清淤疏浚維護工程_施工日誌1" xfId="2070" xr:uid="{00000000-0005-0000-0000-0000CD090000}"/>
    <cellStyle name="_修正預算書0724-2_數量表1023(第二期)_普令厝農地重劃區西33路農水路改善工程_鹿寮農地重劃區補路農路改善工程等七件工程" xfId="448" xr:uid="{00000000-0005-0000-0000-0000CE090000}"/>
    <cellStyle name="_修正預算書0724-2_數量表1023(第二期)_普令厝農地重劃區西33路農水路改善工程_鹿寮農地重劃區補路農路改善工程等七件工程 2" xfId="3689" xr:uid="{00000000-0005-0000-0000-0000CF090000}"/>
    <cellStyle name="_修正預算書0724-2_數量表1023(第二期)_普令厝農地重劃區西33路農水路改善工程_鹿寮農地重劃區補路農路改善工程等七件工程_施工日誌1" xfId="2071" xr:uid="{00000000-0005-0000-0000-0000D0090000}"/>
    <cellStyle name="_修正預算書0724-2_數量表1023(第二期)_普令厝農地重劃區西33路農水路改善工程_普令厝農地重劃區西33路農水路改善工程" xfId="449" xr:uid="{00000000-0005-0000-0000-0000D1090000}"/>
    <cellStyle name="_修正預算書0724-2_數量表1023(第二期)_普令厝農地重劃區西33路農水路改善工程_普令厝農地重劃區西33路農水路改善工程 2" xfId="3690" xr:uid="{00000000-0005-0000-0000-0000D2090000}"/>
    <cellStyle name="_修正預算書0724-2_數量表1023(第二期)_普令厝農地重劃區西33路農水路改善工程_普令厝農地重劃區西33路農水路改善工程_施工日誌1" xfId="2072" xr:uid="{00000000-0005-0000-0000-0000D3090000}"/>
    <cellStyle name="_修正預算書0724-2_數量表1023(第二期)_普令厝農地重劃區西33路農水路改善工程_雲林縣崙背鄉雨水下水道清淤工程" xfId="450" xr:uid="{00000000-0005-0000-0000-0000D4090000}"/>
    <cellStyle name="_修正預算書0724-2_數量表1023(第二期)_普令厝農地重劃區西33路農水路改善工程_雲林縣崙背鄉雨水下水道清淤工程 2" xfId="3691" xr:uid="{00000000-0005-0000-0000-0000D5090000}"/>
    <cellStyle name="_修正預算書0724-2_數量表1023(第二期)_普令厝農地重劃區西33路農水路改善工程_雲林縣崙背鄉雨水下水道清淤工程_施工日誌1" xfId="2073" xr:uid="{00000000-0005-0000-0000-0000D6090000}"/>
    <cellStyle name="_修正預算書0724-2_數量表1023(第二期)_普令厝農地重劃區西33路農水路改善工程_雲林縣臺西鄉A9～A9-3雨水下水道建設工程" xfId="3692" xr:uid="{00000000-0005-0000-0000-0000D7090000}"/>
    <cellStyle name="_修正預算書0724-2_數量表1023(第二期)_普令厝農地重劃區西33路農水路改善工程_臺西鄉(凡那比颱風)鄉內道路排水災害復建工程" xfId="451" xr:uid="{00000000-0005-0000-0000-0000D8090000}"/>
    <cellStyle name="_修正預算書0724-2_數量表1023(第二期)_普令厝農地重劃區西33路農水路改善工程_臺西鄉(凡那比颱風)鄉內道路排水災害復建工程 2" xfId="3693" xr:uid="{00000000-0005-0000-0000-0000D9090000}"/>
    <cellStyle name="_修正預算書0724-2_數量表1023(第二期)_普令厝農地重劃區西33路農水路改善工程_臺西鄉(凡那比颱風)鄉內道路排水災害復建工程_施工日誌1" xfId="2074" xr:uid="{00000000-0005-0000-0000-0000DA090000}"/>
    <cellStyle name="_修正預算書0724-2_數量表1023(第二期)_普令厝農地重劃區西33路農水路改善工程_臺西鄉蚊港村蚊港巷道改善工程" xfId="3694" xr:uid="{00000000-0005-0000-0000-0000DB090000}"/>
    <cellStyle name="_修正預算書0724-2_數量表1023(第二期)_普令厝農地重劃區西33路農水路改善工程_臺西鄉普令厝重劃區西8路等道路排水改善工程(確定案)" xfId="452" xr:uid="{00000000-0005-0000-0000-0000DC090000}"/>
    <cellStyle name="_修正預算書0724-2_數量表1023(第二期)_普令厝農地重劃區西33路農水路改善工程_臺西鄉普令厝重劃區西8路等道路排水改善工程(確定案) 2" xfId="3695" xr:uid="{00000000-0005-0000-0000-0000DD090000}"/>
    <cellStyle name="_修正預算書0724-2_數量表1023(第二期)_普令厝農地重劃區西33路農水路改善工程_臺西鄉普令厝重劃區西8路等道路排水改善工程(確定案)_施工日誌1" xfId="2075" xr:uid="{00000000-0005-0000-0000-0000DE090000}"/>
    <cellStyle name="_修正預算書0724-2_數量表1023(第二期)_普令厝農地重劃區西33路農水路改善工程_臺西鄉臺西公有零售市埸作為多目標使用改善工程" xfId="3696" xr:uid="{00000000-0005-0000-0000-0000DF090000}"/>
    <cellStyle name="_修正預算書0724-2_數量表1023(第二期)_普令厝農地重劃區西33路農水路改善工程_豐榮、草湖等村道路及排水溝改善工程-(變更)2" xfId="3697" xr:uid="{00000000-0005-0000-0000-0000E0090000}"/>
    <cellStyle name="_修正預算書0724-2_變更明細表0302" xfId="453" xr:uid="{00000000-0005-0000-0000-0000E1090000}"/>
    <cellStyle name="_修正預算書0724-2_變更明細表0302 2" xfId="3698" xr:uid="{00000000-0005-0000-0000-0000E2090000}"/>
    <cellStyle name="_修正預算書0724-2_變更明細表0302_施工日誌1" xfId="2076" xr:uid="{00000000-0005-0000-0000-0000E3090000}"/>
    <cellStyle name="_修正預算書0724-2_變更明細表0302_普令厝農地重劃區西33路農水路改善工程" xfId="454" xr:uid="{00000000-0005-0000-0000-0000E4090000}"/>
    <cellStyle name="_修正預算書0724-2_變更明細表0302_普令厝農地重劃區西33路農水路改善工程 2" xfId="3699" xr:uid="{00000000-0005-0000-0000-0000E5090000}"/>
    <cellStyle name="_修正預算書0724-2_變更明細表0302_普令厝農地重劃區西33路農水路改善工程_土庫鎮埤腳里道路、排水溝改善工程101.05.18(修正3確定)" xfId="3700" xr:uid="{00000000-0005-0000-0000-0000E6090000}"/>
    <cellStyle name="_修正預算書0724-2_變更明細表0302_普令厝農地重劃區西33路農水路改善工程_元長鄉長南村巷道排水改善工程" xfId="3701" xr:uid="{00000000-0005-0000-0000-0000E7090000}"/>
    <cellStyle name="_修正預算書0724-2_變更明細表0302_普令厝農地重劃區西33路農水路改善工程_斗南鎮久安農地重劃區V51路農路路面改善工程" xfId="5198" xr:uid="{00000000-0005-0000-0000-0000E8090000}"/>
    <cellStyle name="_修正預算書0724-2_變更明細表0302_普令厝農地重劃區西33路農水路改善工程_斗南鎮田頭農地重劃區農路改善工程" xfId="5199" xr:uid="{00000000-0005-0000-0000-0000E9090000}"/>
    <cellStyle name="_修正預算書0724-2_變更明細表0302_普令厝農地重劃區西33路農水路改善工程_斗南鎮西岐里舊社里等路面改善工程-100.05.18" xfId="3702" xr:uid="{00000000-0005-0000-0000-0000EA090000}"/>
    <cellStyle name="_修正預算書0724-2_變更明細表0302_普令厝農地重劃區西33路農水路改善工程_斗南鎮阿丹里、林子里相關公共設施改善工程100.11.29" xfId="3703" xr:uid="{00000000-0005-0000-0000-0000EB090000}"/>
    <cellStyle name="_修正預算書0724-2_變更明細表0302_普令厝農地重劃區西33路農水路改善工程_斗南鎮將軍里等路面及附屬設施改善工程" xfId="3704" xr:uid="{00000000-0005-0000-0000-0000EC090000}"/>
    <cellStyle name="_修正預算書0724-2_變更明細表0302_普令厝農地重劃區西33路農水路改善工程_古坑鄉大湖底段及麻園段路面改善工程" xfId="3705" xr:uid="{00000000-0005-0000-0000-0000ED090000}"/>
    <cellStyle name="_修正預算書0724-2_變更明細表0302_普令厝農地重劃區西33路農水路改善工程_台西海埔地南4路排水9907豪雨災害復建工程" xfId="3706" xr:uid="{00000000-0005-0000-0000-0000EE090000}"/>
    <cellStyle name="_修正預算書0724-2_變更明細表0302_普令厝農地重劃區西33路農水路改善工程_台西鄉四美重劃區南北幹路4農路復建工程" xfId="455" xr:uid="{00000000-0005-0000-0000-0000EF090000}"/>
    <cellStyle name="_修正預算書0724-2_變更明細表0302_普令厝農地重劃區西33路農水路改善工程_台西鄉四美重劃區南北幹路4農路復建工程 2" xfId="3707" xr:uid="{00000000-0005-0000-0000-0000F0090000}"/>
    <cellStyle name="_修正預算書0724-2_變更明細表0302_普令厝農地重劃區西33路農水路改善工程_台西鄉四美重劃區南北幹路4農路復建工程_施工日誌1" xfId="2078" xr:uid="{00000000-0005-0000-0000-0000F1090000}"/>
    <cellStyle name="_修正預算書0724-2_變更明細表0302_普令厝農地重劃區西33路農水路改善工程_東勢鄉新坤村及麥寮鄉海豐村道路排水改善工程" xfId="5200" xr:uid="{00000000-0005-0000-0000-0000F2090000}"/>
    <cellStyle name="_修正預算書0724-2_變更明細表0302_普令厝農地重劃區西33路農水路改善工程_林縣臺西鄉A10~A12雨水下水道建設工程(增減明細)" xfId="3708" xr:uid="{00000000-0005-0000-0000-0000F3090000}"/>
    <cellStyle name="_修正預算書0724-2_變更明細表0302_普令厝農地重劃區西33路農水路改善工程_虎尾鎮新吉里竹圍子農村社區生態魚池暨運動公園道路與排水改善工程(預算書)" xfId="3709" xr:uid="{00000000-0005-0000-0000-0000F4090000}"/>
    <cellStyle name="_修正預算書0724-2_變更明細表0302_普令厝農地重劃區西33路農水路改善工程_虎尾鎮新吉里竹圍子農村社區生態魚池暨運動公園道路與排水改善工程(確定)" xfId="5201" xr:uid="{00000000-0005-0000-0000-0000F5090000}"/>
    <cellStyle name="_修正預算書0724-2_變更明細表0302_普令厝農地重劃區西33路農水路改善工程_長北村等巷道排水改善工程" xfId="3710" xr:uid="{00000000-0005-0000-0000-0000F6090000}"/>
    <cellStyle name="_修正預算書0724-2_變更明細表0302_普令厝農地重劃區西33路農水路改善工程_後溝子一農地重劃區南北八路農路改善工程" xfId="456" xr:uid="{00000000-0005-0000-0000-0000F7090000}"/>
    <cellStyle name="_修正預算書0724-2_變更明細表0302_普令厝農地重劃區西33路農水路改善工程_後溝子一農地重劃區南北八路農路改善工程 2" xfId="3711" xr:uid="{00000000-0005-0000-0000-0000F8090000}"/>
    <cellStyle name="_修正預算書0724-2_變更明細表0302_普令厝農地重劃區西33路農水路改善工程_後溝子一農地重劃區南北八路農路改善工程_施工日誌1" xfId="2079" xr:uid="{00000000-0005-0000-0000-0000F9090000}"/>
    <cellStyle name="_修正預算書0724-2_變更明細表0302_普令厝農地重劃區西33路農水路改善工程_施工日誌1" xfId="2077" xr:uid="{00000000-0005-0000-0000-0000FA090000}"/>
    <cellStyle name="_修正預算書0724-2_變更明細表0302_普令厝農地重劃區西33路農水路改善工程_崙背鄉雨水下水道清淤疏浚維護工程" xfId="457" xr:uid="{00000000-0005-0000-0000-0000FB090000}"/>
    <cellStyle name="_修正預算書0724-2_變更明細表0302_普令厝農地重劃區西33路農水路改善工程_崙背鄉雨水下水道清淤疏浚維護工程 2" xfId="3712" xr:uid="{00000000-0005-0000-0000-0000FC090000}"/>
    <cellStyle name="_修正預算書0724-2_變更明細表0302_普令厝農地重劃區西33路農水路改善工程_崙背鄉雨水下水道清淤疏浚維護工程_施工日誌1" xfId="2080" xr:uid="{00000000-0005-0000-0000-0000FD090000}"/>
    <cellStyle name="_修正預算書0724-2_變更明細表0302_普令厝農地重劃區西33路農水路改善工程_鹿寮農地重劃區補路農路改善工程等七件工程" xfId="458" xr:uid="{00000000-0005-0000-0000-0000FE090000}"/>
    <cellStyle name="_修正預算書0724-2_變更明細表0302_普令厝農地重劃區西33路農水路改善工程_鹿寮農地重劃區補路農路改善工程等七件工程 2" xfId="3713" xr:uid="{00000000-0005-0000-0000-0000FF090000}"/>
    <cellStyle name="_修正預算書0724-2_變更明細表0302_普令厝農地重劃區西33路農水路改善工程_鹿寮農地重劃區補路農路改善工程等七件工程_施工日誌1" xfId="2081" xr:uid="{00000000-0005-0000-0000-0000000A0000}"/>
    <cellStyle name="_修正預算書0724-2_變更明細表0302_普令厝農地重劃區西33路農水路改善工程_普令厝農地重劃區西33路農水路改善工程" xfId="459" xr:uid="{00000000-0005-0000-0000-0000010A0000}"/>
    <cellStyle name="_修正預算書0724-2_變更明細表0302_普令厝農地重劃區西33路農水路改善工程_普令厝農地重劃區西33路農水路改善工程 2" xfId="3714" xr:uid="{00000000-0005-0000-0000-0000020A0000}"/>
    <cellStyle name="_修正預算書0724-2_變更明細表0302_普令厝農地重劃區西33路農水路改善工程_普令厝農地重劃區西33路農水路改善工程_施工日誌1" xfId="2082" xr:uid="{00000000-0005-0000-0000-0000030A0000}"/>
    <cellStyle name="_修正預算書0724-2_變更明細表0302_普令厝農地重劃區西33路農水路改善工程_雲林縣崙背鄉雨水下水道清淤工程" xfId="460" xr:uid="{00000000-0005-0000-0000-0000040A0000}"/>
    <cellStyle name="_修正預算書0724-2_變更明細表0302_普令厝農地重劃區西33路農水路改善工程_雲林縣崙背鄉雨水下水道清淤工程 2" xfId="3715" xr:uid="{00000000-0005-0000-0000-0000050A0000}"/>
    <cellStyle name="_修正預算書0724-2_變更明細表0302_普令厝農地重劃區西33路農水路改善工程_雲林縣崙背鄉雨水下水道清淤工程_施工日誌1" xfId="2083" xr:uid="{00000000-0005-0000-0000-0000060A0000}"/>
    <cellStyle name="_修正預算書0724-2_變更明細表0302_普令厝農地重劃區西33路農水路改善工程_雲林縣臺西鄉A9～A9-3雨水下水道建設工程" xfId="3716" xr:uid="{00000000-0005-0000-0000-0000070A0000}"/>
    <cellStyle name="_修正預算書0724-2_變更明細表0302_普令厝農地重劃區西33路農水路改善工程_臺西鄉(凡那比颱風)鄉內道路排水災害復建工程" xfId="461" xr:uid="{00000000-0005-0000-0000-0000080A0000}"/>
    <cellStyle name="_修正預算書0724-2_變更明細表0302_普令厝農地重劃區西33路農水路改善工程_臺西鄉(凡那比颱風)鄉內道路排水災害復建工程 2" xfId="3717" xr:uid="{00000000-0005-0000-0000-0000090A0000}"/>
    <cellStyle name="_修正預算書0724-2_變更明細表0302_普令厝農地重劃區西33路農水路改善工程_臺西鄉(凡那比颱風)鄉內道路排水災害復建工程_施工日誌1" xfId="2084" xr:uid="{00000000-0005-0000-0000-00000A0A0000}"/>
    <cellStyle name="_修正預算書0724-2_變更明細表0302_普令厝農地重劃區西33路農水路改善工程_臺西鄉蚊港村蚊港巷道改善工程" xfId="3718" xr:uid="{00000000-0005-0000-0000-00000B0A0000}"/>
    <cellStyle name="_修正預算書0724-2_變更明細表0302_普令厝農地重劃區西33路農水路改善工程_臺西鄉普令厝重劃區西8路等道路排水改善工程(確定案)" xfId="462" xr:uid="{00000000-0005-0000-0000-00000C0A0000}"/>
    <cellStyle name="_修正預算書0724-2_變更明細表0302_普令厝農地重劃區西33路農水路改善工程_臺西鄉普令厝重劃區西8路等道路排水改善工程(確定案) 2" xfId="3719" xr:uid="{00000000-0005-0000-0000-00000D0A0000}"/>
    <cellStyle name="_修正預算書0724-2_變更明細表0302_普令厝農地重劃區西33路農水路改善工程_臺西鄉普令厝重劃區西8路等道路排水改善工程(確定案)_施工日誌1" xfId="2085" xr:uid="{00000000-0005-0000-0000-00000E0A0000}"/>
    <cellStyle name="_修正預算書0724-2_變更明細表0302_普令厝農地重劃區西33路農水路改善工程_臺西鄉臺西公有零售市埸作為多目標使用改善工程" xfId="3720" xr:uid="{00000000-0005-0000-0000-00000F0A0000}"/>
    <cellStyle name="_修正預算書0724-2_變更明細表0302_普令厝農地重劃區西33路農水路改善工程_豐榮、草湖等村道路及排水溝改善工程-(變更)2" xfId="3721" xr:uid="{00000000-0005-0000-0000-0000100A0000}"/>
    <cellStyle name="_修正預算書0724-2_變更明細表0729" xfId="463" xr:uid="{00000000-0005-0000-0000-0000110A0000}"/>
    <cellStyle name="_修正預算書0724-2_變更明細表0729 2" xfId="3722" xr:uid="{00000000-0005-0000-0000-0000120A0000}"/>
    <cellStyle name="_修正預算書0724-2_變更明細表0729_施工日誌1" xfId="2086" xr:uid="{00000000-0005-0000-0000-0000130A0000}"/>
    <cellStyle name="_修正預算書0724-2_變更明細表0729_普令厝農地重劃區西33路農水路改善工程" xfId="464" xr:uid="{00000000-0005-0000-0000-0000140A0000}"/>
    <cellStyle name="_修正預算書0724-2_變更明細表0729_普令厝農地重劃區西33路農水路改善工程 2" xfId="3723" xr:uid="{00000000-0005-0000-0000-0000150A0000}"/>
    <cellStyle name="_修正預算書0724-2_變更明細表0729_普令厝農地重劃區西33路農水路改善工程_土庫鎮埤腳里道路、排水溝改善工程101.05.18(修正3確定)" xfId="3724" xr:uid="{00000000-0005-0000-0000-0000160A0000}"/>
    <cellStyle name="_修正預算書0724-2_變更明細表0729_普令厝農地重劃區西33路農水路改善工程_元長鄉長南村巷道排水改善工程" xfId="3725" xr:uid="{00000000-0005-0000-0000-0000170A0000}"/>
    <cellStyle name="_修正預算書0724-2_變更明細表0729_普令厝農地重劃區西33路農水路改善工程_斗南鎮久安農地重劃區V51路農路路面改善工程" xfId="5202" xr:uid="{00000000-0005-0000-0000-0000180A0000}"/>
    <cellStyle name="_修正預算書0724-2_變更明細表0729_普令厝農地重劃區西33路農水路改善工程_斗南鎮田頭農地重劃區農路改善工程" xfId="5203" xr:uid="{00000000-0005-0000-0000-0000190A0000}"/>
    <cellStyle name="_修正預算書0724-2_變更明細表0729_普令厝農地重劃區西33路農水路改善工程_斗南鎮西岐里舊社里等路面改善工程-100.05.18" xfId="3726" xr:uid="{00000000-0005-0000-0000-00001A0A0000}"/>
    <cellStyle name="_修正預算書0724-2_變更明細表0729_普令厝農地重劃區西33路農水路改善工程_斗南鎮阿丹里、林子里相關公共設施改善工程100.11.29" xfId="3727" xr:uid="{00000000-0005-0000-0000-00001B0A0000}"/>
    <cellStyle name="_修正預算書0724-2_變更明細表0729_普令厝農地重劃區西33路農水路改善工程_斗南鎮將軍里等路面及附屬設施改善工程" xfId="3728" xr:uid="{00000000-0005-0000-0000-00001C0A0000}"/>
    <cellStyle name="_修正預算書0724-2_變更明細表0729_普令厝農地重劃區西33路農水路改善工程_古坑鄉大湖底段及麻園段路面改善工程" xfId="3729" xr:uid="{00000000-0005-0000-0000-00001D0A0000}"/>
    <cellStyle name="_修正預算書0724-2_變更明細表0729_普令厝農地重劃區西33路農水路改善工程_台西海埔地南4路排水9907豪雨災害復建工程" xfId="3730" xr:uid="{00000000-0005-0000-0000-00001E0A0000}"/>
    <cellStyle name="_修正預算書0724-2_變更明細表0729_普令厝農地重劃區西33路農水路改善工程_台西鄉四美重劃區南北幹路4農路復建工程" xfId="465" xr:uid="{00000000-0005-0000-0000-00001F0A0000}"/>
    <cellStyle name="_修正預算書0724-2_變更明細表0729_普令厝農地重劃區西33路農水路改善工程_台西鄉四美重劃區南北幹路4農路復建工程 2" xfId="3731" xr:uid="{00000000-0005-0000-0000-0000200A0000}"/>
    <cellStyle name="_修正預算書0724-2_變更明細表0729_普令厝農地重劃區西33路農水路改善工程_台西鄉四美重劃區南北幹路4農路復建工程_施工日誌1" xfId="2088" xr:uid="{00000000-0005-0000-0000-0000210A0000}"/>
    <cellStyle name="_修正預算書0724-2_變更明細表0729_普令厝農地重劃區西33路農水路改善工程_東勢鄉新坤村及麥寮鄉海豐村道路排水改善工程" xfId="5204" xr:uid="{00000000-0005-0000-0000-0000220A0000}"/>
    <cellStyle name="_修正預算書0724-2_變更明細表0729_普令厝農地重劃區西33路農水路改善工程_林縣臺西鄉A10~A12雨水下水道建設工程(增減明細)" xfId="3732" xr:uid="{00000000-0005-0000-0000-0000230A0000}"/>
    <cellStyle name="_修正預算書0724-2_變更明細表0729_普令厝農地重劃區西33路農水路改善工程_虎尾鎮新吉里竹圍子農村社區生態魚池暨運動公園道路與排水改善工程(預算書)" xfId="3733" xr:uid="{00000000-0005-0000-0000-0000240A0000}"/>
    <cellStyle name="_修正預算書0724-2_變更明細表0729_普令厝農地重劃區西33路農水路改善工程_虎尾鎮新吉里竹圍子農村社區生態魚池暨運動公園道路與排水改善工程(確定)" xfId="5205" xr:uid="{00000000-0005-0000-0000-0000250A0000}"/>
    <cellStyle name="_修正預算書0724-2_變更明細表0729_普令厝農地重劃區西33路農水路改善工程_長北村等巷道排水改善工程" xfId="3734" xr:uid="{00000000-0005-0000-0000-0000260A0000}"/>
    <cellStyle name="_修正預算書0724-2_變更明細表0729_普令厝農地重劃區西33路農水路改善工程_後溝子一農地重劃區南北八路農路改善工程" xfId="466" xr:uid="{00000000-0005-0000-0000-0000270A0000}"/>
    <cellStyle name="_修正預算書0724-2_變更明細表0729_普令厝農地重劃區西33路農水路改善工程_後溝子一農地重劃區南北八路農路改善工程 2" xfId="3735" xr:uid="{00000000-0005-0000-0000-0000280A0000}"/>
    <cellStyle name="_修正預算書0724-2_變更明細表0729_普令厝農地重劃區西33路農水路改善工程_後溝子一農地重劃區南北八路農路改善工程_施工日誌1" xfId="2089" xr:uid="{00000000-0005-0000-0000-0000290A0000}"/>
    <cellStyle name="_修正預算書0724-2_變更明細表0729_普令厝農地重劃區西33路農水路改善工程_施工日誌1" xfId="2087" xr:uid="{00000000-0005-0000-0000-00002A0A0000}"/>
    <cellStyle name="_修正預算書0724-2_變更明細表0729_普令厝農地重劃區西33路農水路改善工程_崙背鄉雨水下水道清淤疏浚維護工程" xfId="467" xr:uid="{00000000-0005-0000-0000-00002B0A0000}"/>
    <cellStyle name="_修正預算書0724-2_變更明細表0729_普令厝農地重劃區西33路農水路改善工程_崙背鄉雨水下水道清淤疏浚維護工程 2" xfId="3736" xr:uid="{00000000-0005-0000-0000-00002C0A0000}"/>
    <cellStyle name="_修正預算書0724-2_變更明細表0729_普令厝農地重劃區西33路農水路改善工程_崙背鄉雨水下水道清淤疏浚維護工程_施工日誌1" xfId="2090" xr:uid="{00000000-0005-0000-0000-00002D0A0000}"/>
    <cellStyle name="_修正預算書0724-2_變更明細表0729_普令厝農地重劃區西33路農水路改善工程_鹿寮農地重劃區補路農路改善工程等七件工程" xfId="468" xr:uid="{00000000-0005-0000-0000-00002E0A0000}"/>
    <cellStyle name="_修正預算書0724-2_變更明細表0729_普令厝農地重劃區西33路農水路改善工程_鹿寮農地重劃區補路農路改善工程等七件工程 2" xfId="3737" xr:uid="{00000000-0005-0000-0000-00002F0A0000}"/>
    <cellStyle name="_修正預算書0724-2_變更明細表0729_普令厝農地重劃區西33路農水路改善工程_鹿寮農地重劃區補路農路改善工程等七件工程_施工日誌1" xfId="2091" xr:uid="{00000000-0005-0000-0000-0000300A0000}"/>
    <cellStyle name="_修正預算書0724-2_變更明細表0729_普令厝農地重劃區西33路農水路改善工程_普令厝農地重劃區西33路農水路改善工程" xfId="469" xr:uid="{00000000-0005-0000-0000-0000310A0000}"/>
    <cellStyle name="_修正預算書0724-2_變更明細表0729_普令厝農地重劃區西33路農水路改善工程_普令厝農地重劃區西33路農水路改善工程 2" xfId="3738" xr:uid="{00000000-0005-0000-0000-0000320A0000}"/>
    <cellStyle name="_修正預算書0724-2_變更明細表0729_普令厝農地重劃區西33路農水路改善工程_普令厝農地重劃區西33路農水路改善工程_施工日誌1" xfId="2092" xr:uid="{00000000-0005-0000-0000-0000330A0000}"/>
    <cellStyle name="_修正預算書0724-2_變更明細表0729_普令厝農地重劃區西33路農水路改善工程_雲林縣崙背鄉雨水下水道清淤工程" xfId="470" xr:uid="{00000000-0005-0000-0000-0000340A0000}"/>
    <cellStyle name="_修正預算書0724-2_變更明細表0729_普令厝農地重劃區西33路農水路改善工程_雲林縣崙背鄉雨水下水道清淤工程 2" xfId="3739" xr:uid="{00000000-0005-0000-0000-0000350A0000}"/>
    <cellStyle name="_修正預算書0724-2_變更明細表0729_普令厝農地重劃區西33路農水路改善工程_雲林縣崙背鄉雨水下水道清淤工程_施工日誌1" xfId="2093" xr:uid="{00000000-0005-0000-0000-0000360A0000}"/>
    <cellStyle name="_修正預算書0724-2_變更明細表0729_普令厝農地重劃區西33路農水路改善工程_雲林縣臺西鄉A9～A9-3雨水下水道建設工程" xfId="3740" xr:uid="{00000000-0005-0000-0000-0000370A0000}"/>
    <cellStyle name="_修正預算書0724-2_變更明細表0729_普令厝農地重劃區西33路農水路改善工程_臺西鄉(凡那比颱風)鄉內道路排水災害復建工程" xfId="471" xr:uid="{00000000-0005-0000-0000-0000380A0000}"/>
    <cellStyle name="_修正預算書0724-2_變更明細表0729_普令厝農地重劃區西33路農水路改善工程_臺西鄉(凡那比颱風)鄉內道路排水災害復建工程 2" xfId="3741" xr:uid="{00000000-0005-0000-0000-0000390A0000}"/>
    <cellStyle name="_修正預算書0724-2_變更明細表0729_普令厝農地重劃區西33路農水路改善工程_臺西鄉(凡那比颱風)鄉內道路排水災害復建工程_施工日誌1" xfId="2094" xr:uid="{00000000-0005-0000-0000-00003A0A0000}"/>
    <cellStyle name="_修正預算書0724-2_變更明細表0729_普令厝農地重劃區西33路農水路改善工程_臺西鄉蚊港村蚊港巷道改善工程" xfId="3742" xr:uid="{00000000-0005-0000-0000-00003B0A0000}"/>
    <cellStyle name="_修正預算書0724-2_變更明細表0729_普令厝農地重劃區西33路農水路改善工程_臺西鄉普令厝重劃區西8路等道路排水改善工程(確定案)" xfId="472" xr:uid="{00000000-0005-0000-0000-00003C0A0000}"/>
    <cellStyle name="_修正預算書0724-2_變更明細表0729_普令厝農地重劃區西33路農水路改善工程_臺西鄉普令厝重劃區西8路等道路排水改善工程(確定案) 2" xfId="3743" xr:uid="{00000000-0005-0000-0000-00003D0A0000}"/>
    <cellStyle name="_修正預算書0724-2_變更明細表0729_普令厝農地重劃區西33路農水路改善工程_臺西鄉普令厝重劃區西8路等道路排水改善工程(確定案)_施工日誌1" xfId="2095" xr:uid="{00000000-0005-0000-0000-00003E0A0000}"/>
    <cellStyle name="_修正預算書0724-2_變更明細表0729_普令厝農地重劃區西33路農水路改善工程_臺西鄉臺西公有零售市埸作為多目標使用改善工程" xfId="3744" xr:uid="{00000000-0005-0000-0000-00003F0A0000}"/>
    <cellStyle name="_修正預算書0724-2_變更明細表0729_普令厝農地重劃區西33路農水路改善工程_豐榮、草湖等村道路及排水溝改善工程-(變更)2" xfId="3745" xr:uid="{00000000-0005-0000-0000-0000400A0000}"/>
    <cellStyle name="_修正預算書0724-3" xfId="473" xr:uid="{00000000-0005-0000-0000-0000410A0000}"/>
    <cellStyle name="_修正預算書0724-3_施工日誌1" xfId="2096" xr:uid="{00000000-0005-0000-0000-0000420A0000}"/>
    <cellStyle name="_修正預算書1123" xfId="474" xr:uid="{00000000-0005-0000-0000-0000430A0000}"/>
    <cellStyle name="_修正預算書1123 2" xfId="3746" xr:uid="{00000000-0005-0000-0000-0000440A0000}"/>
    <cellStyle name="_修正預算書1123_施工日誌1" xfId="2097" xr:uid="{00000000-0005-0000-0000-0000450A0000}"/>
    <cellStyle name="_修改四湖鄉頂桂山水池擋土牆排水設施工程" xfId="475" xr:uid="{00000000-0005-0000-0000-0000460A0000}"/>
    <cellStyle name="_修改四湖鄉頂桂山水池擋土牆排水設施工程 2" xfId="3747" xr:uid="{00000000-0005-0000-0000-0000470A0000}"/>
    <cellStyle name="_修改四湖鄉頂桂山水池擋土牆排水設施工程_施工日誌1" xfId="2098" xr:uid="{00000000-0005-0000-0000-0000480A0000}"/>
    <cellStyle name="_海水浴場建康步道排水系統設施工程●變更2次" xfId="476" xr:uid="{00000000-0005-0000-0000-0000490A0000}"/>
    <cellStyle name="_海水浴場建康步道排水系統設施工程●變更2次 2" xfId="3748" xr:uid="{00000000-0005-0000-0000-00004A0A0000}"/>
    <cellStyle name="_海水浴場建康步道排水系統設施工程●變更2次_施工日誌1" xfId="2099" xr:uid="{00000000-0005-0000-0000-00004B0A0000}"/>
    <cellStyle name="_參天宮旁新闢道路-數量表0506" xfId="477" xr:uid="{00000000-0005-0000-0000-00004C0A0000}"/>
    <cellStyle name="_參天宮旁新闢道路-數量表0506 2" xfId="3749" xr:uid="{00000000-0005-0000-0000-00004D0A0000}"/>
    <cellStyle name="_參天宮旁新闢道路-數量表0506_施工日誌1" xfId="2100" xr:uid="{00000000-0005-0000-0000-00004E0A0000}"/>
    <cellStyle name="_參天宮-竣工結算1119" xfId="478" xr:uid="{00000000-0005-0000-0000-00004F0A0000}"/>
    <cellStyle name="_參天宮-竣工結算1119_施工日誌1" xfId="2101" xr:uid="{00000000-0005-0000-0000-0000500A0000}"/>
    <cellStyle name="_參天宮-竣工結算1127" xfId="479" xr:uid="{00000000-0005-0000-0000-0000510A0000}"/>
    <cellStyle name="_參天宮-竣工結算1127_施工日誌1" xfId="2102" xr:uid="{00000000-0005-0000-0000-0000520A0000}"/>
    <cellStyle name="_埤尾農路災害復建工程-數量表12-20" xfId="480" xr:uid="{00000000-0005-0000-0000-0000530A0000}"/>
    <cellStyle name="_埤尾農路災害復建工程-數量表12-20_施工日誌1" xfId="2103" xr:uid="{00000000-0005-0000-0000-0000540A0000}"/>
    <cellStyle name="_崙背鄉港尾村水汴頭美化休憩" xfId="1511" xr:uid="{00000000-0005-0000-0000-0000550A0000}"/>
    <cellStyle name="_崙背鄉港尾村水汴頭美化休憩 2" xfId="3750" xr:uid="{00000000-0005-0000-0000-0000560A0000}"/>
    <cellStyle name="_崙背鄉舊庄村內道路排水改善工程" xfId="1512" xr:uid="{00000000-0005-0000-0000-0000570A0000}"/>
    <cellStyle name="_崙背鄉舊庄村內道路排水改善工程 2" xfId="3751" xr:uid="{00000000-0005-0000-0000-0000580A0000}"/>
    <cellStyle name="_第24期公共工程價格資料庫下載區(中區) 所載編列" xfId="481" xr:uid="{00000000-0005-0000-0000-0000590A0000}"/>
    <cellStyle name="_第24期公共工程價格資料庫下載區(中區) 所載編列_施工日誌1" xfId="2104" xr:uid="{00000000-0005-0000-0000-00005A0A0000}"/>
    <cellStyle name="_荷包村及東村農路工程(1)" xfId="1513" xr:uid="{00000000-0005-0000-0000-00005B0A0000}"/>
    <cellStyle name="_荷包村及東村農路工程(1) 2" xfId="3752" xr:uid="{00000000-0005-0000-0000-00005C0A0000}"/>
    <cellStyle name="_荷包村及東村農路工程(1)_水洽" xfId="1514" xr:uid="{00000000-0005-0000-0000-00005D0A0000}"/>
    <cellStyle name="_荷包村及東村農路工程(1)_水洽 2" xfId="3753" xr:uid="{00000000-0005-0000-0000-00005E0A0000}"/>
    <cellStyle name="_荷包村及東村農路工程(1)_水洽_空.材抽" xfId="1515" xr:uid="{00000000-0005-0000-0000-00005F0A0000}"/>
    <cellStyle name="_荷包村及東村農路工程(1)_水洽_空.材抽 2" xfId="3754" xr:uid="{00000000-0005-0000-0000-0000600A0000}"/>
    <cellStyle name="_荷包村及東村農路工程(1)_水洽_華山地區農路聯絡道附屬改善工程196000" xfId="1516" xr:uid="{00000000-0005-0000-0000-0000610A0000}"/>
    <cellStyle name="_荷包村及東村農路工程(1)_水洽_華山地區農路聯絡道附屬改善工程196000 2" xfId="3755" xr:uid="{00000000-0005-0000-0000-0000620A0000}"/>
    <cellStyle name="_荷包村及東村農路工程(1)_水洽_華山地區農路聯絡道附屬改善工程196000_空.材抽" xfId="1517" xr:uid="{00000000-0005-0000-0000-0000630A0000}"/>
    <cellStyle name="_荷包村及東村農路工程(1)_水洽_華山地區農路聯絡道附屬改善工程196000_空.材抽 2" xfId="3756" xr:uid="{00000000-0005-0000-0000-0000640A0000}"/>
    <cellStyle name="_荷包村及東村農路工程(1)_田心" xfId="1518" xr:uid="{00000000-0005-0000-0000-0000650A0000}"/>
    <cellStyle name="_荷包村及東村農路工程(1)_田心 2" xfId="3757" xr:uid="{00000000-0005-0000-0000-0000660A0000}"/>
    <cellStyle name="_荷包村及東村農路工程(1)_田心_空.材抽" xfId="1519" xr:uid="{00000000-0005-0000-0000-0000670A0000}"/>
    <cellStyle name="_荷包村及東村農路工程(1)_田心_空.材抽 2" xfId="3758" xr:uid="{00000000-0005-0000-0000-0000680A0000}"/>
    <cellStyle name="_荷包村及東村農路工程(1)_田心_華山地區農路聯絡道附屬改善工程196000" xfId="1520" xr:uid="{00000000-0005-0000-0000-0000690A0000}"/>
    <cellStyle name="_荷包村及東村農路工程(1)_田心_華山地區農路聯絡道附屬改善工程196000 2" xfId="3759" xr:uid="{00000000-0005-0000-0000-00006A0A0000}"/>
    <cellStyle name="_荷包村及東村農路工程(1)_田心_華山地區農路聯絡道附屬改善工程196000_空.材抽" xfId="1521" xr:uid="{00000000-0005-0000-0000-00006B0A0000}"/>
    <cellStyle name="_荷包村及東村農路工程(1)_田心_華山地區農路聯絡道附屬改善工程196000_空.材抽 2" xfId="3760" xr:uid="{00000000-0005-0000-0000-00006C0A0000}"/>
    <cellStyle name="_荷包村及東村農路工程(1)_白蟻" xfId="1522" xr:uid="{00000000-0005-0000-0000-00006D0A0000}"/>
    <cellStyle name="_荷包村及東村農路工程(1)_白蟻 2" xfId="3761" xr:uid="{00000000-0005-0000-0000-00006E0A0000}"/>
    <cellStyle name="_荷包村及東村農路工程(1)_白蟻_空.材抽" xfId="1523" xr:uid="{00000000-0005-0000-0000-00006F0A0000}"/>
    <cellStyle name="_荷包村及東村農路工程(1)_白蟻_空.材抽 2" xfId="3762" xr:uid="{00000000-0005-0000-0000-0000700A0000}"/>
    <cellStyle name="_荷包村及東村農路工程(1)_白蟻_華山地區農路聯絡道附屬改善工程196000" xfId="1524" xr:uid="{00000000-0005-0000-0000-0000710A0000}"/>
    <cellStyle name="_荷包村及東村農路工程(1)_白蟻_華山地區農路聯絡道附屬改善工程196000 2" xfId="3763" xr:uid="{00000000-0005-0000-0000-0000720A0000}"/>
    <cellStyle name="_荷包村及東村農路工程(1)_白蟻_華山地區農路聯絡道附屬改善工程196000_空.材抽" xfId="1525" xr:uid="{00000000-0005-0000-0000-0000730A0000}"/>
    <cellStyle name="_荷包村及東村農路工程(1)_白蟻_華山地區農路聯絡道附屬改善工程196000_空.材抽 2" xfId="3764" xr:uid="{00000000-0005-0000-0000-0000740A0000}"/>
    <cellStyle name="_荷包村及東村農路工程(1)_空.材抽" xfId="1526" xr:uid="{00000000-0005-0000-0000-0000750A0000}"/>
    <cellStyle name="_荷包村及東村農路工程(1)_空.材抽 2" xfId="3765" xr:uid="{00000000-0005-0000-0000-0000760A0000}"/>
    <cellStyle name="_荷包村及東村農路工程(1)_修正 -草嶺村外湖部落排水工程" xfId="1527" xr:uid="{00000000-0005-0000-0000-0000770A0000}"/>
    <cellStyle name="_荷包村及東村農路工程(1)_修正 -草嶺村外湖部落排水工程 2" xfId="3766" xr:uid="{00000000-0005-0000-0000-0000780A0000}"/>
    <cellStyle name="_荷包村及東村農路工程(1)_修正 -草嶺村外湖部落排水工程_空.材抽" xfId="1528" xr:uid="{00000000-0005-0000-0000-0000790A0000}"/>
    <cellStyle name="_荷包村及東村農路工程(1)_修正 -草嶺村外湖部落排水工程_空.材抽 2" xfId="3767" xr:uid="{00000000-0005-0000-0000-00007A0A0000}"/>
    <cellStyle name="_荷包村及東村農路工程(1)_修正 -草嶺村外湖部落排水工程_華山地區農路聯絡道附屬改善工程196000" xfId="1529" xr:uid="{00000000-0005-0000-0000-00007B0A0000}"/>
    <cellStyle name="_荷包村及東村農路工程(1)_修正 -草嶺村外湖部落排水工程_華山地區農路聯絡道附屬改善工程196000 2" xfId="3768" xr:uid="{00000000-0005-0000-0000-00007C0A0000}"/>
    <cellStyle name="_荷包村及東村農路工程(1)_修正 -草嶺村外湖部落排水工程_華山地區農路聯絡道附屬改善工程196000_空.材抽" xfId="1530" xr:uid="{00000000-0005-0000-0000-00007D0A0000}"/>
    <cellStyle name="_荷包村及東村農路工程(1)_修正 -草嶺村外湖部落排水工程_華山地區農路聯絡道附屬改善工程196000_空.材抽 2" xfId="3769" xr:uid="{00000000-0005-0000-0000-00007E0A0000}"/>
    <cellStyle name="_荷包村及東村農路工程(1)_猴洞" xfId="1531" xr:uid="{00000000-0005-0000-0000-00007F0A0000}"/>
    <cellStyle name="_荷包村及東村農路工程(1)_猴洞 2" xfId="3770" xr:uid="{00000000-0005-0000-0000-0000800A0000}"/>
    <cellStyle name="_荷包村及東村農路工程(1)_猴洞_空.材抽" xfId="1532" xr:uid="{00000000-0005-0000-0000-0000810A0000}"/>
    <cellStyle name="_荷包村及東村農路工程(1)_猴洞_空.材抽 2" xfId="3771" xr:uid="{00000000-0005-0000-0000-0000820A0000}"/>
    <cellStyle name="_荷包村及東村農路工程(1)_猴洞_華山地區農路聯絡道附屬改善工程196000" xfId="1533" xr:uid="{00000000-0005-0000-0000-0000830A0000}"/>
    <cellStyle name="_荷包村及東村農路工程(1)_猴洞_華山地區農路聯絡道附屬改善工程196000 2" xfId="3772" xr:uid="{00000000-0005-0000-0000-0000840A0000}"/>
    <cellStyle name="_荷包村及東村農路工程(1)_猴洞_華山地區農路聯絡道附屬改善工程196000_空.材抽" xfId="1534" xr:uid="{00000000-0005-0000-0000-0000850A0000}"/>
    <cellStyle name="_荷包村及東村農路工程(1)_猴洞_華山地區農路聯絡道附屬改善工程196000_空.材抽 2" xfId="3773" xr:uid="{00000000-0005-0000-0000-0000860A0000}"/>
    <cellStyle name="_荷包村及東村農路工程(1)_華山地區農路聯絡道附屬改善工程196000" xfId="1535" xr:uid="{00000000-0005-0000-0000-0000870A0000}"/>
    <cellStyle name="_荷包村及東村農路工程(1)_華山地區農路聯絡道附屬改善工程196000 2" xfId="3774" xr:uid="{00000000-0005-0000-0000-0000880A0000}"/>
    <cellStyle name="_荷包村及東村農路工程(1)_華山地區農路聯絡道附屬改善工程196000_空.材抽" xfId="1536" xr:uid="{00000000-0005-0000-0000-0000890A0000}"/>
    <cellStyle name="_荷包村及東村農路工程(1)_華山地區農路聯絡道附屬改善工程196000_空.材抽 2" xfId="3775" xr:uid="{00000000-0005-0000-0000-00008A0A0000}"/>
    <cellStyle name="_荷包村及東村農路工程(1)_新厝" xfId="1537" xr:uid="{00000000-0005-0000-0000-00008B0A0000}"/>
    <cellStyle name="_荷包村及東村農路工程(1)_新厝 2" xfId="3776" xr:uid="{00000000-0005-0000-0000-00008C0A0000}"/>
    <cellStyle name="_荷包村及東村農路工程(1)_新厝_空.材抽" xfId="1538" xr:uid="{00000000-0005-0000-0000-00008D0A0000}"/>
    <cellStyle name="_荷包村及東村農路工程(1)_新厝_空.材抽 2" xfId="3777" xr:uid="{00000000-0005-0000-0000-00008E0A0000}"/>
    <cellStyle name="_荷包村及東村農路工程(1)_新厝_華山地區農路聯絡道附屬改善工程196000" xfId="1539" xr:uid="{00000000-0005-0000-0000-00008F0A0000}"/>
    <cellStyle name="_荷包村及東村農路工程(1)_新厝_華山地區農路聯絡道附屬改善工程196000 2" xfId="3778" xr:uid="{00000000-0005-0000-0000-0000900A0000}"/>
    <cellStyle name="_荷包村及東村農路工程(1)_新厝_華山地區農路聯絡道附屬改善工程196000_空.材抽" xfId="1540" xr:uid="{00000000-0005-0000-0000-0000910A0000}"/>
    <cellStyle name="_荷包村及東村農路工程(1)_新厝_華山地區農路聯絡道附屬改善工程196000_空.材抽 2" xfId="3779" xr:uid="{00000000-0005-0000-0000-0000920A0000}"/>
    <cellStyle name="_荷包村及東村農路工程(1)_漁池與石" xfId="1541" xr:uid="{00000000-0005-0000-0000-0000930A0000}"/>
    <cellStyle name="_荷包村及東村農路工程(1)_漁池與石 2" xfId="3780" xr:uid="{00000000-0005-0000-0000-0000940A0000}"/>
    <cellStyle name="_荷包村及東村農路工程(1)_漁池與石_空.材抽" xfId="1542" xr:uid="{00000000-0005-0000-0000-0000950A0000}"/>
    <cellStyle name="_荷包村及東村農路工程(1)_漁池與石_空.材抽 2" xfId="3781" xr:uid="{00000000-0005-0000-0000-0000960A0000}"/>
    <cellStyle name="_荷包村及東村農路工程(1)_漁池與石_華山地區農路聯絡道附屬改善工程196000" xfId="1543" xr:uid="{00000000-0005-0000-0000-0000970A0000}"/>
    <cellStyle name="_荷包村及東村農路工程(1)_漁池與石_華山地區農路聯絡道附屬改善工程196000 2" xfId="3782" xr:uid="{00000000-0005-0000-0000-0000980A0000}"/>
    <cellStyle name="_荷包村及東村農路工程(1)_漁池與石_華山地區農路聯絡道附屬改善工程196000_空.材抽" xfId="1544" xr:uid="{00000000-0005-0000-0000-0000990A0000}"/>
    <cellStyle name="_荷包村及東村農路工程(1)_漁池與石_華山地區農路聯絡道附屬改善工程196000_空.材抽 2" xfId="3783" xr:uid="{00000000-0005-0000-0000-00009A0A0000}"/>
    <cellStyle name="_荷包村及東村農路工程(1)_漁池與石_漁池與石(1)" xfId="1545" xr:uid="{00000000-0005-0000-0000-00009B0A0000}"/>
    <cellStyle name="_荷包村及東村農路工程(1)_漁池與石_漁池與石(1) 2" xfId="3784" xr:uid="{00000000-0005-0000-0000-00009C0A0000}"/>
    <cellStyle name="_荷包村及東村農路工程(1)_漁池與石_漁池與石(1)_水洽" xfId="1546" xr:uid="{00000000-0005-0000-0000-00009D0A0000}"/>
    <cellStyle name="_荷包村及東村農路工程(1)_漁池與石_漁池與石(1)_水洽 2" xfId="3785" xr:uid="{00000000-0005-0000-0000-00009E0A0000}"/>
    <cellStyle name="_荷包村及東村農路工程(1)_漁池與石_漁池與石(1)_水洽_空.材抽" xfId="1547" xr:uid="{00000000-0005-0000-0000-00009F0A0000}"/>
    <cellStyle name="_荷包村及東村農路工程(1)_漁池與石_漁池與石(1)_水洽_空.材抽 2" xfId="3786" xr:uid="{00000000-0005-0000-0000-0000A00A0000}"/>
    <cellStyle name="_荷包村及東村農路工程(1)_漁池與石_漁池與石(1)_水洽_華山地區農路聯絡道附屬改善工程196000" xfId="1548" xr:uid="{00000000-0005-0000-0000-0000A10A0000}"/>
    <cellStyle name="_荷包村及東村農路工程(1)_漁池與石_漁池與石(1)_水洽_華山地區農路聯絡道附屬改善工程196000 2" xfId="3787" xr:uid="{00000000-0005-0000-0000-0000A20A0000}"/>
    <cellStyle name="_荷包村及東村農路工程(1)_漁池與石_漁池與石(1)_水洽_華山地區農路聯絡道附屬改善工程196000_空.材抽" xfId="1549" xr:uid="{00000000-0005-0000-0000-0000A30A0000}"/>
    <cellStyle name="_荷包村及東村農路工程(1)_漁池與石_漁池與石(1)_水洽_華山地區農路聯絡道附屬改善工程196000_空.材抽 2" xfId="3788" xr:uid="{00000000-0005-0000-0000-0000A40A0000}"/>
    <cellStyle name="_荷包村及東村農路工程(1)_漁池與石_漁池與石(1)_田心" xfId="1550" xr:uid="{00000000-0005-0000-0000-0000A50A0000}"/>
    <cellStyle name="_荷包村及東村農路工程(1)_漁池與石_漁池與石(1)_田心 2" xfId="3789" xr:uid="{00000000-0005-0000-0000-0000A60A0000}"/>
    <cellStyle name="_荷包村及東村農路工程(1)_漁池與石_漁池與石(1)_田心_空.材抽" xfId="1551" xr:uid="{00000000-0005-0000-0000-0000A70A0000}"/>
    <cellStyle name="_荷包村及東村農路工程(1)_漁池與石_漁池與石(1)_田心_空.材抽 2" xfId="3790" xr:uid="{00000000-0005-0000-0000-0000A80A0000}"/>
    <cellStyle name="_荷包村及東村農路工程(1)_漁池與石_漁池與石(1)_田心_華山地區農路聯絡道附屬改善工程196000" xfId="1552" xr:uid="{00000000-0005-0000-0000-0000A90A0000}"/>
    <cellStyle name="_荷包村及東村農路工程(1)_漁池與石_漁池與石(1)_田心_華山地區農路聯絡道附屬改善工程196000 2" xfId="3791" xr:uid="{00000000-0005-0000-0000-0000AA0A0000}"/>
    <cellStyle name="_荷包村及東村農路工程(1)_漁池與石_漁池與石(1)_田心_華山地區農路聯絡道附屬改善工程196000_空.材抽" xfId="1553" xr:uid="{00000000-0005-0000-0000-0000AB0A0000}"/>
    <cellStyle name="_荷包村及東村農路工程(1)_漁池與石_漁池與石(1)_田心_華山地區農路聯絡道附屬改善工程196000_空.材抽 2" xfId="3792" xr:uid="{00000000-0005-0000-0000-0000AC0A0000}"/>
    <cellStyle name="_荷包村及東村農路工程(1)_漁池與石_漁池與石(1)_白蟻" xfId="1554" xr:uid="{00000000-0005-0000-0000-0000AD0A0000}"/>
    <cellStyle name="_荷包村及東村農路工程(1)_漁池與石_漁池與石(1)_白蟻 2" xfId="3793" xr:uid="{00000000-0005-0000-0000-0000AE0A0000}"/>
    <cellStyle name="_荷包村及東村農路工程(1)_漁池與石_漁池與石(1)_白蟻_空.材抽" xfId="1555" xr:uid="{00000000-0005-0000-0000-0000AF0A0000}"/>
    <cellStyle name="_荷包村及東村農路工程(1)_漁池與石_漁池與石(1)_白蟻_空.材抽 2" xfId="3794" xr:uid="{00000000-0005-0000-0000-0000B00A0000}"/>
    <cellStyle name="_荷包村及東村農路工程(1)_漁池與石_漁池與石(1)_白蟻_華山地區農路聯絡道附屬改善工程196000" xfId="1556" xr:uid="{00000000-0005-0000-0000-0000B10A0000}"/>
    <cellStyle name="_荷包村及東村農路工程(1)_漁池與石_漁池與石(1)_白蟻_華山地區農路聯絡道附屬改善工程196000 2" xfId="3795" xr:uid="{00000000-0005-0000-0000-0000B20A0000}"/>
    <cellStyle name="_荷包村及東村農路工程(1)_漁池與石_漁池與石(1)_白蟻_華山地區農路聯絡道附屬改善工程196000_空.材抽" xfId="1557" xr:uid="{00000000-0005-0000-0000-0000B30A0000}"/>
    <cellStyle name="_荷包村及東村農路工程(1)_漁池與石_漁池與石(1)_白蟻_華山地區農路聯絡道附屬改善工程196000_空.材抽 2" xfId="3796" xr:uid="{00000000-0005-0000-0000-0000B40A0000}"/>
    <cellStyle name="_荷包村及東村農路工程(1)_漁池與石_漁池與石(1)_空.材抽" xfId="1558" xr:uid="{00000000-0005-0000-0000-0000B50A0000}"/>
    <cellStyle name="_荷包村及東村農路工程(1)_漁池與石_漁池與石(1)_空.材抽 2" xfId="3797" xr:uid="{00000000-0005-0000-0000-0000B60A0000}"/>
    <cellStyle name="_荷包村及東村農路工程(1)_漁池與石_漁池與石(1)_修正 -草嶺村外湖部落排水工程" xfId="1559" xr:uid="{00000000-0005-0000-0000-0000B70A0000}"/>
    <cellStyle name="_荷包村及東村農路工程(1)_漁池與石_漁池與石(1)_修正 -草嶺村外湖部落排水工程 2" xfId="3798" xr:uid="{00000000-0005-0000-0000-0000B80A0000}"/>
    <cellStyle name="_荷包村及東村農路工程(1)_漁池與石_漁池與石(1)_修正 -草嶺村外湖部落排水工程_空.材抽" xfId="1560" xr:uid="{00000000-0005-0000-0000-0000B90A0000}"/>
    <cellStyle name="_荷包村及東村農路工程(1)_漁池與石_漁池與石(1)_修正 -草嶺村外湖部落排水工程_空.材抽 2" xfId="3799" xr:uid="{00000000-0005-0000-0000-0000BA0A0000}"/>
    <cellStyle name="_荷包村及東村農路工程(1)_漁池與石_漁池與石(1)_修正 -草嶺村外湖部落排水工程_華山地區農路聯絡道附屬改善工程196000" xfId="1561" xr:uid="{00000000-0005-0000-0000-0000BB0A0000}"/>
    <cellStyle name="_荷包村及東村農路工程(1)_漁池與石_漁池與石(1)_修正 -草嶺村外湖部落排水工程_華山地區農路聯絡道附屬改善工程196000 2" xfId="3800" xr:uid="{00000000-0005-0000-0000-0000BC0A0000}"/>
    <cellStyle name="_荷包村及東村農路工程(1)_漁池與石_漁池與石(1)_修正 -草嶺村外湖部落排水工程_華山地區農路聯絡道附屬改善工程196000_空.材抽" xfId="1562" xr:uid="{00000000-0005-0000-0000-0000BD0A0000}"/>
    <cellStyle name="_荷包村及東村農路工程(1)_漁池與石_漁池與石(1)_修正 -草嶺村外湖部落排水工程_華山地區農路聯絡道附屬改善工程196000_空.材抽 2" xfId="3801" xr:uid="{00000000-0005-0000-0000-0000BE0A0000}"/>
    <cellStyle name="_荷包村及東村農路工程(1)_漁池與石_漁池與石(1)_猴洞" xfId="1563" xr:uid="{00000000-0005-0000-0000-0000BF0A0000}"/>
    <cellStyle name="_荷包村及東村農路工程(1)_漁池與石_漁池與石(1)_猴洞 2" xfId="3802" xr:uid="{00000000-0005-0000-0000-0000C00A0000}"/>
    <cellStyle name="_荷包村及東村農路工程(1)_漁池與石_漁池與石(1)_猴洞_空.材抽" xfId="1564" xr:uid="{00000000-0005-0000-0000-0000C10A0000}"/>
    <cellStyle name="_荷包村及東村農路工程(1)_漁池與石_漁池與石(1)_猴洞_空.材抽 2" xfId="3803" xr:uid="{00000000-0005-0000-0000-0000C20A0000}"/>
    <cellStyle name="_荷包村及東村農路工程(1)_漁池與石_漁池與石(1)_猴洞_華山地區農路聯絡道附屬改善工程196000" xfId="1565" xr:uid="{00000000-0005-0000-0000-0000C30A0000}"/>
    <cellStyle name="_荷包村及東村農路工程(1)_漁池與石_漁池與石(1)_猴洞_華山地區農路聯絡道附屬改善工程196000 2" xfId="3804" xr:uid="{00000000-0005-0000-0000-0000C40A0000}"/>
    <cellStyle name="_荷包村及東村農路工程(1)_漁池與石_漁池與石(1)_猴洞_華山地區農路聯絡道附屬改善工程196000_空.材抽" xfId="1566" xr:uid="{00000000-0005-0000-0000-0000C50A0000}"/>
    <cellStyle name="_荷包村及東村農路工程(1)_漁池與石_漁池與石(1)_猴洞_華山地區農路聯絡道附屬改善工程196000_空.材抽 2" xfId="3805" xr:uid="{00000000-0005-0000-0000-0000C60A0000}"/>
    <cellStyle name="_荷包村及東村農路工程(1)_漁池與石_漁池與石(1)_華山地區農路聯絡道附屬改善工程196000" xfId="1567" xr:uid="{00000000-0005-0000-0000-0000C70A0000}"/>
    <cellStyle name="_荷包村及東村農路工程(1)_漁池與石_漁池與石(1)_華山地區農路聯絡道附屬改善工程196000 2" xfId="3806" xr:uid="{00000000-0005-0000-0000-0000C80A0000}"/>
    <cellStyle name="_荷包村及東村農路工程(1)_漁池與石_漁池與石(1)_華山地區農路聯絡道附屬改善工程196000_空.材抽" xfId="1568" xr:uid="{00000000-0005-0000-0000-0000C90A0000}"/>
    <cellStyle name="_荷包村及東村農路工程(1)_漁池與石_漁池與石(1)_華山地區農路聯絡道附屬改善工程196000_空.材抽 2" xfId="3807" xr:uid="{00000000-0005-0000-0000-0000CA0A0000}"/>
    <cellStyle name="_荷包村及東村農路工程(1)_漁池與石_漁池與石(1)_新厝" xfId="1569" xr:uid="{00000000-0005-0000-0000-0000CB0A0000}"/>
    <cellStyle name="_荷包村及東村農路工程(1)_漁池與石_漁池與石(1)_新厝 2" xfId="3808" xr:uid="{00000000-0005-0000-0000-0000CC0A0000}"/>
    <cellStyle name="_荷包村及東村農路工程(1)_漁池與石_漁池與石(1)_新厝_空.材抽" xfId="1570" xr:uid="{00000000-0005-0000-0000-0000CD0A0000}"/>
    <cellStyle name="_荷包村及東村農路工程(1)_漁池與石_漁池與石(1)_新厝_空.材抽 2" xfId="3809" xr:uid="{00000000-0005-0000-0000-0000CE0A0000}"/>
    <cellStyle name="_荷包村及東村農路工程(1)_漁池與石_漁池與石(1)_新厝_華山地區農路聯絡道附屬改善工程196000" xfId="1571" xr:uid="{00000000-0005-0000-0000-0000CF0A0000}"/>
    <cellStyle name="_荷包村及東村農路工程(1)_漁池與石_漁池與石(1)_新厝_華山地區農路聯絡道附屬改善工程196000 2" xfId="3810" xr:uid="{00000000-0005-0000-0000-0000D00A0000}"/>
    <cellStyle name="_荷包村及東村農路工程(1)_漁池與石_漁池與石(1)_新厝_華山地區農路聯絡道附屬改善工程196000_空.材抽" xfId="1572" xr:uid="{00000000-0005-0000-0000-0000D10A0000}"/>
    <cellStyle name="_荷包村及東村農路工程(1)_漁池與石_漁池與石(1)_新厝_華山地區農路聯絡道附屬改善工程196000_空.材抽 2" xfId="3811" xr:uid="{00000000-0005-0000-0000-0000D20A0000}"/>
    <cellStyle name="_荷包村及東村農路工程(1)_漁池與石_漁池與石(1)_漁池與石" xfId="1573" xr:uid="{00000000-0005-0000-0000-0000D30A0000}"/>
    <cellStyle name="_荷包村及東村農路工程(1)_漁池與石_漁池與石(1)_漁池與石 2" xfId="3812" xr:uid="{00000000-0005-0000-0000-0000D40A0000}"/>
    <cellStyle name="_荷包村及東村農路工程(1)_漁池與石_漁池與石(1)_漁池與石_空.材抽" xfId="1574" xr:uid="{00000000-0005-0000-0000-0000D50A0000}"/>
    <cellStyle name="_荷包村及東村農路工程(1)_漁池與石_漁池與石(1)_漁池與石_空.材抽 2" xfId="3813" xr:uid="{00000000-0005-0000-0000-0000D60A0000}"/>
    <cellStyle name="_荷包村及東村農路工程(1)_漁池與石_漁池與石(1)_漁池與石_華山地區農路聯絡道附屬改善工程196000" xfId="1575" xr:uid="{00000000-0005-0000-0000-0000D70A0000}"/>
    <cellStyle name="_荷包村及東村農路工程(1)_漁池與石_漁池與石(1)_漁池與石_華山地區農路聯絡道附屬改善工程196000 2" xfId="3814" xr:uid="{00000000-0005-0000-0000-0000D80A0000}"/>
    <cellStyle name="_荷包村及東村農路工程(1)_漁池與石_漁池與石(1)_漁池與石_華山地區農路聯絡道附屬改善工程196000_空.材抽" xfId="1576" xr:uid="{00000000-0005-0000-0000-0000D90A0000}"/>
    <cellStyle name="_荷包村及東村農路工程(1)_漁池與石_漁池與石(1)_漁池與石_華山地區農路聯絡道附屬改善工程196000_空.材抽 2" xfId="3815" xr:uid="{00000000-0005-0000-0000-0000DA0A0000}"/>
    <cellStyle name="_頂寮大排護坡復建工程【98.10.29結算】" xfId="3816" xr:uid="{00000000-0005-0000-0000-0000DB0A0000}"/>
    <cellStyle name="_單價" xfId="1577" xr:uid="{00000000-0005-0000-0000-0000DC0A0000}"/>
    <cellStyle name="_單價 2" xfId="3817" xr:uid="{00000000-0005-0000-0000-0000DD0A0000}"/>
    <cellStyle name="_單價_1" xfId="1578" xr:uid="{00000000-0005-0000-0000-0000DE0A0000}"/>
    <cellStyle name="_單價_1 2" xfId="3818" xr:uid="{00000000-0005-0000-0000-0000DF0A0000}"/>
    <cellStyle name="_單價分析 (2)" xfId="1579" xr:uid="{00000000-0005-0000-0000-0000E00A0000}"/>
    <cellStyle name="_單價分析 (2) 2" xfId="3819" xr:uid="{00000000-0005-0000-0000-0000E10A0000}"/>
    <cellStyle name="_竣工" xfId="482" xr:uid="{00000000-0005-0000-0000-0000E20A0000}"/>
    <cellStyle name="_竣工_【竣工】" xfId="483" xr:uid="{00000000-0005-0000-0000-0000E30A0000}"/>
    <cellStyle name="_竣工_【竣工】_施工日誌1" xfId="2106" xr:uid="{00000000-0005-0000-0000-0000E40A0000}"/>
    <cellStyle name="_竣工_三條崙重劃區東西6路農路排水改善工程【議價】" xfId="484" xr:uid="{00000000-0005-0000-0000-0000E50A0000}"/>
    <cellStyle name="_竣工_三條崙重劃區東西6路農路排水改善工程【議價】_施工日誌1" xfId="2107" xr:uid="{00000000-0005-0000-0000-0000E60A0000}"/>
    <cellStyle name="_竣工_四湖鄉101年度轄內河川及區域排水瓶頸段減災工程(預估)【變更設計】" xfId="485" xr:uid="{00000000-0005-0000-0000-0000E70A0000}"/>
    <cellStyle name="_竣工_四湖鄉101年度轄內河川及區域排水瓶頸段減災工程(預估)【變更設計】_施工日誌1" xfId="2108" xr:uid="{00000000-0005-0000-0000-0000E80A0000}"/>
    <cellStyle name="_竣工_東勢鄉東同安農地重劃區小排1-22農水路改善工程(變更設計)" xfId="486" xr:uid="{00000000-0005-0000-0000-0000E90A0000}"/>
    <cellStyle name="_竣工_東勢鄉東同安農地重劃區小排1-22農水路改善工程(變更設計)_施工日誌1" xfId="2109" xr:uid="{00000000-0005-0000-0000-0000EA0A0000}"/>
    <cellStyle name="_竣工_東勢鄉東同安農地重劃區小排1-22農水路改善工程【竣工】" xfId="487" xr:uid="{00000000-0005-0000-0000-0000EB0A0000}"/>
    <cellStyle name="_竣工_東勢鄉東同安農地重劃區小排1-22農水路改善工程【竣工】_施工日誌1" xfId="2110" xr:uid="{00000000-0005-0000-0000-0000EC0A0000}"/>
    <cellStyle name="_竣工_施工日誌1" xfId="2105" xr:uid="{00000000-0005-0000-0000-0000ED0A0000}"/>
    <cellStyle name="_竣工_雲林縣立斗六運動公園排水工程整建(竣工)" xfId="488" xr:uid="{00000000-0005-0000-0000-0000EE0A0000}"/>
    <cellStyle name="_竣工_雲林縣立斗六運動公園排水工程整建(竣工)_施工日誌1" xfId="2111" xr:uid="{00000000-0005-0000-0000-0000EF0A0000}"/>
    <cellStyle name="_竣工明細表1217" xfId="489" xr:uid="{00000000-0005-0000-0000-0000F00A0000}"/>
    <cellStyle name="_竣工明細表1217 2" xfId="3820" xr:uid="{00000000-0005-0000-0000-0000F10A0000}"/>
    <cellStyle name="_竣工明細表1217_施工日誌1" xfId="2112" xr:uid="{00000000-0005-0000-0000-0000F20A0000}"/>
    <cellStyle name="_竣工結算0716" xfId="490" xr:uid="{00000000-0005-0000-0000-0000F30A0000}"/>
    <cellStyle name="_竣工結算0716_施工日誌1" xfId="2113" xr:uid="{00000000-0005-0000-0000-0000F40A0000}"/>
    <cellStyle name="_結算1104" xfId="491" xr:uid="{00000000-0005-0000-0000-0000F50A0000}"/>
    <cellStyle name="_結算1104_施工日誌1" xfId="2114" xr:uid="{00000000-0005-0000-0000-0000F60A0000}"/>
    <cellStyle name="_結算-西螺鎮大新里道路改善工程" xfId="492" xr:uid="{00000000-0005-0000-0000-0000F70A0000}"/>
    <cellStyle name="_結算-西螺鎮大新里道路改善工程 2" xfId="3821" xr:uid="{00000000-0005-0000-0000-0000F80A0000}"/>
    <cellStyle name="_結算-西螺鎮大新里道路改善工程_芊蓁籠農路邊坡災害復建工程【變更】" xfId="493" xr:uid="{00000000-0005-0000-0000-0000F90A0000}"/>
    <cellStyle name="_結算-西螺鎮大新里道路改善工程_芊蓁籠農路邊坡災害復建工程【變更】_施工日誌1" xfId="2116" xr:uid="{00000000-0005-0000-0000-0000FA0A0000}"/>
    <cellStyle name="_結算-西螺鎮大新里道路改善工程_施工日誌1" xfId="2115" xr:uid="{00000000-0005-0000-0000-0000FB0A0000}"/>
    <cellStyle name="_結算-西螺鎮大新里道路改善工程_普令厝農地重劃區西33路農水路改善工程" xfId="494" xr:uid="{00000000-0005-0000-0000-0000FC0A0000}"/>
    <cellStyle name="_結算-西螺鎮大新里道路改善工程_普令厝農地重劃區西33路農水路改善工程 2" xfId="3822" xr:uid="{00000000-0005-0000-0000-0000FD0A0000}"/>
    <cellStyle name="_結算-西螺鎮大新里道路改善工程_普令厝農地重劃區西33路農水路改善工程_土庫鎮埤腳里道路、排水溝改善工程101.05.18(修正3確定)" xfId="3823" xr:uid="{00000000-0005-0000-0000-0000FE0A0000}"/>
    <cellStyle name="_結算-西螺鎮大新里道路改善工程_普令厝農地重劃區西33路農水路改善工程_元長鄉長南村巷道排水改善工程" xfId="3824" xr:uid="{00000000-0005-0000-0000-0000FF0A0000}"/>
    <cellStyle name="_結算-西螺鎮大新里道路改善工程_普令厝農地重劃區西33路農水路改善工程_斗南鎮久安農地重劃區V51路農路路面改善工程" xfId="5206" xr:uid="{00000000-0005-0000-0000-0000000B0000}"/>
    <cellStyle name="_結算-西螺鎮大新里道路改善工程_普令厝農地重劃區西33路農水路改善工程_斗南鎮田頭農地重劃區農路改善工程" xfId="5207" xr:uid="{00000000-0005-0000-0000-0000010B0000}"/>
    <cellStyle name="_結算-西螺鎮大新里道路改善工程_普令厝農地重劃區西33路農水路改善工程_斗南鎮西岐里舊社里等路面改善工程-100.05.18" xfId="3825" xr:uid="{00000000-0005-0000-0000-0000020B0000}"/>
    <cellStyle name="_結算-西螺鎮大新里道路改善工程_普令厝農地重劃區西33路農水路改善工程_斗南鎮阿丹里、林子里相關公共設施改善工程100.11.29" xfId="3826" xr:uid="{00000000-0005-0000-0000-0000030B0000}"/>
    <cellStyle name="_結算-西螺鎮大新里道路改善工程_普令厝農地重劃區西33路農水路改善工程_斗南鎮將軍里等路面及附屬設施改善工程" xfId="3827" xr:uid="{00000000-0005-0000-0000-0000040B0000}"/>
    <cellStyle name="_結算-西螺鎮大新里道路改善工程_普令厝農地重劃區西33路農水路改善工程_古坑鄉大湖底段及麻園段路面改善工程" xfId="3828" xr:uid="{00000000-0005-0000-0000-0000050B0000}"/>
    <cellStyle name="_結算-西螺鎮大新里道路改善工程_普令厝農地重劃區西33路農水路改善工程_台西海埔地南4路排水9907豪雨災害復建工程" xfId="3829" xr:uid="{00000000-0005-0000-0000-0000060B0000}"/>
    <cellStyle name="_結算-西螺鎮大新里道路改善工程_普令厝農地重劃區西33路農水路改善工程_台西鄉四美重劃區南北幹路4農路復建工程" xfId="495" xr:uid="{00000000-0005-0000-0000-0000070B0000}"/>
    <cellStyle name="_結算-西螺鎮大新里道路改善工程_普令厝農地重劃區西33路農水路改善工程_台西鄉四美重劃區南北幹路4農路復建工程 2" xfId="3830" xr:uid="{00000000-0005-0000-0000-0000080B0000}"/>
    <cellStyle name="_結算-西螺鎮大新里道路改善工程_普令厝農地重劃區西33路農水路改善工程_台西鄉四美重劃區南北幹路4農路復建工程_施工日誌1" xfId="2118" xr:uid="{00000000-0005-0000-0000-0000090B0000}"/>
    <cellStyle name="_結算-西螺鎮大新里道路改善工程_普令厝農地重劃區西33路農水路改善工程_東勢鄉新坤村及麥寮鄉海豐村道路排水改善工程" xfId="5208" xr:uid="{00000000-0005-0000-0000-00000A0B0000}"/>
    <cellStyle name="_結算-西螺鎮大新里道路改善工程_普令厝農地重劃區西33路農水路改善工程_林縣臺西鄉A10~A12雨水下水道建設工程(增減明細)" xfId="3831" xr:uid="{00000000-0005-0000-0000-00000B0B0000}"/>
    <cellStyle name="_結算-西螺鎮大新里道路改善工程_普令厝農地重劃區西33路農水路改善工程_虎尾鎮新吉里竹圍子農村社區生態魚池暨運動公園道路與排水改善工程(預算書)" xfId="3832" xr:uid="{00000000-0005-0000-0000-00000C0B0000}"/>
    <cellStyle name="_結算-西螺鎮大新里道路改善工程_普令厝農地重劃區西33路農水路改善工程_虎尾鎮新吉里竹圍子農村社區生態魚池暨運動公園道路與排水改善工程(確定)" xfId="5209" xr:uid="{00000000-0005-0000-0000-00000D0B0000}"/>
    <cellStyle name="_結算-西螺鎮大新里道路改善工程_普令厝農地重劃區西33路農水路改善工程_長北村等巷道排水改善工程" xfId="3833" xr:uid="{00000000-0005-0000-0000-00000E0B0000}"/>
    <cellStyle name="_結算-西螺鎮大新里道路改善工程_普令厝農地重劃區西33路農水路改善工程_後溝子一農地重劃區南北八路農路改善工程" xfId="496" xr:uid="{00000000-0005-0000-0000-00000F0B0000}"/>
    <cellStyle name="_結算-西螺鎮大新里道路改善工程_普令厝農地重劃區西33路農水路改善工程_後溝子一農地重劃區南北八路農路改善工程 2" xfId="3834" xr:uid="{00000000-0005-0000-0000-0000100B0000}"/>
    <cellStyle name="_結算-西螺鎮大新里道路改善工程_普令厝農地重劃區西33路農水路改善工程_後溝子一農地重劃區南北八路農路改善工程_施工日誌1" xfId="2119" xr:uid="{00000000-0005-0000-0000-0000110B0000}"/>
    <cellStyle name="_結算-西螺鎮大新里道路改善工程_普令厝農地重劃區西33路農水路改善工程_施工日誌1" xfId="2117" xr:uid="{00000000-0005-0000-0000-0000120B0000}"/>
    <cellStyle name="_結算-西螺鎮大新里道路改善工程_普令厝農地重劃區西33路農水路改善工程_崙背鄉雨水下水道清淤疏浚維護工程" xfId="497" xr:uid="{00000000-0005-0000-0000-0000130B0000}"/>
    <cellStyle name="_結算-西螺鎮大新里道路改善工程_普令厝農地重劃區西33路農水路改善工程_崙背鄉雨水下水道清淤疏浚維護工程 2" xfId="3835" xr:uid="{00000000-0005-0000-0000-0000140B0000}"/>
    <cellStyle name="_結算-西螺鎮大新里道路改善工程_普令厝農地重劃區西33路農水路改善工程_崙背鄉雨水下水道清淤疏浚維護工程_施工日誌1" xfId="2120" xr:uid="{00000000-0005-0000-0000-0000150B0000}"/>
    <cellStyle name="_結算-西螺鎮大新里道路改善工程_普令厝農地重劃區西33路農水路改善工程_鹿寮農地重劃區補路農路改善工程等七件工程" xfId="498" xr:uid="{00000000-0005-0000-0000-0000160B0000}"/>
    <cellStyle name="_結算-西螺鎮大新里道路改善工程_普令厝農地重劃區西33路農水路改善工程_鹿寮農地重劃區補路農路改善工程等七件工程 2" xfId="3836" xr:uid="{00000000-0005-0000-0000-0000170B0000}"/>
    <cellStyle name="_結算-西螺鎮大新里道路改善工程_普令厝農地重劃區西33路農水路改善工程_鹿寮農地重劃區補路農路改善工程等七件工程_施工日誌1" xfId="2121" xr:uid="{00000000-0005-0000-0000-0000180B0000}"/>
    <cellStyle name="_結算-西螺鎮大新里道路改善工程_普令厝農地重劃區西33路農水路改善工程_普令厝農地重劃區西33路農水路改善工程" xfId="499" xr:uid="{00000000-0005-0000-0000-0000190B0000}"/>
    <cellStyle name="_結算-西螺鎮大新里道路改善工程_普令厝農地重劃區西33路農水路改善工程_普令厝農地重劃區西33路農水路改善工程 2" xfId="3837" xr:uid="{00000000-0005-0000-0000-00001A0B0000}"/>
    <cellStyle name="_結算-西螺鎮大新里道路改善工程_普令厝農地重劃區西33路農水路改善工程_普令厝農地重劃區西33路農水路改善工程_施工日誌1" xfId="2122" xr:uid="{00000000-0005-0000-0000-00001B0B0000}"/>
    <cellStyle name="_結算-西螺鎮大新里道路改善工程_普令厝農地重劃區西33路農水路改善工程_雲林縣崙背鄉雨水下水道清淤工程" xfId="500" xr:uid="{00000000-0005-0000-0000-00001C0B0000}"/>
    <cellStyle name="_結算-西螺鎮大新里道路改善工程_普令厝農地重劃區西33路農水路改善工程_雲林縣崙背鄉雨水下水道清淤工程 2" xfId="3838" xr:uid="{00000000-0005-0000-0000-00001D0B0000}"/>
    <cellStyle name="_結算-西螺鎮大新里道路改善工程_普令厝農地重劃區西33路農水路改善工程_雲林縣崙背鄉雨水下水道清淤工程_施工日誌1" xfId="2123" xr:uid="{00000000-0005-0000-0000-00001E0B0000}"/>
    <cellStyle name="_結算-西螺鎮大新里道路改善工程_普令厝農地重劃區西33路農水路改善工程_雲林縣臺西鄉A9～A9-3雨水下水道建設工程" xfId="3839" xr:uid="{00000000-0005-0000-0000-00001F0B0000}"/>
    <cellStyle name="_結算-西螺鎮大新里道路改善工程_普令厝農地重劃區西33路農水路改善工程_臺西鄉(凡那比颱風)鄉內道路排水災害復建工程" xfId="501" xr:uid="{00000000-0005-0000-0000-0000200B0000}"/>
    <cellStyle name="_結算-西螺鎮大新里道路改善工程_普令厝農地重劃區西33路農水路改善工程_臺西鄉(凡那比颱風)鄉內道路排水災害復建工程 2" xfId="3840" xr:uid="{00000000-0005-0000-0000-0000210B0000}"/>
    <cellStyle name="_結算-西螺鎮大新里道路改善工程_普令厝農地重劃區西33路農水路改善工程_臺西鄉(凡那比颱風)鄉內道路排水災害復建工程_施工日誌1" xfId="2124" xr:uid="{00000000-0005-0000-0000-0000220B0000}"/>
    <cellStyle name="_結算-西螺鎮大新里道路改善工程_普令厝農地重劃區西33路農水路改善工程_臺西鄉蚊港村蚊港巷道改善工程" xfId="3841" xr:uid="{00000000-0005-0000-0000-0000230B0000}"/>
    <cellStyle name="_結算-西螺鎮大新里道路改善工程_普令厝農地重劃區西33路農水路改善工程_臺西鄉普令厝重劃區西8路等道路排水改善工程(確定案)" xfId="502" xr:uid="{00000000-0005-0000-0000-0000240B0000}"/>
    <cellStyle name="_結算-西螺鎮大新里道路改善工程_普令厝農地重劃區西33路農水路改善工程_臺西鄉普令厝重劃區西8路等道路排水改善工程(確定案) 2" xfId="3842" xr:uid="{00000000-0005-0000-0000-0000250B0000}"/>
    <cellStyle name="_結算-西螺鎮大新里道路改善工程_普令厝農地重劃區西33路農水路改善工程_臺西鄉普令厝重劃區西8路等道路排水改善工程(確定案)_施工日誌1" xfId="2125" xr:uid="{00000000-0005-0000-0000-0000260B0000}"/>
    <cellStyle name="_結算-西螺鎮大新里道路改善工程_普令厝農地重劃區西33路農水路改善工程_臺西鄉臺西公有零售市埸作為多目標使用改善工程" xfId="3843" xr:uid="{00000000-0005-0000-0000-0000270B0000}"/>
    <cellStyle name="_結算-西螺鎮大新里道路改善工程_普令厝農地重劃區西33路農水路改善工程_豐榮、草湖等村道路及排水溝改善工程-(變更)2" xfId="3844" xr:uid="{00000000-0005-0000-0000-0000280B0000}"/>
    <cellStyle name="_結算-西螺鎮大新里道路改善工程_新吉村等自來水管線汰換修復工程【99.04.22修改】" xfId="503" xr:uid="{00000000-0005-0000-0000-0000290B0000}"/>
    <cellStyle name="_結算-西螺鎮大新里道路改善工程_新吉村等自來水管線汰換修復工程【99.04.22修改】_施工日誌1" xfId="2126" xr:uid="{00000000-0005-0000-0000-00002A0B0000}"/>
    <cellStyle name="_結算明細表" xfId="504" xr:uid="{00000000-0005-0000-0000-00002B0B0000}"/>
    <cellStyle name="_結算明細表 2" xfId="3845" xr:uid="{00000000-0005-0000-0000-00002C0B0000}"/>
    <cellStyle name="_結算明細表_施工日誌1" xfId="2127" xr:uid="{00000000-0005-0000-0000-00002D0B0000}"/>
    <cellStyle name="_結算明細表_普令厝農地重劃區西33路農水路改善工程" xfId="505" xr:uid="{00000000-0005-0000-0000-00002E0B0000}"/>
    <cellStyle name="_結算明細表_普令厝農地重劃區西33路農水路改善工程 2" xfId="3846" xr:uid="{00000000-0005-0000-0000-00002F0B0000}"/>
    <cellStyle name="_結算明細表_普令厝農地重劃區西33路農水路改善工程_土庫鎮埤腳里道路、排水溝改善工程101.05.18(修正3確定)" xfId="3847" xr:uid="{00000000-0005-0000-0000-0000300B0000}"/>
    <cellStyle name="_結算明細表_普令厝農地重劃區西33路農水路改善工程_元長鄉長南村巷道排水改善工程" xfId="3848" xr:uid="{00000000-0005-0000-0000-0000310B0000}"/>
    <cellStyle name="_結算明細表_普令厝農地重劃區西33路農水路改善工程_斗南鎮久安農地重劃區V51路農路路面改善工程" xfId="5210" xr:uid="{00000000-0005-0000-0000-0000320B0000}"/>
    <cellStyle name="_結算明細表_普令厝農地重劃區西33路農水路改善工程_斗南鎮田頭農地重劃區農路改善工程" xfId="5211" xr:uid="{00000000-0005-0000-0000-0000330B0000}"/>
    <cellStyle name="_結算明細表_普令厝農地重劃區西33路農水路改善工程_斗南鎮西岐里舊社里等路面改善工程-100.05.18" xfId="3849" xr:uid="{00000000-0005-0000-0000-0000340B0000}"/>
    <cellStyle name="_結算明細表_普令厝農地重劃區西33路農水路改善工程_斗南鎮阿丹里、林子里相關公共設施改善工程100.11.29" xfId="3850" xr:uid="{00000000-0005-0000-0000-0000350B0000}"/>
    <cellStyle name="_結算明細表_普令厝農地重劃區西33路農水路改善工程_斗南鎮將軍里等路面及附屬設施改善工程" xfId="3851" xr:uid="{00000000-0005-0000-0000-0000360B0000}"/>
    <cellStyle name="_結算明細表_普令厝農地重劃區西33路農水路改善工程_古坑鄉大湖底段及麻園段路面改善工程" xfId="3852" xr:uid="{00000000-0005-0000-0000-0000370B0000}"/>
    <cellStyle name="_結算明細表_普令厝農地重劃區西33路農水路改善工程_台西海埔地南4路排水9907豪雨災害復建工程" xfId="3853" xr:uid="{00000000-0005-0000-0000-0000380B0000}"/>
    <cellStyle name="_結算明細表_普令厝農地重劃區西33路農水路改善工程_台西鄉四美重劃區南北幹路4農路復建工程" xfId="506" xr:uid="{00000000-0005-0000-0000-0000390B0000}"/>
    <cellStyle name="_結算明細表_普令厝農地重劃區西33路農水路改善工程_台西鄉四美重劃區南北幹路4農路復建工程 2" xfId="3854" xr:uid="{00000000-0005-0000-0000-00003A0B0000}"/>
    <cellStyle name="_結算明細表_普令厝農地重劃區西33路農水路改善工程_台西鄉四美重劃區南北幹路4農路復建工程_施工日誌1" xfId="2129" xr:uid="{00000000-0005-0000-0000-00003B0B0000}"/>
    <cellStyle name="_結算明細表_普令厝農地重劃區西33路農水路改善工程_東勢鄉新坤村及麥寮鄉海豐村道路排水改善工程" xfId="5212" xr:uid="{00000000-0005-0000-0000-00003C0B0000}"/>
    <cellStyle name="_結算明細表_普令厝農地重劃區西33路農水路改善工程_林縣臺西鄉A10~A12雨水下水道建設工程(增減明細)" xfId="3855" xr:uid="{00000000-0005-0000-0000-00003D0B0000}"/>
    <cellStyle name="_結算明細表_普令厝農地重劃區西33路農水路改善工程_虎尾鎮新吉里竹圍子農村社區生態魚池暨運動公園道路與排水改善工程(預算書)" xfId="3856" xr:uid="{00000000-0005-0000-0000-00003E0B0000}"/>
    <cellStyle name="_結算明細表_普令厝農地重劃區西33路農水路改善工程_虎尾鎮新吉里竹圍子農村社區生態魚池暨運動公園道路與排水改善工程(確定)" xfId="5213" xr:uid="{00000000-0005-0000-0000-00003F0B0000}"/>
    <cellStyle name="_結算明細表_普令厝農地重劃區西33路農水路改善工程_長北村等巷道排水改善工程" xfId="3857" xr:uid="{00000000-0005-0000-0000-0000400B0000}"/>
    <cellStyle name="_結算明細表_普令厝農地重劃區西33路農水路改善工程_後溝子一農地重劃區南北八路農路改善工程" xfId="507" xr:uid="{00000000-0005-0000-0000-0000410B0000}"/>
    <cellStyle name="_結算明細表_普令厝農地重劃區西33路農水路改善工程_後溝子一農地重劃區南北八路農路改善工程 2" xfId="3858" xr:uid="{00000000-0005-0000-0000-0000420B0000}"/>
    <cellStyle name="_結算明細表_普令厝農地重劃區西33路農水路改善工程_後溝子一農地重劃區南北八路農路改善工程_施工日誌1" xfId="2130" xr:uid="{00000000-0005-0000-0000-0000430B0000}"/>
    <cellStyle name="_結算明細表_普令厝農地重劃區西33路農水路改善工程_施工日誌1" xfId="2128" xr:uid="{00000000-0005-0000-0000-0000440B0000}"/>
    <cellStyle name="_結算明細表_普令厝農地重劃區西33路農水路改善工程_崙背鄉雨水下水道清淤疏浚維護工程" xfId="508" xr:uid="{00000000-0005-0000-0000-0000450B0000}"/>
    <cellStyle name="_結算明細表_普令厝農地重劃區西33路農水路改善工程_崙背鄉雨水下水道清淤疏浚維護工程 2" xfId="3859" xr:uid="{00000000-0005-0000-0000-0000460B0000}"/>
    <cellStyle name="_結算明細表_普令厝農地重劃區西33路農水路改善工程_崙背鄉雨水下水道清淤疏浚維護工程_施工日誌1" xfId="2131" xr:uid="{00000000-0005-0000-0000-0000470B0000}"/>
    <cellStyle name="_結算明細表_普令厝農地重劃區西33路農水路改善工程_鹿寮農地重劃區補路農路改善工程等七件工程" xfId="509" xr:uid="{00000000-0005-0000-0000-0000480B0000}"/>
    <cellStyle name="_結算明細表_普令厝農地重劃區西33路農水路改善工程_鹿寮農地重劃區補路農路改善工程等七件工程 2" xfId="3860" xr:uid="{00000000-0005-0000-0000-0000490B0000}"/>
    <cellStyle name="_結算明細表_普令厝農地重劃區西33路農水路改善工程_鹿寮農地重劃區補路農路改善工程等七件工程_施工日誌1" xfId="2132" xr:uid="{00000000-0005-0000-0000-00004A0B0000}"/>
    <cellStyle name="_結算明細表_普令厝農地重劃區西33路農水路改善工程_普令厝農地重劃區西33路農水路改善工程" xfId="510" xr:uid="{00000000-0005-0000-0000-00004B0B0000}"/>
    <cellStyle name="_結算明細表_普令厝農地重劃區西33路農水路改善工程_普令厝農地重劃區西33路農水路改善工程 2" xfId="3861" xr:uid="{00000000-0005-0000-0000-00004C0B0000}"/>
    <cellStyle name="_結算明細表_普令厝農地重劃區西33路農水路改善工程_普令厝農地重劃區西33路農水路改善工程_施工日誌1" xfId="2133" xr:uid="{00000000-0005-0000-0000-00004D0B0000}"/>
    <cellStyle name="_結算明細表_普令厝農地重劃區西33路農水路改善工程_雲林縣崙背鄉雨水下水道清淤工程" xfId="511" xr:uid="{00000000-0005-0000-0000-00004E0B0000}"/>
    <cellStyle name="_結算明細表_普令厝農地重劃區西33路農水路改善工程_雲林縣崙背鄉雨水下水道清淤工程 2" xfId="3862" xr:uid="{00000000-0005-0000-0000-00004F0B0000}"/>
    <cellStyle name="_結算明細表_普令厝農地重劃區西33路農水路改善工程_雲林縣崙背鄉雨水下水道清淤工程_施工日誌1" xfId="2134" xr:uid="{00000000-0005-0000-0000-0000500B0000}"/>
    <cellStyle name="_結算明細表_普令厝農地重劃區西33路農水路改善工程_雲林縣臺西鄉A9～A9-3雨水下水道建設工程" xfId="3863" xr:uid="{00000000-0005-0000-0000-0000510B0000}"/>
    <cellStyle name="_結算明細表_普令厝農地重劃區西33路農水路改善工程_臺西鄉(凡那比颱風)鄉內道路排水災害復建工程" xfId="512" xr:uid="{00000000-0005-0000-0000-0000520B0000}"/>
    <cellStyle name="_結算明細表_普令厝農地重劃區西33路農水路改善工程_臺西鄉(凡那比颱風)鄉內道路排水災害復建工程 2" xfId="3864" xr:uid="{00000000-0005-0000-0000-0000530B0000}"/>
    <cellStyle name="_結算明細表_普令厝農地重劃區西33路農水路改善工程_臺西鄉(凡那比颱風)鄉內道路排水災害復建工程_施工日誌1" xfId="2135" xr:uid="{00000000-0005-0000-0000-0000540B0000}"/>
    <cellStyle name="_結算明細表_普令厝農地重劃區西33路農水路改善工程_臺西鄉蚊港村蚊港巷道改善工程" xfId="3865" xr:uid="{00000000-0005-0000-0000-0000550B0000}"/>
    <cellStyle name="_結算明細表_普令厝農地重劃區西33路農水路改善工程_臺西鄉普令厝重劃區西8路等道路排水改善工程(確定案)" xfId="513" xr:uid="{00000000-0005-0000-0000-0000560B0000}"/>
    <cellStyle name="_結算明細表_普令厝農地重劃區西33路農水路改善工程_臺西鄉普令厝重劃區西8路等道路排水改善工程(確定案) 2" xfId="3866" xr:uid="{00000000-0005-0000-0000-0000570B0000}"/>
    <cellStyle name="_結算明細表_普令厝農地重劃區西33路農水路改善工程_臺西鄉普令厝重劃區西8路等道路排水改善工程(確定案)_施工日誌1" xfId="2136" xr:uid="{00000000-0005-0000-0000-0000580B0000}"/>
    <cellStyle name="_結算明細表_普令厝農地重劃區西33路農水路改善工程_臺西鄉臺西公有零售市埸作為多目標使用改善工程" xfId="3867" xr:uid="{00000000-0005-0000-0000-0000590B0000}"/>
    <cellStyle name="_結算明細表_普令厝農地重劃區西33路農水路改善工程_豐榮、草湖等村道路及排水溝改善工程-(變更)2" xfId="3868" xr:uid="{00000000-0005-0000-0000-00005A0B0000}"/>
    <cellStyle name="_結算明細表0305" xfId="514" xr:uid="{00000000-0005-0000-0000-00005B0B0000}"/>
    <cellStyle name="_結算明細表0305 2" xfId="3869" xr:uid="{00000000-0005-0000-0000-00005C0B0000}"/>
    <cellStyle name="_結算明細表0305_施工日誌1" xfId="2137" xr:uid="{00000000-0005-0000-0000-00005D0B0000}"/>
    <cellStyle name="_華山地區農路聯絡道附屬改善工程196000" xfId="1580" xr:uid="{00000000-0005-0000-0000-00005E0B0000}"/>
    <cellStyle name="_華山地區農路聯絡道附屬改善工程196000 2" xfId="3870" xr:uid="{00000000-0005-0000-0000-00005F0B0000}"/>
    <cellStyle name="_華山地區農路聯絡道附屬改善工程196000_空.材抽" xfId="1581" xr:uid="{00000000-0005-0000-0000-0000600B0000}"/>
    <cellStyle name="_華山地區農路聯絡道附屬改善工程196000_空.材抽 2" xfId="3871" xr:uid="{00000000-0005-0000-0000-0000610B0000}"/>
    <cellStyle name="_雲林縣二崙鄉二崙國中旁溜冰場新建工程-346" xfId="1582" xr:uid="{00000000-0005-0000-0000-0000620B0000}"/>
    <cellStyle name="_雲林縣元長鄉鹿北村活動中心修繕工程77.8万6.20%" xfId="5214" xr:uid="{00000000-0005-0000-0000-0000630B0000}"/>
    <cellStyle name="_雲林縣元長鄉鹿北村活動中心修繕計畫(竣工明細)" xfId="3872" xr:uid="{00000000-0005-0000-0000-0000640B0000}"/>
    <cellStyle name="_雲林縣西螺鎮中山路雨水下水道清淤疏浚工程（結算）【驗收後】" xfId="515" xr:uid="{00000000-0005-0000-0000-0000650B0000}"/>
    <cellStyle name="_雲林縣西螺鎮中山路雨水下水道清淤疏浚工程（結算）【驗收後】_施工日誌1" xfId="2138" xr:uid="{00000000-0005-0000-0000-0000660B0000}"/>
    <cellStyle name="_新虎尾溪警告標誌設置工程【竣工】" xfId="516" xr:uid="{00000000-0005-0000-0000-0000670B0000}"/>
    <cellStyle name="_新虎尾溪警告標誌設置工程【竣工】_施工日誌1" xfId="2139" xr:uid="{00000000-0005-0000-0000-0000680B0000}"/>
    <cellStyle name="_溪尾村南溪尾部落排水改善工程" xfId="517" xr:uid="{00000000-0005-0000-0000-0000690B0000}"/>
    <cellStyle name="_溪尾村南溪尾部落排水改善工程_施工日誌1" xfId="2140" xr:uid="{00000000-0005-0000-0000-00006A0B0000}"/>
    <cellStyle name="_溪尾村南溪尾部落排水改善工程標單" xfId="518" xr:uid="{00000000-0005-0000-0000-00006B0B0000}"/>
    <cellStyle name="_溪尾村南溪尾部落排水改善工程標單 2" xfId="3873" xr:uid="{00000000-0005-0000-0000-00006C0B0000}"/>
    <cellStyle name="_溪尾村南溪尾部落排水改善工程標單_施工日誌1" xfId="2141" xr:uid="{00000000-0005-0000-0000-00006D0B0000}"/>
    <cellStyle name="_溪尾村南溪尾部落排水改善工程標單_普令厝農地重劃區西33路農水路改善工程" xfId="519" xr:uid="{00000000-0005-0000-0000-00006E0B0000}"/>
    <cellStyle name="_溪尾村南溪尾部落排水改善工程標單_普令厝農地重劃區西33路農水路改善工程 2" xfId="3874" xr:uid="{00000000-0005-0000-0000-00006F0B0000}"/>
    <cellStyle name="_溪尾村南溪尾部落排水改善工程標單_普令厝農地重劃區西33路農水路改善工程_土庫鎮埤腳里道路、排水溝改善工程101.05.18(修正3確定)" xfId="3875" xr:uid="{00000000-0005-0000-0000-0000700B0000}"/>
    <cellStyle name="_溪尾村南溪尾部落排水改善工程標單_普令厝農地重劃區西33路農水路改善工程_元長鄉長南村巷道排水改善工程" xfId="3876" xr:uid="{00000000-0005-0000-0000-0000710B0000}"/>
    <cellStyle name="_溪尾村南溪尾部落排水改善工程標單_普令厝農地重劃區西33路農水路改善工程_斗南鎮久安農地重劃區V51路農路路面改善工程" xfId="5215" xr:uid="{00000000-0005-0000-0000-0000720B0000}"/>
    <cellStyle name="_溪尾村南溪尾部落排水改善工程標單_普令厝農地重劃區西33路農水路改善工程_斗南鎮田頭農地重劃區農路改善工程" xfId="5216" xr:uid="{00000000-0005-0000-0000-0000730B0000}"/>
    <cellStyle name="_溪尾村南溪尾部落排水改善工程標單_普令厝農地重劃區西33路農水路改善工程_斗南鎮西岐里舊社里等路面改善工程-100.05.18" xfId="3877" xr:uid="{00000000-0005-0000-0000-0000740B0000}"/>
    <cellStyle name="_溪尾村南溪尾部落排水改善工程標單_普令厝農地重劃區西33路農水路改善工程_斗南鎮阿丹里、林子里相關公共設施改善工程100.11.29" xfId="3878" xr:uid="{00000000-0005-0000-0000-0000750B0000}"/>
    <cellStyle name="_溪尾村南溪尾部落排水改善工程標單_普令厝農地重劃區西33路農水路改善工程_斗南鎮將軍里等路面及附屬設施改善工程" xfId="3879" xr:uid="{00000000-0005-0000-0000-0000760B0000}"/>
    <cellStyle name="_溪尾村南溪尾部落排水改善工程標單_普令厝農地重劃區西33路農水路改善工程_古坑鄉大湖底段及麻園段路面改善工程" xfId="3880" xr:uid="{00000000-0005-0000-0000-0000770B0000}"/>
    <cellStyle name="_溪尾村南溪尾部落排水改善工程標單_普令厝農地重劃區西33路農水路改善工程_台西海埔地南4路排水9907豪雨災害復建工程" xfId="3881" xr:uid="{00000000-0005-0000-0000-0000780B0000}"/>
    <cellStyle name="_溪尾村南溪尾部落排水改善工程標單_普令厝農地重劃區西33路農水路改善工程_台西鄉四美重劃區南北幹路4農路復建工程" xfId="520" xr:uid="{00000000-0005-0000-0000-0000790B0000}"/>
    <cellStyle name="_溪尾村南溪尾部落排水改善工程標單_普令厝農地重劃區西33路農水路改善工程_台西鄉四美重劃區南北幹路4農路復建工程 2" xfId="3882" xr:uid="{00000000-0005-0000-0000-00007A0B0000}"/>
    <cellStyle name="_溪尾村南溪尾部落排水改善工程標單_普令厝農地重劃區西33路農水路改善工程_台西鄉四美重劃區南北幹路4農路復建工程_施工日誌1" xfId="2143" xr:uid="{00000000-0005-0000-0000-00007B0B0000}"/>
    <cellStyle name="_溪尾村南溪尾部落排水改善工程標單_普令厝農地重劃區西33路農水路改善工程_東勢鄉新坤村及麥寮鄉海豐村道路排水改善工程" xfId="5217" xr:uid="{00000000-0005-0000-0000-00007C0B0000}"/>
    <cellStyle name="_溪尾村南溪尾部落排水改善工程標單_普令厝農地重劃區西33路農水路改善工程_林縣臺西鄉A10~A12雨水下水道建設工程(增減明細)" xfId="3883" xr:uid="{00000000-0005-0000-0000-00007D0B0000}"/>
    <cellStyle name="_溪尾村南溪尾部落排水改善工程標單_普令厝農地重劃區西33路農水路改善工程_虎尾鎮新吉里竹圍子農村社區生態魚池暨運動公園道路與排水改善工程(預算書)" xfId="3884" xr:uid="{00000000-0005-0000-0000-00007E0B0000}"/>
    <cellStyle name="_溪尾村南溪尾部落排水改善工程標單_普令厝農地重劃區西33路農水路改善工程_虎尾鎮新吉里竹圍子農村社區生態魚池暨運動公園道路與排水改善工程(確定)" xfId="5218" xr:uid="{00000000-0005-0000-0000-00007F0B0000}"/>
    <cellStyle name="_溪尾村南溪尾部落排水改善工程標單_普令厝農地重劃區西33路農水路改善工程_長北村等巷道排水改善工程" xfId="3885" xr:uid="{00000000-0005-0000-0000-0000800B0000}"/>
    <cellStyle name="_溪尾村南溪尾部落排水改善工程標單_普令厝農地重劃區西33路農水路改善工程_後溝子一農地重劃區南北八路農路改善工程" xfId="521" xr:uid="{00000000-0005-0000-0000-0000810B0000}"/>
    <cellStyle name="_溪尾村南溪尾部落排水改善工程標單_普令厝農地重劃區西33路農水路改善工程_後溝子一農地重劃區南北八路農路改善工程 2" xfId="3886" xr:uid="{00000000-0005-0000-0000-0000820B0000}"/>
    <cellStyle name="_溪尾村南溪尾部落排水改善工程標單_普令厝農地重劃區西33路農水路改善工程_後溝子一農地重劃區南北八路農路改善工程_施工日誌1" xfId="2144" xr:uid="{00000000-0005-0000-0000-0000830B0000}"/>
    <cellStyle name="_溪尾村南溪尾部落排水改善工程標單_普令厝農地重劃區西33路農水路改善工程_施工日誌1" xfId="2142" xr:uid="{00000000-0005-0000-0000-0000840B0000}"/>
    <cellStyle name="_溪尾村南溪尾部落排水改善工程標單_普令厝農地重劃區西33路農水路改善工程_崙背鄉雨水下水道清淤疏浚維護工程" xfId="522" xr:uid="{00000000-0005-0000-0000-0000850B0000}"/>
    <cellStyle name="_溪尾村南溪尾部落排水改善工程標單_普令厝農地重劃區西33路農水路改善工程_崙背鄉雨水下水道清淤疏浚維護工程 2" xfId="3887" xr:uid="{00000000-0005-0000-0000-0000860B0000}"/>
    <cellStyle name="_溪尾村南溪尾部落排水改善工程標單_普令厝農地重劃區西33路農水路改善工程_崙背鄉雨水下水道清淤疏浚維護工程_施工日誌1" xfId="2145" xr:uid="{00000000-0005-0000-0000-0000870B0000}"/>
    <cellStyle name="_溪尾村南溪尾部落排水改善工程標單_普令厝農地重劃區西33路農水路改善工程_鹿寮農地重劃區補路農路改善工程等七件工程" xfId="523" xr:uid="{00000000-0005-0000-0000-0000880B0000}"/>
    <cellStyle name="_溪尾村南溪尾部落排水改善工程標單_普令厝農地重劃區西33路農水路改善工程_鹿寮農地重劃區補路農路改善工程等七件工程 2" xfId="3888" xr:uid="{00000000-0005-0000-0000-0000890B0000}"/>
    <cellStyle name="_溪尾村南溪尾部落排水改善工程標單_普令厝農地重劃區西33路農水路改善工程_鹿寮農地重劃區補路農路改善工程等七件工程_施工日誌1" xfId="2146" xr:uid="{00000000-0005-0000-0000-00008A0B0000}"/>
    <cellStyle name="_溪尾村南溪尾部落排水改善工程標單_普令厝農地重劃區西33路農水路改善工程_普令厝農地重劃區西33路農水路改善工程" xfId="524" xr:uid="{00000000-0005-0000-0000-00008B0B0000}"/>
    <cellStyle name="_溪尾村南溪尾部落排水改善工程標單_普令厝農地重劃區西33路農水路改善工程_普令厝農地重劃區西33路農水路改善工程 2" xfId="3889" xr:uid="{00000000-0005-0000-0000-00008C0B0000}"/>
    <cellStyle name="_溪尾村南溪尾部落排水改善工程標單_普令厝農地重劃區西33路農水路改善工程_普令厝農地重劃區西33路農水路改善工程_施工日誌1" xfId="2147" xr:uid="{00000000-0005-0000-0000-00008D0B0000}"/>
    <cellStyle name="_溪尾村南溪尾部落排水改善工程標單_普令厝農地重劃區西33路農水路改善工程_雲林縣崙背鄉雨水下水道清淤工程" xfId="525" xr:uid="{00000000-0005-0000-0000-00008E0B0000}"/>
    <cellStyle name="_溪尾村南溪尾部落排水改善工程標單_普令厝農地重劃區西33路農水路改善工程_雲林縣崙背鄉雨水下水道清淤工程 2" xfId="3890" xr:uid="{00000000-0005-0000-0000-00008F0B0000}"/>
    <cellStyle name="_溪尾村南溪尾部落排水改善工程標單_普令厝農地重劃區西33路農水路改善工程_雲林縣崙背鄉雨水下水道清淤工程_施工日誌1" xfId="2148" xr:uid="{00000000-0005-0000-0000-0000900B0000}"/>
    <cellStyle name="_溪尾村南溪尾部落排水改善工程標單_普令厝農地重劃區西33路農水路改善工程_雲林縣臺西鄉A9～A9-3雨水下水道建設工程" xfId="3891" xr:uid="{00000000-0005-0000-0000-0000910B0000}"/>
    <cellStyle name="_溪尾村南溪尾部落排水改善工程標單_普令厝農地重劃區西33路農水路改善工程_臺西鄉(凡那比颱風)鄉內道路排水災害復建工程" xfId="526" xr:uid="{00000000-0005-0000-0000-0000920B0000}"/>
    <cellStyle name="_溪尾村南溪尾部落排水改善工程標單_普令厝農地重劃區西33路農水路改善工程_臺西鄉(凡那比颱風)鄉內道路排水災害復建工程 2" xfId="3892" xr:uid="{00000000-0005-0000-0000-0000930B0000}"/>
    <cellStyle name="_溪尾村南溪尾部落排水改善工程標單_普令厝農地重劃區西33路農水路改善工程_臺西鄉(凡那比颱風)鄉內道路排水災害復建工程_施工日誌1" xfId="2149" xr:uid="{00000000-0005-0000-0000-0000940B0000}"/>
    <cellStyle name="_溪尾村南溪尾部落排水改善工程標單_普令厝農地重劃區西33路農水路改善工程_臺西鄉蚊港村蚊港巷道改善工程" xfId="3893" xr:uid="{00000000-0005-0000-0000-0000950B0000}"/>
    <cellStyle name="_溪尾村南溪尾部落排水改善工程標單_普令厝農地重劃區西33路農水路改善工程_臺西鄉普令厝重劃區西8路等道路排水改善工程(確定案)" xfId="527" xr:uid="{00000000-0005-0000-0000-0000960B0000}"/>
    <cellStyle name="_溪尾村南溪尾部落排水改善工程標單_普令厝農地重劃區西33路農水路改善工程_臺西鄉普令厝重劃區西8路等道路排水改善工程(確定案) 2" xfId="3894" xr:uid="{00000000-0005-0000-0000-0000970B0000}"/>
    <cellStyle name="_溪尾村南溪尾部落排水改善工程標單_普令厝農地重劃區西33路農水路改善工程_臺西鄉普令厝重劃區西8路等道路排水改善工程(確定案)_施工日誌1" xfId="2150" xr:uid="{00000000-0005-0000-0000-0000980B0000}"/>
    <cellStyle name="_溪尾村南溪尾部落排水改善工程標單_普令厝農地重劃區西33路農水路改善工程_臺西鄉臺西公有零售市埸作為多目標使用改善工程" xfId="3895" xr:uid="{00000000-0005-0000-0000-0000990B0000}"/>
    <cellStyle name="_溪尾村南溪尾部落排水改善工程標單_普令厝農地重劃區西33路農水路改善工程_豐榮、草湖等村道路及排水溝改善工程-(變更)2" xfId="3896" xr:uid="{00000000-0005-0000-0000-00009A0B0000}"/>
    <cellStyle name="_照明預算書" xfId="1583" xr:uid="{00000000-0005-0000-0000-00009B0B0000}"/>
    <cellStyle name="_照明預算書 2" xfId="3897" xr:uid="{00000000-0005-0000-0000-00009C0B0000}"/>
    <cellStyle name="_預1" xfId="1584" xr:uid="{00000000-0005-0000-0000-00009D0B0000}"/>
    <cellStyle name="_預1 2" xfId="3898" xr:uid="{00000000-0005-0000-0000-00009E0B0000}"/>
    <cellStyle name="_預1_空.材抽" xfId="1585" xr:uid="{00000000-0005-0000-0000-00009F0B0000}"/>
    <cellStyle name="_預1_空.材抽 2" xfId="3899" xr:uid="{00000000-0005-0000-0000-0000A00B0000}"/>
    <cellStyle name="_預算" xfId="1586" xr:uid="{00000000-0005-0000-0000-0000A10B0000}"/>
    <cellStyle name="_預算書(0708)" xfId="528" xr:uid="{00000000-0005-0000-0000-0000A20B0000}"/>
    <cellStyle name="_預算書(0708)_施工日誌1" xfId="2151" xr:uid="{00000000-0005-0000-0000-0000A30B0000}"/>
    <cellStyle name="_預算書(1025)" xfId="529" xr:uid="{00000000-0005-0000-0000-0000A40B0000}"/>
    <cellStyle name="_預算書(1025) 2" xfId="3900" xr:uid="{00000000-0005-0000-0000-0000A50B0000}"/>
    <cellStyle name="_預算書(1025)_8-6" xfId="530" xr:uid="{00000000-0005-0000-0000-0000A60B0000}"/>
    <cellStyle name="_預算書(1025)_8-6_施工日誌1" xfId="2153" xr:uid="{00000000-0005-0000-0000-0000A70B0000}"/>
    <cellStyle name="_預算書(1025)_施工日誌1" xfId="2152" xr:uid="{00000000-0005-0000-0000-0000A80B0000}"/>
    <cellStyle name="_預算書(1025)_普令厝農地重劃區西33路農水路改善工程" xfId="531" xr:uid="{00000000-0005-0000-0000-0000A90B0000}"/>
    <cellStyle name="_預算書(1025)_普令厝農地重劃區西33路農水路改善工程 2" xfId="3901" xr:uid="{00000000-0005-0000-0000-0000AA0B0000}"/>
    <cellStyle name="_預算書(1025)_普令厝農地重劃區西33路農水路改善工程_土庫鎮埤腳里道路、排水溝改善工程101.05.18(修正3確定)" xfId="3902" xr:uid="{00000000-0005-0000-0000-0000AB0B0000}"/>
    <cellStyle name="_預算書(1025)_普令厝農地重劃區西33路農水路改善工程_元長鄉長南村巷道排水改善工程" xfId="3903" xr:uid="{00000000-0005-0000-0000-0000AC0B0000}"/>
    <cellStyle name="_預算書(1025)_普令厝農地重劃區西33路農水路改善工程_斗南鎮久安農地重劃區V51路農路路面改善工程" xfId="5219" xr:uid="{00000000-0005-0000-0000-0000AD0B0000}"/>
    <cellStyle name="_預算書(1025)_普令厝農地重劃區西33路農水路改善工程_斗南鎮田頭農地重劃區農路改善工程" xfId="5220" xr:uid="{00000000-0005-0000-0000-0000AE0B0000}"/>
    <cellStyle name="_預算書(1025)_普令厝農地重劃區西33路農水路改善工程_斗南鎮西岐里舊社里等路面改善工程-100.05.18" xfId="3904" xr:uid="{00000000-0005-0000-0000-0000AF0B0000}"/>
    <cellStyle name="_預算書(1025)_普令厝農地重劃區西33路農水路改善工程_斗南鎮阿丹里、林子里相關公共設施改善工程100.11.29" xfId="3905" xr:uid="{00000000-0005-0000-0000-0000B00B0000}"/>
    <cellStyle name="_預算書(1025)_普令厝農地重劃區西33路農水路改善工程_斗南鎮將軍里等路面及附屬設施改善工程" xfId="3906" xr:uid="{00000000-0005-0000-0000-0000B10B0000}"/>
    <cellStyle name="_預算書(1025)_普令厝農地重劃區西33路農水路改善工程_古坑鄉大湖底段及麻園段路面改善工程" xfId="3907" xr:uid="{00000000-0005-0000-0000-0000B20B0000}"/>
    <cellStyle name="_預算書(1025)_普令厝農地重劃區西33路農水路改善工程_台西海埔地南4路排水9907豪雨災害復建工程" xfId="3908" xr:uid="{00000000-0005-0000-0000-0000B30B0000}"/>
    <cellStyle name="_預算書(1025)_普令厝農地重劃區西33路農水路改善工程_台西鄉四美重劃區南北幹路4農路復建工程" xfId="532" xr:uid="{00000000-0005-0000-0000-0000B40B0000}"/>
    <cellStyle name="_預算書(1025)_普令厝農地重劃區西33路農水路改善工程_台西鄉四美重劃區南北幹路4農路復建工程 2" xfId="3909" xr:uid="{00000000-0005-0000-0000-0000B50B0000}"/>
    <cellStyle name="_預算書(1025)_普令厝農地重劃區西33路農水路改善工程_台西鄉四美重劃區南北幹路4農路復建工程_施工日誌1" xfId="2155" xr:uid="{00000000-0005-0000-0000-0000B60B0000}"/>
    <cellStyle name="_預算書(1025)_普令厝農地重劃區西33路農水路改善工程_東勢鄉新坤村及麥寮鄉海豐村道路排水改善工程" xfId="5221" xr:uid="{00000000-0005-0000-0000-0000B70B0000}"/>
    <cellStyle name="_預算書(1025)_普令厝農地重劃區西33路農水路改善工程_林縣臺西鄉A10~A12雨水下水道建設工程(增減明細)" xfId="3910" xr:uid="{00000000-0005-0000-0000-0000B80B0000}"/>
    <cellStyle name="_預算書(1025)_普令厝農地重劃區西33路農水路改善工程_虎尾鎮新吉里竹圍子農村社區生態魚池暨運動公園道路與排水改善工程(預算書)" xfId="3911" xr:uid="{00000000-0005-0000-0000-0000B90B0000}"/>
    <cellStyle name="_預算書(1025)_普令厝農地重劃區西33路農水路改善工程_虎尾鎮新吉里竹圍子農村社區生態魚池暨運動公園道路與排水改善工程(確定)" xfId="5222" xr:uid="{00000000-0005-0000-0000-0000BA0B0000}"/>
    <cellStyle name="_預算書(1025)_普令厝農地重劃區西33路農水路改善工程_長北村等巷道排水改善工程" xfId="3912" xr:uid="{00000000-0005-0000-0000-0000BB0B0000}"/>
    <cellStyle name="_預算書(1025)_普令厝農地重劃區西33路農水路改善工程_後溝子一農地重劃區南北八路農路改善工程" xfId="533" xr:uid="{00000000-0005-0000-0000-0000BC0B0000}"/>
    <cellStyle name="_預算書(1025)_普令厝農地重劃區西33路農水路改善工程_後溝子一農地重劃區南北八路農路改善工程 2" xfId="3913" xr:uid="{00000000-0005-0000-0000-0000BD0B0000}"/>
    <cellStyle name="_預算書(1025)_普令厝農地重劃區西33路農水路改善工程_後溝子一農地重劃區南北八路農路改善工程_施工日誌1" xfId="2156" xr:uid="{00000000-0005-0000-0000-0000BE0B0000}"/>
    <cellStyle name="_預算書(1025)_普令厝農地重劃區西33路農水路改善工程_施工日誌1" xfId="2154" xr:uid="{00000000-0005-0000-0000-0000BF0B0000}"/>
    <cellStyle name="_預算書(1025)_普令厝農地重劃區西33路農水路改善工程_崙背鄉雨水下水道清淤疏浚維護工程" xfId="534" xr:uid="{00000000-0005-0000-0000-0000C00B0000}"/>
    <cellStyle name="_預算書(1025)_普令厝農地重劃區西33路農水路改善工程_崙背鄉雨水下水道清淤疏浚維護工程 2" xfId="3914" xr:uid="{00000000-0005-0000-0000-0000C10B0000}"/>
    <cellStyle name="_預算書(1025)_普令厝農地重劃區西33路農水路改善工程_崙背鄉雨水下水道清淤疏浚維護工程_施工日誌1" xfId="2157" xr:uid="{00000000-0005-0000-0000-0000C20B0000}"/>
    <cellStyle name="_預算書(1025)_普令厝農地重劃區西33路農水路改善工程_鹿寮農地重劃區補路農路改善工程等七件工程" xfId="535" xr:uid="{00000000-0005-0000-0000-0000C30B0000}"/>
    <cellStyle name="_預算書(1025)_普令厝農地重劃區西33路農水路改善工程_鹿寮農地重劃區補路農路改善工程等七件工程 2" xfId="3915" xr:uid="{00000000-0005-0000-0000-0000C40B0000}"/>
    <cellStyle name="_預算書(1025)_普令厝農地重劃區西33路農水路改善工程_鹿寮農地重劃區補路農路改善工程等七件工程_施工日誌1" xfId="2158" xr:uid="{00000000-0005-0000-0000-0000C50B0000}"/>
    <cellStyle name="_預算書(1025)_普令厝農地重劃區西33路農水路改善工程_普令厝農地重劃區西33路農水路改善工程" xfId="536" xr:uid="{00000000-0005-0000-0000-0000C60B0000}"/>
    <cellStyle name="_預算書(1025)_普令厝農地重劃區西33路農水路改善工程_普令厝農地重劃區西33路農水路改善工程 2" xfId="3916" xr:uid="{00000000-0005-0000-0000-0000C70B0000}"/>
    <cellStyle name="_預算書(1025)_普令厝農地重劃區西33路農水路改善工程_普令厝農地重劃區西33路農水路改善工程_施工日誌1" xfId="2159" xr:uid="{00000000-0005-0000-0000-0000C80B0000}"/>
    <cellStyle name="_預算書(1025)_普令厝農地重劃區西33路農水路改善工程_雲林縣崙背鄉雨水下水道清淤工程" xfId="537" xr:uid="{00000000-0005-0000-0000-0000C90B0000}"/>
    <cellStyle name="_預算書(1025)_普令厝農地重劃區西33路農水路改善工程_雲林縣崙背鄉雨水下水道清淤工程 2" xfId="3917" xr:uid="{00000000-0005-0000-0000-0000CA0B0000}"/>
    <cellStyle name="_預算書(1025)_普令厝農地重劃區西33路農水路改善工程_雲林縣崙背鄉雨水下水道清淤工程_施工日誌1" xfId="2160" xr:uid="{00000000-0005-0000-0000-0000CB0B0000}"/>
    <cellStyle name="_預算書(1025)_普令厝農地重劃區西33路農水路改善工程_雲林縣臺西鄉A9～A9-3雨水下水道建設工程" xfId="3918" xr:uid="{00000000-0005-0000-0000-0000CC0B0000}"/>
    <cellStyle name="_預算書(1025)_普令厝農地重劃區西33路農水路改善工程_臺西鄉(凡那比颱風)鄉內道路排水災害復建工程" xfId="538" xr:uid="{00000000-0005-0000-0000-0000CD0B0000}"/>
    <cellStyle name="_預算書(1025)_普令厝農地重劃區西33路農水路改善工程_臺西鄉(凡那比颱風)鄉內道路排水災害復建工程 2" xfId="3919" xr:uid="{00000000-0005-0000-0000-0000CE0B0000}"/>
    <cellStyle name="_預算書(1025)_普令厝農地重劃區西33路農水路改善工程_臺西鄉(凡那比颱風)鄉內道路排水災害復建工程_施工日誌1" xfId="2161" xr:uid="{00000000-0005-0000-0000-0000CF0B0000}"/>
    <cellStyle name="_預算書(1025)_普令厝農地重劃區西33路農水路改善工程_臺西鄉蚊港村蚊港巷道改善工程" xfId="3920" xr:uid="{00000000-0005-0000-0000-0000D00B0000}"/>
    <cellStyle name="_預算書(1025)_普令厝農地重劃區西33路農水路改善工程_臺西鄉普令厝重劃區西8路等道路排水改善工程(確定案)" xfId="539" xr:uid="{00000000-0005-0000-0000-0000D10B0000}"/>
    <cellStyle name="_預算書(1025)_普令厝農地重劃區西33路農水路改善工程_臺西鄉普令厝重劃區西8路等道路排水改善工程(確定案) 2" xfId="3921" xr:uid="{00000000-0005-0000-0000-0000D20B0000}"/>
    <cellStyle name="_預算書(1025)_普令厝農地重劃區西33路農水路改善工程_臺西鄉普令厝重劃區西8路等道路排水改善工程(確定案)_施工日誌1" xfId="2162" xr:uid="{00000000-0005-0000-0000-0000D30B0000}"/>
    <cellStyle name="_預算書(1025)_普令厝農地重劃區西33路農水路改善工程_臺西鄉臺西公有零售市埸作為多目標使用改善工程" xfId="3922" xr:uid="{00000000-0005-0000-0000-0000D40B0000}"/>
    <cellStyle name="_預算書(1025)_普令厝農地重劃區西33路農水路改善工程_豐榮、草湖等村道路及排水溝改善工程-(變更)2" xfId="3923" xr:uid="{00000000-0005-0000-0000-0000D50B0000}"/>
    <cellStyle name="_預算書(發包版本)" xfId="540" xr:uid="{00000000-0005-0000-0000-0000D60B0000}"/>
    <cellStyle name="_預算書(發包版本) 2" xfId="3924" xr:uid="{00000000-0005-0000-0000-0000D70B0000}"/>
    <cellStyle name="_預算書(發包版本)_施工日誌1" xfId="2163" xr:uid="{00000000-0005-0000-0000-0000D80B0000}"/>
    <cellStyle name="_預算書(發包版本)_普令厝農地重劃區西33路農水路改善工程" xfId="541" xr:uid="{00000000-0005-0000-0000-0000D90B0000}"/>
    <cellStyle name="_預算書(發包版本)_普令厝農地重劃區西33路農水路改善工程 2" xfId="3925" xr:uid="{00000000-0005-0000-0000-0000DA0B0000}"/>
    <cellStyle name="_預算書(發包版本)_普令厝農地重劃區西33路農水路改善工程_土庫鎮埤腳里道路、排水溝改善工程101.05.18(修正3確定)" xfId="3926" xr:uid="{00000000-0005-0000-0000-0000DB0B0000}"/>
    <cellStyle name="_預算書(發包版本)_普令厝農地重劃區西33路農水路改善工程_元長鄉長南村巷道排水改善工程" xfId="3927" xr:uid="{00000000-0005-0000-0000-0000DC0B0000}"/>
    <cellStyle name="_預算書(發包版本)_普令厝農地重劃區西33路農水路改善工程_斗南鎮久安農地重劃區V51路農路路面改善工程" xfId="5223" xr:uid="{00000000-0005-0000-0000-0000DD0B0000}"/>
    <cellStyle name="_預算書(發包版本)_普令厝農地重劃區西33路農水路改善工程_斗南鎮田頭農地重劃區農路改善工程" xfId="5224" xr:uid="{00000000-0005-0000-0000-0000DE0B0000}"/>
    <cellStyle name="_預算書(發包版本)_普令厝農地重劃區西33路農水路改善工程_斗南鎮西岐里舊社里等路面改善工程-100.05.18" xfId="3928" xr:uid="{00000000-0005-0000-0000-0000DF0B0000}"/>
    <cellStyle name="_預算書(發包版本)_普令厝農地重劃區西33路農水路改善工程_斗南鎮阿丹里、林子里相關公共設施改善工程100.11.29" xfId="3929" xr:uid="{00000000-0005-0000-0000-0000E00B0000}"/>
    <cellStyle name="_預算書(發包版本)_普令厝農地重劃區西33路農水路改善工程_斗南鎮將軍里等路面及附屬設施改善工程" xfId="3930" xr:uid="{00000000-0005-0000-0000-0000E10B0000}"/>
    <cellStyle name="_預算書(發包版本)_普令厝農地重劃區西33路農水路改善工程_古坑鄉大湖底段及麻園段路面改善工程" xfId="3931" xr:uid="{00000000-0005-0000-0000-0000E20B0000}"/>
    <cellStyle name="_預算書(發包版本)_普令厝農地重劃區西33路農水路改善工程_台西海埔地南4路排水9907豪雨災害復建工程" xfId="3932" xr:uid="{00000000-0005-0000-0000-0000E30B0000}"/>
    <cellStyle name="_預算書(發包版本)_普令厝農地重劃區西33路農水路改善工程_台西鄉四美重劃區南北幹路4農路復建工程" xfId="542" xr:uid="{00000000-0005-0000-0000-0000E40B0000}"/>
    <cellStyle name="_預算書(發包版本)_普令厝農地重劃區西33路農水路改善工程_台西鄉四美重劃區南北幹路4農路復建工程 2" xfId="3933" xr:uid="{00000000-0005-0000-0000-0000E50B0000}"/>
    <cellStyle name="_預算書(發包版本)_普令厝農地重劃區西33路農水路改善工程_台西鄉四美重劃區南北幹路4農路復建工程_施工日誌1" xfId="2165" xr:uid="{00000000-0005-0000-0000-0000E60B0000}"/>
    <cellStyle name="_預算書(發包版本)_普令厝農地重劃區西33路農水路改善工程_東勢鄉新坤村及麥寮鄉海豐村道路排水改善工程" xfId="5225" xr:uid="{00000000-0005-0000-0000-0000E70B0000}"/>
    <cellStyle name="_預算書(發包版本)_普令厝農地重劃區西33路農水路改善工程_林縣臺西鄉A10~A12雨水下水道建設工程(增減明細)" xfId="3934" xr:uid="{00000000-0005-0000-0000-0000E80B0000}"/>
    <cellStyle name="_預算書(發包版本)_普令厝農地重劃區西33路農水路改善工程_虎尾鎮新吉里竹圍子農村社區生態魚池暨運動公園道路與排水改善工程(預算書)" xfId="3935" xr:uid="{00000000-0005-0000-0000-0000E90B0000}"/>
    <cellStyle name="_預算書(發包版本)_普令厝農地重劃區西33路農水路改善工程_虎尾鎮新吉里竹圍子農村社區生態魚池暨運動公園道路與排水改善工程(確定)" xfId="5226" xr:uid="{00000000-0005-0000-0000-0000EA0B0000}"/>
    <cellStyle name="_預算書(發包版本)_普令厝農地重劃區西33路農水路改善工程_長北村等巷道排水改善工程" xfId="3936" xr:uid="{00000000-0005-0000-0000-0000EB0B0000}"/>
    <cellStyle name="_預算書(發包版本)_普令厝農地重劃區西33路農水路改善工程_後溝子一農地重劃區南北八路農路改善工程" xfId="543" xr:uid="{00000000-0005-0000-0000-0000EC0B0000}"/>
    <cellStyle name="_預算書(發包版本)_普令厝農地重劃區西33路農水路改善工程_後溝子一農地重劃區南北八路農路改善工程 2" xfId="3937" xr:uid="{00000000-0005-0000-0000-0000ED0B0000}"/>
    <cellStyle name="_預算書(發包版本)_普令厝農地重劃區西33路農水路改善工程_後溝子一農地重劃區南北八路農路改善工程_施工日誌1" xfId="2166" xr:uid="{00000000-0005-0000-0000-0000EE0B0000}"/>
    <cellStyle name="_預算書(發包版本)_普令厝農地重劃區西33路農水路改善工程_施工日誌1" xfId="2164" xr:uid="{00000000-0005-0000-0000-0000EF0B0000}"/>
    <cellStyle name="_預算書(發包版本)_普令厝農地重劃區西33路農水路改善工程_崙背鄉雨水下水道清淤疏浚維護工程" xfId="544" xr:uid="{00000000-0005-0000-0000-0000F00B0000}"/>
    <cellStyle name="_預算書(發包版本)_普令厝農地重劃區西33路農水路改善工程_崙背鄉雨水下水道清淤疏浚維護工程 2" xfId="3938" xr:uid="{00000000-0005-0000-0000-0000F10B0000}"/>
    <cellStyle name="_預算書(發包版本)_普令厝農地重劃區西33路農水路改善工程_崙背鄉雨水下水道清淤疏浚維護工程_施工日誌1" xfId="2167" xr:uid="{00000000-0005-0000-0000-0000F20B0000}"/>
    <cellStyle name="_預算書(發包版本)_普令厝農地重劃區西33路農水路改善工程_鹿寮農地重劃區補路農路改善工程等七件工程" xfId="545" xr:uid="{00000000-0005-0000-0000-0000F30B0000}"/>
    <cellStyle name="_預算書(發包版本)_普令厝農地重劃區西33路農水路改善工程_鹿寮農地重劃區補路農路改善工程等七件工程 2" xfId="3939" xr:uid="{00000000-0005-0000-0000-0000F40B0000}"/>
    <cellStyle name="_預算書(發包版本)_普令厝農地重劃區西33路農水路改善工程_鹿寮農地重劃區補路農路改善工程等七件工程_施工日誌1" xfId="2168" xr:uid="{00000000-0005-0000-0000-0000F50B0000}"/>
    <cellStyle name="_預算書(發包版本)_普令厝農地重劃區西33路農水路改善工程_普令厝農地重劃區西33路農水路改善工程" xfId="546" xr:uid="{00000000-0005-0000-0000-0000F60B0000}"/>
    <cellStyle name="_預算書(發包版本)_普令厝農地重劃區西33路農水路改善工程_普令厝農地重劃區西33路農水路改善工程 2" xfId="3940" xr:uid="{00000000-0005-0000-0000-0000F70B0000}"/>
    <cellStyle name="_預算書(發包版本)_普令厝農地重劃區西33路農水路改善工程_普令厝農地重劃區西33路農水路改善工程_施工日誌1" xfId="2169" xr:uid="{00000000-0005-0000-0000-0000F80B0000}"/>
    <cellStyle name="_預算書(發包版本)_普令厝農地重劃區西33路農水路改善工程_雲林縣崙背鄉雨水下水道清淤工程" xfId="547" xr:uid="{00000000-0005-0000-0000-0000F90B0000}"/>
    <cellStyle name="_預算書(發包版本)_普令厝農地重劃區西33路農水路改善工程_雲林縣崙背鄉雨水下水道清淤工程 2" xfId="3941" xr:uid="{00000000-0005-0000-0000-0000FA0B0000}"/>
    <cellStyle name="_預算書(發包版本)_普令厝農地重劃區西33路農水路改善工程_雲林縣崙背鄉雨水下水道清淤工程_施工日誌1" xfId="2170" xr:uid="{00000000-0005-0000-0000-0000FB0B0000}"/>
    <cellStyle name="_預算書(發包版本)_普令厝農地重劃區西33路農水路改善工程_雲林縣臺西鄉A9～A9-3雨水下水道建設工程" xfId="3942" xr:uid="{00000000-0005-0000-0000-0000FC0B0000}"/>
    <cellStyle name="_預算書(發包版本)_普令厝農地重劃區西33路農水路改善工程_臺西鄉(凡那比颱風)鄉內道路排水災害復建工程" xfId="548" xr:uid="{00000000-0005-0000-0000-0000FD0B0000}"/>
    <cellStyle name="_預算書(發包版本)_普令厝農地重劃區西33路農水路改善工程_臺西鄉(凡那比颱風)鄉內道路排水災害復建工程 2" xfId="3943" xr:uid="{00000000-0005-0000-0000-0000FE0B0000}"/>
    <cellStyle name="_預算書(發包版本)_普令厝農地重劃區西33路農水路改善工程_臺西鄉(凡那比颱風)鄉內道路排水災害復建工程_施工日誌1" xfId="2171" xr:uid="{00000000-0005-0000-0000-0000FF0B0000}"/>
    <cellStyle name="_預算書(發包版本)_普令厝農地重劃區西33路農水路改善工程_臺西鄉蚊港村蚊港巷道改善工程" xfId="3944" xr:uid="{00000000-0005-0000-0000-0000000C0000}"/>
    <cellStyle name="_預算書(發包版本)_普令厝農地重劃區西33路農水路改善工程_臺西鄉普令厝重劃區西8路等道路排水改善工程(確定案)" xfId="549" xr:uid="{00000000-0005-0000-0000-0000010C0000}"/>
    <cellStyle name="_預算書(發包版本)_普令厝農地重劃區西33路農水路改善工程_臺西鄉普令厝重劃區西8路等道路排水改善工程(確定案) 2" xfId="3945" xr:uid="{00000000-0005-0000-0000-0000020C0000}"/>
    <cellStyle name="_預算書(發包版本)_普令厝農地重劃區西33路農水路改善工程_臺西鄉普令厝重劃區西8路等道路排水改善工程(確定案)_施工日誌1" xfId="2172" xr:uid="{00000000-0005-0000-0000-0000030C0000}"/>
    <cellStyle name="_預算書(發包版本)_普令厝農地重劃區西33路農水路改善工程_臺西鄉臺西公有零售市埸作為多目標使用改善工程" xfId="3946" xr:uid="{00000000-0005-0000-0000-0000040C0000}"/>
    <cellStyle name="_預算書(發包版本)_普令厝農地重劃區西33路農水路改善工程_豐榮、草湖等村道路及排水溝改善工程-(變更)2" xfId="3947" xr:uid="{00000000-0005-0000-0000-0000050C0000}"/>
    <cellStyle name="_預算書0127" xfId="550" xr:uid="{00000000-0005-0000-0000-0000060C0000}"/>
    <cellStyle name="_預算書0127 2" xfId="3948" xr:uid="{00000000-0005-0000-0000-0000070C0000}"/>
    <cellStyle name="_預算書0127_施工日誌1" xfId="2173" xr:uid="{00000000-0005-0000-0000-0000080C0000}"/>
    <cellStyle name="_預算書0803修改a" xfId="551" xr:uid="{00000000-0005-0000-0000-0000090C0000}"/>
    <cellStyle name="_預算書0803修改a_施工日誌1" xfId="2174" xr:uid="{00000000-0005-0000-0000-00000A0C0000}"/>
    <cellStyle name="_預算書0808修改" xfId="552" xr:uid="{00000000-0005-0000-0000-00000B0C0000}"/>
    <cellStyle name="_預算書0808修改 2" xfId="3949" xr:uid="{00000000-0005-0000-0000-00000C0C0000}"/>
    <cellStyle name="_預算書0808修改_施工日誌1" xfId="2175" xr:uid="{00000000-0005-0000-0000-00000D0C0000}"/>
    <cellStyle name="_預算書0808修改_普令厝農地重劃區西33路農水路改善工程" xfId="553" xr:uid="{00000000-0005-0000-0000-00000E0C0000}"/>
    <cellStyle name="_預算書0808修改_普令厝農地重劃區西33路農水路改善工程 2" xfId="3950" xr:uid="{00000000-0005-0000-0000-00000F0C0000}"/>
    <cellStyle name="_預算書0808修改_普令厝農地重劃區西33路農水路改善工程_土庫鎮埤腳里道路、排水溝改善工程101.05.18(修正3確定)" xfId="3951" xr:uid="{00000000-0005-0000-0000-0000100C0000}"/>
    <cellStyle name="_預算書0808修改_普令厝農地重劃區西33路農水路改善工程_元長鄉長南村巷道排水改善工程" xfId="3952" xr:uid="{00000000-0005-0000-0000-0000110C0000}"/>
    <cellStyle name="_預算書0808修改_普令厝農地重劃區西33路農水路改善工程_斗南鎮久安農地重劃區V51路農路路面改善工程" xfId="5227" xr:uid="{00000000-0005-0000-0000-0000120C0000}"/>
    <cellStyle name="_預算書0808修改_普令厝農地重劃區西33路農水路改善工程_斗南鎮田頭農地重劃區農路改善工程" xfId="5228" xr:uid="{00000000-0005-0000-0000-0000130C0000}"/>
    <cellStyle name="_預算書0808修改_普令厝農地重劃區西33路農水路改善工程_斗南鎮西岐里舊社里等路面改善工程-100.05.18" xfId="3953" xr:uid="{00000000-0005-0000-0000-0000140C0000}"/>
    <cellStyle name="_預算書0808修改_普令厝農地重劃區西33路農水路改善工程_斗南鎮阿丹里、林子里相關公共設施改善工程100.11.29" xfId="3954" xr:uid="{00000000-0005-0000-0000-0000150C0000}"/>
    <cellStyle name="_預算書0808修改_普令厝農地重劃區西33路農水路改善工程_斗南鎮將軍里等路面及附屬設施改善工程" xfId="3955" xr:uid="{00000000-0005-0000-0000-0000160C0000}"/>
    <cellStyle name="_預算書0808修改_普令厝農地重劃區西33路農水路改善工程_古坑鄉大湖底段及麻園段路面改善工程" xfId="3956" xr:uid="{00000000-0005-0000-0000-0000170C0000}"/>
    <cellStyle name="_預算書0808修改_普令厝農地重劃區西33路農水路改善工程_台西海埔地南4路排水9907豪雨災害復建工程" xfId="3957" xr:uid="{00000000-0005-0000-0000-0000180C0000}"/>
    <cellStyle name="_預算書0808修改_普令厝農地重劃區西33路農水路改善工程_台西鄉四美重劃區南北幹路4農路復建工程" xfId="554" xr:uid="{00000000-0005-0000-0000-0000190C0000}"/>
    <cellStyle name="_預算書0808修改_普令厝農地重劃區西33路農水路改善工程_台西鄉四美重劃區南北幹路4農路復建工程 2" xfId="3958" xr:uid="{00000000-0005-0000-0000-00001A0C0000}"/>
    <cellStyle name="_預算書0808修改_普令厝農地重劃區西33路農水路改善工程_台西鄉四美重劃區南北幹路4農路復建工程_施工日誌1" xfId="2177" xr:uid="{00000000-0005-0000-0000-00001B0C0000}"/>
    <cellStyle name="_預算書0808修改_普令厝農地重劃區西33路農水路改善工程_東勢鄉新坤村及麥寮鄉海豐村道路排水改善工程" xfId="5229" xr:uid="{00000000-0005-0000-0000-00001C0C0000}"/>
    <cellStyle name="_預算書0808修改_普令厝農地重劃區西33路農水路改善工程_林縣臺西鄉A10~A12雨水下水道建設工程(增減明細)" xfId="3959" xr:uid="{00000000-0005-0000-0000-00001D0C0000}"/>
    <cellStyle name="_預算書0808修改_普令厝農地重劃區西33路農水路改善工程_虎尾鎮新吉里竹圍子農村社區生態魚池暨運動公園道路與排水改善工程(預算書)" xfId="3960" xr:uid="{00000000-0005-0000-0000-00001E0C0000}"/>
    <cellStyle name="_預算書0808修改_普令厝農地重劃區西33路農水路改善工程_虎尾鎮新吉里竹圍子農村社區生態魚池暨運動公園道路與排水改善工程(確定)" xfId="5230" xr:uid="{00000000-0005-0000-0000-00001F0C0000}"/>
    <cellStyle name="_預算書0808修改_普令厝農地重劃區西33路農水路改善工程_長北村等巷道排水改善工程" xfId="3961" xr:uid="{00000000-0005-0000-0000-0000200C0000}"/>
    <cellStyle name="_預算書0808修改_普令厝農地重劃區西33路農水路改善工程_後溝子一農地重劃區南北八路農路改善工程" xfId="555" xr:uid="{00000000-0005-0000-0000-0000210C0000}"/>
    <cellStyle name="_預算書0808修改_普令厝農地重劃區西33路農水路改善工程_後溝子一農地重劃區南北八路農路改善工程 2" xfId="3962" xr:uid="{00000000-0005-0000-0000-0000220C0000}"/>
    <cellStyle name="_預算書0808修改_普令厝農地重劃區西33路農水路改善工程_後溝子一農地重劃區南北八路農路改善工程_施工日誌1" xfId="2178" xr:uid="{00000000-0005-0000-0000-0000230C0000}"/>
    <cellStyle name="_預算書0808修改_普令厝農地重劃區西33路農水路改善工程_施工日誌1" xfId="2176" xr:uid="{00000000-0005-0000-0000-0000240C0000}"/>
    <cellStyle name="_預算書0808修改_普令厝農地重劃區西33路農水路改善工程_崙背鄉雨水下水道清淤疏浚維護工程" xfId="556" xr:uid="{00000000-0005-0000-0000-0000250C0000}"/>
    <cellStyle name="_預算書0808修改_普令厝農地重劃區西33路農水路改善工程_崙背鄉雨水下水道清淤疏浚維護工程 2" xfId="3963" xr:uid="{00000000-0005-0000-0000-0000260C0000}"/>
    <cellStyle name="_預算書0808修改_普令厝農地重劃區西33路農水路改善工程_崙背鄉雨水下水道清淤疏浚維護工程_施工日誌1" xfId="2179" xr:uid="{00000000-0005-0000-0000-0000270C0000}"/>
    <cellStyle name="_預算書0808修改_普令厝農地重劃區西33路農水路改善工程_鹿寮農地重劃區補路農路改善工程等七件工程" xfId="557" xr:uid="{00000000-0005-0000-0000-0000280C0000}"/>
    <cellStyle name="_預算書0808修改_普令厝農地重劃區西33路農水路改善工程_鹿寮農地重劃區補路農路改善工程等七件工程 2" xfId="3964" xr:uid="{00000000-0005-0000-0000-0000290C0000}"/>
    <cellStyle name="_預算書0808修改_普令厝農地重劃區西33路農水路改善工程_鹿寮農地重劃區補路農路改善工程等七件工程_施工日誌1" xfId="2180" xr:uid="{00000000-0005-0000-0000-00002A0C0000}"/>
    <cellStyle name="_預算書0808修改_普令厝農地重劃區西33路農水路改善工程_普令厝農地重劃區西33路農水路改善工程" xfId="558" xr:uid="{00000000-0005-0000-0000-00002B0C0000}"/>
    <cellStyle name="_預算書0808修改_普令厝農地重劃區西33路農水路改善工程_普令厝農地重劃區西33路農水路改善工程 2" xfId="3965" xr:uid="{00000000-0005-0000-0000-00002C0C0000}"/>
    <cellStyle name="_預算書0808修改_普令厝農地重劃區西33路農水路改善工程_普令厝農地重劃區西33路農水路改善工程_施工日誌1" xfId="2181" xr:uid="{00000000-0005-0000-0000-00002D0C0000}"/>
    <cellStyle name="_預算書0808修改_普令厝農地重劃區西33路農水路改善工程_雲林縣崙背鄉雨水下水道清淤工程" xfId="559" xr:uid="{00000000-0005-0000-0000-00002E0C0000}"/>
    <cellStyle name="_預算書0808修改_普令厝農地重劃區西33路農水路改善工程_雲林縣崙背鄉雨水下水道清淤工程 2" xfId="3966" xr:uid="{00000000-0005-0000-0000-00002F0C0000}"/>
    <cellStyle name="_預算書0808修改_普令厝農地重劃區西33路農水路改善工程_雲林縣崙背鄉雨水下水道清淤工程_施工日誌1" xfId="2182" xr:uid="{00000000-0005-0000-0000-0000300C0000}"/>
    <cellStyle name="_預算書0808修改_普令厝農地重劃區西33路農水路改善工程_雲林縣臺西鄉A9～A9-3雨水下水道建設工程" xfId="3967" xr:uid="{00000000-0005-0000-0000-0000310C0000}"/>
    <cellStyle name="_預算書0808修改_普令厝農地重劃區西33路農水路改善工程_臺西鄉(凡那比颱風)鄉內道路排水災害復建工程" xfId="560" xr:uid="{00000000-0005-0000-0000-0000320C0000}"/>
    <cellStyle name="_預算書0808修改_普令厝農地重劃區西33路農水路改善工程_臺西鄉(凡那比颱風)鄉內道路排水災害復建工程 2" xfId="3968" xr:uid="{00000000-0005-0000-0000-0000330C0000}"/>
    <cellStyle name="_預算書0808修改_普令厝農地重劃區西33路農水路改善工程_臺西鄉(凡那比颱風)鄉內道路排水災害復建工程_施工日誌1" xfId="2183" xr:uid="{00000000-0005-0000-0000-0000340C0000}"/>
    <cellStyle name="_預算書0808修改_普令厝農地重劃區西33路農水路改善工程_臺西鄉蚊港村蚊港巷道改善工程" xfId="3969" xr:uid="{00000000-0005-0000-0000-0000350C0000}"/>
    <cellStyle name="_預算書0808修改_普令厝農地重劃區西33路農水路改善工程_臺西鄉普令厝重劃區西8路等道路排水改善工程(確定案)" xfId="561" xr:uid="{00000000-0005-0000-0000-0000360C0000}"/>
    <cellStyle name="_預算書0808修改_普令厝農地重劃區西33路農水路改善工程_臺西鄉普令厝重劃區西8路等道路排水改善工程(確定案) 2" xfId="3970" xr:uid="{00000000-0005-0000-0000-0000370C0000}"/>
    <cellStyle name="_預算書0808修改_普令厝農地重劃區西33路農水路改善工程_臺西鄉普令厝重劃區西8路等道路排水改善工程(確定案)_施工日誌1" xfId="2184" xr:uid="{00000000-0005-0000-0000-0000380C0000}"/>
    <cellStyle name="_預算書0808修改_普令厝農地重劃區西33路農水路改善工程_臺西鄉臺西公有零售市埸作為多目標使用改善工程" xfId="3971" xr:uid="{00000000-0005-0000-0000-0000390C0000}"/>
    <cellStyle name="_預算書0808修改_普令厝農地重劃區西33路農水路改善工程_豐榮、草湖等村道路及排水溝改善工程-(變更)2" xfId="3972" xr:uid="{00000000-0005-0000-0000-00003A0C0000}"/>
    <cellStyle name="_預算書0813" xfId="562" xr:uid="{00000000-0005-0000-0000-00003B0C0000}"/>
    <cellStyle name="_預算書0813 2" xfId="3973" xr:uid="{00000000-0005-0000-0000-00003C0C0000}"/>
    <cellStyle name="_預算書0813_施工日誌1" xfId="2185" xr:uid="{00000000-0005-0000-0000-00003D0C0000}"/>
    <cellStyle name="_預算書0813_普令厝農地重劃區西33路農水路改善工程" xfId="563" xr:uid="{00000000-0005-0000-0000-00003E0C0000}"/>
    <cellStyle name="_預算書0813_普令厝農地重劃區西33路農水路改善工程 2" xfId="3974" xr:uid="{00000000-0005-0000-0000-00003F0C0000}"/>
    <cellStyle name="_預算書0813_普令厝農地重劃區西33路農水路改善工程_土庫鎮埤腳里道路、排水溝改善工程101.05.18(修正3確定)" xfId="3975" xr:uid="{00000000-0005-0000-0000-0000400C0000}"/>
    <cellStyle name="_預算書0813_普令厝農地重劃區西33路農水路改善工程_元長鄉長南村巷道排水改善工程" xfId="3976" xr:uid="{00000000-0005-0000-0000-0000410C0000}"/>
    <cellStyle name="_預算書0813_普令厝農地重劃區西33路農水路改善工程_斗南鎮久安農地重劃區V51路農路路面改善工程" xfId="5231" xr:uid="{00000000-0005-0000-0000-0000420C0000}"/>
    <cellStyle name="_預算書0813_普令厝農地重劃區西33路農水路改善工程_斗南鎮田頭農地重劃區農路改善工程" xfId="5232" xr:uid="{00000000-0005-0000-0000-0000430C0000}"/>
    <cellStyle name="_預算書0813_普令厝農地重劃區西33路農水路改善工程_斗南鎮西岐里舊社里等路面改善工程-100.05.18" xfId="3977" xr:uid="{00000000-0005-0000-0000-0000440C0000}"/>
    <cellStyle name="_預算書0813_普令厝農地重劃區西33路農水路改善工程_斗南鎮阿丹里、林子里相關公共設施改善工程100.11.29" xfId="3978" xr:uid="{00000000-0005-0000-0000-0000450C0000}"/>
    <cellStyle name="_預算書0813_普令厝農地重劃區西33路農水路改善工程_斗南鎮將軍里等路面及附屬設施改善工程" xfId="3979" xr:uid="{00000000-0005-0000-0000-0000460C0000}"/>
    <cellStyle name="_預算書0813_普令厝農地重劃區西33路農水路改善工程_古坑鄉大湖底段及麻園段路面改善工程" xfId="3980" xr:uid="{00000000-0005-0000-0000-0000470C0000}"/>
    <cellStyle name="_預算書0813_普令厝農地重劃區西33路農水路改善工程_台西海埔地南4路排水9907豪雨災害復建工程" xfId="3981" xr:uid="{00000000-0005-0000-0000-0000480C0000}"/>
    <cellStyle name="_預算書0813_普令厝農地重劃區西33路農水路改善工程_台西鄉四美重劃區南北幹路4農路復建工程" xfId="564" xr:uid="{00000000-0005-0000-0000-0000490C0000}"/>
    <cellStyle name="_預算書0813_普令厝農地重劃區西33路農水路改善工程_台西鄉四美重劃區南北幹路4農路復建工程 2" xfId="3982" xr:uid="{00000000-0005-0000-0000-00004A0C0000}"/>
    <cellStyle name="_預算書0813_普令厝農地重劃區西33路農水路改善工程_台西鄉四美重劃區南北幹路4農路復建工程_施工日誌1" xfId="2187" xr:uid="{00000000-0005-0000-0000-00004B0C0000}"/>
    <cellStyle name="_預算書0813_普令厝農地重劃區西33路農水路改善工程_東勢鄉新坤村及麥寮鄉海豐村道路排水改善工程" xfId="5233" xr:uid="{00000000-0005-0000-0000-00004C0C0000}"/>
    <cellStyle name="_預算書0813_普令厝農地重劃區西33路農水路改善工程_林縣臺西鄉A10~A12雨水下水道建設工程(增減明細)" xfId="3983" xr:uid="{00000000-0005-0000-0000-00004D0C0000}"/>
    <cellStyle name="_預算書0813_普令厝農地重劃區西33路農水路改善工程_虎尾鎮新吉里竹圍子農村社區生態魚池暨運動公園道路與排水改善工程(預算書)" xfId="3984" xr:uid="{00000000-0005-0000-0000-00004E0C0000}"/>
    <cellStyle name="_預算書0813_普令厝農地重劃區西33路農水路改善工程_虎尾鎮新吉里竹圍子農村社區生態魚池暨運動公園道路與排水改善工程(確定)" xfId="5234" xr:uid="{00000000-0005-0000-0000-00004F0C0000}"/>
    <cellStyle name="_預算書0813_普令厝農地重劃區西33路農水路改善工程_長北村等巷道排水改善工程" xfId="3985" xr:uid="{00000000-0005-0000-0000-0000500C0000}"/>
    <cellStyle name="_預算書0813_普令厝農地重劃區西33路農水路改善工程_後溝子一農地重劃區南北八路農路改善工程" xfId="565" xr:uid="{00000000-0005-0000-0000-0000510C0000}"/>
    <cellStyle name="_預算書0813_普令厝農地重劃區西33路農水路改善工程_後溝子一農地重劃區南北八路農路改善工程 2" xfId="3986" xr:uid="{00000000-0005-0000-0000-0000520C0000}"/>
    <cellStyle name="_預算書0813_普令厝農地重劃區西33路農水路改善工程_後溝子一農地重劃區南北八路農路改善工程_施工日誌1" xfId="2188" xr:uid="{00000000-0005-0000-0000-0000530C0000}"/>
    <cellStyle name="_預算書0813_普令厝農地重劃區西33路農水路改善工程_施工日誌1" xfId="2186" xr:uid="{00000000-0005-0000-0000-0000540C0000}"/>
    <cellStyle name="_預算書0813_普令厝農地重劃區西33路農水路改善工程_崙背鄉雨水下水道清淤疏浚維護工程" xfId="566" xr:uid="{00000000-0005-0000-0000-0000550C0000}"/>
    <cellStyle name="_預算書0813_普令厝農地重劃區西33路農水路改善工程_崙背鄉雨水下水道清淤疏浚維護工程 2" xfId="3987" xr:uid="{00000000-0005-0000-0000-0000560C0000}"/>
    <cellStyle name="_預算書0813_普令厝農地重劃區西33路農水路改善工程_崙背鄉雨水下水道清淤疏浚維護工程_施工日誌1" xfId="2189" xr:uid="{00000000-0005-0000-0000-0000570C0000}"/>
    <cellStyle name="_預算書0813_普令厝農地重劃區西33路農水路改善工程_鹿寮農地重劃區補路農路改善工程等七件工程" xfId="567" xr:uid="{00000000-0005-0000-0000-0000580C0000}"/>
    <cellStyle name="_預算書0813_普令厝農地重劃區西33路農水路改善工程_鹿寮農地重劃區補路農路改善工程等七件工程 2" xfId="3988" xr:uid="{00000000-0005-0000-0000-0000590C0000}"/>
    <cellStyle name="_預算書0813_普令厝農地重劃區西33路農水路改善工程_鹿寮農地重劃區補路農路改善工程等七件工程_施工日誌1" xfId="2190" xr:uid="{00000000-0005-0000-0000-00005A0C0000}"/>
    <cellStyle name="_預算書0813_普令厝農地重劃區西33路農水路改善工程_普令厝農地重劃區西33路農水路改善工程" xfId="568" xr:uid="{00000000-0005-0000-0000-00005B0C0000}"/>
    <cellStyle name="_預算書0813_普令厝農地重劃區西33路農水路改善工程_普令厝農地重劃區西33路農水路改善工程 2" xfId="3989" xr:uid="{00000000-0005-0000-0000-00005C0C0000}"/>
    <cellStyle name="_預算書0813_普令厝農地重劃區西33路農水路改善工程_普令厝農地重劃區西33路農水路改善工程_施工日誌1" xfId="2191" xr:uid="{00000000-0005-0000-0000-00005D0C0000}"/>
    <cellStyle name="_預算書0813_普令厝農地重劃區西33路農水路改善工程_雲林縣崙背鄉雨水下水道清淤工程" xfId="569" xr:uid="{00000000-0005-0000-0000-00005E0C0000}"/>
    <cellStyle name="_預算書0813_普令厝農地重劃區西33路農水路改善工程_雲林縣崙背鄉雨水下水道清淤工程 2" xfId="3990" xr:uid="{00000000-0005-0000-0000-00005F0C0000}"/>
    <cellStyle name="_預算書0813_普令厝農地重劃區西33路農水路改善工程_雲林縣崙背鄉雨水下水道清淤工程_施工日誌1" xfId="2192" xr:uid="{00000000-0005-0000-0000-0000600C0000}"/>
    <cellStyle name="_預算書0813_普令厝農地重劃區西33路農水路改善工程_雲林縣臺西鄉A9～A9-3雨水下水道建設工程" xfId="3991" xr:uid="{00000000-0005-0000-0000-0000610C0000}"/>
    <cellStyle name="_預算書0813_普令厝農地重劃區西33路農水路改善工程_臺西鄉(凡那比颱風)鄉內道路排水災害復建工程" xfId="570" xr:uid="{00000000-0005-0000-0000-0000620C0000}"/>
    <cellStyle name="_預算書0813_普令厝農地重劃區西33路農水路改善工程_臺西鄉(凡那比颱風)鄉內道路排水災害復建工程 2" xfId="3992" xr:uid="{00000000-0005-0000-0000-0000630C0000}"/>
    <cellStyle name="_預算書0813_普令厝農地重劃區西33路農水路改善工程_臺西鄉(凡那比颱風)鄉內道路排水災害復建工程_施工日誌1" xfId="2193" xr:uid="{00000000-0005-0000-0000-0000640C0000}"/>
    <cellStyle name="_預算書0813_普令厝農地重劃區西33路農水路改善工程_臺西鄉蚊港村蚊港巷道改善工程" xfId="3993" xr:uid="{00000000-0005-0000-0000-0000650C0000}"/>
    <cellStyle name="_預算書0813_普令厝農地重劃區西33路農水路改善工程_臺西鄉普令厝重劃區西8路等道路排水改善工程(確定案)" xfId="571" xr:uid="{00000000-0005-0000-0000-0000660C0000}"/>
    <cellStyle name="_預算書0813_普令厝農地重劃區西33路農水路改善工程_臺西鄉普令厝重劃區西8路等道路排水改善工程(確定案) 2" xfId="3994" xr:uid="{00000000-0005-0000-0000-0000670C0000}"/>
    <cellStyle name="_預算書0813_普令厝農地重劃區西33路農水路改善工程_臺西鄉普令厝重劃區西8路等道路排水改善工程(確定案)_施工日誌1" xfId="2194" xr:uid="{00000000-0005-0000-0000-0000680C0000}"/>
    <cellStyle name="_預算書0813_普令厝農地重劃區西33路農水路改善工程_臺西鄉臺西公有零售市埸作為多目標使用改善工程" xfId="3995" xr:uid="{00000000-0005-0000-0000-0000690C0000}"/>
    <cellStyle name="_預算書0813_普令厝農地重劃區西33路農水路改善工程_豐榮、草湖等村道路及排水溝改善工程-(變更)2" xfId="3996" xr:uid="{00000000-0005-0000-0000-00006A0C0000}"/>
    <cellStyle name="_預算書0830" xfId="572" xr:uid="{00000000-0005-0000-0000-00006B0C0000}"/>
    <cellStyle name="_預算書0830 2" xfId="3997" xr:uid="{00000000-0005-0000-0000-00006C0C0000}"/>
    <cellStyle name="_預算書0830_施工日誌1" xfId="2195" xr:uid="{00000000-0005-0000-0000-00006D0C0000}"/>
    <cellStyle name="_預算書0830_普令厝農地重劃區西33路農水路改善工程" xfId="573" xr:uid="{00000000-0005-0000-0000-00006E0C0000}"/>
    <cellStyle name="_預算書0830_普令厝農地重劃區西33路農水路改善工程 2" xfId="3998" xr:uid="{00000000-0005-0000-0000-00006F0C0000}"/>
    <cellStyle name="_預算書0830_普令厝農地重劃區西33路農水路改善工程_土庫鎮埤腳里道路、排水溝改善工程101.05.18(修正3確定)" xfId="3999" xr:uid="{00000000-0005-0000-0000-0000700C0000}"/>
    <cellStyle name="_預算書0830_普令厝農地重劃區西33路農水路改善工程_元長鄉長南村巷道排水改善工程" xfId="4000" xr:uid="{00000000-0005-0000-0000-0000710C0000}"/>
    <cellStyle name="_預算書0830_普令厝農地重劃區西33路農水路改善工程_斗南鎮久安農地重劃區V51路農路路面改善工程" xfId="5235" xr:uid="{00000000-0005-0000-0000-0000720C0000}"/>
    <cellStyle name="_預算書0830_普令厝農地重劃區西33路農水路改善工程_斗南鎮田頭農地重劃區農路改善工程" xfId="5236" xr:uid="{00000000-0005-0000-0000-0000730C0000}"/>
    <cellStyle name="_預算書0830_普令厝農地重劃區西33路農水路改善工程_斗南鎮西岐里舊社里等路面改善工程-100.05.18" xfId="4001" xr:uid="{00000000-0005-0000-0000-0000740C0000}"/>
    <cellStyle name="_預算書0830_普令厝農地重劃區西33路農水路改善工程_斗南鎮阿丹里、林子里相關公共設施改善工程100.11.29" xfId="4002" xr:uid="{00000000-0005-0000-0000-0000750C0000}"/>
    <cellStyle name="_預算書0830_普令厝農地重劃區西33路農水路改善工程_斗南鎮將軍里等路面及附屬設施改善工程" xfId="4003" xr:uid="{00000000-0005-0000-0000-0000760C0000}"/>
    <cellStyle name="_預算書0830_普令厝農地重劃區西33路農水路改善工程_古坑鄉大湖底段及麻園段路面改善工程" xfId="4004" xr:uid="{00000000-0005-0000-0000-0000770C0000}"/>
    <cellStyle name="_預算書0830_普令厝農地重劃區西33路農水路改善工程_台西海埔地南4路排水9907豪雨災害復建工程" xfId="4005" xr:uid="{00000000-0005-0000-0000-0000780C0000}"/>
    <cellStyle name="_預算書0830_普令厝農地重劃區西33路農水路改善工程_台西鄉四美重劃區南北幹路4農路復建工程" xfId="574" xr:uid="{00000000-0005-0000-0000-0000790C0000}"/>
    <cellStyle name="_預算書0830_普令厝農地重劃區西33路農水路改善工程_台西鄉四美重劃區南北幹路4農路復建工程 2" xfId="4006" xr:uid="{00000000-0005-0000-0000-00007A0C0000}"/>
    <cellStyle name="_預算書0830_普令厝農地重劃區西33路農水路改善工程_台西鄉四美重劃區南北幹路4農路復建工程_施工日誌1" xfId="2197" xr:uid="{00000000-0005-0000-0000-00007B0C0000}"/>
    <cellStyle name="_預算書0830_普令厝農地重劃區西33路農水路改善工程_東勢鄉新坤村及麥寮鄉海豐村道路排水改善工程" xfId="5237" xr:uid="{00000000-0005-0000-0000-00007C0C0000}"/>
    <cellStyle name="_預算書0830_普令厝農地重劃區西33路農水路改善工程_林縣臺西鄉A10~A12雨水下水道建設工程(增減明細)" xfId="4007" xr:uid="{00000000-0005-0000-0000-00007D0C0000}"/>
    <cellStyle name="_預算書0830_普令厝農地重劃區西33路農水路改善工程_虎尾鎮新吉里竹圍子農村社區生態魚池暨運動公園道路與排水改善工程(預算書)" xfId="4008" xr:uid="{00000000-0005-0000-0000-00007E0C0000}"/>
    <cellStyle name="_預算書0830_普令厝農地重劃區西33路農水路改善工程_虎尾鎮新吉里竹圍子農村社區生態魚池暨運動公園道路與排水改善工程(確定)" xfId="5238" xr:uid="{00000000-0005-0000-0000-00007F0C0000}"/>
    <cellStyle name="_預算書0830_普令厝農地重劃區西33路農水路改善工程_長北村等巷道排水改善工程" xfId="4009" xr:uid="{00000000-0005-0000-0000-0000800C0000}"/>
    <cellStyle name="_預算書0830_普令厝農地重劃區西33路農水路改善工程_後溝子一農地重劃區南北八路農路改善工程" xfId="575" xr:uid="{00000000-0005-0000-0000-0000810C0000}"/>
    <cellStyle name="_預算書0830_普令厝農地重劃區西33路農水路改善工程_後溝子一農地重劃區南北八路農路改善工程 2" xfId="4010" xr:uid="{00000000-0005-0000-0000-0000820C0000}"/>
    <cellStyle name="_預算書0830_普令厝農地重劃區西33路農水路改善工程_後溝子一農地重劃區南北八路農路改善工程_施工日誌1" xfId="2198" xr:uid="{00000000-0005-0000-0000-0000830C0000}"/>
    <cellStyle name="_預算書0830_普令厝農地重劃區西33路農水路改善工程_施工日誌1" xfId="2196" xr:uid="{00000000-0005-0000-0000-0000840C0000}"/>
    <cellStyle name="_預算書0830_普令厝農地重劃區西33路農水路改善工程_崙背鄉雨水下水道清淤疏浚維護工程" xfId="576" xr:uid="{00000000-0005-0000-0000-0000850C0000}"/>
    <cellStyle name="_預算書0830_普令厝農地重劃區西33路農水路改善工程_崙背鄉雨水下水道清淤疏浚維護工程 2" xfId="4011" xr:uid="{00000000-0005-0000-0000-0000860C0000}"/>
    <cellStyle name="_預算書0830_普令厝農地重劃區西33路農水路改善工程_崙背鄉雨水下水道清淤疏浚維護工程_施工日誌1" xfId="2199" xr:uid="{00000000-0005-0000-0000-0000870C0000}"/>
    <cellStyle name="_預算書0830_普令厝農地重劃區西33路農水路改善工程_鹿寮農地重劃區補路農路改善工程等七件工程" xfId="577" xr:uid="{00000000-0005-0000-0000-0000880C0000}"/>
    <cellStyle name="_預算書0830_普令厝農地重劃區西33路農水路改善工程_鹿寮農地重劃區補路農路改善工程等七件工程 2" xfId="4012" xr:uid="{00000000-0005-0000-0000-0000890C0000}"/>
    <cellStyle name="_預算書0830_普令厝農地重劃區西33路農水路改善工程_鹿寮農地重劃區補路農路改善工程等七件工程_施工日誌1" xfId="2200" xr:uid="{00000000-0005-0000-0000-00008A0C0000}"/>
    <cellStyle name="_預算書0830_普令厝農地重劃區西33路農水路改善工程_普令厝農地重劃區西33路農水路改善工程" xfId="578" xr:uid="{00000000-0005-0000-0000-00008B0C0000}"/>
    <cellStyle name="_預算書0830_普令厝農地重劃區西33路農水路改善工程_普令厝農地重劃區西33路農水路改善工程 2" xfId="4013" xr:uid="{00000000-0005-0000-0000-00008C0C0000}"/>
    <cellStyle name="_預算書0830_普令厝農地重劃區西33路農水路改善工程_普令厝農地重劃區西33路農水路改善工程_施工日誌1" xfId="2201" xr:uid="{00000000-0005-0000-0000-00008D0C0000}"/>
    <cellStyle name="_預算書0830_普令厝農地重劃區西33路農水路改善工程_雲林縣崙背鄉雨水下水道清淤工程" xfId="579" xr:uid="{00000000-0005-0000-0000-00008E0C0000}"/>
    <cellStyle name="_預算書0830_普令厝農地重劃區西33路農水路改善工程_雲林縣崙背鄉雨水下水道清淤工程 2" xfId="4014" xr:uid="{00000000-0005-0000-0000-00008F0C0000}"/>
    <cellStyle name="_預算書0830_普令厝農地重劃區西33路農水路改善工程_雲林縣崙背鄉雨水下水道清淤工程_施工日誌1" xfId="2202" xr:uid="{00000000-0005-0000-0000-0000900C0000}"/>
    <cellStyle name="_預算書0830_普令厝農地重劃區西33路農水路改善工程_雲林縣臺西鄉A9～A9-3雨水下水道建設工程" xfId="4015" xr:uid="{00000000-0005-0000-0000-0000910C0000}"/>
    <cellStyle name="_預算書0830_普令厝農地重劃區西33路農水路改善工程_臺西鄉(凡那比颱風)鄉內道路排水災害復建工程" xfId="580" xr:uid="{00000000-0005-0000-0000-0000920C0000}"/>
    <cellStyle name="_預算書0830_普令厝農地重劃區西33路農水路改善工程_臺西鄉(凡那比颱風)鄉內道路排水災害復建工程 2" xfId="4016" xr:uid="{00000000-0005-0000-0000-0000930C0000}"/>
    <cellStyle name="_預算書0830_普令厝農地重劃區西33路農水路改善工程_臺西鄉(凡那比颱風)鄉內道路排水災害復建工程_施工日誌1" xfId="2203" xr:uid="{00000000-0005-0000-0000-0000940C0000}"/>
    <cellStyle name="_預算書0830_普令厝農地重劃區西33路農水路改善工程_臺西鄉蚊港村蚊港巷道改善工程" xfId="4017" xr:uid="{00000000-0005-0000-0000-0000950C0000}"/>
    <cellStyle name="_預算書0830_普令厝農地重劃區西33路農水路改善工程_臺西鄉普令厝重劃區西8路等道路排水改善工程(確定案)" xfId="581" xr:uid="{00000000-0005-0000-0000-0000960C0000}"/>
    <cellStyle name="_預算書0830_普令厝農地重劃區西33路農水路改善工程_臺西鄉普令厝重劃區西8路等道路排水改善工程(確定案) 2" xfId="4018" xr:uid="{00000000-0005-0000-0000-0000970C0000}"/>
    <cellStyle name="_預算書0830_普令厝農地重劃區西33路農水路改善工程_臺西鄉普令厝重劃區西8路等道路排水改善工程(確定案)_施工日誌1" xfId="2204" xr:uid="{00000000-0005-0000-0000-0000980C0000}"/>
    <cellStyle name="_預算書0830_普令厝農地重劃區西33路農水路改善工程_臺西鄉臺西公有零售市埸作為多目標使用改善工程" xfId="4019" xr:uid="{00000000-0005-0000-0000-0000990C0000}"/>
    <cellStyle name="_預算書0830_普令厝農地重劃區西33路農水路改善工程_豐榮、草湖等村道路及排水溝改善工程-(變更)2" xfId="4020" xr:uid="{00000000-0005-0000-0000-00009A0C0000}"/>
    <cellStyle name="_預算書1106-1" xfId="582" xr:uid="{00000000-0005-0000-0000-00009B0C0000}"/>
    <cellStyle name="_預算書1106-1 2" xfId="4021" xr:uid="{00000000-0005-0000-0000-00009C0C0000}"/>
    <cellStyle name="_預算書1106-1_施工日誌1" xfId="2205" xr:uid="{00000000-0005-0000-0000-00009D0C0000}"/>
    <cellStyle name="_預算書1106-1_普令厝農地重劃區西33路農水路改善工程" xfId="583" xr:uid="{00000000-0005-0000-0000-00009E0C0000}"/>
    <cellStyle name="_預算書1106-1_普令厝農地重劃區西33路農水路改善工程 2" xfId="4022" xr:uid="{00000000-0005-0000-0000-00009F0C0000}"/>
    <cellStyle name="_預算書1106-1_普令厝農地重劃區西33路農水路改善工程_土庫鎮埤腳里道路、排水溝改善工程101.05.18(修正3確定)" xfId="4023" xr:uid="{00000000-0005-0000-0000-0000A00C0000}"/>
    <cellStyle name="_預算書1106-1_普令厝農地重劃區西33路農水路改善工程_元長鄉長南村巷道排水改善工程" xfId="4024" xr:uid="{00000000-0005-0000-0000-0000A10C0000}"/>
    <cellStyle name="_預算書1106-1_普令厝農地重劃區西33路農水路改善工程_斗南鎮久安農地重劃區V51路農路路面改善工程" xfId="5239" xr:uid="{00000000-0005-0000-0000-0000A20C0000}"/>
    <cellStyle name="_預算書1106-1_普令厝農地重劃區西33路農水路改善工程_斗南鎮田頭農地重劃區農路改善工程" xfId="5240" xr:uid="{00000000-0005-0000-0000-0000A30C0000}"/>
    <cellStyle name="_預算書1106-1_普令厝農地重劃區西33路農水路改善工程_斗南鎮西岐里舊社里等路面改善工程-100.05.18" xfId="4025" xr:uid="{00000000-0005-0000-0000-0000A40C0000}"/>
    <cellStyle name="_預算書1106-1_普令厝農地重劃區西33路農水路改善工程_斗南鎮阿丹里、林子里相關公共設施改善工程100.11.29" xfId="4026" xr:uid="{00000000-0005-0000-0000-0000A50C0000}"/>
    <cellStyle name="_預算書1106-1_普令厝農地重劃區西33路農水路改善工程_斗南鎮將軍里等路面及附屬設施改善工程" xfId="4027" xr:uid="{00000000-0005-0000-0000-0000A60C0000}"/>
    <cellStyle name="_預算書1106-1_普令厝農地重劃區西33路農水路改善工程_古坑鄉大湖底段及麻園段路面改善工程" xfId="4028" xr:uid="{00000000-0005-0000-0000-0000A70C0000}"/>
    <cellStyle name="_預算書1106-1_普令厝農地重劃區西33路農水路改善工程_台西海埔地南4路排水9907豪雨災害復建工程" xfId="4029" xr:uid="{00000000-0005-0000-0000-0000A80C0000}"/>
    <cellStyle name="_預算書1106-1_普令厝農地重劃區西33路農水路改善工程_台西鄉四美重劃區南北幹路4農路復建工程" xfId="584" xr:uid="{00000000-0005-0000-0000-0000A90C0000}"/>
    <cellStyle name="_預算書1106-1_普令厝農地重劃區西33路農水路改善工程_台西鄉四美重劃區南北幹路4農路復建工程 2" xfId="4030" xr:uid="{00000000-0005-0000-0000-0000AA0C0000}"/>
    <cellStyle name="_預算書1106-1_普令厝農地重劃區西33路農水路改善工程_台西鄉四美重劃區南北幹路4農路復建工程_施工日誌1" xfId="2207" xr:uid="{00000000-0005-0000-0000-0000AB0C0000}"/>
    <cellStyle name="_預算書1106-1_普令厝農地重劃區西33路農水路改善工程_東勢鄉新坤村及麥寮鄉海豐村道路排水改善工程" xfId="5241" xr:uid="{00000000-0005-0000-0000-0000AC0C0000}"/>
    <cellStyle name="_預算書1106-1_普令厝農地重劃區西33路農水路改善工程_林縣臺西鄉A10~A12雨水下水道建設工程(增減明細)" xfId="4031" xr:uid="{00000000-0005-0000-0000-0000AD0C0000}"/>
    <cellStyle name="_預算書1106-1_普令厝農地重劃區西33路農水路改善工程_虎尾鎮新吉里竹圍子農村社區生態魚池暨運動公園道路與排水改善工程(預算書)" xfId="4032" xr:uid="{00000000-0005-0000-0000-0000AE0C0000}"/>
    <cellStyle name="_預算書1106-1_普令厝農地重劃區西33路農水路改善工程_虎尾鎮新吉里竹圍子農村社區生態魚池暨運動公園道路與排水改善工程(確定)" xfId="5242" xr:uid="{00000000-0005-0000-0000-0000AF0C0000}"/>
    <cellStyle name="_預算書1106-1_普令厝農地重劃區西33路農水路改善工程_長北村等巷道排水改善工程" xfId="4033" xr:uid="{00000000-0005-0000-0000-0000B00C0000}"/>
    <cellStyle name="_預算書1106-1_普令厝農地重劃區西33路農水路改善工程_後溝子一農地重劃區南北八路農路改善工程" xfId="585" xr:uid="{00000000-0005-0000-0000-0000B10C0000}"/>
    <cellStyle name="_預算書1106-1_普令厝農地重劃區西33路農水路改善工程_後溝子一農地重劃區南北八路農路改善工程 2" xfId="4034" xr:uid="{00000000-0005-0000-0000-0000B20C0000}"/>
    <cellStyle name="_預算書1106-1_普令厝農地重劃區西33路農水路改善工程_後溝子一農地重劃區南北八路農路改善工程_施工日誌1" xfId="2208" xr:uid="{00000000-0005-0000-0000-0000B30C0000}"/>
    <cellStyle name="_預算書1106-1_普令厝農地重劃區西33路農水路改善工程_施工日誌1" xfId="2206" xr:uid="{00000000-0005-0000-0000-0000B40C0000}"/>
    <cellStyle name="_預算書1106-1_普令厝農地重劃區西33路農水路改善工程_崙背鄉雨水下水道清淤疏浚維護工程" xfId="586" xr:uid="{00000000-0005-0000-0000-0000B50C0000}"/>
    <cellStyle name="_預算書1106-1_普令厝農地重劃區西33路農水路改善工程_崙背鄉雨水下水道清淤疏浚維護工程 2" xfId="4035" xr:uid="{00000000-0005-0000-0000-0000B60C0000}"/>
    <cellStyle name="_預算書1106-1_普令厝農地重劃區西33路農水路改善工程_崙背鄉雨水下水道清淤疏浚維護工程_施工日誌1" xfId="2209" xr:uid="{00000000-0005-0000-0000-0000B70C0000}"/>
    <cellStyle name="_預算書1106-1_普令厝農地重劃區西33路農水路改善工程_鹿寮農地重劃區補路農路改善工程等七件工程" xfId="587" xr:uid="{00000000-0005-0000-0000-0000B80C0000}"/>
    <cellStyle name="_預算書1106-1_普令厝農地重劃區西33路農水路改善工程_鹿寮農地重劃區補路農路改善工程等七件工程 2" xfId="4036" xr:uid="{00000000-0005-0000-0000-0000B90C0000}"/>
    <cellStyle name="_預算書1106-1_普令厝農地重劃區西33路農水路改善工程_鹿寮農地重劃區補路農路改善工程等七件工程_施工日誌1" xfId="2210" xr:uid="{00000000-0005-0000-0000-0000BA0C0000}"/>
    <cellStyle name="_預算書1106-1_普令厝農地重劃區西33路農水路改善工程_普令厝農地重劃區西33路農水路改善工程" xfId="588" xr:uid="{00000000-0005-0000-0000-0000BB0C0000}"/>
    <cellStyle name="_預算書1106-1_普令厝農地重劃區西33路農水路改善工程_普令厝農地重劃區西33路農水路改善工程 2" xfId="4037" xr:uid="{00000000-0005-0000-0000-0000BC0C0000}"/>
    <cellStyle name="_預算書1106-1_普令厝農地重劃區西33路農水路改善工程_普令厝農地重劃區西33路農水路改善工程_施工日誌1" xfId="2211" xr:uid="{00000000-0005-0000-0000-0000BD0C0000}"/>
    <cellStyle name="_預算書1106-1_普令厝農地重劃區西33路農水路改善工程_雲林縣崙背鄉雨水下水道清淤工程" xfId="589" xr:uid="{00000000-0005-0000-0000-0000BE0C0000}"/>
    <cellStyle name="_預算書1106-1_普令厝農地重劃區西33路農水路改善工程_雲林縣崙背鄉雨水下水道清淤工程 2" xfId="4038" xr:uid="{00000000-0005-0000-0000-0000BF0C0000}"/>
    <cellStyle name="_預算書1106-1_普令厝農地重劃區西33路農水路改善工程_雲林縣崙背鄉雨水下水道清淤工程_施工日誌1" xfId="2212" xr:uid="{00000000-0005-0000-0000-0000C00C0000}"/>
    <cellStyle name="_預算書1106-1_普令厝農地重劃區西33路農水路改善工程_雲林縣臺西鄉A9～A9-3雨水下水道建設工程" xfId="4039" xr:uid="{00000000-0005-0000-0000-0000C10C0000}"/>
    <cellStyle name="_預算書1106-1_普令厝農地重劃區西33路農水路改善工程_臺西鄉(凡那比颱風)鄉內道路排水災害復建工程" xfId="590" xr:uid="{00000000-0005-0000-0000-0000C20C0000}"/>
    <cellStyle name="_預算書1106-1_普令厝農地重劃區西33路農水路改善工程_臺西鄉(凡那比颱風)鄉內道路排水災害復建工程 2" xfId="4040" xr:uid="{00000000-0005-0000-0000-0000C30C0000}"/>
    <cellStyle name="_預算書1106-1_普令厝農地重劃區西33路農水路改善工程_臺西鄉(凡那比颱風)鄉內道路排水災害復建工程_施工日誌1" xfId="2213" xr:uid="{00000000-0005-0000-0000-0000C40C0000}"/>
    <cellStyle name="_預算書1106-1_普令厝農地重劃區西33路農水路改善工程_臺西鄉蚊港村蚊港巷道改善工程" xfId="4041" xr:uid="{00000000-0005-0000-0000-0000C50C0000}"/>
    <cellStyle name="_預算書1106-1_普令厝農地重劃區西33路農水路改善工程_臺西鄉普令厝重劃區西8路等道路排水改善工程(確定案)" xfId="591" xr:uid="{00000000-0005-0000-0000-0000C60C0000}"/>
    <cellStyle name="_預算書1106-1_普令厝農地重劃區西33路農水路改善工程_臺西鄉普令厝重劃區西8路等道路排水改善工程(確定案) 2" xfId="4042" xr:uid="{00000000-0005-0000-0000-0000C70C0000}"/>
    <cellStyle name="_預算書1106-1_普令厝農地重劃區西33路農水路改善工程_臺西鄉普令厝重劃區西8路等道路排水改善工程(確定案)_施工日誌1" xfId="2214" xr:uid="{00000000-0005-0000-0000-0000C80C0000}"/>
    <cellStyle name="_預算書1106-1_普令厝農地重劃區西33路農水路改善工程_臺西鄉臺西公有零售市埸作為多目標使用改善工程" xfId="4043" xr:uid="{00000000-0005-0000-0000-0000C90C0000}"/>
    <cellStyle name="_預算書1106-1_普令厝農地重劃區西33路農水路改善工程_豐榮、草湖等村道路及排水溝改善工程-(變更)2" xfId="4044" xr:uid="{00000000-0005-0000-0000-0000CA0C0000}"/>
    <cellStyle name="_預算書-42線" xfId="592" xr:uid="{00000000-0005-0000-0000-0000CB0C0000}"/>
    <cellStyle name="_預算書-42線 2" xfId="4045" xr:uid="{00000000-0005-0000-0000-0000CC0C0000}"/>
    <cellStyle name="_預算書-42線_芊蓁籠農路邊坡災害復建工程【變更】" xfId="593" xr:uid="{00000000-0005-0000-0000-0000CD0C0000}"/>
    <cellStyle name="_預算書-42線_芊蓁籠農路邊坡災害復建工程【變更】_施工日誌1" xfId="2216" xr:uid="{00000000-0005-0000-0000-0000CE0C0000}"/>
    <cellStyle name="_預算書-42線_施工日誌1" xfId="2215" xr:uid="{00000000-0005-0000-0000-0000CF0C0000}"/>
    <cellStyle name="_預算書-42線_普令厝農地重劃區西33路農水路改善工程" xfId="594" xr:uid="{00000000-0005-0000-0000-0000D00C0000}"/>
    <cellStyle name="_預算書-42線_普令厝農地重劃區西33路農水路改善工程 2" xfId="4046" xr:uid="{00000000-0005-0000-0000-0000D10C0000}"/>
    <cellStyle name="_預算書-42線_普令厝農地重劃區西33路農水路改善工程_土庫鎮埤腳里道路、排水溝改善工程101.05.18(修正3確定)" xfId="4047" xr:uid="{00000000-0005-0000-0000-0000D20C0000}"/>
    <cellStyle name="_預算書-42線_普令厝農地重劃區西33路農水路改善工程_元長鄉長南村巷道排水改善工程" xfId="4048" xr:uid="{00000000-0005-0000-0000-0000D30C0000}"/>
    <cellStyle name="_預算書-42線_普令厝農地重劃區西33路農水路改善工程_斗南鎮久安農地重劃區V51路農路路面改善工程" xfId="5243" xr:uid="{00000000-0005-0000-0000-0000D40C0000}"/>
    <cellStyle name="_預算書-42線_普令厝農地重劃區西33路農水路改善工程_斗南鎮田頭農地重劃區農路改善工程" xfId="5244" xr:uid="{00000000-0005-0000-0000-0000D50C0000}"/>
    <cellStyle name="_預算書-42線_普令厝農地重劃區西33路農水路改善工程_斗南鎮西岐里舊社里等路面改善工程-100.05.18" xfId="4049" xr:uid="{00000000-0005-0000-0000-0000D60C0000}"/>
    <cellStyle name="_預算書-42線_普令厝農地重劃區西33路農水路改善工程_斗南鎮阿丹里、林子里相關公共設施改善工程100.11.29" xfId="4050" xr:uid="{00000000-0005-0000-0000-0000D70C0000}"/>
    <cellStyle name="_預算書-42線_普令厝農地重劃區西33路農水路改善工程_斗南鎮將軍里等路面及附屬設施改善工程" xfId="4051" xr:uid="{00000000-0005-0000-0000-0000D80C0000}"/>
    <cellStyle name="_預算書-42線_普令厝農地重劃區西33路農水路改善工程_古坑鄉大湖底段及麻園段路面改善工程" xfId="4052" xr:uid="{00000000-0005-0000-0000-0000D90C0000}"/>
    <cellStyle name="_預算書-42線_普令厝農地重劃區西33路農水路改善工程_台西海埔地南4路排水9907豪雨災害復建工程" xfId="4053" xr:uid="{00000000-0005-0000-0000-0000DA0C0000}"/>
    <cellStyle name="_預算書-42線_普令厝農地重劃區西33路農水路改善工程_台西鄉四美重劃區南北幹路4農路復建工程" xfId="595" xr:uid="{00000000-0005-0000-0000-0000DB0C0000}"/>
    <cellStyle name="_預算書-42線_普令厝農地重劃區西33路農水路改善工程_台西鄉四美重劃區南北幹路4農路復建工程 2" xfId="4054" xr:uid="{00000000-0005-0000-0000-0000DC0C0000}"/>
    <cellStyle name="_預算書-42線_普令厝農地重劃區西33路農水路改善工程_台西鄉四美重劃區南北幹路4農路復建工程_施工日誌1" xfId="2218" xr:uid="{00000000-0005-0000-0000-0000DD0C0000}"/>
    <cellStyle name="_預算書-42線_普令厝農地重劃區西33路農水路改善工程_東勢鄉新坤村及麥寮鄉海豐村道路排水改善工程" xfId="5245" xr:uid="{00000000-0005-0000-0000-0000DE0C0000}"/>
    <cellStyle name="_預算書-42線_普令厝農地重劃區西33路農水路改善工程_林縣臺西鄉A10~A12雨水下水道建設工程(增減明細)" xfId="4055" xr:uid="{00000000-0005-0000-0000-0000DF0C0000}"/>
    <cellStyle name="_預算書-42線_普令厝農地重劃區西33路農水路改善工程_虎尾鎮新吉里竹圍子農村社區生態魚池暨運動公園道路與排水改善工程(預算書)" xfId="4056" xr:uid="{00000000-0005-0000-0000-0000E00C0000}"/>
    <cellStyle name="_預算書-42線_普令厝農地重劃區西33路農水路改善工程_虎尾鎮新吉里竹圍子農村社區生態魚池暨運動公園道路與排水改善工程(確定)" xfId="5246" xr:uid="{00000000-0005-0000-0000-0000E10C0000}"/>
    <cellStyle name="_預算書-42線_普令厝農地重劃區西33路農水路改善工程_長北村等巷道排水改善工程" xfId="4057" xr:uid="{00000000-0005-0000-0000-0000E20C0000}"/>
    <cellStyle name="_預算書-42線_普令厝農地重劃區西33路農水路改善工程_後溝子一農地重劃區南北八路農路改善工程" xfId="596" xr:uid="{00000000-0005-0000-0000-0000E30C0000}"/>
    <cellStyle name="_預算書-42線_普令厝農地重劃區西33路農水路改善工程_後溝子一農地重劃區南北八路農路改善工程 2" xfId="4058" xr:uid="{00000000-0005-0000-0000-0000E40C0000}"/>
    <cellStyle name="_預算書-42線_普令厝農地重劃區西33路農水路改善工程_後溝子一農地重劃區南北八路農路改善工程_施工日誌1" xfId="2219" xr:uid="{00000000-0005-0000-0000-0000E50C0000}"/>
    <cellStyle name="_預算書-42線_普令厝農地重劃區西33路農水路改善工程_施工日誌1" xfId="2217" xr:uid="{00000000-0005-0000-0000-0000E60C0000}"/>
    <cellStyle name="_預算書-42線_普令厝農地重劃區西33路農水路改善工程_崙背鄉雨水下水道清淤疏浚維護工程" xfId="597" xr:uid="{00000000-0005-0000-0000-0000E70C0000}"/>
    <cellStyle name="_預算書-42線_普令厝農地重劃區西33路農水路改善工程_崙背鄉雨水下水道清淤疏浚維護工程 2" xfId="4059" xr:uid="{00000000-0005-0000-0000-0000E80C0000}"/>
    <cellStyle name="_預算書-42線_普令厝農地重劃區西33路農水路改善工程_崙背鄉雨水下水道清淤疏浚維護工程_施工日誌1" xfId="2220" xr:uid="{00000000-0005-0000-0000-0000E90C0000}"/>
    <cellStyle name="_預算書-42線_普令厝農地重劃區西33路農水路改善工程_鹿寮農地重劃區補路農路改善工程等七件工程" xfId="598" xr:uid="{00000000-0005-0000-0000-0000EA0C0000}"/>
    <cellStyle name="_預算書-42線_普令厝農地重劃區西33路農水路改善工程_鹿寮農地重劃區補路農路改善工程等七件工程 2" xfId="4060" xr:uid="{00000000-0005-0000-0000-0000EB0C0000}"/>
    <cellStyle name="_預算書-42線_普令厝農地重劃區西33路農水路改善工程_鹿寮農地重劃區補路農路改善工程等七件工程_施工日誌1" xfId="2221" xr:uid="{00000000-0005-0000-0000-0000EC0C0000}"/>
    <cellStyle name="_預算書-42線_普令厝農地重劃區西33路農水路改善工程_普令厝農地重劃區西33路農水路改善工程" xfId="599" xr:uid="{00000000-0005-0000-0000-0000ED0C0000}"/>
    <cellStyle name="_預算書-42線_普令厝農地重劃區西33路農水路改善工程_普令厝農地重劃區西33路農水路改善工程 2" xfId="4061" xr:uid="{00000000-0005-0000-0000-0000EE0C0000}"/>
    <cellStyle name="_預算書-42線_普令厝農地重劃區西33路農水路改善工程_普令厝農地重劃區西33路農水路改善工程_施工日誌1" xfId="2222" xr:uid="{00000000-0005-0000-0000-0000EF0C0000}"/>
    <cellStyle name="_預算書-42線_普令厝農地重劃區西33路農水路改善工程_雲林縣崙背鄉雨水下水道清淤工程" xfId="600" xr:uid="{00000000-0005-0000-0000-0000F00C0000}"/>
    <cellStyle name="_預算書-42線_普令厝農地重劃區西33路農水路改善工程_雲林縣崙背鄉雨水下水道清淤工程 2" xfId="4062" xr:uid="{00000000-0005-0000-0000-0000F10C0000}"/>
    <cellStyle name="_預算書-42線_普令厝農地重劃區西33路農水路改善工程_雲林縣崙背鄉雨水下水道清淤工程_施工日誌1" xfId="2223" xr:uid="{00000000-0005-0000-0000-0000F20C0000}"/>
    <cellStyle name="_預算書-42線_普令厝農地重劃區西33路農水路改善工程_雲林縣臺西鄉A9～A9-3雨水下水道建設工程" xfId="4063" xr:uid="{00000000-0005-0000-0000-0000F30C0000}"/>
    <cellStyle name="_預算書-42線_普令厝農地重劃區西33路農水路改善工程_臺西鄉(凡那比颱風)鄉內道路排水災害復建工程" xfId="601" xr:uid="{00000000-0005-0000-0000-0000F40C0000}"/>
    <cellStyle name="_預算書-42線_普令厝農地重劃區西33路農水路改善工程_臺西鄉(凡那比颱風)鄉內道路排水災害復建工程 2" xfId="4064" xr:uid="{00000000-0005-0000-0000-0000F50C0000}"/>
    <cellStyle name="_預算書-42線_普令厝農地重劃區西33路農水路改善工程_臺西鄉(凡那比颱風)鄉內道路排水災害復建工程_施工日誌1" xfId="2224" xr:uid="{00000000-0005-0000-0000-0000F60C0000}"/>
    <cellStyle name="_預算書-42線_普令厝農地重劃區西33路農水路改善工程_臺西鄉蚊港村蚊港巷道改善工程" xfId="4065" xr:uid="{00000000-0005-0000-0000-0000F70C0000}"/>
    <cellStyle name="_預算書-42線_普令厝農地重劃區西33路農水路改善工程_臺西鄉普令厝重劃區西8路等道路排水改善工程(確定案)" xfId="602" xr:uid="{00000000-0005-0000-0000-0000F80C0000}"/>
    <cellStyle name="_預算書-42線_普令厝農地重劃區西33路農水路改善工程_臺西鄉普令厝重劃區西8路等道路排水改善工程(確定案) 2" xfId="4066" xr:uid="{00000000-0005-0000-0000-0000F90C0000}"/>
    <cellStyle name="_預算書-42線_普令厝農地重劃區西33路農水路改善工程_臺西鄉普令厝重劃區西8路等道路排水改善工程(確定案)_施工日誌1" xfId="2225" xr:uid="{00000000-0005-0000-0000-0000FA0C0000}"/>
    <cellStyle name="_預算書-42線_普令厝農地重劃區西33路農水路改善工程_臺西鄉臺西公有零售市埸作為多目標使用改善工程" xfId="4067" xr:uid="{00000000-0005-0000-0000-0000FB0C0000}"/>
    <cellStyle name="_預算書-42線_普令厝農地重劃區西33路農水路改善工程_豐榮、草湖等村道路及排水溝改善工程-(變更)2" xfId="4068" xr:uid="{00000000-0005-0000-0000-0000FC0C0000}"/>
    <cellStyle name="_預算書-42線_新吉村等自來水管線汰換修復工程【99.04.22修改】" xfId="603" xr:uid="{00000000-0005-0000-0000-0000FD0C0000}"/>
    <cellStyle name="_預算書-42線_新吉村等自來水管線汰換修復工程【99.04.22修改】_施工日誌1" xfId="2226" xr:uid="{00000000-0005-0000-0000-0000FE0C0000}"/>
    <cellStyle name="_預算書四湖鄉溪尾村內道路排水改善工程1117-1" xfId="604" xr:uid="{00000000-0005-0000-0000-0000FF0C0000}"/>
    <cellStyle name="_預算書四湖鄉溪尾村內道路排水改善工程1117-1_施工日誌1" xfId="2227" xr:uid="{00000000-0005-0000-0000-0000000D0000}"/>
    <cellStyle name="_預算書-修改" xfId="605" xr:uid="{00000000-0005-0000-0000-0000010D0000}"/>
    <cellStyle name="_預算書-修改 2" xfId="4069" xr:uid="{00000000-0005-0000-0000-0000020D0000}"/>
    <cellStyle name="_預算書-修改_內湖大排災害復建工程" xfId="606" xr:uid="{00000000-0005-0000-0000-0000030D0000}"/>
    <cellStyle name="_預算書-修改_內湖大排災害復建工程 2" xfId="4070" xr:uid="{00000000-0005-0000-0000-0000040D0000}"/>
    <cellStyle name="_預算書-修改_內湖大排災害復建工程_施工日誌1" xfId="2229" xr:uid="{00000000-0005-0000-0000-0000050D0000}"/>
    <cellStyle name="_預算書-修改_內湖大排災害復建工程_普令厝農地重劃區西33路農水路改善工程" xfId="607" xr:uid="{00000000-0005-0000-0000-0000060D0000}"/>
    <cellStyle name="_預算書-修改_內湖大排災害復建工程_普令厝農地重劃區西33路農水路改善工程 2" xfId="4071" xr:uid="{00000000-0005-0000-0000-0000070D0000}"/>
    <cellStyle name="_預算書-修改_內湖大排災害復建工程_普令厝農地重劃區西33路農水路改善工程_土庫鎮埤腳里道路、排水溝改善工程101.05.18(修正3確定)" xfId="4072" xr:uid="{00000000-0005-0000-0000-0000080D0000}"/>
    <cellStyle name="_預算書-修改_內湖大排災害復建工程_普令厝農地重劃區西33路農水路改善工程_元長鄉長南村巷道排水改善工程" xfId="4073" xr:uid="{00000000-0005-0000-0000-0000090D0000}"/>
    <cellStyle name="_預算書-修改_內湖大排災害復建工程_普令厝農地重劃區西33路農水路改善工程_斗南鎮久安農地重劃區V51路農路路面改善工程" xfId="5247" xr:uid="{00000000-0005-0000-0000-00000A0D0000}"/>
    <cellStyle name="_預算書-修改_內湖大排災害復建工程_普令厝農地重劃區西33路農水路改善工程_斗南鎮田頭農地重劃區農路改善工程" xfId="5248" xr:uid="{00000000-0005-0000-0000-00000B0D0000}"/>
    <cellStyle name="_預算書-修改_內湖大排災害復建工程_普令厝農地重劃區西33路農水路改善工程_斗南鎮西岐里舊社里等路面改善工程-100.05.18" xfId="4074" xr:uid="{00000000-0005-0000-0000-00000C0D0000}"/>
    <cellStyle name="_預算書-修改_內湖大排災害復建工程_普令厝農地重劃區西33路農水路改善工程_斗南鎮阿丹里、林子里相關公共設施改善工程100.11.29" xfId="4075" xr:uid="{00000000-0005-0000-0000-00000D0D0000}"/>
    <cellStyle name="_預算書-修改_內湖大排災害復建工程_普令厝農地重劃區西33路農水路改善工程_斗南鎮將軍里等路面及附屬設施改善工程" xfId="4076" xr:uid="{00000000-0005-0000-0000-00000E0D0000}"/>
    <cellStyle name="_預算書-修改_內湖大排災害復建工程_普令厝農地重劃區西33路農水路改善工程_古坑鄉大湖底段及麻園段路面改善工程" xfId="4077" xr:uid="{00000000-0005-0000-0000-00000F0D0000}"/>
    <cellStyle name="_預算書-修改_內湖大排災害復建工程_普令厝農地重劃區西33路農水路改善工程_台西海埔地南4路排水9907豪雨災害復建工程" xfId="4078" xr:uid="{00000000-0005-0000-0000-0000100D0000}"/>
    <cellStyle name="_預算書-修改_內湖大排災害復建工程_普令厝農地重劃區西33路農水路改善工程_台西鄉四美重劃區南北幹路4農路復建工程" xfId="608" xr:uid="{00000000-0005-0000-0000-0000110D0000}"/>
    <cellStyle name="_預算書-修改_內湖大排災害復建工程_普令厝農地重劃區西33路農水路改善工程_台西鄉四美重劃區南北幹路4農路復建工程 2" xfId="4079" xr:uid="{00000000-0005-0000-0000-0000120D0000}"/>
    <cellStyle name="_預算書-修改_內湖大排災害復建工程_普令厝農地重劃區西33路農水路改善工程_台西鄉四美重劃區南北幹路4農路復建工程_施工日誌1" xfId="2231" xr:uid="{00000000-0005-0000-0000-0000130D0000}"/>
    <cellStyle name="_預算書-修改_內湖大排災害復建工程_普令厝農地重劃區西33路農水路改善工程_東勢鄉新坤村及麥寮鄉海豐村道路排水改善工程" xfId="5249" xr:uid="{00000000-0005-0000-0000-0000140D0000}"/>
    <cellStyle name="_預算書-修改_內湖大排災害復建工程_普令厝農地重劃區西33路農水路改善工程_林縣臺西鄉A10~A12雨水下水道建設工程(增減明細)" xfId="4080" xr:uid="{00000000-0005-0000-0000-0000150D0000}"/>
    <cellStyle name="_預算書-修改_內湖大排災害復建工程_普令厝農地重劃區西33路農水路改善工程_虎尾鎮新吉里竹圍子農村社區生態魚池暨運動公園道路與排水改善工程(預算書)" xfId="4081" xr:uid="{00000000-0005-0000-0000-0000160D0000}"/>
    <cellStyle name="_預算書-修改_內湖大排災害復建工程_普令厝農地重劃區西33路農水路改善工程_虎尾鎮新吉里竹圍子農村社區生態魚池暨運動公園道路與排水改善工程(確定)" xfId="5250" xr:uid="{00000000-0005-0000-0000-0000170D0000}"/>
    <cellStyle name="_預算書-修改_內湖大排災害復建工程_普令厝農地重劃區西33路農水路改善工程_長北村等巷道排水改善工程" xfId="4082" xr:uid="{00000000-0005-0000-0000-0000180D0000}"/>
    <cellStyle name="_預算書-修改_內湖大排災害復建工程_普令厝農地重劃區西33路農水路改善工程_後溝子一農地重劃區南北八路農路改善工程" xfId="609" xr:uid="{00000000-0005-0000-0000-0000190D0000}"/>
    <cellStyle name="_預算書-修改_內湖大排災害復建工程_普令厝農地重劃區西33路農水路改善工程_後溝子一農地重劃區南北八路農路改善工程 2" xfId="4083" xr:uid="{00000000-0005-0000-0000-00001A0D0000}"/>
    <cellStyle name="_預算書-修改_內湖大排災害復建工程_普令厝農地重劃區西33路農水路改善工程_後溝子一農地重劃區南北八路農路改善工程_施工日誌1" xfId="2232" xr:uid="{00000000-0005-0000-0000-00001B0D0000}"/>
    <cellStyle name="_預算書-修改_內湖大排災害復建工程_普令厝農地重劃區西33路農水路改善工程_施工日誌1" xfId="2230" xr:uid="{00000000-0005-0000-0000-00001C0D0000}"/>
    <cellStyle name="_預算書-修改_內湖大排災害復建工程_普令厝農地重劃區西33路農水路改善工程_崙背鄉雨水下水道清淤疏浚維護工程" xfId="610" xr:uid="{00000000-0005-0000-0000-00001D0D0000}"/>
    <cellStyle name="_預算書-修改_內湖大排災害復建工程_普令厝農地重劃區西33路農水路改善工程_崙背鄉雨水下水道清淤疏浚維護工程 2" xfId="4084" xr:uid="{00000000-0005-0000-0000-00001E0D0000}"/>
    <cellStyle name="_預算書-修改_內湖大排災害復建工程_普令厝農地重劃區西33路農水路改善工程_崙背鄉雨水下水道清淤疏浚維護工程_施工日誌1" xfId="2233" xr:uid="{00000000-0005-0000-0000-00001F0D0000}"/>
    <cellStyle name="_預算書-修改_內湖大排災害復建工程_普令厝農地重劃區西33路農水路改善工程_鹿寮農地重劃區補路農路改善工程等七件工程" xfId="611" xr:uid="{00000000-0005-0000-0000-0000200D0000}"/>
    <cellStyle name="_預算書-修改_內湖大排災害復建工程_普令厝農地重劃區西33路農水路改善工程_鹿寮農地重劃區補路農路改善工程等七件工程 2" xfId="4085" xr:uid="{00000000-0005-0000-0000-0000210D0000}"/>
    <cellStyle name="_預算書-修改_內湖大排災害復建工程_普令厝農地重劃區西33路農水路改善工程_鹿寮農地重劃區補路農路改善工程等七件工程_施工日誌1" xfId="2234" xr:uid="{00000000-0005-0000-0000-0000220D0000}"/>
    <cellStyle name="_預算書-修改_內湖大排災害復建工程_普令厝農地重劃區西33路農水路改善工程_普令厝農地重劃區西33路農水路改善工程" xfId="612" xr:uid="{00000000-0005-0000-0000-0000230D0000}"/>
    <cellStyle name="_預算書-修改_內湖大排災害復建工程_普令厝農地重劃區西33路農水路改善工程_普令厝農地重劃區西33路農水路改善工程 2" xfId="4086" xr:uid="{00000000-0005-0000-0000-0000240D0000}"/>
    <cellStyle name="_預算書-修改_內湖大排災害復建工程_普令厝農地重劃區西33路農水路改善工程_普令厝農地重劃區西33路農水路改善工程_施工日誌1" xfId="2235" xr:uid="{00000000-0005-0000-0000-0000250D0000}"/>
    <cellStyle name="_預算書-修改_內湖大排災害復建工程_普令厝農地重劃區西33路農水路改善工程_雲林縣崙背鄉雨水下水道清淤工程" xfId="613" xr:uid="{00000000-0005-0000-0000-0000260D0000}"/>
    <cellStyle name="_預算書-修改_內湖大排災害復建工程_普令厝農地重劃區西33路農水路改善工程_雲林縣崙背鄉雨水下水道清淤工程 2" xfId="4087" xr:uid="{00000000-0005-0000-0000-0000270D0000}"/>
    <cellStyle name="_預算書-修改_內湖大排災害復建工程_普令厝農地重劃區西33路農水路改善工程_雲林縣崙背鄉雨水下水道清淤工程_施工日誌1" xfId="2236" xr:uid="{00000000-0005-0000-0000-0000280D0000}"/>
    <cellStyle name="_預算書-修改_內湖大排災害復建工程_普令厝農地重劃區西33路農水路改善工程_雲林縣臺西鄉A9～A9-3雨水下水道建設工程" xfId="4088" xr:uid="{00000000-0005-0000-0000-0000290D0000}"/>
    <cellStyle name="_預算書-修改_內湖大排災害復建工程_普令厝農地重劃區西33路農水路改善工程_臺西鄉(凡那比颱風)鄉內道路排水災害復建工程" xfId="614" xr:uid="{00000000-0005-0000-0000-00002A0D0000}"/>
    <cellStyle name="_預算書-修改_內湖大排災害復建工程_普令厝農地重劃區西33路農水路改善工程_臺西鄉(凡那比颱風)鄉內道路排水災害復建工程 2" xfId="4089" xr:uid="{00000000-0005-0000-0000-00002B0D0000}"/>
    <cellStyle name="_預算書-修改_內湖大排災害復建工程_普令厝農地重劃區西33路農水路改善工程_臺西鄉(凡那比颱風)鄉內道路排水災害復建工程_施工日誌1" xfId="2237" xr:uid="{00000000-0005-0000-0000-00002C0D0000}"/>
    <cellStyle name="_預算書-修改_內湖大排災害復建工程_普令厝農地重劃區西33路農水路改善工程_臺西鄉蚊港村蚊港巷道改善工程" xfId="4090" xr:uid="{00000000-0005-0000-0000-00002D0D0000}"/>
    <cellStyle name="_預算書-修改_內湖大排災害復建工程_普令厝農地重劃區西33路農水路改善工程_臺西鄉普令厝重劃區西8路等道路排水改善工程(確定案)" xfId="615" xr:uid="{00000000-0005-0000-0000-00002E0D0000}"/>
    <cellStyle name="_預算書-修改_內湖大排災害復建工程_普令厝農地重劃區西33路農水路改善工程_臺西鄉普令厝重劃區西8路等道路排水改善工程(確定案) 2" xfId="4091" xr:uid="{00000000-0005-0000-0000-00002F0D0000}"/>
    <cellStyle name="_預算書-修改_內湖大排災害復建工程_普令厝農地重劃區西33路農水路改善工程_臺西鄉普令厝重劃區西8路等道路排水改善工程(確定案)_施工日誌1" xfId="2238" xr:uid="{00000000-0005-0000-0000-0000300D0000}"/>
    <cellStyle name="_預算書-修改_內湖大排災害復建工程_普令厝農地重劃區西33路農水路改善工程_臺西鄉臺西公有零售市埸作為多目標使用改善工程" xfId="4092" xr:uid="{00000000-0005-0000-0000-0000310D0000}"/>
    <cellStyle name="_預算書-修改_內湖大排災害復建工程_普令厝農地重劃區西33路農水路改善工程_豐榮、草湖等村道路及排水溝改善工程-(變更)2" xfId="4093" xr:uid="{00000000-0005-0000-0000-0000320D0000}"/>
    <cellStyle name="_預算書-修改_四湖大排災害復建工程數量表" xfId="616" xr:uid="{00000000-0005-0000-0000-0000330D0000}"/>
    <cellStyle name="_預算書-修改_四湖大排災害復建工程數量表 2" xfId="4094" xr:uid="{00000000-0005-0000-0000-0000340D0000}"/>
    <cellStyle name="_預算書-修改_四湖大排災害復建工程數量表_施工日誌1" xfId="2239" xr:uid="{00000000-0005-0000-0000-0000350D0000}"/>
    <cellStyle name="_預算書-修改_四湖大排災害復建工程數量表_普令厝農地重劃區西33路農水路改善工程" xfId="617" xr:uid="{00000000-0005-0000-0000-0000360D0000}"/>
    <cellStyle name="_預算書-修改_四湖大排災害復建工程數量表_普令厝農地重劃區西33路農水路改善工程 2" xfId="4095" xr:uid="{00000000-0005-0000-0000-0000370D0000}"/>
    <cellStyle name="_預算書-修改_四湖大排災害復建工程數量表_普令厝農地重劃區西33路農水路改善工程_土庫鎮埤腳里道路、排水溝改善工程101.05.18(修正3確定)" xfId="4096" xr:uid="{00000000-0005-0000-0000-0000380D0000}"/>
    <cellStyle name="_預算書-修改_四湖大排災害復建工程數量表_普令厝農地重劃區西33路農水路改善工程_元長鄉長南村巷道排水改善工程" xfId="4097" xr:uid="{00000000-0005-0000-0000-0000390D0000}"/>
    <cellStyle name="_預算書-修改_四湖大排災害復建工程數量表_普令厝農地重劃區西33路農水路改善工程_斗南鎮久安農地重劃區V51路農路路面改善工程" xfId="5251" xr:uid="{00000000-0005-0000-0000-00003A0D0000}"/>
    <cellStyle name="_預算書-修改_四湖大排災害復建工程數量表_普令厝農地重劃區西33路農水路改善工程_斗南鎮田頭農地重劃區農路改善工程" xfId="5252" xr:uid="{00000000-0005-0000-0000-00003B0D0000}"/>
    <cellStyle name="_預算書-修改_四湖大排災害復建工程數量表_普令厝農地重劃區西33路農水路改善工程_斗南鎮西岐里舊社里等路面改善工程-100.05.18" xfId="4098" xr:uid="{00000000-0005-0000-0000-00003C0D0000}"/>
    <cellStyle name="_預算書-修改_四湖大排災害復建工程數量表_普令厝農地重劃區西33路農水路改善工程_斗南鎮阿丹里、林子里相關公共設施改善工程100.11.29" xfId="4099" xr:uid="{00000000-0005-0000-0000-00003D0D0000}"/>
    <cellStyle name="_預算書-修改_四湖大排災害復建工程數量表_普令厝農地重劃區西33路農水路改善工程_斗南鎮將軍里等路面及附屬設施改善工程" xfId="4100" xr:uid="{00000000-0005-0000-0000-00003E0D0000}"/>
    <cellStyle name="_預算書-修改_四湖大排災害復建工程數量表_普令厝農地重劃區西33路農水路改善工程_古坑鄉大湖底段及麻園段路面改善工程" xfId="4101" xr:uid="{00000000-0005-0000-0000-00003F0D0000}"/>
    <cellStyle name="_預算書-修改_四湖大排災害復建工程數量表_普令厝農地重劃區西33路農水路改善工程_台西海埔地南4路排水9907豪雨災害復建工程" xfId="4102" xr:uid="{00000000-0005-0000-0000-0000400D0000}"/>
    <cellStyle name="_預算書-修改_四湖大排災害復建工程數量表_普令厝農地重劃區西33路農水路改善工程_台西鄉四美重劃區南北幹路4農路復建工程" xfId="618" xr:uid="{00000000-0005-0000-0000-0000410D0000}"/>
    <cellStyle name="_預算書-修改_四湖大排災害復建工程數量表_普令厝農地重劃區西33路農水路改善工程_台西鄉四美重劃區南北幹路4農路復建工程 2" xfId="4103" xr:uid="{00000000-0005-0000-0000-0000420D0000}"/>
    <cellStyle name="_預算書-修改_四湖大排災害復建工程數量表_普令厝農地重劃區西33路農水路改善工程_台西鄉四美重劃區南北幹路4農路復建工程_施工日誌1" xfId="2241" xr:uid="{00000000-0005-0000-0000-0000430D0000}"/>
    <cellStyle name="_預算書-修改_四湖大排災害復建工程數量表_普令厝農地重劃區西33路農水路改善工程_東勢鄉新坤村及麥寮鄉海豐村道路排水改善工程" xfId="5253" xr:uid="{00000000-0005-0000-0000-0000440D0000}"/>
    <cellStyle name="_預算書-修改_四湖大排災害復建工程數量表_普令厝農地重劃區西33路農水路改善工程_林縣臺西鄉A10~A12雨水下水道建設工程(增減明細)" xfId="4104" xr:uid="{00000000-0005-0000-0000-0000450D0000}"/>
    <cellStyle name="_預算書-修改_四湖大排災害復建工程數量表_普令厝農地重劃區西33路農水路改善工程_虎尾鎮新吉里竹圍子農村社區生態魚池暨運動公園道路與排水改善工程(預算書)" xfId="4105" xr:uid="{00000000-0005-0000-0000-0000460D0000}"/>
    <cellStyle name="_預算書-修改_四湖大排災害復建工程數量表_普令厝農地重劃區西33路農水路改善工程_虎尾鎮新吉里竹圍子農村社區生態魚池暨運動公園道路與排水改善工程(確定)" xfId="5254" xr:uid="{00000000-0005-0000-0000-0000470D0000}"/>
    <cellStyle name="_預算書-修改_四湖大排災害復建工程數量表_普令厝農地重劃區西33路農水路改善工程_長北村等巷道排水改善工程" xfId="4106" xr:uid="{00000000-0005-0000-0000-0000480D0000}"/>
    <cellStyle name="_預算書-修改_四湖大排災害復建工程數量表_普令厝農地重劃區西33路農水路改善工程_後溝子一農地重劃區南北八路農路改善工程" xfId="619" xr:uid="{00000000-0005-0000-0000-0000490D0000}"/>
    <cellStyle name="_預算書-修改_四湖大排災害復建工程數量表_普令厝農地重劃區西33路農水路改善工程_後溝子一農地重劃區南北八路農路改善工程 2" xfId="4107" xr:uid="{00000000-0005-0000-0000-00004A0D0000}"/>
    <cellStyle name="_預算書-修改_四湖大排災害復建工程數量表_普令厝農地重劃區西33路農水路改善工程_後溝子一農地重劃區南北八路農路改善工程_施工日誌1" xfId="2242" xr:uid="{00000000-0005-0000-0000-00004B0D0000}"/>
    <cellStyle name="_預算書-修改_四湖大排災害復建工程數量表_普令厝農地重劃區西33路農水路改善工程_施工日誌1" xfId="2240" xr:uid="{00000000-0005-0000-0000-00004C0D0000}"/>
    <cellStyle name="_預算書-修改_四湖大排災害復建工程數量表_普令厝農地重劃區西33路農水路改善工程_崙背鄉雨水下水道清淤疏浚維護工程" xfId="620" xr:uid="{00000000-0005-0000-0000-00004D0D0000}"/>
    <cellStyle name="_預算書-修改_四湖大排災害復建工程數量表_普令厝農地重劃區西33路農水路改善工程_崙背鄉雨水下水道清淤疏浚維護工程 2" xfId="4108" xr:uid="{00000000-0005-0000-0000-00004E0D0000}"/>
    <cellStyle name="_預算書-修改_四湖大排災害復建工程數量表_普令厝農地重劃區西33路農水路改善工程_崙背鄉雨水下水道清淤疏浚維護工程_施工日誌1" xfId="2243" xr:uid="{00000000-0005-0000-0000-00004F0D0000}"/>
    <cellStyle name="_預算書-修改_四湖大排災害復建工程數量表_普令厝農地重劃區西33路農水路改善工程_鹿寮農地重劃區補路農路改善工程等七件工程" xfId="621" xr:uid="{00000000-0005-0000-0000-0000500D0000}"/>
    <cellStyle name="_預算書-修改_四湖大排災害復建工程數量表_普令厝農地重劃區西33路農水路改善工程_鹿寮農地重劃區補路農路改善工程等七件工程 2" xfId="4109" xr:uid="{00000000-0005-0000-0000-0000510D0000}"/>
    <cellStyle name="_預算書-修改_四湖大排災害復建工程數量表_普令厝農地重劃區西33路農水路改善工程_鹿寮農地重劃區補路農路改善工程等七件工程_施工日誌1" xfId="2244" xr:uid="{00000000-0005-0000-0000-0000520D0000}"/>
    <cellStyle name="_預算書-修改_四湖大排災害復建工程數量表_普令厝農地重劃區西33路農水路改善工程_普令厝農地重劃區西33路農水路改善工程" xfId="622" xr:uid="{00000000-0005-0000-0000-0000530D0000}"/>
    <cellStyle name="_預算書-修改_四湖大排災害復建工程數量表_普令厝農地重劃區西33路農水路改善工程_普令厝農地重劃區西33路農水路改善工程 2" xfId="4110" xr:uid="{00000000-0005-0000-0000-0000540D0000}"/>
    <cellStyle name="_預算書-修改_四湖大排災害復建工程數量表_普令厝農地重劃區西33路農水路改善工程_普令厝農地重劃區西33路農水路改善工程_施工日誌1" xfId="2245" xr:uid="{00000000-0005-0000-0000-0000550D0000}"/>
    <cellStyle name="_預算書-修改_四湖大排災害復建工程數量表_普令厝農地重劃區西33路農水路改善工程_雲林縣崙背鄉雨水下水道清淤工程" xfId="623" xr:uid="{00000000-0005-0000-0000-0000560D0000}"/>
    <cellStyle name="_預算書-修改_四湖大排災害復建工程數量表_普令厝農地重劃區西33路農水路改善工程_雲林縣崙背鄉雨水下水道清淤工程 2" xfId="4111" xr:uid="{00000000-0005-0000-0000-0000570D0000}"/>
    <cellStyle name="_預算書-修改_四湖大排災害復建工程數量表_普令厝農地重劃區西33路農水路改善工程_雲林縣崙背鄉雨水下水道清淤工程_施工日誌1" xfId="2246" xr:uid="{00000000-0005-0000-0000-0000580D0000}"/>
    <cellStyle name="_預算書-修改_四湖大排災害復建工程數量表_普令厝農地重劃區西33路農水路改善工程_雲林縣臺西鄉A9～A9-3雨水下水道建設工程" xfId="4112" xr:uid="{00000000-0005-0000-0000-0000590D0000}"/>
    <cellStyle name="_預算書-修改_四湖大排災害復建工程數量表_普令厝農地重劃區西33路農水路改善工程_臺西鄉(凡那比颱風)鄉內道路排水災害復建工程" xfId="624" xr:uid="{00000000-0005-0000-0000-00005A0D0000}"/>
    <cellStyle name="_預算書-修改_四湖大排災害復建工程數量表_普令厝農地重劃區西33路農水路改善工程_臺西鄉(凡那比颱風)鄉內道路排水災害復建工程 2" xfId="4113" xr:uid="{00000000-0005-0000-0000-00005B0D0000}"/>
    <cellStyle name="_預算書-修改_四湖大排災害復建工程數量表_普令厝農地重劃區西33路農水路改善工程_臺西鄉(凡那比颱風)鄉內道路排水災害復建工程_施工日誌1" xfId="2247" xr:uid="{00000000-0005-0000-0000-00005C0D0000}"/>
    <cellStyle name="_預算書-修改_四湖大排災害復建工程數量表_普令厝農地重劃區西33路農水路改善工程_臺西鄉蚊港村蚊港巷道改善工程" xfId="4114" xr:uid="{00000000-0005-0000-0000-00005D0D0000}"/>
    <cellStyle name="_預算書-修改_四湖大排災害復建工程數量表_普令厝農地重劃區西33路農水路改善工程_臺西鄉普令厝重劃區西8路等道路排水改善工程(確定案)" xfId="625" xr:uid="{00000000-0005-0000-0000-00005E0D0000}"/>
    <cellStyle name="_預算書-修改_四湖大排災害復建工程數量表_普令厝農地重劃區西33路農水路改善工程_臺西鄉普令厝重劃區西8路等道路排水改善工程(確定案) 2" xfId="4115" xr:uid="{00000000-0005-0000-0000-00005F0D0000}"/>
    <cellStyle name="_預算書-修改_四湖大排災害復建工程數量表_普令厝農地重劃區西33路農水路改善工程_臺西鄉普令厝重劃區西8路等道路排水改善工程(確定案)_施工日誌1" xfId="2248" xr:uid="{00000000-0005-0000-0000-0000600D0000}"/>
    <cellStyle name="_預算書-修改_四湖大排災害復建工程數量表_普令厝農地重劃區西33路農水路改善工程_臺西鄉臺西公有零售市埸作為多目標使用改善工程" xfId="4116" xr:uid="{00000000-0005-0000-0000-0000610D0000}"/>
    <cellStyle name="_預算書-修改_四湖大排災害復建工程數量表_普令厝農地重劃區西33路農水路改善工程_豐榮、草湖等村道路及排水溝改善工程-(變更)2" xfId="4117" xr:uid="{00000000-0005-0000-0000-0000620D0000}"/>
    <cellStyle name="_預算書-修改_四湖鄉廣溝厝農路改善工程" xfId="626" xr:uid="{00000000-0005-0000-0000-0000630D0000}"/>
    <cellStyle name="_預算書-修改_四湖鄉廣溝厝農路改善工程 2" xfId="4118" xr:uid="{00000000-0005-0000-0000-0000640D0000}"/>
    <cellStyle name="_預算書-修改_四湖鄉廣溝厝農路改善工程_施工日誌1" xfId="2249" xr:uid="{00000000-0005-0000-0000-0000650D0000}"/>
    <cellStyle name="_預算書-修改_四湖鄉廣溝厝農路改善工程_普令厝農地重劃區西33路農水路改善工程" xfId="627" xr:uid="{00000000-0005-0000-0000-0000660D0000}"/>
    <cellStyle name="_預算書-修改_四湖鄉廣溝厝農路改善工程_普令厝農地重劃區西33路農水路改善工程 2" xfId="4119" xr:uid="{00000000-0005-0000-0000-0000670D0000}"/>
    <cellStyle name="_預算書-修改_四湖鄉廣溝厝農路改善工程_普令厝農地重劃區西33路農水路改善工程_土庫鎮埤腳里道路、排水溝改善工程101.05.18(修正3確定)" xfId="4120" xr:uid="{00000000-0005-0000-0000-0000680D0000}"/>
    <cellStyle name="_預算書-修改_四湖鄉廣溝厝農路改善工程_普令厝農地重劃區西33路農水路改善工程_元長鄉長南村巷道排水改善工程" xfId="4121" xr:uid="{00000000-0005-0000-0000-0000690D0000}"/>
    <cellStyle name="_預算書-修改_四湖鄉廣溝厝農路改善工程_普令厝農地重劃區西33路農水路改善工程_斗南鎮久安農地重劃區V51路農路路面改善工程" xfId="5255" xr:uid="{00000000-0005-0000-0000-00006A0D0000}"/>
    <cellStyle name="_預算書-修改_四湖鄉廣溝厝農路改善工程_普令厝農地重劃區西33路農水路改善工程_斗南鎮田頭農地重劃區農路改善工程" xfId="5256" xr:uid="{00000000-0005-0000-0000-00006B0D0000}"/>
    <cellStyle name="_預算書-修改_四湖鄉廣溝厝農路改善工程_普令厝農地重劃區西33路農水路改善工程_斗南鎮西岐里舊社里等路面改善工程-100.05.18" xfId="4122" xr:uid="{00000000-0005-0000-0000-00006C0D0000}"/>
    <cellStyle name="_預算書-修改_四湖鄉廣溝厝農路改善工程_普令厝農地重劃區西33路農水路改善工程_斗南鎮阿丹里、林子里相關公共設施改善工程100.11.29" xfId="4123" xr:uid="{00000000-0005-0000-0000-00006D0D0000}"/>
    <cellStyle name="_預算書-修改_四湖鄉廣溝厝農路改善工程_普令厝農地重劃區西33路農水路改善工程_斗南鎮將軍里等路面及附屬設施改善工程" xfId="4124" xr:uid="{00000000-0005-0000-0000-00006E0D0000}"/>
    <cellStyle name="_預算書-修改_四湖鄉廣溝厝農路改善工程_普令厝農地重劃區西33路農水路改善工程_古坑鄉大湖底段及麻園段路面改善工程" xfId="4125" xr:uid="{00000000-0005-0000-0000-00006F0D0000}"/>
    <cellStyle name="_預算書-修改_四湖鄉廣溝厝農路改善工程_普令厝農地重劃區西33路農水路改善工程_台西海埔地南4路排水9907豪雨災害復建工程" xfId="4126" xr:uid="{00000000-0005-0000-0000-0000700D0000}"/>
    <cellStyle name="_預算書-修改_四湖鄉廣溝厝農路改善工程_普令厝農地重劃區西33路農水路改善工程_台西鄉四美重劃區南北幹路4農路復建工程" xfId="628" xr:uid="{00000000-0005-0000-0000-0000710D0000}"/>
    <cellStyle name="_預算書-修改_四湖鄉廣溝厝農路改善工程_普令厝農地重劃區西33路農水路改善工程_台西鄉四美重劃區南北幹路4農路復建工程 2" xfId="4127" xr:uid="{00000000-0005-0000-0000-0000720D0000}"/>
    <cellStyle name="_預算書-修改_四湖鄉廣溝厝農路改善工程_普令厝農地重劃區西33路農水路改善工程_台西鄉四美重劃區南北幹路4農路復建工程_施工日誌1" xfId="2251" xr:uid="{00000000-0005-0000-0000-0000730D0000}"/>
    <cellStyle name="_預算書-修改_四湖鄉廣溝厝農路改善工程_普令厝農地重劃區西33路農水路改善工程_東勢鄉新坤村及麥寮鄉海豐村道路排水改善工程" xfId="5257" xr:uid="{00000000-0005-0000-0000-0000740D0000}"/>
    <cellStyle name="_預算書-修改_四湖鄉廣溝厝農路改善工程_普令厝農地重劃區西33路農水路改善工程_林縣臺西鄉A10~A12雨水下水道建設工程(增減明細)" xfId="4128" xr:uid="{00000000-0005-0000-0000-0000750D0000}"/>
    <cellStyle name="_預算書-修改_四湖鄉廣溝厝農路改善工程_普令厝農地重劃區西33路農水路改善工程_虎尾鎮新吉里竹圍子農村社區生態魚池暨運動公園道路與排水改善工程(預算書)" xfId="4129" xr:uid="{00000000-0005-0000-0000-0000760D0000}"/>
    <cellStyle name="_預算書-修改_四湖鄉廣溝厝農路改善工程_普令厝農地重劃區西33路農水路改善工程_虎尾鎮新吉里竹圍子農村社區生態魚池暨運動公園道路與排水改善工程(確定)" xfId="5258" xr:uid="{00000000-0005-0000-0000-0000770D0000}"/>
    <cellStyle name="_預算書-修改_四湖鄉廣溝厝農路改善工程_普令厝農地重劃區西33路農水路改善工程_長北村等巷道排水改善工程" xfId="4130" xr:uid="{00000000-0005-0000-0000-0000780D0000}"/>
    <cellStyle name="_預算書-修改_四湖鄉廣溝厝農路改善工程_普令厝農地重劃區西33路農水路改善工程_後溝子一農地重劃區南北八路農路改善工程" xfId="629" xr:uid="{00000000-0005-0000-0000-0000790D0000}"/>
    <cellStyle name="_預算書-修改_四湖鄉廣溝厝農路改善工程_普令厝農地重劃區西33路農水路改善工程_後溝子一農地重劃區南北八路農路改善工程 2" xfId="4131" xr:uid="{00000000-0005-0000-0000-00007A0D0000}"/>
    <cellStyle name="_預算書-修改_四湖鄉廣溝厝農路改善工程_普令厝農地重劃區西33路農水路改善工程_後溝子一農地重劃區南北八路農路改善工程_施工日誌1" xfId="2252" xr:uid="{00000000-0005-0000-0000-00007B0D0000}"/>
    <cellStyle name="_預算書-修改_四湖鄉廣溝厝農路改善工程_普令厝農地重劃區西33路農水路改善工程_施工日誌1" xfId="2250" xr:uid="{00000000-0005-0000-0000-00007C0D0000}"/>
    <cellStyle name="_預算書-修改_四湖鄉廣溝厝農路改善工程_普令厝農地重劃區西33路農水路改善工程_崙背鄉雨水下水道清淤疏浚維護工程" xfId="630" xr:uid="{00000000-0005-0000-0000-00007D0D0000}"/>
    <cellStyle name="_預算書-修改_四湖鄉廣溝厝農路改善工程_普令厝農地重劃區西33路農水路改善工程_崙背鄉雨水下水道清淤疏浚維護工程 2" xfId="4132" xr:uid="{00000000-0005-0000-0000-00007E0D0000}"/>
    <cellStyle name="_預算書-修改_四湖鄉廣溝厝農路改善工程_普令厝農地重劃區西33路農水路改善工程_崙背鄉雨水下水道清淤疏浚維護工程_施工日誌1" xfId="2253" xr:uid="{00000000-0005-0000-0000-00007F0D0000}"/>
    <cellStyle name="_預算書-修改_四湖鄉廣溝厝農路改善工程_普令厝農地重劃區西33路農水路改善工程_鹿寮農地重劃區補路農路改善工程等七件工程" xfId="631" xr:uid="{00000000-0005-0000-0000-0000800D0000}"/>
    <cellStyle name="_預算書-修改_四湖鄉廣溝厝農路改善工程_普令厝農地重劃區西33路農水路改善工程_鹿寮農地重劃區補路農路改善工程等七件工程 2" xfId="4133" xr:uid="{00000000-0005-0000-0000-0000810D0000}"/>
    <cellStyle name="_預算書-修改_四湖鄉廣溝厝農路改善工程_普令厝農地重劃區西33路農水路改善工程_鹿寮農地重劃區補路農路改善工程等七件工程_施工日誌1" xfId="2254" xr:uid="{00000000-0005-0000-0000-0000820D0000}"/>
    <cellStyle name="_預算書-修改_四湖鄉廣溝厝農路改善工程_普令厝農地重劃區西33路農水路改善工程_普令厝農地重劃區西33路農水路改善工程" xfId="632" xr:uid="{00000000-0005-0000-0000-0000830D0000}"/>
    <cellStyle name="_預算書-修改_四湖鄉廣溝厝農路改善工程_普令厝農地重劃區西33路農水路改善工程_普令厝農地重劃區西33路農水路改善工程 2" xfId="4134" xr:uid="{00000000-0005-0000-0000-0000840D0000}"/>
    <cellStyle name="_預算書-修改_四湖鄉廣溝厝農路改善工程_普令厝農地重劃區西33路農水路改善工程_普令厝農地重劃區西33路農水路改善工程_施工日誌1" xfId="2255" xr:uid="{00000000-0005-0000-0000-0000850D0000}"/>
    <cellStyle name="_預算書-修改_四湖鄉廣溝厝農路改善工程_普令厝農地重劃區西33路農水路改善工程_雲林縣崙背鄉雨水下水道清淤工程" xfId="633" xr:uid="{00000000-0005-0000-0000-0000860D0000}"/>
    <cellStyle name="_預算書-修改_四湖鄉廣溝厝農路改善工程_普令厝農地重劃區西33路農水路改善工程_雲林縣崙背鄉雨水下水道清淤工程 2" xfId="4135" xr:uid="{00000000-0005-0000-0000-0000870D0000}"/>
    <cellStyle name="_預算書-修改_四湖鄉廣溝厝農路改善工程_普令厝農地重劃區西33路農水路改善工程_雲林縣崙背鄉雨水下水道清淤工程_施工日誌1" xfId="2256" xr:uid="{00000000-0005-0000-0000-0000880D0000}"/>
    <cellStyle name="_預算書-修改_四湖鄉廣溝厝農路改善工程_普令厝農地重劃區西33路農水路改善工程_雲林縣臺西鄉A9～A9-3雨水下水道建設工程" xfId="4136" xr:uid="{00000000-0005-0000-0000-0000890D0000}"/>
    <cellStyle name="_預算書-修改_四湖鄉廣溝厝農路改善工程_普令厝農地重劃區西33路農水路改善工程_臺西鄉(凡那比颱風)鄉內道路排水災害復建工程" xfId="634" xr:uid="{00000000-0005-0000-0000-00008A0D0000}"/>
    <cellStyle name="_預算書-修改_四湖鄉廣溝厝農路改善工程_普令厝農地重劃區西33路農水路改善工程_臺西鄉(凡那比颱風)鄉內道路排水災害復建工程 2" xfId="4137" xr:uid="{00000000-0005-0000-0000-00008B0D0000}"/>
    <cellStyle name="_預算書-修改_四湖鄉廣溝厝農路改善工程_普令厝農地重劃區西33路農水路改善工程_臺西鄉(凡那比颱風)鄉內道路排水災害復建工程_施工日誌1" xfId="2257" xr:uid="{00000000-0005-0000-0000-00008C0D0000}"/>
    <cellStyle name="_預算書-修改_四湖鄉廣溝厝農路改善工程_普令厝農地重劃區西33路農水路改善工程_臺西鄉蚊港村蚊港巷道改善工程" xfId="4138" xr:uid="{00000000-0005-0000-0000-00008D0D0000}"/>
    <cellStyle name="_預算書-修改_四湖鄉廣溝厝農路改善工程_普令厝農地重劃區西33路農水路改善工程_臺西鄉普令厝重劃區西8路等道路排水改善工程(確定案)" xfId="635" xr:uid="{00000000-0005-0000-0000-00008E0D0000}"/>
    <cellStyle name="_預算書-修改_四湖鄉廣溝厝農路改善工程_普令厝農地重劃區西33路農水路改善工程_臺西鄉普令厝重劃區西8路等道路排水改善工程(確定案) 2" xfId="4139" xr:uid="{00000000-0005-0000-0000-00008F0D0000}"/>
    <cellStyle name="_預算書-修改_四湖鄉廣溝厝農路改善工程_普令厝農地重劃區西33路農水路改善工程_臺西鄉普令厝重劃區西8路等道路排水改善工程(確定案)_施工日誌1" xfId="2258" xr:uid="{00000000-0005-0000-0000-0000900D0000}"/>
    <cellStyle name="_預算書-修改_四湖鄉廣溝厝農路改善工程_普令厝農地重劃區西33路農水路改善工程_臺西鄉臺西公有零售市埸作為多目標使用改善工程" xfId="4140" xr:uid="{00000000-0005-0000-0000-0000910D0000}"/>
    <cellStyle name="_預算書-修改_四湖鄉廣溝厝農路改善工程_普令厝農地重劃區西33路農水路改善工程_豐榮、草湖等村道路及排水溝改善工程-(變更)2" xfId="4141" xr:uid="{00000000-0005-0000-0000-0000920D0000}"/>
    <cellStyle name="_預算書-修改_決算-文化館" xfId="636" xr:uid="{00000000-0005-0000-0000-0000930D0000}"/>
    <cellStyle name="_預算書-修改_決算-文化館_施工日誌1" xfId="2259" xr:uid="{00000000-0005-0000-0000-0000940D0000}"/>
    <cellStyle name="_預算書-修改_空白標單97-8-28" xfId="637" xr:uid="{00000000-0005-0000-0000-0000950D0000}"/>
    <cellStyle name="_預算書-修改_空白標單97-8-28_施工日誌1" xfId="2260" xr:uid="{00000000-0005-0000-0000-0000960D0000}"/>
    <cellStyle name="_預算書-修改_施工日誌1" xfId="2228" xr:uid="{00000000-0005-0000-0000-0000970D0000}"/>
    <cellStyle name="_預算書-修改_參天宮-竣工結算1127" xfId="638" xr:uid="{00000000-0005-0000-0000-0000980D0000}"/>
    <cellStyle name="_預算書-修改_參天宮-竣工結算1127_施工日誌1" xfId="2261" xr:uid="{00000000-0005-0000-0000-0000990D0000}"/>
    <cellStyle name="_預算書-修改_普令厝農地重劃區西33路農水路改善工程" xfId="639" xr:uid="{00000000-0005-0000-0000-00009A0D0000}"/>
    <cellStyle name="_預算書-修改_普令厝農地重劃區西33路農水路改善工程 2" xfId="4142" xr:uid="{00000000-0005-0000-0000-00009B0D0000}"/>
    <cellStyle name="_預算書-修改_普令厝農地重劃區西33路農水路改善工程_土庫鎮埤腳里道路、排水溝改善工程101.05.18(修正3確定)" xfId="4143" xr:uid="{00000000-0005-0000-0000-00009C0D0000}"/>
    <cellStyle name="_預算書-修改_普令厝農地重劃區西33路農水路改善工程_元長鄉長南村巷道排水改善工程" xfId="4144" xr:uid="{00000000-0005-0000-0000-00009D0D0000}"/>
    <cellStyle name="_預算書-修改_普令厝農地重劃區西33路農水路改善工程_斗南鎮久安農地重劃區V51路農路路面改善工程" xfId="5259" xr:uid="{00000000-0005-0000-0000-00009E0D0000}"/>
    <cellStyle name="_預算書-修改_普令厝農地重劃區西33路農水路改善工程_斗南鎮田頭農地重劃區農路改善工程" xfId="5260" xr:uid="{00000000-0005-0000-0000-00009F0D0000}"/>
    <cellStyle name="_預算書-修改_普令厝農地重劃區西33路農水路改善工程_斗南鎮西岐里舊社里等路面改善工程-100.05.18" xfId="4145" xr:uid="{00000000-0005-0000-0000-0000A00D0000}"/>
    <cellStyle name="_預算書-修改_普令厝農地重劃區西33路農水路改善工程_斗南鎮阿丹里、林子里相關公共設施改善工程100.11.29" xfId="4146" xr:uid="{00000000-0005-0000-0000-0000A10D0000}"/>
    <cellStyle name="_預算書-修改_普令厝農地重劃區西33路農水路改善工程_斗南鎮將軍里等路面及附屬設施改善工程" xfId="4147" xr:uid="{00000000-0005-0000-0000-0000A20D0000}"/>
    <cellStyle name="_預算書-修改_普令厝農地重劃區西33路農水路改善工程_古坑鄉大湖底段及麻園段路面改善工程" xfId="4148" xr:uid="{00000000-0005-0000-0000-0000A30D0000}"/>
    <cellStyle name="_預算書-修改_普令厝農地重劃區西33路農水路改善工程_台西海埔地南4路排水9907豪雨災害復建工程" xfId="4149" xr:uid="{00000000-0005-0000-0000-0000A40D0000}"/>
    <cellStyle name="_預算書-修改_普令厝農地重劃區西33路農水路改善工程_台西鄉四美重劃區南北幹路4農路復建工程" xfId="640" xr:uid="{00000000-0005-0000-0000-0000A50D0000}"/>
    <cellStyle name="_預算書-修改_普令厝農地重劃區西33路農水路改善工程_台西鄉四美重劃區南北幹路4農路復建工程 2" xfId="4150" xr:uid="{00000000-0005-0000-0000-0000A60D0000}"/>
    <cellStyle name="_預算書-修改_普令厝農地重劃區西33路農水路改善工程_台西鄉四美重劃區南北幹路4農路復建工程_施工日誌1" xfId="2263" xr:uid="{00000000-0005-0000-0000-0000A70D0000}"/>
    <cellStyle name="_預算書-修改_普令厝農地重劃區西33路農水路改善工程_東勢鄉新坤村及麥寮鄉海豐村道路排水改善工程" xfId="5261" xr:uid="{00000000-0005-0000-0000-0000A80D0000}"/>
    <cellStyle name="_預算書-修改_普令厝農地重劃區西33路農水路改善工程_林縣臺西鄉A10~A12雨水下水道建設工程(增減明細)" xfId="4151" xr:uid="{00000000-0005-0000-0000-0000A90D0000}"/>
    <cellStyle name="_預算書-修改_普令厝農地重劃區西33路農水路改善工程_虎尾鎮新吉里竹圍子農村社區生態魚池暨運動公園道路與排水改善工程(預算書)" xfId="4152" xr:uid="{00000000-0005-0000-0000-0000AA0D0000}"/>
    <cellStyle name="_預算書-修改_普令厝農地重劃區西33路農水路改善工程_虎尾鎮新吉里竹圍子農村社區生態魚池暨運動公園道路與排水改善工程(確定)" xfId="5262" xr:uid="{00000000-0005-0000-0000-0000AB0D0000}"/>
    <cellStyle name="_預算書-修改_普令厝農地重劃區西33路農水路改善工程_長北村等巷道排水改善工程" xfId="4153" xr:uid="{00000000-0005-0000-0000-0000AC0D0000}"/>
    <cellStyle name="_預算書-修改_普令厝農地重劃區西33路農水路改善工程_後溝子一農地重劃區南北八路農路改善工程" xfId="641" xr:uid="{00000000-0005-0000-0000-0000AD0D0000}"/>
    <cellStyle name="_預算書-修改_普令厝農地重劃區西33路農水路改善工程_後溝子一農地重劃區南北八路農路改善工程 2" xfId="4154" xr:uid="{00000000-0005-0000-0000-0000AE0D0000}"/>
    <cellStyle name="_預算書-修改_普令厝農地重劃區西33路農水路改善工程_後溝子一農地重劃區南北八路農路改善工程_施工日誌1" xfId="2264" xr:uid="{00000000-0005-0000-0000-0000AF0D0000}"/>
    <cellStyle name="_預算書-修改_普令厝農地重劃區西33路農水路改善工程_施工日誌1" xfId="2262" xr:uid="{00000000-0005-0000-0000-0000B00D0000}"/>
    <cellStyle name="_預算書-修改_普令厝農地重劃區西33路農水路改善工程_崙背鄉雨水下水道清淤疏浚維護工程" xfId="642" xr:uid="{00000000-0005-0000-0000-0000B10D0000}"/>
    <cellStyle name="_預算書-修改_普令厝農地重劃區西33路農水路改善工程_崙背鄉雨水下水道清淤疏浚維護工程 2" xfId="4155" xr:uid="{00000000-0005-0000-0000-0000B20D0000}"/>
    <cellStyle name="_預算書-修改_普令厝農地重劃區西33路農水路改善工程_崙背鄉雨水下水道清淤疏浚維護工程_施工日誌1" xfId="2265" xr:uid="{00000000-0005-0000-0000-0000B30D0000}"/>
    <cellStyle name="_預算書-修改_普令厝農地重劃區西33路農水路改善工程_鹿寮農地重劃區補路農路改善工程等七件工程" xfId="643" xr:uid="{00000000-0005-0000-0000-0000B40D0000}"/>
    <cellStyle name="_預算書-修改_普令厝農地重劃區西33路農水路改善工程_鹿寮農地重劃區補路農路改善工程等七件工程 2" xfId="4156" xr:uid="{00000000-0005-0000-0000-0000B50D0000}"/>
    <cellStyle name="_預算書-修改_普令厝農地重劃區西33路農水路改善工程_鹿寮農地重劃區補路農路改善工程等七件工程_施工日誌1" xfId="2266" xr:uid="{00000000-0005-0000-0000-0000B60D0000}"/>
    <cellStyle name="_預算書-修改_普令厝農地重劃區西33路農水路改善工程_普令厝農地重劃區西33路農水路改善工程" xfId="644" xr:uid="{00000000-0005-0000-0000-0000B70D0000}"/>
    <cellStyle name="_預算書-修改_普令厝農地重劃區西33路農水路改善工程_普令厝農地重劃區西33路農水路改善工程 2" xfId="4157" xr:uid="{00000000-0005-0000-0000-0000B80D0000}"/>
    <cellStyle name="_預算書-修改_普令厝農地重劃區西33路農水路改善工程_普令厝農地重劃區西33路農水路改善工程_施工日誌1" xfId="2267" xr:uid="{00000000-0005-0000-0000-0000B90D0000}"/>
    <cellStyle name="_預算書-修改_普令厝農地重劃區西33路農水路改善工程_雲林縣崙背鄉雨水下水道清淤工程" xfId="645" xr:uid="{00000000-0005-0000-0000-0000BA0D0000}"/>
    <cellStyle name="_預算書-修改_普令厝農地重劃區西33路農水路改善工程_雲林縣崙背鄉雨水下水道清淤工程 2" xfId="4158" xr:uid="{00000000-0005-0000-0000-0000BB0D0000}"/>
    <cellStyle name="_預算書-修改_普令厝農地重劃區西33路農水路改善工程_雲林縣崙背鄉雨水下水道清淤工程_施工日誌1" xfId="2268" xr:uid="{00000000-0005-0000-0000-0000BC0D0000}"/>
    <cellStyle name="_預算書-修改_普令厝農地重劃區西33路農水路改善工程_雲林縣臺西鄉A9～A9-3雨水下水道建設工程" xfId="4159" xr:uid="{00000000-0005-0000-0000-0000BD0D0000}"/>
    <cellStyle name="_預算書-修改_普令厝農地重劃區西33路農水路改善工程_臺西鄉(凡那比颱風)鄉內道路排水災害復建工程" xfId="646" xr:uid="{00000000-0005-0000-0000-0000BE0D0000}"/>
    <cellStyle name="_預算書-修改_普令厝農地重劃區西33路農水路改善工程_臺西鄉(凡那比颱風)鄉內道路排水災害復建工程 2" xfId="4160" xr:uid="{00000000-0005-0000-0000-0000BF0D0000}"/>
    <cellStyle name="_預算書-修改_普令厝農地重劃區西33路農水路改善工程_臺西鄉(凡那比颱風)鄉內道路排水災害復建工程_施工日誌1" xfId="2269" xr:uid="{00000000-0005-0000-0000-0000C00D0000}"/>
    <cellStyle name="_預算書-修改_普令厝農地重劃區西33路農水路改善工程_臺西鄉蚊港村蚊港巷道改善工程" xfId="4161" xr:uid="{00000000-0005-0000-0000-0000C10D0000}"/>
    <cellStyle name="_預算書-修改_普令厝農地重劃區西33路農水路改善工程_臺西鄉普令厝重劃區西8路等道路排水改善工程(確定案)" xfId="647" xr:uid="{00000000-0005-0000-0000-0000C20D0000}"/>
    <cellStyle name="_預算書-修改_普令厝農地重劃區西33路農水路改善工程_臺西鄉普令厝重劃區西8路等道路排水改善工程(確定案) 2" xfId="4162" xr:uid="{00000000-0005-0000-0000-0000C30D0000}"/>
    <cellStyle name="_預算書-修改_普令厝農地重劃區西33路農水路改善工程_臺西鄉普令厝重劃區西8路等道路排水改善工程(確定案)_施工日誌1" xfId="2270" xr:uid="{00000000-0005-0000-0000-0000C40D0000}"/>
    <cellStyle name="_預算書-修改_普令厝農地重劃區西33路農水路改善工程_臺西鄉臺西公有零售市埸作為多目標使用改善工程" xfId="4163" xr:uid="{00000000-0005-0000-0000-0000C50D0000}"/>
    <cellStyle name="_預算書-修改_普令厝農地重劃區西33路農水路改善工程_豐榮、草湖等村道路及排水溝改善工程-(變更)2" xfId="4164" xr:uid="{00000000-0005-0000-0000-0000C60D0000}"/>
    <cellStyle name="_預算書-修改_預算書1210" xfId="648" xr:uid="{00000000-0005-0000-0000-0000C70D0000}"/>
    <cellStyle name="_預算書-修改_預算書1210 2" xfId="4165" xr:uid="{00000000-0005-0000-0000-0000C80D0000}"/>
    <cellStyle name="_預算書-修改_預算書1210_施工日誌1" xfId="2271" xr:uid="{00000000-0005-0000-0000-0000C90D0000}"/>
    <cellStyle name="_預算書-修改_預算書1210_普令厝農地重劃區西33路農水路改善工程" xfId="649" xr:uid="{00000000-0005-0000-0000-0000CA0D0000}"/>
    <cellStyle name="_預算書-修改_預算書1210_普令厝農地重劃區西33路農水路改善工程 2" xfId="4166" xr:uid="{00000000-0005-0000-0000-0000CB0D0000}"/>
    <cellStyle name="_預算書-修改_預算書1210_普令厝農地重劃區西33路農水路改善工程_土庫鎮埤腳里道路、排水溝改善工程101.05.18(修正3確定)" xfId="4167" xr:uid="{00000000-0005-0000-0000-0000CC0D0000}"/>
    <cellStyle name="_預算書-修改_預算書1210_普令厝農地重劃區西33路農水路改善工程_元長鄉長南村巷道排水改善工程" xfId="4168" xr:uid="{00000000-0005-0000-0000-0000CD0D0000}"/>
    <cellStyle name="_預算書-修改_預算書1210_普令厝農地重劃區西33路農水路改善工程_斗南鎮久安農地重劃區V51路農路路面改善工程" xfId="5263" xr:uid="{00000000-0005-0000-0000-0000CE0D0000}"/>
    <cellStyle name="_預算書-修改_預算書1210_普令厝農地重劃區西33路農水路改善工程_斗南鎮田頭農地重劃區農路改善工程" xfId="5264" xr:uid="{00000000-0005-0000-0000-0000CF0D0000}"/>
    <cellStyle name="_預算書-修改_預算書1210_普令厝農地重劃區西33路農水路改善工程_斗南鎮西岐里舊社里等路面改善工程-100.05.18" xfId="4169" xr:uid="{00000000-0005-0000-0000-0000D00D0000}"/>
    <cellStyle name="_預算書-修改_預算書1210_普令厝農地重劃區西33路農水路改善工程_斗南鎮阿丹里、林子里相關公共設施改善工程100.11.29" xfId="4170" xr:uid="{00000000-0005-0000-0000-0000D10D0000}"/>
    <cellStyle name="_預算書-修改_預算書1210_普令厝農地重劃區西33路農水路改善工程_斗南鎮將軍里等路面及附屬設施改善工程" xfId="4171" xr:uid="{00000000-0005-0000-0000-0000D20D0000}"/>
    <cellStyle name="_預算書-修改_預算書1210_普令厝農地重劃區西33路農水路改善工程_古坑鄉大湖底段及麻園段路面改善工程" xfId="4172" xr:uid="{00000000-0005-0000-0000-0000D30D0000}"/>
    <cellStyle name="_預算書-修改_預算書1210_普令厝農地重劃區西33路農水路改善工程_台西海埔地南4路排水9907豪雨災害復建工程" xfId="4173" xr:uid="{00000000-0005-0000-0000-0000D40D0000}"/>
    <cellStyle name="_預算書-修改_預算書1210_普令厝農地重劃區西33路農水路改善工程_台西鄉四美重劃區南北幹路4農路復建工程" xfId="650" xr:uid="{00000000-0005-0000-0000-0000D50D0000}"/>
    <cellStyle name="_預算書-修改_預算書1210_普令厝農地重劃區西33路農水路改善工程_台西鄉四美重劃區南北幹路4農路復建工程 2" xfId="4174" xr:uid="{00000000-0005-0000-0000-0000D60D0000}"/>
    <cellStyle name="_預算書-修改_預算書1210_普令厝農地重劃區西33路農水路改善工程_台西鄉四美重劃區南北幹路4農路復建工程_施工日誌1" xfId="2273" xr:uid="{00000000-0005-0000-0000-0000D70D0000}"/>
    <cellStyle name="_預算書-修改_預算書1210_普令厝農地重劃區西33路農水路改善工程_東勢鄉新坤村及麥寮鄉海豐村道路排水改善工程" xfId="5265" xr:uid="{00000000-0005-0000-0000-0000D80D0000}"/>
    <cellStyle name="_預算書-修改_預算書1210_普令厝農地重劃區西33路農水路改善工程_林縣臺西鄉A10~A12雨水下水道建設工程(增減明細)" xfId="4175" xr:uid="{00000000-0005-0000-0000-0000D90D0000}"/>
    <cellStyle name="_預算書-修改_預算書1210_普令厝農地重劃區西33路農水路改善工程_虎尾鎮新吉里竹圍子農村社區生態魚池暨運動公園道路與排水改善工程(預算書)" xfId="4176" xr:uid="{00000000-0005-0000-0000-0000DA0D0000}"/>
    <cellStyle name="_預算書-修改_預算書1210_普令厝農地重劃區西33路農水路改善工程_虎尾鎮新吉里竹圍子農村社區生態魚池暨運動公園道路與排水改善工程(確定)" xfId="5266" xr:uid="{00000000-0005-0000-0000-0000DB0D0000}"/>
    <cellStyle name="_預算書-修改_預算書1210_普令厝農地重劃區西33路農水路改善工程_長北村等巷道排水改善工程" xfId="4177" xr:uid="{00000000-0005-0000-0000-0000DC0D0000}"/>
    <cellStyle name="_預算書-修改_預算書1210_普令厝農地重劃區西33路農水路改善工程_後溝子一農地重劃區南北八路農路改善工程" xfId="651" xr:uid="{00000000-0005-0000-0000-0000DD0D0000}"/>
    <cellStyle name="_預算書-修改_預算書1210_普令厝農地重劃區西33路農水路改善工程_後溝子一農地重劃區南北八路農路改善工程 2" xfId="4178" xr:uid="{00000000-0005-0000-0000-0000DE0D0000}"/>
    <cellStyle name="_預算書-修改_預算書1210_普令厝農地重劃區西33路農水路改善工程_後溝子一農地重劃區南北八路農路改善工程_施工日誌1" xfId="2274" xr:uid="{00000000-0005-0000-0000-0000DF0D0000}"/>
    <cellStyle name="_預算書-修改_預算書1210_普令厝農地重劃區西33路農水路改善工程_施工日誌1" xfId="2272" xr:uid="{00000000-0005-0000-0000-0000E00D0000}"/>
    <cellStyle name="_預算書-修改_預算書1210_普令厝農地重劃區西33路農水路改善工程_崙背鄉雨水下水道清淤疏浚維護工程" xfId="652" xr:uid="{00000000-0005-0000-0000-0000E10D0000}"/>
    <cellStyle name="_預算書-修改_預算書1210_普令厝農地重劃區西33路農水路改善工程_崙背鄉雨水下水道清淤疏浚維護工程 2" xfId="4179" xr:uid="{00000000-0005-0000-0000-0000E20D0000}"/>
    <cellStyle name="_預算書-修改_預算書1210_普令厝農地重劃區西33路農水路改善工程_崙背鄉雨水下水道清淤疏浚維護工程_施工日誌1" xfId="2275" xr:uid="{00000000-0005-0000-0000-0000E30D0000}"/>
    <cellStyle name="_預算書-修改_預算書1210_普令厝農地重劃區西33路農水路改善工程_鹿寮農地重劃區補路農路改善工程等七件工程" xfId="653" xr:uid="{00000000-0005-0000-0000-0000E40D0000}"/>
    <cellStyle name="_預算書-修改_預算書1210_普令厝農地重劃區西33路農水路改善工程_鹿寮農地重劃區補路農路改善工程等七件工程 2" xfId="4180" xr:uid="{00000000-0005-0000-0000-0000E50D0000}"/>
    <cellStyle name="_預算書-修改_預算書1210_普令厝農地重劃區西33路農水路改善工程_鹿寮農地重劃區補路農路改善工程等七件工程_施工日誌1" xfId="2276" xr:uid="{00000000-0005-0000-0000-0000E60D0000}"/>
    <cellStyle name="_預算書-修改_預算書1210_普令厝農地重劃區西33路農水路改善工程_普令厝農地重劃區西33路農水路改善工程" xfId="654" xr:uid="{00000000-0005-0000-0000-0000E70D0000}"/>
    <cellStyle name="_預算書-修改_預算書1210_普令厝農地重劃區西33路農水路改善工程_普令厝農地重劃區西33路農水路改善工程 2" xfId="4181" xr:uid="{00000000-0005-0000-0000-0000E80D0000}"/>
    <cellStyle name="_預算書-修改_預算書1210_普令厝農地重劃區西33路農水路改善工程_普令厝農地重劃區西33路農水路改善工程_施工日誌1" xfId="2277" xr:uid="{00000000-0005-0000-0000-0000E90D0000}"/>
    <cellStyle name="_預算書-修改_預算書1210_普令厝農地重劃區西33路農水路改善工程_雲林縣崙背鄉雨水下水道清淤工程" xfId="655" xr:uid="{00000000-0005-0000-0000-0000EA0D0000}"/>
    <cellStyle name="_預算書-修改_預算書1210_普令厝農地重劃區西33路農水路改善工程_雲林縣崙背鄉雨水下水道清淤工程 2" xfId="4182" xr:uid="{00000000-0005-0000-0000-0000EB0D0000}"/>
    <cellStyle name="_預算書-修改_預算書1210_普令厝農地重劃區西33路農水路改善工程_雲林縣崙背鄉雨水下水道清淤工程_施工日誌1" xfId="2278" xr:uid="{00000000-0005-0000-0000-0000EC0D0000}"/>
    <cellStyle name="_預算書-修改_預算書1210_普令厝農地重劃區西33路農水路改善工程_雲林縣臺西鄉A9～A9-3雨水下水道建設工程" xfId="4183" xr:uid="{00000000-0005-0000-0000-0000ED0D0000}"/>
    <cellStyle name="_預算書-修改_預算書1210_普令厝農地重劃區西33路農水路改善工程_臺西鄉(凡那比颱風)鄉內道路排水災害復建工程" xfId="656" xr:uid="{00000000-0005-0000-0000-0000EE0D0000}"/>
    <cellStyle name="_預算書-修改_預算書1210_普令厝農地重劃區西33路農水路改善工程_臺西鄉(凡那比颱風)鄉內道路排水災害復建工程 2" xfId="4184" xr:uid="{00000000-0005-0000-0000-0000EF0D0000}"/>
    <cellStyle name="_預算書-修改_預算書1210_普令厝農地重劃區西33路農水路改善工程_臺西鄉(凡那比颱風)鄉內道路排水災害復建工程_施工日誌1" xfId="2279" xr:uid="{00000000-0005-0000-0000-0000F00D0000}"/>
    <cellStyle name="_預算書-修改_預算書1210_普令厝農地重劃區西33路農水路改善工程_臺西鄉蚊港村蚊港巷道改善工程" xfId="4185" xr:uid="{00000000-0005-0000-0000-0000F10D0000}"/>
    <cellStyle name="_預算書-修改_預算書1210_普令厝農地重劃區西33路農水路改善工程_臺西鄉普令厝重劃區西8路等道路排水改善工程(確定案)" xfId="657" xr:uid="{00000000-0005-0000-0000-0000F20D0000}"/>
    <cellStyle name="_預算書-修改_預算書1210_普令厝農地重劃區西33路農水路改善工程_臺西鄉普令厝重劃區西8路等道路排水改善工程(確定案) 2" xfId="4186" xr:uid="{00000000-0005-0000-0000-0000F30D0000}"/>
    <cellStyle name="_預算書-修改_預算書1210_普令厝農地重劃區西33路農水路改善工程_臺西鄉普令厝重劃區西8路等道路排水改善工程(確定案)_施工日誌1" xfId="2280" xr:uid="{00000000-0005-0000-0000-0000F40D0000}"/>
    <cellStyle name="_預算書-修改_預算書1210_普令厝農地重劃區西33路農水路改善工程_臺西鄉臺西公有零售市埸作為多目標使用改善工程" xfId="4187" xr:uid="{00000000-0005-0000-0000-0000F50D0000}"/>
    <cellStyle name="_預算書-修改_預算書1210_普令厝農地重劃區西33路農水路改善工程_豐榮、草湖等村道路及排水溝改善工程-(變更)2" xfId="4188" xr:uid="{00000000-0005-0000-0000-0000F60D0000}"/>
    <cellStyle name="_預算書-修改_數量97-10-28" xfId="658" xr:uid="{00000000-0005-0000-0000-0000F70D0000}"/>
    <cellStyle name="_預算書-修改_數量97-10-28 2" xfId="4189" xr:uid="{00000000-0005-0000-0000-0000F80D0000}"/>
    <cellStyle name="_預算書-修改_數量97-10-28_施工日誌1" xfId="2281" xr:uid="{00000000-0005-0000-0000-0000F90D0000}"/>
    <cellStyle name="_預算書-修改_數量97-10-28_普令厝農地重劃區西33路農水路改善工程" xfId="659" xr:uid="{00000000-0005-0000-0000-0000FA0D0000}"/>
    <cellStyle name="_預算書-修改_數量97-10-28_普令厝農地重劃區西33路農水路改善工程 2" xfId="4190" xr:uid="{00000000-0005-0000-0000-0000FB0D0000}"/>
    <cellStyle name="_預算書-修改_數量97-10-28_普令厝農地重劃區西33路農水路改善工程_土庫鎮埤腳里道路、排水溝改善工程101.05.18(修正3確定)" xfId="4191" xr:uid="{00000000-0005-0000-0000-0000FC0D0000}"/>
    <cellStyle name="_預算書-修改_數量97-10-28_普令厝農地重劃區西33路農水路改善工程_元長鄉長南村巷道排水改善工程" xfId="4192" xr:uid="{00000000-0005-0000-0000-0000FD0D0000}"/>
    <cellStyle name="_預算書-修改_數量97-10-28_普令厝農地重劃區西33路農水路改善工程_斗南鎮久安農地重劃區V51路農路路面改善工程" xfId="5267" xr:uid="{00000000-0005-0000-0000-0000FE0D0000}"/>
    <cellStyle name="_預算書-修改_數量97-10-28_普令厝農地重劃區西33路農水路改善工程_斗南鎮田頭農地重劃區農路改善工程" xfId="5268" xr:uid="{00000000-0005-0000-0000-0000FF0D0000}"/>
    <cellStyle name="_預算書-修改_數量97-10-28_普令厝農地重劃區西33路農水路改善工程_斗南鎮西岐里舊社里等路面改善工程-100.05.18" xfId="4193" xr:uid="{00000000-0005-0000-0000-0000000E0000}"/>
    <cellStyle name="_預算書-修改_數量97-10-28_普令厝農地重劃區西33路農水路改善工程_斗南鎮阿丹里、林子里相關公共設施改善工程100.11.29" xfId="4194" xr:uid="{00000000-0005-0000-0000-0000010E0000}"/>
    <cellStyle name="_預算書-修改_數量97-10-28_普令厝農地重劃區西33路農水路改善工程_斗南鎮將軍里等路面及附屬設施改善工程" xfId="4195" xr:uid="{00000000-0005-0000-0000-0000020E0000}"/>
    <cellStyle name="_預算書-修改_數量97-10-28_普令厝農地重劃區西33路農水路改善工程_古坑鄉大湖底段及麻園段路面改善工程" xfId="4196" xr:uid="{00000000-0005-0000-0000-0000030E0000}"/>
    <cellStyle name="_預算書-修改_數量97-10-28_普令厝農地重劃區西33路農水路改善工程_台西海埔地南4路排水9907豪雨災害復建工程" xfId="4197" xr:uid="{00000000-0005-0000-0000-0000040E0000}"/>
    <cellStyle name="_預算書-修改_數量97-10-28_普令厝農地重劃區西33路農水路改善工程_台西鄉四美重劃區南北幹路4農路復建工程" xfId="660" xr:uid="{00000000-0005-0000-0000-0000050E0000}"/>
    <cellStyle name="_預算書-修改_數量97-10-28_普令厝農地重劃區西33路農水路改善工程_台西鄉四美重劃區南北幹路4農路復建工程 2" xfId="4198" xr:uid="{00000000-0005-0000-0000-0000060E0000}"/>
    <cellStyle name="_預算書-修改_數量97-10-28_普令厝農地重劃區西33路農水路改善工程_台西鄉四美重劃區南北幹路4農路復建工程_施工日誌1" xfId="2283" xr:uid="{00000000-0005-0000-0000-0000070E0000}"/>
    <cellStyle name="_預算書-修改_數量97-10-28_普令厝農地重劃區西33路農水路改善工程_東勢鄉新坤村及麥寮鄉海豐村道路排水改善工程" xfId="5269" xr:uid="{00000000-0005-0000-0000-0000080E0000}"/>
    <cellStyle name="_預算書-修改_數量97-10-28_普令厝農地重劃區西33路農水路改善工程_林縣臺西鄉A10~A12雨水下水道建設工程(增減明細)" xfId="4199" xr:uid="{00000000-0005-0000-0000-0000090E0000}"/>
    <cellStyle name="_預算書-修改_數量97-10-28_普令厝農地重劃區西33路農水路改善工程_虎尾鎮新吉里竹圍子農村社區生態魚池暨運動公園道路與排水改善工程(預算書)" xfId="4200" xr:uid="{00000000-0005-0000-0000-00000A0E0000}"/>
    <cellStyle name="_預算書-修改_數量97-10-28_普令厝農地重劃區西33路農水路改善工程_虎尾鎮新吉里竹圍子農村社區生態魚池暨運動公園道路與排水改善工程(確定)" xfId="5270" xr:uid="{00000000-0005-0000-0000-00000B0E0000}"/>
    <cellStyle name="_預算書-修改_數量97-10-28_普令厝農地重劃區西33路農水路改善工程_長北村等巷道排水改善工程" xfId="4201" xr:uid="{00000000-0005-0000-0000-00000C0E0000}"/>
    <cellStyle name="_預算書-修改_數量97-10-28_普令厝農地重劃區西33路農水路改善工程_後溝子一農地重劃區南北八路農路改善工程" xfId="661" xr:uid="{00000000-0005-0000-0000-00000D0E0000}"/>
    <cellStyle name="_預算書-修改_數量97-10-28_普令厝農地重劃區西33路農水路改善工程_後溝子一農地重劃區南北八路農路改善工程 2" xfId="4202" xr:uid="{00000000-0005-0000-0000-00000E0E0000}"/>
    <cellStyle name="_預算書-修改_數量97-10-28_普令厝農地重劃區西33路農水路改善工程_後溝子一農地重劃區南北八路農路改善工程_施工日誌1" xfId="2284" xr:uid="{00000000-0005-0000-0000-00000F0E0000}"/>
    <cellStyle name="_預算書-修改_數量97-10-28_普令厝農地重劃區西33路農水路改善工程_施工日誌1" xfId="2282" xr:uid="{00000000-0005-0000-0000-0000100E0000}"/>
    <cellStyle name="_預算書-修改_數量97-10-28_普令厝農地重劃區西33路農水路改善工程_崙背鄉雨水下水道清淤疏浚維護工程" xfId="662" xr:uid="{00000000-0005-0000-0000-0000110E0000}"/>
    <cellStyle name="_預算書-修改_數量97-10-28_普令厝農地重劃區西33路農水路改善工程_崙背鄉雨水下水道清淤疏浚維護工程 2" xfId="4203" xr:uid="{00000000-0005-0000-0000-0000120E0000}"/>
    <cellStyle name="_預算書-修改_數量97-10-28_普令厝農地重劃區西33路農水路改善工程_崙背鄉雨水下水道清淤疏浚維護工程_施工日誌1" xfId="2285" xr:uid="{00000000-0005-0000-0000-0000130E0000}"/>
    <cellStyle name="_預算書-修改_數量97-10-28_普令厝農地重劃區西33路農水路改善工程_鹿寮農地重劃區補路農路改善工程等七件工程" xfId="663" xr:uid="{00000000-0005-0000-0000-0000140E0000}"/>
    <cellStyle name="_預算書-修改_數量97-10-28_普令厝農地重劃區西33路農水路改善工程_鹿寮農地重劃區補路農路改善工程等七件工程 2" xfId="4204" xr:uid="{00000000-0005-0000-0000-0000150E0000}"/>
    <cellStyle name="_預算書-修改_數量97-10-28_普令厝農地重劃區西33路農水路改善工程_鹿寮農地重劃區補路農路改善工程等七件工程_施工日誌1" xfId="2286" xr:uid="{00000000-0005-0000-0000-0000160E0000}"/>
    <cellStyle name="_預算書-修改_數量97-10-28_普令厝農地重劃區西33路農水路改善工程_普令厝農地重劃區西33路農水路改善工程" xfId="664" xr:uid="{00000000-0005-0000-0000-0000170E0000}"/>
    <cellStyle name="_預算書-修改_數量97-10-28_普令厝農地重劃區西33路農水路改善工程_普令厝農地重劃區西33路農水路改善工程 2" xfId="4205" xr:uid="{00000000-0005-0000-0000-0000180E0000}"/>
    <cellStyle name="_預算書-修改_數量97-10-28_普令厝農地重劃區西33路農水路改善工程_普令厝農地重劃區西33路農水路改善工程_施工日誌1" xfId="2287" xr:uid="{00000000-0005-0000-0000-0000190E0000}"/>
    <cellStyle name="_預算書-修改_數量97-10-28_普令厝農地重劃區西33路農水路改善工程_雲林縣崙背鄉雨水下水道清淤工程" xfId="665" xr:uid="{00000000-0005-0000-0000-00001A0E0000}"/>
    <cellStyle name="_預算書-修改_數量97-10-28_普令厝農地重劃區西33路農水路改善工程_雲林縣崙背鄉雨水下水道清淤工程 2" xfId="4206" xr:uid="{00000000-0005-0000-0000-00001B0E0000}"/>
    <cellStyle name="_預算書-修改_數量97-10-28_普令厝農地重劃區西33路農水路改善工程_雲林縣崙背鄉雨水下水道清淤工程_施工日誌1" xfId="2288" xr:uid="{00000000-0005-0000-0000-00001C0E0000}"/>
    <cellStyle name="_預算書-修改_數量97-10-28_普令厝農地重劃區西33路農水路改善工程_雲林縣臺西鄉A9～A9-3雨水下水道建設工程" xfId="4207" xr:uid="{00000000-0005-0000-0000-00001D0E0000}"/>
    <cellStyle name="_預算書-修改_數量97-10-28_普令厝農地重劃區西33路農水路改善工程_臺西鄉(凡那比颱風)鄉內道路排水災害復建工程" xfId="666" xr:uid="{00000000-0005-0000-0000-00001E0E0000}"/>
    <cellStyle name="_預算書-修改_數量97-10-28_普令厝農地重劃區西33路農水路改善工程_臺西鄉(凡那比颱風)鄉內道路排水災害復建工程 2" xfId="4208" xr:uid="{00000000-0005-0000-0000-00001F0E0000}"/>
    <cellStyle name="_預算書-修改_數量97-10-28_普令厝農地重劃區西33路農水路改善工程_臺西鄉(凡那比颱風)鄉內道路排水災害復建工程_施工日誌1" xfId="2289" xr:uid="{00000000-0005-0000-0000-0000200E0000}"/>
    <cellStyle name="_預算書-修改_數量97-10-28_普令厝農地重劃區西33路農水路改善工程_臺西鄉蚊港村蚊港巷道改善工程" xfId="4209" xr:uid="{00000000-0005-0000-0000-0000210E0000}"/>
    <cellStyle name="_預算書-修改_數量97-10-28_普令厝農地重劃區西33路農水路改善工程_臺西鄉普令厝重劃區西8路等道路排水改善工程(確定案)" xfId="667" xr:uid="{00000000-0005-0000-0000-0000220E0000}"/>
    <cellStyle name="_預算書-修改_數量97-10-28_普令厝農地重劃區西33路農水路改善工程_臺西鄉普令厝重劃區西8路等道路排水改善工程(確定案) 2" xfId="4210" xr:uid="{00000000-0005-0000-0000-0000230E0000}"/>
    <cellStyle name="_預算書-修改_數量97-10-28_普令厝農地重劃區西33路農水路改善工程_臺西鄉普令厝重劃區西8路等道路排水改善工程(確定案)_施工日誌1" xfId="2290" xr:uid="{00000000-0005-0000-0000-0000240E0000}"/>
    <cellStyle name="_預算書-修改_數量97-10-28_普令厝農地重劃區西33路農水路改善工程_臺西鄉臺西公有零售市埸作為多目標使用改善工程" xfId="4211" xr:uid="{00000000-0005-0000-0000-0000250E0000}"/>
    <cellStyle name="_預算書-修改_數量97-10-28_普令厝農地重劃區西33路農水路改善工程_豐榮、草湖等村道路及排水溝改善工程-(變更)2" xfId="4212" xr:uid="{00000000-0005-0000-0000-0000260E0000}"/>
    <cellStyle name="_預算書-修改_數量表1023(第一期)" xfId="668" xr:uid="{00000000-0005-0000-0000-0000270E0000}"/>
    <cellStyle name="_預算書-修改_數量表1023(第一期) 2" xfId="4213" xr:uid="{00000000-0005-0000-0000-0000280E0000}"/>
    <cellStyle name="_預算書-修改_數量表1023(第一期)_施工日誌1" xfId="2291" xr:uid="{00000000-0005-0000-0000-0000290E0000}"/>
    <cellStyle name="_預算書-修改_數量表1023(第一期)_普令厝農地重劃區西33路農水路改善工程" xfId="669" xr:uid="{00000000-0005-0000-0000-00002A0E0000}"/>
    <cellStyle name="_預算書-修改_數量表1023(第一期)_普令厝農地重劃區西33路農水路改善工程 2" xfId="4214" xr:uid="{00000000-0005-0000-0000-00002B0E0000}"/>
    <cellStyle name="_預算書-修改_數量表1023(第一期)_普令厝農地重劃區西33路農水路改善工程_土庫鎮埤腳里道路、排水溝改善工程101.05.18(修正3確定)" xfId="4215" xr:uid="{00000000-0005-0000-0000-00002C0E0000}"/>
    <cellStyle name="_預算書-修改_數量表1023(第一期)_普令厝農地重劃區西33路農水路改善工程_元長鄉長南村巷道排水改善工程" xfId="4216" xr:uid="{00000000-0005-0000-0000-00002D0E0000}"/>
    <cellStyle name="_預算書-修改_數量表1023(第一期)_普令厝農地重劃區西33路農水路改善工程_斗南鎮久安農地重劃區V51路農路路面改善工程" xfId="5271" xr:uid="{00000000-0005-0000-0000-00002E0E0000}"/>
    <cellStyle name="_預算書-修改_數量表1023(第一期)_普令厝農地重劃區西33路農水路改善工程_斗南鎮田頭農地重劃區農路改善工程" xfId="5272" xr:uid="{00000000-0005-0000-0000-00002F0E0000}"/>
    <cellStyle name="_預算書-修改_數量表1023(第一期)_普令厝農地重劃區西33路農水路改善工程_斗南鎮西岐里舊社里等路面改善工程-100.05.18" xfId="4217" xr:uid="{00000000-0005-0000-0000-0000300E0000}"/>
    <cellStyle name="_預算書-修改_數量表1023(第一期)_普令厝農地重劃區西33路農水路改善工程_斗南鎮阿丹里、林子里相關公共設施改善工程100.11.29" xfId="4218" xr:uid="{00000000-0005-0000-0000-0000310E0000}"/>
    <cellStyle name="_預算書-修改_數量表1023(第一期)_普令厝農地重劃區西33路農水路改善工程_斗南鎮將軍里等路面及附屬設施改善工程" xfId="4219" xr:uid="{00000000-0005-0000-0000-0000320E0000}"/>
    <cellStyle name="_預算書-修改_數量表1023(第一期)_普令厝農地重劃區西33路農水路改善工程_古坑鄉大湖底段及麻園段路面改善工程" xfId="4220" xr:uid="{00000000-0005-0000-0000-0000330E0000}"/>
    <cellStyle name="_預算書-修改_數量表1023(第一期)_普令厝農地重劃區西33路農水路改善工程_台西海埔地南4路排水9907豪雨災害復建工程" xfId="4221" xr:uid="{00000000-0005-0000-0000-0000340E0000}"/>
    <cellStyle name="_預算書-修改_數量表1023(第一期)_普令厝農地重劃區西33路農水路改善工程_台西鄉四美重劃區南北幹路4農路復建工程" xfId="670" xr:uid="{00000000-0005-0000-0000-0000350E0000}"/>
    <cellStyle name="_預算書-修改_數量表1023(第一期)_普令厝農地重劃區西33路農水路改善工程_台西鄉四美重劃區南北幹路4農路復建工程 2" xfId="4222" xr:uid="{00000000-0005-0000-0000-0000360E0000}"/>
    <cellStyle name="_預算書-修改_數量表1023(第一期)_普令厝農地重劃區西33路農水路改善工程_台西鄉四美重劃區南北幹路4農路復建工程_施工日誌1" xfId="2293" xr:uid="{00000000-0005-0000-0000-0000370E0000}"/>
    <cellStyle name="_預算書-修改_數量表1023(第一期)_普令厝農地重劃區西33路農水路改善工程_東勢鄉新坤村及麥寮鄉海豐村道路排水改善工程" xfId="5273" xr:uid="{00000000-0005-0000-0000-0000380E0000}"/>
    <cellStyle name="_預算書-修改_數量表1023(第一期)_普令厝農地重劃區西33路農水路改善工程_林縣臺西鄉A10~A12雨水下水道建設工程(增減明細)" xfId="4223" xr:uid="{00000000-0005-0000-0000-0000390E0000}"/>
    <cellStyle name="_預算書-修改_數量表1023(第一期)_普令厝農地重劃區西33路農水路改善工程_虎尾鎮新吉里竹圍子農村社區生態魚池暨運動公園道路與排水改善工程(預算書)" xfId="4224" xr:uid="{00000000-0005-0000-0000-00003A0E0000}"/>
    <cellStyle name="_預算書-修改_數量表1023(第一期)_普令厝農地重劃區西33路農水路改善工程_虎尾鎮新吉里竹圍子農村社區生態魚池暨運動公園道路與排水改善工程(確定)" xfId="5274" xr:uid="{00000000-0005-0000-0000-00003B0E0000}"/>
    <cellStyle name="_預算書-修改_數量表1023(第一期)_普令厝農地重劃區西33路農水路改善工程_長北村等巷道排水改善工程" xfId="4225" xr:uid="{00000000-0005-0000-0000-00003C0E0000}"/>
    <cellStyle name="_預算書-修改_數量表1023(第一期)_普令厝農地重劃區西33路農水路改善工程_後溝子一農地重劃區南北八路農路改善工程" xfId="671" xr:uid="{00000000-0005-0000-0000-00003D0E0000}"/>
    <cellStyle name="_預算書-修改_數量表1023(第一期)_普令厝農地重劃區西33路農水路改善工程_後溝子一農地重劃區南北八路農路改善工程 2" xfId="4226" xr:uid="{00000000-0005-0000-0000-00003E0E0000}"/>
    <cellStyle name="_預算書-修改_數量表1023(第一期)_普令厝農地重劃區西33路農水路改善工程_後溝子一農地重劃區南北八路農路改善工程_施工日誌1" xfId="2294" xr:uid="{00000000-0005-0000-0000-00003F0E0000}"/>
    <cellStyle name="_預算書-修改_數量表1023(第一期)_普令厝農地重劃區西33路農水路改善工程_施工日誌1" xfId="2292" xr:uid="{00000000-0005-0000-0000-0000400E0000}"/>
    <cellStyle name="_預算書-修改_數量表1023(第一期)_普令厝農地重劃區西33路農水路改善工程_崙背鄉雨水下水道清淤疏浚維護工程" xfId="672" xr:uid="{00000000-0005-0000-0000-0000410E0000}"/>
    <cellStyle name="_預算書-修改_數量表1023(第一期)_普令厝農地重劃區西33路農水路改善工程_崙背鄉雨水下水道清淤疏浚維護工程 2" xfId="4227" xr:uid="{00000000-0005-0000-0000-0000420E0000}"/>
    <cellStyle name="_預算書-修改_數量表1023(第一期)_普令厝農地重劃區西33路農水路改善工程_崙背鄉雨水下水道清淤疏浚維護工程_施工日誌1" xfId="2295" xr:uid="{00000000-0005-0000-0000-0000430E0000}"/>
    <cellStyle name="_預算書-修改_數量表1023(第一期)_普令厝農地重劃區西33路農水路改善工程_鹿寮農地重劃區補路農路改善工程等七件工程" xfId="673" xr:uid="{00000000-0005-0000-0000-0000440E0000}"/>
    <cellStyle name="_預算書-修改_數量表1023(第一期)_普令厝農地重劃區西33路農水路改善工程_鹿寮農地重劃區補路農路改善工程等七件工程 2" xfId="4228" xr:uid="{00000000-0005-0000-0000-0000450E0000}"/>
    <cellStyle name="_預算書-修改_數量表1023(第一期)_普令厝農地重劃區西33路農水路改善工程_鹿寮農地重劃區補路農路改善工程等七件工程_施工日誌1" xfId="2296" xr:uid="{00000000-0005-0000-0000-0000460E0000}"/>
    <cellStyle name="_預算書-修改_數量表1023(第一期)_普令厝農地重劃區西33路農水路改善工程_普令厝農地重劃區西33路農水路改善工程" xfId="674" xr:uid="{00000000-0005-0000-0000-0000470E0000}"/>
    <cellStyle name="_預算書-修改_數量表1023(第一期)_普令厝農地重劃區西33路農水路改善工程_普令厝農地重劃區西33路農水路改善工程 2" xfId="4229" xr:uid="{00000000-0005-0000-0000-0000480E0000}"/>
    <cellStyle name="_預算書-修改_數量表1023(第一期)_普令厝農地重劃區西33路農水路改善工程_普令厝農地重劃區西33路農水路改善工程_施工日誌1" xfId="2297" xr:uid="{00000000-0005-0000-0000-0000490E0000}"/>
    <cellStyle name="_預算書-修改_數量表1023(第一期)_普令厝農地重劃區西33路農水路改善工程_雲林縣崙背鄉雨水下水道清淤工程" xfId="675" xr:uid="{00000000-0005-0000-0000-00004A0E0000}"/>
    <cellStyle name="_預算書-修改_數量表1023(第一期)_普令厝農地重劃區西33路農水路改善工程_雲林縣崙背鄉雨水下水道清淤工程 2" xfId="4230" xr:uid="{00000000-0005-0000-0000-00004B0E0000}"/>
    <cellStyle name="_預算書-修改_數量表1023(第一期)_普令厝農地重劃區西33路農水路改善工程_雲林縣崙背鄉雨水下水道清淤工程_施工日誌1" xfId="2298" xr:uid="{00000000-0005-0000-0000-00004C0E0000}"/>
    <cellStyle name="_預算書-修改_數量表1023(第一期)_普令厝農地重劃區西33路農水路改善工程_雲林縣臺西鄉A9～A9-3雨水下水道建設工程" xfId="4231" xr:uid="{00000000-0005-0000-0000-00004D0E0000}"/>
    <cellStyle name="_預算書-修改_數量表1023(第一期)_普令厝農地重劃區西33路農水路改善工程_臺西鄉(凡那比颱風)鄉內道路排水災害復建工程" xfId="676" xr:uid="{00000000-0005-0000-0000-00004E0E0000}"/>
    <cellStyle name="_預算書-修改_數量表1023(第一期)_普令厝農地重劃區西33路農水路改善工程_臺西鄉(凡那比颱風)鄉內道路排水災害復建工程 2" xfId="4232" xr:uid="{00000000-0005-0000-0000-00004F0E0000}"/>
    <cellStyle name="_預算書-修改_數量表1023(第一期)_普令厝農地重劃區西33路農水路改善工程_臺西鄉(凡那比颱風)鄉內道路排水災害復建工程_施工日誌1" xfId="2299" xr:uid="{00000000-0005-0000-0000-0000500E0000}"/>
    <cellStyle name="_預算書-修改_數量表1023(第一期)_普令厝農地重劃區西33路農水路改善工程_臺西鄉蚊港村蚊港巷道改善工程" xfId="4233" xr:uid="{00000000-0005-0000-0000-0000510E0000}"/>
    <cellStyle name="_預算書-修改_數量表1023(第一期)_普令厝農地重劃區西33路農水路改善工程_臺西鄉普令厝重劃區西8路等道路排水改善工程(確定案)" xfId="677" xr:uid="{00000000-0005-0000-0000-0000520E0000}"/>
    <cellStyle name="_預算書-修改_數量表1023(第一期)_普令厝農地重劃區西33路農水路改善工程_臺西鄉普令厝重劃區西8路等道路排水改善工程(確定案) 2" xfId="4234" xr:uid="{00000000-0005-0000-0000-0000530E0000}"/>
    <cellStyle name="_預算書-修改_數量表1023(第一期)_普令厝農地重劃區西33路農水路改善工程_臺西鄉普令厝重劃區西8路等道路排水改善工程(確定案)_施工日誌1" xfId="2300" xr:uid="{00000000-0005-0000-0000-0000540E0000}"/>
    <cellStyle name="_預算書-修改_數量表1023(第一期)_普令厝農地重劃區西33路農水路改善工程_臺西鄉臺西公有零售市埸作為多目標使用改善工程" xfId="4235" xr:uid="{00000000-0005-0000-0000-0000550E0000}"/>
    <cellStyle name="_預算書-修改_數量表1023(第一期)_普令厝農地重劃區西33路農水路改善工程_豐榮、草湖等村道路及排水溝改善工程-(變更)2" xfId="4236" xr:uid="{00000000-0005-0000-0000-0000560E0000}"/>
    <cellStyle name="_預算書-修改_數量表1023(第二期)" xfId="678" xr:uid="{00000000-0005-0000-0000-0000570E0000}"/>
    <cellStyle name="_預算書-修改_數量表1023(第二期) 2" xfId="4237" xr:uid="{00000000-0005-0000-0000-0000580E0000}"/>
    <cellStyle name="_預算書-修改_數量表1023(第二期)_施工日誌1" xfId="2301" xr:uid="{00000000-0005-0000-0000-0000590E0000}"/>
    <cellStyle name="_預算書-修改_數量表1023(第二期)_普令厝農地重劃區西33路農水路改善工程" xfId="679" xr:uid="{00000000-0005-0000-0000-00005A0E0000}"/>
    <cellStyle name="_預算書-修改_數量表1023(第二期)_普令厝農地重劃區西33路農水路改善工程 2" xfId="4238" xr:uid="{00000000-0005-0000-0000-00005B0E0000}"/>
    <cellStyle name="_預算書-修改_數量表1023(第二期)_普令厝農地重劃區西33路農水路改善工程_土庫鎮埤腳里道路、排水溝改善工程101.05.18(修正3確定)" xfId="4239" xr:uid="{00000000-0005-0000-0000-00005C0E0000}"/>
    <cellStyle name="_預算書-修改_數量表1023(第二期)_普令厝農地重劃區西33路農水路改善工程_元長鄉長南村巷道排水改善工程" xfId="4240" xr:uid="{00000000-0005-0000-0000-00005D0E0000}"/>
    <cellStyle name="_預算書-修改_數量表1023(第二期)_普令厝農地重劃區西33路農水路改善工程_斗南鎮久安農地重劃區V51路農路路面改善工程" xfId="5275" xr:uid="{00000000-0005-0000-0000-00005E0E0000}"/>
    <cellStyle name="_預算書-修改_數量表1023(第二期)_普令厝農地重劃區西33路農水路改善工程_斗南鎮田頭農地重劃區農路改善工程" xfId="5276" xr:uid="{00000000-0005-0000-0000-00005F0E0000}"/>
    <cellStyle name="_預算書-修改_數量表1023(第二期)_普令厝農地重劃區西33路農水路改善工程_斗南鎮西岐里舊社里等路面改善工程-100.05.18" xfId="4241" xr:uid="{00000000-0005-0000-0000-0000600E0000}"/>
    <cellStyle name="_預算書-修改_數量表1023(第二期)_普令厝農地重劃區西33路農水路改善工程_斗南鎮阿丹里、林子里相關公共設施改善工程100.11.29" xfId="4242" xr:uid="{00000000-0005-0000-0000-0000610E0000}"/>
    <cellStyle name="_預算書-修改_數量表1023(第二期)_普令厝農地重劃區西33路農水路改善工程_斗南鎮將軍里等路面及附屬設施改善工程" xfId="4243" xr:uid="{00000000-0005-0000-0000-0000620E0000}"/>
    <cellStyle name="_預算書-修改_數量表1023(第二期)_普令厝農地重劃區西33路農水路改善工程_古坑鄉大湖底段及麻園段路面改善工程" xfId="4244" xr:uid="{00000000-0005-0000-0000-0000630E0000}"/>
    <cellStyle name="_預算書-修改_數量表1023(第二期)_普令厝農地重劃區西33路農水路改善工程_台西海埔地南4路排水9907豪雨災害復建工程" xfId="4245" xr:uid="{00000000-0005-0000-0000-0000640E0000}"/>
    <cellStyle name="_預算書-修改_數量表1023(第二期)_普令厝農地重劃區西33路農水路改善工程_台西鄉四美重劃區南北幹路4農路復建工程" xfId="680" xr:uid="{00000000-0005-0000-0000-0000650E0000}"/>
    <cellStyle name="_預算書-修改_數量表1023(第二期)_普令厝農地重劃區西33路農水路改善工程_台西鄉四美重劃區南北幹路4農路復建工程 2" xfId="4246" xr:uid="{00000000-0005-0000-0000-0000660E0000}"/>
    <cellStyle name="_預算書-修改_數量表1023(第二期)_普令厝農地重劃區西33路農水路改善工程_台西鄉四美重劃區南北幹路4農路復建工程_施工日誌1" xfId="2303" xr:uid="{00000000-0005-0000-0000-0000670E0000}"/>
    <cellStyle name="_預算書-修改_數量表1023(第二期)_普令厝農地重劃區西33路農水路改善工程_東勢鄉新坤村及麥寮鄉海豐村道路排水改善工程" xfId="5277" xr:uid="{00000000-0005-0000-0000-0000680E0000}"/>
    <cellStyle name="_預算書-修改_數量表1023(第二期)_普令厝農地重劃區西33路農水路改善工程_林縣臺西鄉A10~A12雨水下水道建設工程(增減明細)" xfId="4247" xr:uid="{00000000-0005-0000-0000-0000690E0000}"/>
    <cellStyle name="_預算書-修改_數量表1023(第二期)_普令厝農地重劃區西33路農水路改善工程_虎尾鎮新吉里竹圍子農村社區生態魚池暨運動公園道路與排水改善工程(預算書)" xfId="4248" xr:uid="{00000000-0005-0000-0000-00006A0E0000}"/>
    <cellStyle name="_預算書-修改_數量表1023(第二期)_普令厝農地重劃區西33路農水路改善工程_虎尾鎮新吉里竹圍子農村社區生態魚池暨運動公園道路與排水改善工程(確定)" xfId="5278" xr:uid="{00000000-0005-0000-0000-00006B0E0000}"/>
    <cellStyle name="_預算書-修改_數量表1023(第二期)_普令厝農地重劃區西33路農水路改善工程_長北村等巷道排水改善工程" xfId="4249" xr:uid="{00000000-0005-0000-0000-00006C0E0000}"/>
    <cellStyle name="_預算書-修改_數量表1023(第二期)_普令厝農地重劃區西33路農水路改善工程_後溝子一農地重劃區南北八路農路改善工程" xfId="681" xr:uid="{00000000-0005-0000-0000-00006D0E0000}"/>
    <cellStyle name="_預算書-修改_數量表1023(第二期)_普令厝農地重劃區西33路農水路改善工程_後溝子一農地重劃區南北八路農路改善工程 2" xfId="4250" xr:uid="{00000000-0005-0000-0000-00006E0E0000}"/>
    <cellStyle name="_預算書-修改_數量表1023(第二期)_普令厝農地重劃區西33路農水路改善工程_後溝子一農地重劃區南北八路農路改善工程_施工日誌1" xfId="2304" xr:uid="{00000000-0005-0000-0000-00006F0E0000}"/>
    <cellStyle name="_預算書-修改_數量表1023(第二期)_普令厝農地重劃區西33路農水路改善工程_施工日誌1" xfId="2302" xr:uid="{00000000-0005-0000-0000-0000700E0000}"/>
    <cellStyle name="_預算書-修改_數量表1023(第二期)_普令厝農地重劃區西33路農水路改善工程_崙背鄉雨水下水道清淤疏浚維護工程" xfId="682" xr:uid="{00000000-0005-0000-0000-0000710E0000}"/>
    <cellStyle name="_預算書-修改_數量表1023(第二期)_普令厝農地重劃區西33路農水路改善工程_崙背鄉雨水下水道清淤疏浚維護工程 2" xfId="4251" xr:uid="{00000000-0005-0000-0000-0000720E0000}"/>
    <cellStyle name="_預算書-修改_數量表1023(第二期)_普令厝農地重劃區西33路農水路改善工程_崙背鄉雨水下水道清淤疏浚維護工程_施工日誌1" xfId="2305" xr:uid="{00000000-0005-0000-0000-0000730E0000}"/>
    <cellStyle name="_預算書-修改_數量表1023(第二期)_普令厝農地重劃區西33路農水路改善工程_鹿寮農地重劃區補路農路改善工程等七件工程" xfId="683" xr:uid="{00000000-0005-0000-0000-0000740E0000}"/>
    <cellStyle name="_預算書-修改_數量表1023(第二期)_普令厝農地重劃區西33路農水路改善工程_鹿寮農地重劃區補路農路改善工程等七件工程 2" xfId="4252" xr:uid="{00000000-0005-0000-0000-0000750E0000}"/>
    <cellStyle name="_預算書-修改_數量表1023(第二期)_普令厝農地重劃區西33路農水路改善工程_鹿寮農地重劃區補路農路改善工程等七件工程_施工日誌1" xfId="2306" xr:uid="{00000000-0005-0000-0000-0000760E0000}"/>
    <cellStyle name="_預算書-修改_數量表1023(第二期)_普令厝農地重劃區西33路農水路改善工程_普令厝農地重劃區西33路農水路改善工程" xfId="684" xr:uid="{00000000-0005-0000-0000-0000770E0000}"/>
    <cellStyle name="_預算書-修改_數量表1023(第二期)_普令厝農地重劃區西33路農水路改善工程_普令厝農地重劃區西33路農水路改善工程 2" xfId="4253" xr:uid="{00000000-0005-0000-0000-0000780E0000}"/>
    <cellStyle name="_預算書-修改_數量表1023(第二期)_普令厝農地重劃區西33路農水路改善工程_普令厝農地重劃區西33路農水路改善工程_施工日誌1" xfId="2307" xr:uid="{00000000-0005-0000-0000-0000790E0000}"/>
    <cellStyle name="_預算書-修改_數量表1023(第二期)_普令厝農地重劃區西33路農水路改善工程_雲林縣崙背鄉雨水下水道清淤工程" xfId="685" xr:uid="{00000000-0005-0000-0000-00007A0E0000}"/>
    <cellStyle name="_預算書-修改_數量表1023(第二期)_普令厝農地重劃區西33路農水路改善工程_雲林縣崙背鄉雨水下水道清淤工程 2" xfId="4254" xr:uid="{00000000-0005-0000-0000-00007B0E0000}"/>
    <cellStyle name="_預算書-修改_數量表1023(第二期)_普令厝農地重劃區西33路農水路改善工程_雲林縣崙背鄉雨水下水道清淤工程_施工日誌1" xfId="2308" xr:uid="{00000000-0005-0000-0000-00007C0E0000}"/>
    <cellStyle name="_預算書-修改_數量表1023(第二期)_普令厝農地重劃區西33路農水路改善工程_雲林縣臺西鄉A9～A9-3雨水下水道建設工程" xfId="4255" xr:uid="{00000000-0005-0000-0000-00007D0E0000}"/>
    <cellStyle name="_預算書-修改_數量表1023(第二期)_普令厝農地重劃區西33路農水路改善工程_臺西鄉(凡那比颱風)鄉內道路排水災害復建工程" xfId="686" xr:uid="{00000000-0005-0000-0000-00007E0E0000}"/>
    <cellStyle name="_預算書-修改_數量表1023(第二期)_普令厝農地重劃區西33路農水路改善工程_臺西鄉(凡那比颱風)鄉內道路排水災害復建工程 2" xfId="4256" xr:uid="{00000000-0005-0000-0000-00007F0E0000}"/>
    <cellStyle name="_預算書-修改_數量表1023(第二期)_普令厝農地重劃區西33路農水路改善工程_臺西鄉(凡那比颱風)鄉內道路排水災害復建工程_施工日誌1" xfId="2309" xr:uid="{00000000-0005-0000-0000-0000800E0000}"/>
    <cellStyle name="_預算書-修改_數量表1023(第二期)_普令厝農地重劃區西33路農水路改善工程_臺西鄉蚊港村蚊港巷道改善工程" xfId="4257" xr:uid="{00000000-0005-0000-0000-0000810E0000}"/>
    <cellStyle name="_預算書-修改_數量表1023(第二期)_普令厝農地重劃區西33路農水路改善工程_臺西鄉普令厝重劃區西8路等道路排水改善工程(確定案)" xfId="687" xr:uid="{00000000-0005-0000-0000-0000820E0000}"/>
    <cellStyle name="_預算書-修改_數量表1023(第二期)_普令厝農地重劃區西33路農水路改善工程_臺西鄉普令厝重劃區西8路等道路排水改善工程(確定案) 2" xfId="4258" xr:uid="{00000000-0005-0000-0000-0000830E0000}"/>
    <cellStyle name="_預算書-修改_數量表1023(第二期)_普令厝農地重劃區西33路農水路改善工程_臺西鄉普令厝重劃區西8路等道路排水改善工程(確定案)_施工日誌1" xfId="2310" xr:uid="{00000000-0005-0000-0000-0000840E0000}"/>
    <cellStyle name="_預算書-修改_數量表1023(第二期)_普令厝農地重劃區西33路農水路改善工程_臺西鄉臺西公有零售市埸作為多目標使用改善工程" xfId="4259" xr:uid="{00000000-0005-0000-0000-0000850E0000}"/>
    <cellStyle name="_預算書-修改_數量表1023(第二期)_普令厝農地重劃區西33路農水路改善工程_豐榮、草湖等村道路及排水溝改善工程-(變更)2" xfId="4260" xr:uid="{00000000-0005-0000-0000-0000860E0000}"/>
    <cellStyle name="_預算書-修改_變更明細表0302" xfId="688" xr:uid="{00000000-0005-0000-0000-0000870E0000}"/>
    <cellStyle name="_預算書-修改_變更明細表0302 2" xfId="4261" xr:uid="{00000000-0005-0000-0000-0000880E0000}"/>
    <cellStyle name="_預算書-修改_變更明細表0302_施工日誌1" xfId="2311" xr:uid="{00000000-0005-0000-0000-0000890E0000}"/>
    <cellStyle name="_預算書-修改_變更明細表0302_普令厝農地重劃區西33路農水路改善工程" xfId="689" xr:uid="{00000000-0005-0000-0000-00008A0E0000}"/>
    <cellStyle name="_預算書-修改_變更明細表0302_普令厝農地重劃區西33路農水路改善工程 2" xfId="4262" xr:uid="{00000000-0005-0000-0000-00008B0E0000}"/>
    <cellStyle name="_預算書-修改_變更明細表0302_普令厝農地重劃區西33路農水路改善工程_土庫鎮埤腳里道路、排水溝改善工程101.05.18(修正3確定)" xfId="4263" xr:uid="{00000000-0005-0000-0000-00008C0E0000}"/>
    <cellStyle name="_預算書-修改_變更明細表0302_普令厝農地重劃區西33路農水路改善工程_元長鄉長南村巷道排水改善工程" xfId="4264" xr:uid="{00000000-0005-0000-0000-00008D0E0000}"/>
    <cellStyle name="_預算書-修改_變更明細表0302_普令厝農地重劃區西33路農水路改善工程_斗南鎮久安農地重劃區V51路農路路面改善工程" xfId="5279" xr:uid="{00000000-0005-0000-0000-00008E0E0000}"/>
    <cellStyle name="_預算書-修改_變更明細表0302_普令厝農地重劃區西33路農水路改善工程_斗南鎮田頭農地重劃區農路改善工程" xfId="5280" xr:uid="{00000000-0005-0000-0000-00008F0E0000}"/>
    <cellStyle name="_預算書-修改_變更明細表0302_普令厝農地重劃區西33路農水路改善工程_斗南鎮西岐里舊社里等路面改善工程-100.05.18" xfId="4265" xr:uid="{00000000-0005-0000-0000-0000900E0000}"/>
    <cellStyle name="_預算書-修改_變更明細表0302_普令厝農地重劃區西33路農水路改善工程_斗南鎮阿丹里、林子里相關公共設施改善工程100.11.29" xfId="4266" xr:uid="{00000000-0005-0000-0000-0000910E0000}"/>
    <cellStyle name="_預算書-修改_變更明細表0302_普令厝農地重劃區西33路農水路改善工程_斗南鎮將軍里等路面及附屬設施改善工程" xfId="4267" xr:uid="{00000000-0005-0000-0000-0000920E0000}"/>
    <cellStyle name="_預算書-修改_變更明細表0302_普令厝農地重劃區西33路農水路改善工程_古坑鄉大湖底段及麻園段路面改善工程" xfId="4268" xr:uid="{00000000-0005-0000-0000-0000930E0000}"/>
    <cellStyle name="_預算書-修改_變更明細表0302_普令厝農地重劃區西33路農水路改善工程_台西海埔地南4路排水9907豪雨災害復建工程" xfId="4269" xr:uid="{00000000-0005-0000-0000-0000940E0000}"/>
    <cellStyle name="_預算書-修改_變更明細表0302_普令厝農地重劃區西33路農水路改善工程_台西鄉四美重劃區南北幹路4農路復建工程" xfId="690" xr:uid="{00000000-0005-0000-0000-0000950E0000}"/>
    <cellStyle name="_預算書-修改_變更明細表0302_普令厝農地重劃區西33路農水路改善工程_台西鄉四美重劃區南北幹路4農路復建工程 2" xfId="4270" xr:uid="{00000000-0005-0000-0000-0000960E0000}"/>
    <cellStyle name="_預算書-修改_變更明細表0302_普令厝農地重劃區西33路農水路改善工程_台西鄉四美重劃區南北幹路4農路復建工程_施工日誌1" xfId="2313" xr:uid="{00000000-0005-0000-0000-0000970E0000}"/>
    <cellStyle name="_預算書-修改_變更明細表0302_普令厝農地重劃區西33路農水路改善工程_東勢鄉新坤村及麥寮鄉海豐村道路排水改善工程" xfId="5281" xr:uid="{00000000-0005-0000-0000-0000980E0000}"/>
    <cellStyle name="_預算書-修改_變更明細表0302_普令厝農地重劃區西33路農水路改善工程_林縣臺西鄉A10~A12雨水下水道建設工程(增減明細)" xfId="4271" xr:uid="{00000000-0005-0000-0000-0000990E0000}"/>
    <cellStyle name="_預算書-修改_變更明細表0302_普令厝農地重劃區西33路農水路改善工程_虎尾鎮新吉里竹圍子農村社區生態魚池暨運動公園道路與排水改善工程(預算書)" xfId="4272" xr:uid="{00000000-0005-0000-0000-00009A0E0000}"/>
    <cellStyle name="_預算書-修改_變更明細表0302_普令厝農地重劃區西33路農水路改善工程_虎尾鎮新吉里竹圍子農村社區生態魚池暨運動公園道路與排水改善工程(確定)" xfId="5282" xr:uid="{00000000-0005-0000-0000-00009B0E0000}"/>
    <cellStyle name="_預算書-修改_變更明細表0302_普令厝農地重劃區西33路農水路改善工程_長北村等巷道排水改善工程" xfId="4273" xr:uid="{00000000-0005-0000-0000-00009C0E0000}"/>
    <cellStyle name="_預算書-修改_變更明細表0302_普令厝農地重劃區西33路農水路改善工程_後溝子一農地重劃區南北八路農路改善工程" xfId="691" xr:uid="{00000000-0005-0000-0000-00009D0E0000}"/>
    <cellStyle name="_預算書-修改_變更明細表0302_普令厝農地重劃區西33路農水路改善工程_後溝子一農地重劃區南北八路農路改善工程 2" xfId="4274" xr:uid="{00000000-0005-0000-0000-00009E0E0000}"/>
    <cellStyle name="_預算書-修改_變更明細表0302_普令厝農地重劃區西33路農水路改善工程_後溝子一農地重劃區南北八路農路改善工程_施工日誌1" xfId="2314" xr:uid="{00000000-0005-0000-0000-00009F0E0000}"/>
    <cellStyle name="_預算書-修改_變更明細表0302_普令厝農地重劃區西33路農水路改善工程_施工日誌1" xfId="2312" xr:uid="{00000000-0005-0000-0000-0000A00E0000}"/>
    <cellStyle name="_預算書-修改_變更明細表0302_普令厝農地重劃區西33路農水路改善工程_崙背鄉雨水下水道清淤疏浚維護工程" xfId="692" xr:uid="{00000000-0005-0000-0000-0000A10E0000}"/>
    <cellStyle name="_預算書-修改_變更明細表0302_普令厝農地重劃區西33路農水路改善工程_崙背鄉雨水下水道清淤疏浚維護工程 2" xfId="4275" xr:uid="{00000000-0005-0000-0000-0000A20E0000}"/>
    <cellStyle name="_預算書-修改_變更明細表0302_普令厝農地重劃區西33路農水路改善工程_崙背鄉雨水下水道清淤疏浚維護工程_施工日誌1" xfId="2315" xr:uid="{00000000-0005-0000-0000-0000A30E0000}"/>
    <cellStyle name="_預算書-修改_變更明細表0302_普令厝農地重劃區西33路農水路改善工程_鹿寮農地重劃區補路農路改善工程等七件工程" xfId="693" xr:uid="{00000000-0005-0000-0000-0000A40E0000}"/>
    <cellStyle name="_預算書-修改_變更明細表0302_普令厝農地重劃區西33路農水路改善工程_鹿寮農地重劃區補路農路改善工程等七件工程 2" xfId="4276" xr:uid="{00000000-0005-0000-0000-0000A50E0000}"/>
    <cellStyle name="_預算書-修改_變更明細表0302_普令厝農地重劃區西33路農水路改善工程_鹿寮農地重劃區補路農路改善工程等七件工程_施工日誌1" xfId="2316" xr:uid="{00000000-0005-0000-0000-0000A60E0000}"/>
    <cellStyle name="_預算書-修改_變更明細表0302_普令厝農地重劃區西33路農水路改善工程_普令厝農地重劃區西33路農水路改善工程" xfId="694" xr:uid="{00000000-0005-0000-0000-0000A70E0000}"/>
    <cellStyle name="_預算書-修改_變更明細表0302_普令厝農地重劃區西33路農水路改善工程_普令厝農地重劃區西33路農水路改善工程 2" xfId="4277" xr:uid="{00000000-0005-0000-0000-0000A80E0000}"/>
    <cellStyle name="_預算書-修改_變更明細表0302_普令厝農地重劃區西33路農水路改善工程_普令厝農地重劃區西33路農水路改善工程_施工日誌1" xfId="2317" xr:uid="{00000000-0005-0000-0000-0000A90E0000}"/>
    <cellStyle name="_預算書-修改_變更明細表0302_普令厝農地重劃區西33路農水路改善工程_雲林縣崙背鄉雨水下水道清淤工程" xfId="695" xr:uid="{00000000-0005-0000-0000-0000AA0E0000}"/>
    <cellStyle name="_預算書-修改_變更明細表0302_普令厝農地重劃區西33路農水路改善工程_雲林縣崙背鄉雨水下水道清淤工程 2" xfId="4278" xr:uid="{00000000-0005-0000-0000-0000AB0E0000}"/>
    <cellStyle name="_預算書-修改_變更明細表0302_普令厝農地重劃區西33路農水路改善工程_雲林縣崙背鄉雨水下水道清淤工程_施工日誌1" xfId="2318" xr:uid="{00000000-0005-0000-0000-0000AC0E0000}"/>
    <cellStyle name="_預算書-修改_變更明細表0302_普令厝農地重劃區西33路農水路改善工程_雲林縣臺西鄉A9～A9-3雨水下水道建設工程" xfId="4279" xr:uid="{00000000-0005-0000-0000-0000AD0E0000}"/>
    <cellStyle name="_預算書-修改_變更明細表0302_普令厝農地重劃區西33路農水路改善工程_臺西鄉(凡那比颱風)鄉內道路排水災害復建工程" xfId="696" xr:uid="{00000000-0005-0000-0000-0000AE0E0000}"/>
    <cellStyle name="_預算書-修改_變更明細表0302_普令厝農地重劃區西33路農水路改善工程_臺西鄉(凡那比颱風)鄉內道路排水災害復建工程 2" xfId="4280" xr:uid="{00000000-0005-0000-0000-0000AF0E0000}"/>
    <cellStyle name="_預算書-修改_變更明細表0302_普令厝農地重劃區西33路農水路改善工程_臺西鄉(凡那比颱風)鄉內道路排水災害復建工程_施工日誌1" xfId="2319" xr:uid="{00000000-0005-0000-0000-0000B00E0000}"/>
    <cellStyle name="_預算書-修改_變更明細表0302_普令厝農地重劃區西33路農水路改善工程_臺西鄉蚊港村蚊港巷道改善工程" xfId="4281" xr:uid="{00000000-0005-0000-0000-0000B10E0000}"/>
    <cellStyle name="_預算書-修改_變更明細表0302_普令厝農地重劃區西33路農水路改善工程_臺西鄉普令厝重劃區西8路等道路排水改善工程(確定案)" xfId="697" xr:uid="{00000000-0005-0000-0000-0000B20E0000}"/>
    <cellStyle name="_預算書-修改_變更明細表0302_普令厝農地重劃區西33路農水路改善工程_臺西鄉普令厝重劃區西8路等道路排水改善工程(確定案) 2" xfId="4282" xr:uid="{00000000-0005-0000-0000-0000B30E0000}"/>
    <cellStyle name="_預算書-修改_變更明細表0302_普令厝農地重劃區西33路農水路改善工程_臺西鄉普令厝重劃區西8路等道路排水改善工程(確定案)_施工日誌1" xfId="2320" xr:uid="{00000000-0005-0000-0000-0000B40E0000}"/>
    <cellStyle name="_預算書-修改_變更明細表0302_普令厝農地重劃區西33路農水路改善工程_臺西鄉臺西公有零售市埸作為多目標使用改善工程" xfId="4283" xr:uid="{00000000-0005-0000-0000-0000B50E0000}"/>
    <cellStyle name="_預算書-修改_變更明細表0302_普令厝農地重劃區西33路農水路改善工程_豐榮、草湖等村道路及排水溝改善工程-(變更)2" xfId="4284" xr:uid="{00000000-0005-0000-0000-0000B60E0000}"/>
    <cellStyle name="_預算書-修改_變更明細表0729" xfId="698" xr:uid="{00000000-0005-0000-0000-0000B70E0000}"/>
    <cellStyle name="_預算書-修改_變更明細表0729 2" xfId="4285" xr:uid="{00000000-0005-0000-0000-0000B80E0000}"/>
    <cellStyle name="_預算書-修改_變更明細表0729_施工日誌1" xfId="2321" xr:uid="{00000000-0005-0000-0000-0000B90E0000}"/>
    <cellStyle name="_預算書-修改_變更明細表0729_普令厝農地重劃區西33路農水路改善工程" xfId="699" xr:uid="{00000000-0005-0000-0000-0000BA0E0000}"/>
    <cellStyle name="_預算書-修改_變更明細表0729_普令厝農地重劃區西33路農水路改善工程 2" xfId="4286" xr:uid="{00000000-0005-0000-0000-0000BB0E0000}"/>
    <cellStyle name="_預算書-修改_變更明細表0729_普令厝農地重劃區西33路農水路改善工程_土庫鎮埤腳里道路、排水溝改善工程101.05.18(修正3確定)" xfId="4287" xr:uid="{00000000-0005-0000-0000-0000BC0E0000}"/>
    <cellStyle name="_預算書-修改_變更明細表0729_普令厝農地重劃區西33路農水路改善工程_元長鄉長南村巷道排水改善工程" xfId="4288" xr:uid="{00000000-0005-0000-0000-0000BD0E0000}"/>
    <cellStyle name="_預算書-修改_變更明細表0729_普令厝農地重劃區西33路農水路改善工程_斗南鎮久安農地重劃區V51路農路路面改善工程" xfId="5283" xr:uid="{00000000-0005-0000-0000-0000BE0E0000}"/>
    <cellStyle name="_預算書-修改_變更明細表0729_普令厝農地重劃區西33路農水路改善工程_斗南鎮田頭農地重劃區農路改善工程" xfId="5284" xr:uid="{00000000-0005-0000-0000-0000BF0E0000}"/>
    <cellStyle name="_預算書-修改_變更明細表0729_普令厝農地重劃區西33路農水路改善工程_斗南鎮西岐里舊社里等路面改善工程-100.05.18" xfId="4289" xr:uid="{00000000-0005-0000-0000-0000C00E0000}"/>
    <cellStyle name="_預算書-修改_變更明細表0729_普令厝農地重劃區西33路農水路改善工程_斗南鎮阿丹里、林子里相關公共設施改善工程100.11.29" xfId="4290" xr:uid="{00000000-0005-0000-0000-0000C10E0000}"/>
    <cellStyle name="_預算書-修改_變更明細表0729_普令厝農地重劃區西33路農水路改善工程_斗南鎮將軍里等路面及附屬設施改善工程" xfId="4291" xr:uid="{00000000-0005-0000-0000-0000C20E0000}"/>
    <cellStyle name="_預算書-修改_變更明細表0729_普令厝農地重劃區西33路農水路改善工程_古坑鄉大湖底段及麻園段路面改善工程" xfId="4292" xr:uid="{00000000-0005-0000-0000-0000C30E0000}"/>
    <cellStyle name="_預算書-修改_變更明細表0729_普令厝農地重劃區西33路農水路改善工程_台西海埔地南4路排水9907豪雨災害復建工程" xfId="4293" xr:uid="{00000000-0005-0000-0000-0000C40E0000}"/>
    <cellStyle name="_預算書-修改_變更明細表0729_普令厝農地重劃區西33路農水路改善工程_台西鄉四美重劃區南北幹路4農路復建工程" xfId="700" xr:uid="{00000000-0005-0000-0000-0000C50E0000}"/>
    <cellStyle name="_預算書-修改_變更明細表0729_普令厝農地重劃區西33路農水路改善工程_台西鄉四美重劃區南北幹路4農路復建工程 2" xfId="4294" xr:uid="{00000000-0005-0000-0000-0000C60E0000}"/>
    <cellStyle name="_預算書-修改_變更明細表0729_普令厝農地重劃區西33路農水路改善工程_台西鄉四美重劃區南北幹路4農路復建工程_施工日誌1" xfId="2323" xr:uid="{00000000-0005-0000-0000-0000C70E0000}"/>
    <cellStyle name="_預算書-修改_變更明細表0729_普令厝農地重劃區西33路農水路改善工程_東勢鄉新坤村及麥寮鄉海豐村道路排水改善工程" xfId="5285" xr:uid="{00000000-0005-0000-0000-0000C80E0000}"/>
    <cellStyle name="_預算書-修改_變更明細表0729_普令厝農地重劃區西33路農水路改善工程_林縣臺西鄉A10~A12雨水下水道建設工程(增減明細)" xfId="4295" xr:uid="{00000000-0005-0000-0000-0000C90E0000}"/>
    <cellStyle name="_預算書-修改_變更明細表0729_普令厝農地重劃區西33路農水路改善工程_虎尾鎮新吉里竹圍子農村社區生態魚池暨運動公園道路與排水改善工程(預算書)" xfId="4296" xr:uid="{00000000-0005-0000-0000-0000CA0E0000}"/>
    <cellStyle name="_預算書-修改_變更明細表0729_普令厝農地重劃區西33路農水路改善工程_虎尾鎮新吉里竹圍子農村社區生態魚池暨運動公園道路與排水改善工程(確定)" xfId="5286" xr:uid="{00000000-0005-0000-0000-0000CB0E0000}"/>
    <cellStyle name="_預算書-修改_變更明細表0729_普令厝農地重劃區西33路農水路改善工程_長北村等巷道排水改善工程" xfId="4297" xr:uid="{00000000-0005-0000-0000-0000CC0E0000}"/>
    <cellStyle name="_預算書-修改_變更明細表0729_普令厝農地重劃區西33路農水路改善工程_後溝子一農地重劃區南北八路農路改善工程" xfId="701" xr:uid="{00000000-0005-0000-0000-0000CD0E0000}"/>
    <cellStyle name="_預算書-修改_變更明細表0729_普令厝農地重劃區西33路農水路改善工程_後溝子一農地重劃區南北八路農路改善工程 2" xfId="4298" xr:uid="{00000000-0005-0000-0000-0000CE0E0000}"/>
    <cellStyle name="_預算書-修改_變更明細表0729_普令厝農地重劃區西33路農水路改善工程_後溝子一農地重劃區南北八路農路改善工程_施工日誌1" xfId="2324" xr:uid="{00000000-0005-0000-0000-0000CF0E0000}"/>
    <cellStyle name="_預算書-修改_變更明細表0729_普令厝農地重劃區西33路農水路改善工程_施工日誌1" xfId="2322" xr:uid="{00000000-0005-0000-0000-0000D00E0000}"/>
    <cellStyle name="_預算書-修改_變更明細表0729_普令厝農地重劃區西33路農水路改善工程_崙背鄉雨水下水道清淤疏浚維護工程" xfId="702" xr:uid="{00000000-0005-0000-0000-0000D10E0000}"/>
    <cellStyle name="_預算書-修改_變更明細表0729_普令厝農地重劃區西33路農水路改善工程_崙背鄉雨水下水道清淤疏浚維護工程 2" xfId="4299" xr:uid="{00000000-0005-0000-0000-0000D20E0000}"/>
    <cellStyle name="_預算書-修改_變更明細表0729_普令厝農地重劃區西33路農水路改善工程_崙背鄉雨水下水道清淤疏浚維護工程_施工日誌1" xfId="2325" xr:uid="{00000000-0005-0000-0000-0000D30E0000}"/>
    <cellStyle name="_預算書-修改_變更明細表0729_普令厝農地重劃區西33路農水路改善工程_鹿寮農地重劃區補路農路改善工程等七件工程" xfId="703" xr:uid="{00000000-0005-0000-0000-0000D40E0000}"/>
    <cellStyle name="_預算書-修改_變更明細表0729_普令厝農地重劃區西33路農水路改善工程_鹿寮農地重劃區補路農路改善工程等七件工程 2" xfId="4300" xr:uid="{00000000-0005-0000-0000-0000D50E0000}"/>
    <cellStyle name="_預算書-修改_變更明細表0729_普令厝農地重劃區西33路農水路改善工程_鹿寮農地重劃區補路農路改善工程等七件工程_施工日誌1" xfId="2326" xr:uid="{00000000-0005-0000-0000-0000D60E0000}"/>
    <cellStyle name="_預算書-修改_變更明細表0729_普令厝農地重劃區西33路農水路改善工程_普令厝農地重劃區西33路農水路改善工程" xfId="704" xr:uid="{00000000-0005-0000-0000-0000D70E0000}"/>
    <cellStyle name="_預算書-修改_變更明細表0729_普令厝農地重劃區西33路農水路改善工程_普令厝農地重劃區西33路農水路改善工程 2" xfId="4301" xr:uid="{00000000-0005-0000-0000-0000D80E0000}"/>
    <cellStyle name="_預算書-修改_變更明細表0729_普令厝農地重劃區西33路農水路改善工程_普令厝農地重劃區西33路農水路改善工程_施工日誌1" xfId="2327" xr:uid="{00000000-0005-0000-0000-0000D90E0000}"/>
    <cellStyle name="_預算書-修改_變更明細表0729_普令厝農地重劃區西33路農水路改善工程_雲林縣崙背鄉雨水下水道清淤工程" xfId="705" xr:uid="{00000000-0005-0000-0000-0000DA0E0000}"/>
    <cellStyle name="_預算書-修改_變更明細表0729_普令厝農地重劃區西33路農水路改善工程_雲林縣崙背鄉雨水下水道清淤工程 2" xfId="4302" xr:uid="{00000000-0005-0000-0000-0000DB0E0000}"/>
    <cellStyle name="_預算書-修改_變更明細表0729_普令厝農地重劃區西33路農水路改善工程_雲林縣崙背鄉雨水下水道清淤工程_施工日誌1" xfId="2328" xr:uid="{00000000-0005-0000-0000-0000DC0E0000}"/>
    <cellStyle name="_預算書-修改_變更明細表0729_普令厝農地重劃區西33路農水路改善工程_雲林縣臺西鄉A9～A9-3雨水下水道建設工程" xfId="4303" xr:uid="{00000000-0005-0000-0000-0000DD0E0000}"/>
    <cellStyle name="_預算書-修改_變更明細表0729_普令厝農地重劃區西33路農水路改善工程_臺西鄉(凡那比颱風)鄉內道路排水災害復建工程" xfId="706" xr:uid="{00000000-0005-0000-0000-0000DE0E0000}"/>
    <cellStyle name="_預算書-修改_變更明細表0729_普令厝農地重劃區西33路農水路改善工程_臺西鄉(凡那比颱風)鄉內道路排水災害復建工程 2" xfId="4304" xr:uid="{00000000-0005-0000-0000-0000DF0E0000}"/>
    <cellStyle name="_預算書-修改_變更明細表0729_普令厝農地重劃區西33路農水路改善工程_臺西鄉(凡那比颱風)鄉內道路排水災害復建工程_施工日誌1" xfId="2329" xr:uid="{00000000-0005-0000-0000-0000E00E0000}"/>
    <cellStyle name="_預算書-修改_變更明細表0729_普令厝農地重劃區西33路農水路改善工程_臺西鄉蚊港村蚊港巷道改善工程" xfId="4305" xr:uid="{00000000-0005-0000-0000-0000E10E0000}"/>
    <cellStyle name="_預算書-修改_變更明細表0729_普令厝農地重劃區西33路農水路改善工程_臺西鄉普令厝重劃區西8路等道路排水改善工程(確定案)" xfId="707" xr:uid="{00000000-0005-0000-0000-0000E20E0000}"/>
    <cellStyle name="_預算書-修改_變更明細表0729_普令厝農地重劃區西33路農水路改善工程_臺西鄉普令厝重劃區西8路等道路排水改善工程(確定案) 2" xfId="4306" xr:uid="{00000000-0005-0000-0000-0000E30E0000}"/>
    <cellStyle name="_預算書-修改_變更明細表0729_普令厝農地重劃區西33路農水路改善工程_臺西鄉普令厝重劃區西8路等道路排水改善工程(確定案)_施工日誌1" xfId="2330" xr:uid="{00000000-0005-0000-0000-0000E40E0000}"/>
    <cellStyle name="_預算書-修改_變更明細表0729_普令厝農地重劃區西33路農水路改善工程_臺西鄉臺西公有零售市埸作為多目標使用改善工程" xfId="4307" xr:uid="{00000000-0005-0000-0000-0000E50E0000}"/>
    <cellStyle name="_預算書-修改_變更明細表0729_普令厝農地重劃區西33路農水路改善工程_豐榮、草湖等村道路及排水溝改善工程-(變更)2" xfId="4308" xr:uid="{00000000-0005-0000-0000-0000E60E0000}"/>
    <cellStyle name="_預變更算書05-23" xfId="708" xr:uid="{00000000-0005-0000-0000-0000E70E0000}"/>
    <cellStyle name="_預變更算書05-23_施工日誌1" xfId="2331" xr:uid="{00000000-0005-0000-0000-0000E80E0000}"/>
    <cellStyle name="_漁池與石(1)" xfId="1587" xr:uid="{00000000-0005-0000-0000-0000E90E0000}"/>
    <cellStyle name="_漁池與石(1) 2" xfId="4309" xr:uid="{00000000-0005-0000-0000-0000EA0E0000}"/>
    <cellStyle name="_漁池與石(1)_水洽" xfId="1588" xr:uid="{00000000-0005-0000-0000-0000EB0E0000}"/>
    <cellStyle name="_漁池與石(1)_水洽 2" xfId="4310" xr:uid="{00000000-0005-0000-0000-0000EC0E0000}"/>
    <cellStyle name="_漁池與石(1)_水洽_空.材抽" xfId="1589" xr:uid="{00000000-0005-0000-0000-0000ED0E0000}"/>
    <cellStyle name="_漁池與石(1)_水洽_空.材抽 2" xfId="4311" xr:uid="{00000000-0005-0000-0000-0000EE0E0000}"/>
    <cellStyle name="_漁池與石(1)_水洽_華山地區農路聯絡道附屬改善工程196000" xfId="1590" xr:uid="{00000000-0005-0000-0000-0000EF0E0000}"/>
    <cellStyle name="_漁池與石(1)_水洽_華山地區農路聯絡道附屬改善工程196000 2" xfId="4312" xr:uid="{00000000-0005-0000-0000-0000F00E0000}"/>
    <cellStyle name="_漁池與石(1)_水洽_華山地區農路聯絡道附屬改善工程196000_空.材抽" xfId="1591" xr:uid="{00000000-0005-0000-0000-0000F10E0000}"/>
    <cellStyle name="_漁池與石(1)_水洽_華山地區農路聯絡道附屬改善工程196000_空.材抽 2" xfId="4313" xr:uid="{00000000-0005-0000-0000-0000F20E0000}"/>
    <cellStyle name="_漁池與石(1)_田心" xfId="1592" xr:uid="{00000000-0005-0000-0000-0000F30E0000}"/>
    <cellStyle name="_漁池與石(1)_田心 2" xfId="4314" xr:uid="{00000000-0005-0000-0000-0000F40E0000}"/>
    <cellStyle name="_漁池與石(1)_田心_空.材抽" xfId="1593" xr:uid="{00000000-0005-0000-0000-0000F50E0000}"/>
    <cellStyle name="_漁池與石(1)_田心_空.材抽 2" xfId="4315" xr:uid="{00000000-0005-0000-0000-0000F60E0000}"/>
    <cellStyle name="_漁池與石(1)_田心_華山地區農路聯絡道附屬改善工程196000" xfId="1594" xr:uid="{00000000-0005-0000-0000-0000F70E0000}"/>
    <cellStyle name="_漁池與石(1)_田心_華山地區農路聯絡道附屬改善工程196000 2" xfId="4316" xr:uid="{00000000-0005-0000-0000-0000F80E0000}"/>
    <cellStyle name="_漁池與石(1)_田心_華山地區農路聯絡道附屬改善工程196000_空.材抽" xfId="1595" xr:uid="{00000000-0005-0000-0000-0000F90E0000}"/>
    <cellStyle name="_漁池與石(1)_田心_華山地區農路聯絡道附屬改善工程196000_空.材抽 2" xfId="4317" xr:uid="{00000000-0005-0000-0000-0000FA0E0000}"/>
    <cellStyle name="_漁池與石(1)_白蟻" xfId="1596" xr:uid="{00000000-0005-0000-0000-0000FB0E0000}"/>
    <cellStyle name="_漁池與石(1)_白蟻 2" xfId="4318" xr:uid="{00000000-0005-0000-0000-0000FC0E0000}"/>
    <cellStyle name="_漁池與石(1)_白蟻_空.材抽" xfId="1597" xr:uid="{00000000-0005-0000-0000-0000FD0E0000}"/>
    <cellStyle name="_漁池與石(1)_白蟻_空.材抽 2" xfId="4319" xr:uid="{00000000-0005-0000-0000-0000FE0E0000}"/>
    <cellStyle name="_漁池與石(1)_白蟻_華山地區農路聯絡道附屬改善工程196000" xfId="1598" xr:uid="{00000000-0005-0000-0000-0000FF0E0000}"/>
    <cellStyle name="_漁池與石(1)_白蟻_華山地區農路聯絡道附屬改善工程196000 2" xfId="4320" xr:uid="{00000000-0005-0000-0000-0000000F0000}"/>
    <cellStyle name="_漁池與石(1)_白蟻_華山地區農路聯絡道附屬改善工程196000_空.材抽" xfId="1599" xr:uid="{00000000-0005-0000-0000-0000010F0000}"/>
    <cellStyle name="_漁池與石(1)_白蟻_華山地區農路聯絡道附屬改善工程196000_空.材抽 2" xfId="4321" xr:uid="{00000000-0005-0000-0000-0000020F0000}"/>
    <cellStyle name="_漁池與石(1)_空.材抽" xfId="1600" xr:uid="{00000000-0005-0000-0000-0000030F0000}"/>
    <cellStyle name="_漁池與石(1)_空.材抽 2" xfId="4322" xr:uid="{00000000-0005-0000-0000-0000040F0000}"/>
    <cellStyle name="_漁池與石(1)_修正 -草嶺村外湖部落排水工程" xfId="1601" xr:uid="{00000000-0005-0000-0000-0000050F0000}"/>
    <cellStyle name="_漁池與石(1)_修正 -草嶺村外湖部落排水工程 2" xfId="4323" xr:uid="{00000000-0005-0000-0000-0000060F0000}"/>
    <cellStyle name="_漁池與石(1)_修正 -草嶺村外湖部落排水工程_空.材抽" xfId="1602" xr:uid="{00000000-0005-0000-0000-0000070F0000}"/>
    <cellStyle name="_漁池與石(1)_修正 -草嶺村外湖部落排水工程_空.材抽 2" xfId="4324" xr:uid="{00000000-0005-0000-0000-0000080F0000}"/>
    <cellStyle name="_漁池與石(1)_修正 -草嶺村外湖部落排水工程_華山地區農路聯絡道附屬改善工程196000" xfId="1603" xr:uid="{00000000-0005-0000-0000-0000090F0000}"/>
    <cellStyle name="_漁池與石(1)_修正 -草嶺村外湖部落排水工程_華山地區農路聯絡道附屬改善工程196000 2" xfId="4325" xr:uid="{00000000-0005-0000-0000-00000A0F0000}"/>
    <cellStyle name="_漁池與石(1)_修正 -草嶺村外湖部落排水工程_華山地區農路聯絡道附屬改善工程196000_空.材抽" xfId="1604" xr:uid="{00000000-0005-0000-0000-00000B0F0000}"/>
    <cellStyle name="_漁池與石(1)_修正 -草嶺村外湖部落排水工程_華山地區農路聯絡道附屬改善工程196000_空.材抽 2" xfId="4326" xr:uid="{00000000-0005-0000-0000-00000C0F0000}"/>
    <cellStyle name="_漁池與石(1)_猴洞" xfId="1605" xr:uid="{00000000-0005-0000-0000-00000D0F0000}"/>
    <cellStyle name="_漁池與石(1)_猴洞 2" xfId="4327" xr:uid="{00000000-0005-0000-0000-00000E0F0000}"/>
    <cellStyle name="_漁池與石(1)_猴洞_空.材抽" xfId="1606" xr:uid="{00000000-0005-0000-0000-00000F0F0000}"/>
    <cellStyle name="_漁池與石(1)_猴洞_空.材抽 2" xfId="4328" xr:uid="{00000000-0005-0000-0000-0000100F0000}"/>
    <cellStyle name="_漁池與石(1)_猴洞_華山地區農路聯絡道附屬改善工程196000" xfId="1607" xr:uid="{00000000-0005-0000-0000-0000110F0000}"/>
    <cellStyle name="_漁池與石(1)_猴洞_華山地區農路聯絡道附屬改善工程196000 2" xfId="4329" xr:uid="{00000000-0005-0000-0000-0000120F0000}"/>
    <cellStyle name="_漁池與石(1)_猴洞_華山地區農路聯絡道附屬改善工程196000_空.材抽" xfId="1608" xr:uid="{00000000-0005-0000-0000-0000130F0000}"/>
    <cellStyle name="_漁池與石(1)_猴洞_華山地區農路聯絡道附屬改善工程196000_空.材抽 2" xfId="4330" xr:uid="{00000000-0005-0000-0000-0000140F0000}"/>
    <cellStyle name="_漁池與石(1)_華山地區農路聯絡道附屬改善工程196000" xfId="1609" xr:uid="{00000000-0005-0000-0000-0000150F0000}"/>
    <cellStyle name="_漁池與石(1)_華山地區農路聯絡道附屬改善工程196000 2" xfId="4331" xr:uid="{00000000-0005-0000-0000-0000160F0000}"/>
    <cellStyle name="_漁池與石(1)_華山地區農路聯絡道附屬改善工程196000_空.材抽" xfId="1610" xr:uid="{00000000-0005-0000-0000-0000170F0000}"/>
    <cellStyle name="_漁池與石(1)_華山地區農路聯絡道附屬改善工程196000_空.材抽 2" xfId="4332" xr:uid="{00000000-0005-0000-0000-0000180F0000}"/>
    <cellStyle name="_漁池與石(1)_新厝" xfId="1611" xr:uid="{00000000-0005-0000-0000-0000190F0000}"/>
    <cellStyle name="_漁池與石(1)_新厝 2" xfId="4333" xr:uid="{00000000-0005-0000-0000-00001A0F0000}"/>
    <cellStyle name="_漁池與石(1)_新厝_空.材抽" xfId="1612" xr:uid="{00000000-0005-0000-0000-00001B0F0000}"/>
    <cellStyle name="_漁池與石(1)_新厝_空.材抽 2" xfId="4334" xr:uid="{00000000-0005-0000-0000-00001C0F0000}"/>
    <cellStyle name="_漁池與石(1)_新厝_華山地區農路聯絡道附屬改善工程196000" xfId="1613" xr:uid="{00000000-0005-0000-0000-00001D0F0000}"/>
    <cellStyle name="_漁池與石(1)_新厝_華山地區農路聯絡道附屬改善工程196000 2" xfId="4335" xr:uid="{00000000-0005-0000-0000-00001E0F0000}"/>
    <cellStyle name="_漁池與石(1)_新厝_華山地區農路聯絡道附屬改善工程196000_空.材抽" xfId="1614" xr:uid="{00000000-0005-0000-0000-00001F0F0000}"/>
    <cellStyle name="_漁池與石(1)_新厝_華山地區農路聯絡道附屬改善工程196000_空.材抽 2" xfId="4336" xr:uid="{00000000-0005-0000-0000-0000200F0000}"/>
    <cellStyle name="_漁池與石(1)_漁池與石" xfId="1615" xr:uid="{00000000-0005-0000-0000-0000210F0000}"/>
    <cellStyle name="_漁池與石(1)_漁池與石 2" xfId="4337" xr:uid="{00000000-0005-0000-0000-0000220F0000}"/>
    <cellStyle name="_漁池與石(1)_漁池與石_空.材抽" xfId="1616" xr:uid="{00000000-0005-0000-0000-0000230F0000}"/>
    <cellStyle name="_漁池與石(1)_漁池與石_空.材抽 2" xfId="4338" xr:uid="{00000000-0005-0000-0000-0000240F0000}"/>
    <cellStyle name="_漁池與石(1)_漁池與石_華山地區農路聯絡道附屬改善工程196000" xfId="1617" xr:uid="{00000000-0005-0000-0000-0000250F0000}"/>
    <cellStyle name="_漁池與石(1)_漁池與石_華山地區農路聯絡道附屬改善工程196000 2" xfId="4339" xr:uid="{00000000-0005-0000-0000-0000260F0000}"/>
    <cellStyle name="_漁池與石(1)_漁池與石_華山地區農路聯絡道附屬改善工程196000_空.材抽" xfId="1618" xr:uid="{00000000-0005-0000-0000-0000270F0000}"/>
    <cellStyle name="_漁池與石(1)_漁池與石_華山地區農路聯絡道附屬改善工程196000_空.材抽 2" xfId="4340" xr:uid="{00000000-0005-0000-0000-0000280F0000}"/>
    <cellStyle name="_監工日報95" xfId="709" xr:uid="{00000000-0005-0000-0000-0000290F0000}"/>
    <cellStyle name="_監工日報95_施工日誌1" xfId="2332" xr:uid="{00000000-0005-0000-0000-00002A0F0000}"/>
    <cellStyle name="_監工日報四湖鄉" xfId="710" xr:uid="{00000000-0005-0000-0000-00002B0F0000}"/>
    <cellStyle name="_監工日報四湖鄉_施工日誌1" xfId="2333" xr:uid="{00000000-0005-0000-0000-00002C0F0000}"/>
    <cellStyle name="_監工日報表" xfId="711" xr:uid="{00000000-0005-0000-0000-00002D0F0000}"/>
    <cellStyle name="_監工日報表_施工日誌1" xfId="2334" xr:uid="{00000000-0005-0000-0000-00002E0F0000}"/>
    <cellStyle name="_監工日報表1" xfId="4341" xr:uid="{00000000-0005-0000-0000-00002F0F0000}"/>
    <cellStyle name="_監工日報表6-25" xfId="712" xr:uid="{00000000-0005-0000-0000-0000300F0000}"/>
    <cellStyle name="_監工日報表6-25_施工日誌1" xfId="2335" xr:uid="{00000000-0005-0000-0000-0000310F0000}"/>
    <cellStyle name="_酸菜數量" xfId="1619" xr:uid="{00000000-0005-0000-0000-0000320F0000}"/>
    <cellStyle name="_數量97-10-28" xfId="713" xr:uid="{00000000-0005-0000-0000-0000330F0000}"/>
    <cellStyle name="_數量97-10-28 2" xfId="4342" xr:uid="{00000000-0005-0000-0000-0000340F0000}"/>
    <cellStyle name="_數量97-10-28_施工日誌1" xfId="2336" xr:uid="{00000000-0005-0000-0000-0000350F0000}"/>
    <cellStyle name="_數量97-10-28_普令厝農地重劃區西33路農水路改善工程" xfId="714" xr:uid="{00000000-0005-0000-0000-0000360F0000}"/>
    <cellStyle name="_數量97-10-28_普令厝農地重劃區西33路農水路改善工程 2" xfId="4343" xr:uid="{00000000-0005-0000-0000-0000370F0000}"/>
    <cellStyle name="_數量97-10-28_普令厝農地重劃區西33路農水路改善工程_土庫鎮埤腳里道路、排水溝改善工程101.05.18(修正3確定)" xfId="4344" xr:uid="{00000000-0005-0000-0000-0000380F0000}"/>
    <cellStyle name="_數量97-10-28_普令厝農地重劃區西33路農水路改善工程_元長鄉長南村巷道排水改善工程" xfId="4345" xr:uid="{00000000-0005-0000-0000-0000390F0000}"/>
    <cellStyle name="_數量97-10-28_普令厝農地重劃區西33路農水路改善工程_斗南鎮久安農地重劃區V51路農路路面改善工程" xfId="5287" xr:uid="{00000000-0005-0000-0000-00003A0F0000}"/>
    <cellStyle name="_數量97-10-28_普令厝農地重劃區西33路農水路改善工程_斗南鎮田頭農地重劃區農路改善工程" xfId="5288" xr:uid="{00000000-0005-0000-0000-00003B0F0000}"/>
    <cellStyle name="_數量97-10-28_普令厝農地重劃區西33路農水路改善工程_斗南鎮西岐里舊社里等路面改善工程-100.05.18" xfId="4346" xr:uid="{00000000-0005-0000-0000-00003C0F0000}"/>
    <cellStyle name="_數量97-10-28_普令厝農地重劃區西33路農水路改善工程_斗南鎮阿丹里、林子里相關公共設施改善工程100.11.29" xfId="4347" xr:uid="{00000000-0005-0000-0000-00003D0F0000}"/>
    <cellStyle name="_數量97-10-28_普令厝農地重劃區西33路農水路改善工程_斗南鎮將軍里等路面及附屬設施改善工程" xfId="4348" xr:uid="{00000000-0005-0000-0000-00003E0F0000}"/>
    <cellStyle name="_數量97-10-28_普令厝農地重劃區西33路農水路改善工程_古坑鄉大湖底段及麻園段路面改善工程" xfId="4349" xr:uid="{00000000-0005-0000-0000-00003F0F0000}"/>
    <cellStyle name="_數量97-10-28_普令厝農地重劃區西33路農水路改善工程_台西海埔地南4路排水9907豪雨災害復建工程" xfId="4350" xr:uid="{00000000-0005-0000-0000-0000400F0000}"/>
    <cellStyle name="_數量97-10-28_普令厝農地重劃區西33路農水路改善工程_台西鄉四美重劃區南北幹路4農路復建工程" xfId="715" xr:uid="{00000000-0005-0000-0000-0000410F0000}"/>
    <cellStyle name="_數量97-10-28_普令厝農地重劃區西33路農水路改善工程_台西鄉四美重劃區南北幹路4農路復建工程 2" xfId="4351" xr:uid="{00000000-0005-0000-0000-0000420F0000}"/>
    <cellStyle name="_數量97-10-28_普令厝農地重劃區西33路農水路改善工程_台西鄉四美重劃區南北幹路4農路復建工程_施工日誌1" xfId="2338" xr:uid="{00000000-0005-0000-0000-0000430F0000}"/>
    <cellStyle name="_數量97-10-28_普令厝農地重劃區西33路農水路改善工程_東勢鄉新坤村及麥寮鄉海豐村道路排水改善工程" xfId="5289" xr:uid="{00000000-0005-0000-0000-0000440F0000}"/>
    <cellStyle name="_數量97-10-28_普令厝農地重劃區西33路農水路改善工程_林縣臺西鄉A10~A12雨水下水道建設工程(增減明細)" xfId="4352" xr:uid="{00000000-0005-0000-0000-0000450F0000}"/>
    <cellStyle name="_數量97-10-28_普令厝農地重劃區西33路農水路改善工程_虎尾鎮新吉里竹圍子農村社區生態魚池暨運動公園道路與排水改善工程(預算書)" xfId="4353" xr:uid="{00000000-0005-0000-0000-0000460F0000}"/>
    <cellStyle name="_數量97-10-28_普令厝農地重劃區西33路農水路改善工程_虎尾鎮新吉里竹圍子農村社區生態魚池暨運動公園道路與排水改善工程(確定)" xfId="5290" xr:uid="{00000000-0005-0000-0000-0000470F0000}"/>
    <cellStyle name="_數量97-10-28_普令厝農地重劃區西33路農水路改善工程_長北村等巷道排水改善工程" xfId="4354" xr:uid="{00000000-0005-0000-0000-0000480F0000}"/>
    <cellStyle name="_數量97-10-28_普令厝農地重劃區西33路農水路改善工程_後溝子一農地重劃區南北八路農路改善工程" xfId="716" xr:uid="{00000000-0005-0000-0000-0000490F0000}"/>
    <cellStyle name="_數量97-10-28_普令厝農地重劃區西33路農水路改善工程_後溝子一農地重劃區南北八路農路改善工程 2" xfId="4355" xr:uid="{00000000-0005-0000-0000-00004A0F0000}"/>
    <cellStyle name="_數量97-10-28_普令厝農地重劃區西33路農水路改善工程_後溝子一農地重劃區南北八路農路改善工程_施工日誌1" xfId="2339" xr:uid="{00000000-0005-0000-0000-00004B0F0000}"/>
    <cellStyle name="_數量97-10-28_普令厝農地重劃區西33路農水路改善工程_施工日誌1" xfId="2337" xr:uid="{00000000-0005-0000-0000-00004C0F0000}"/>
    <cellStyle name="_數量97-10-28_普令厝農地重劃區西33路農水路改善工程_崙背鄉雨水下水道清淤疏浚維護工程" xfId="717" xr:uid="{00000000-0005-0000-0000-00004D0F0000}"/>
    <cellStyle name="_數量97-10-28_普令厝農地重劃區西33路農水路改善工程_崙背鄉雨水下水道清淤疏浚維護工程 2" xfId="4356" xr:uid="{00000000-0005-0000-0000-00004E0F0000}"/>
    <cellStyle name="_數量97-10-28_普令厝農地重劃區西33路農水路改善工程_崙背鄉雨水下水道清淤疏浚維護工程_施工日誌1" xfId="2340" xr:uid="{00000000-0005-0000-0000-00004F0F0000}"/>
    <cellStyle name="_數量97-10-28_普令厝農地重劃區西33路農水路改善工程_鹿寮農地重劃區補路農路改善工程等七件工程" xfId="718" xr:uid="{00000000-0005-0000-0000-0000500F0000}"/>
    <cellStyle name="_數量97-10-28_普令厝農地重劃區西33路農水路改善工程_鹿寮農地重劃區補路農路改善工程等七件工程 2" xfId="4357" xr:uid="{00000000-0005-0000-0000-0000510F0000}"/>
    <cellStyle name="_數量97-10-28_普令厝農地重劃區西33路農水路改善工程_鹿寮農地重劃區補路農路改善工程等七件工程_施工日誌1" xfId="2341" xr:uid="{00000000-0005-0000-0000-0000520F0000}"/>
    <cellStyle name="_數量97-10-28_普令厝農地重劃區西33路農水路改善工程_普令厝農地重劃區西33路農水路改善工程" xfId="719" xr:uid="{00000000-0005-0000-0000-0000530F0000}"/>
    <cellStyle name="_數量97-10-28_普令厝農地重劃區西33路農水路改善工程_普令厝農地重劃區西33路農水路改善工程 2" xfId="4358" xr:uid="{00000000-0005-0000-0000-0000540F0000}"/>
    <cellStyle name="_數量97-10-28_普令厝農地重劃區西33路農水路改善工程_普令厝農地重劃區西33路農水路改善工程_施工日誌1" xfId="2342" xr:uid="{00000000-0005-0000-0000-0000550F0000}"/>
    <cellStyle name="_數量97-10-28_普令厝農地重劃區西33路農水路改善工程_雲林縣崙背鄉雨水下水道清淤工程" xfId="720" xr:uid="{00000000-0005-0000-0000-0000560F0000}"/>
    <cellStyle name="_數量97-10-28_普令厝農地重劃區西33路農水路改善工程_雲林縣崙背鄉雨水下水道清淤工程 2" xfId="4359" xr:uid="{00000000-0005-0000-0000-0000570F0000}"/>
    <cellStyle name="_數量97-10-28_普令厝農地重劃區西33路農水路改善工程_雲林縣崙背鄉雨水下水道清淤工程_施工日誌1" xfId="2343" xr:uid="{00000000-0005-0000-0000-0000580F0000}"/>
    <cellStyle name="_數量97-10-28_普令厝農地重劃區西33路農水路改善工程_雲林縣臺西鄉A9～A9-3雨水下水道建設工程" xfId="4360" xr:uid="{00000000-0005-0000-0000-0000590F0000}"/>
    <cellStyle name="_數量97-10-28_普令厝農地重劃區西33路農水路改善工程_臺西鄉(凡那比颱風)鄉內道路排水災害復建工程" xfId="721" xr:uid="{00000000-0005-0000-0000-00005A0F0000}"/>
    <cellStyle name="_數量97-10-28_普令厝農地重劃區西33路農水路改善工程_臺西鄉(凡那比颱風)鄉內道路排水災害復建工程 2" xfId="4361" xr:uid="{00000000-0005-0000-0000-00005B0F0000}"/>
    <cellStyle name="_數量97-10-28_普令厝農地重劃區西33路農水路改善工程_臺西鄉(凡那比颱風)鄉內道路排水災害復建工程_施工日誌1" xfId="2344" xr:uid="{00000000-0005-0000-0000-00005C0F0000}"/>
    <cellStyle name="_數量97-10-28_普令厝農地重劃區西33路農水路改善工程_臺西鄉蚊港村蚊港巷道改善工程" xfId="4362" xr:uid="{00000000-0005-0000-0000-00005D0F0000}"/>
    <cellStyle name="_數量97-10-28_普令厝農地重劃區西33路農水路改善工程_臺西鄉普令厝重劃區西8路等道路排水改善工程(確定案)" xfId="722" xr:uid="{00000000-0005-0000-0000-00005E0F0000}"/>
    <cellStyle name="_數量97-10-28_普令厝農地重劃區西33路農水路改善工程_臺西鄉普令厝重劃區西8路等道路排水改善工程(確定案) 2" xfId="4363" xr:uid="{00000000-0005-0000-0000-00005F0F0000}"/>
    <cellStyle name="_數量97-10-28_普令厝農地重劃區西33路農水路改善工程_臺西鄉普令厝重劃區西8路等道路排水改善工程(確定案)_施工日誌1" xfId="2345" xr:uid="{00000000-0005-0000-0000-0000600F0000}"/>
    <cellStyle name="_數量97-10-28_普令厝農地重劃區西33路農水路改善工程_臺西鄉臺西公有零售市埸作為多目標使用改善工程" xfId="4364" xr:uid="{00000000-0005-0000-0000-0000610F0000}"/>
    <cellStyle name="_數量97-10-28_普令厝農地重劃區西33路農水路改善工程_豐榮、草湖等村道路及排水溝改善工程-(變更)2" xfId="4365" xr:uid="{00000000-0005-0000-0000-0000620F0000}"/>
    <cellStyle name="_數量97-6-5" xfId="723" xr:uid="{00000000-0005-0000-0000-0000630F0000}"/>
    <cellStyle name="_數量97-6-5 2" xfId="4366" xr:uid="{00000000-0005-0000-0000-0000640F0000}"/>
    <cellStyle name="_數量97-6-5_施工日誌1" xfId="2346" xr:uid="{00000000-0005-0000-0000-0000650F0000}"/>
    <cellStyle name="_數量97-6-5_普令厝農地重劃區西33路農水路改善工程" xfId="724" xr:uid="{00000000-0005-0000-0000-0000660F0000}"/>
    <cellStyle name="_數量97-6-5_普令厝農地重劃區西33路農水路改善工程 2" xfId="4367" xr:uid="{00000000-0005-0000-0000-0000670F0000}"/>
    <cellStyle name="_數量97-6-5_普令厝農地重劃區西33路農水路改善工程_土庫鎮埤腳里道路、排水溝改善工程101.05.18(修正3確定)" xfId="4368" xr:uid="{00000000-0005-0000-0000-0000680F0000}"/>
    <cellStyle name="_數量97-6-5_普令厝農地重劃區西33路農水路改善工程_元長鄉長南村巷道排水改善工程" xfId="4369" xr:uid="{00000000-0005-0000-0000-0000690F0000}"/>
    <cellStyle name="_數量97-6-5_普令厝農地重劃區西33路農水路改善工程_斗南鎮久安農地重劃區V51路農路路面改善工程" xfId="5291" xr:uid="{00000000-0005-0000-0000-00006A0F0000}"/>
    <cellStyle name="_數量97-6-5_普令厝農地重劃區西33路農水路改善工程_斗南鎮田頭農地重劃區農路改善工程" xfId="5292" xr:uid="{00000000-0005-0000-0000-00006B0F0000}"/>
    <cellStyle name="_數量97-6-5_普令厝農地重劃區西33路農水路改善工程_斗南鎮西岐里舊社里等路面改善工程-100.05.18" xfId="4370" xr:uid="{00000000-0005-0000-0000-00006C0F0000}"/>
    <cellStyle name="_數量97-6-5_普令厝農地重劃區西33路農水路改善工程_斗南鎮阿丹里、林子里相關公共設施改善工程100.11.29" xfId="4371" xr:uid="{00000000-0005-0000-0000-00006D0F0000}"/>
    <cellStyle name="_數量97-6-5_普令厝農地重劃區西33路農水路改善工程_斗南鎮將軍里等路面及附屬設施改善工程" xfId="4372" xr:uid="{00000000-0005-0000-0000-00006E0F0000}"/>
    <cellStyle name="_數量97-6-5_普令厝農地重劃區西33路農水路改善工程_古坑鄉大湖底段及麻園段路面改善工程" xfId="4373" xr:uid="{00000000-0005-0000-0000-00006F0F0000}"/>
    <cellStyle name="_數量97-6-5_普令厝農地重劃區西33路農水路改善工程_台西海埔地南4路排水9907豪雨災害復建工程" xfId="4374" xr:uid="{00000000-0005-0000-0000-0000700F0000}"/>
    <cellStyle name="_數量97-6-5_普令厝農地重劃區西33路農水路改善工程_台西鄉四美重劃區南北幹路4農路復建工程" xfId="725" xr:uid="{00000000-0005-0000-0000-0000710F0000}"/>
    <cellStyle name="_數量97-6-5_普令厝農地重劃區西33路農水路改善工程_台西鄉四美重劃區南北幹路4農路復建工程 2" xfId="4375" xr:uid="{00000000-0005-0000-0000-0000720F0000}"/>
    <cellStyle name="_數量97-6-5_普令厝農地重劃區西33路農水路改善工程_台西鄉四美重劃區南北幹路4農路復建工程_施工日誌1" xfId="2348" xr:uid="{00000000-0005-0000-0000-0000730F0000}"/>
    <cellStyle name="_數量97-6-5_普令厝農地重劃區西33路農水路改善工程_東勢鄉新坤村及麥寮鄉海豐村道路排水改善工程" xfId="5293" xr:uid="{00000000-0005-0000-0000-0000740F0000}"/>
    <cellStyle name="_數量97-6-5_普令厝農地重劃區西33路農水路改善工程_林縣臺西鄉A10~A12雨水下水道建設工程(增減明細)" xfId="4376" xr:uid="{00000000-0005-0000-0000-0000750F0000}"/>
    <cellStyle name="_數量97-6-5_普令厝農地重劃區西33路農水路改善工程_虎尾鎮新吉里竹圍子農村社區生態魚池暨運動公園道路與排水改善工程(預算書)" xfId="4377" xr:uid="{00000000-0005-0000-0000-0000760F0000}"/>
    <cellStyle name="_數量97-6-5_普令厝農地重劃區西33路農水路改善工程_虎尾鎮新吉里竹圍子農村社區生態魚池暨運動公園道路與排水改善工程(確定)" xfId="5294" xr:uid="{00000000-0005-0000-0000-0000770F0000}"/>
    <cellStyle name="_數量97-6-5_普令厝農地重劃區西33路農水路改善工程_長北村等巷道排水改善工程" xfId="4378" xr:uid="{00000000-0005-0000-0000-0000780F0000}"/>
    <cellStyle name="_數量97-6-5_普令厝農地重劃區西33路農水路改善工程_後溝子一農地重劃區南北八路農路改善工程" xfId="726" xr:uid="{00000000-0005-0000-0000-0000790F0000}"/>
    <cellStyle name="_數量97-6-5_普令厝農地重劃區西33路農水路改善工程_後溝子一農地重劃區南北八路農路改善工程 2" xfId="4379" xr:uid="{00000000-0005-0000-0000-00007A0F0000}"/>
    <cellStyle name="_數量97-6-5_普令厝農地重劃區西33路農水路改善工程_後溝子一農地重劃區南北八路農路改善工程_施工日誌1" xfId="2349" xr:uid="{00000000-0005-0000-0000-00007B0F0000}"/>
    <cellStyle name="_數量97-6-5_普令厝農地重劃區西33路農水路改善工程_施工日誌1" xfId="2347" xr:uid="{00000000-0005-0000-0000-00007C0F0000}"/>
    <cellStyle name="_數量97-6-5_普令厝農地重劃區西33路農水路改善工程_崙背鄉雨水下水道清淤疏浚維護工程" xfId="727" xr:uid="{00000000-0005-0000-0000-00007D0F0000}"/>
    <cellStyle name="_數量97-6-5_普令厝農地重劃區西33路農水路改善工程_崙背鄉雨水下水道清淤疏浚維護工程 2" xfId="4380" xr:uid="{00000000-0005-0000-0000-00007E0F0000}"/>
    <cellStyle name="_數量97-6-5_普令厝農地重劃區西33路農水路改善工程_崙背鄉雨水下水道清淤疏浚維護工程_施工日誌1" xfId="2350" xr:uid="{00000000-0005-0000-0000-00007F0F0000}"/>
    <cellStyle name="_數量97-6-5_普令厝農地重劃區西33路農水路改善工程_鹿寮農地重劃區補路農路改善工程等七件工程" xfId="728" xr:uid="{00000000-0005-0000-0000-0000800F0000}"/>
    <cellStyle name="_數量97-6-5_普令厝農地重劃區西33路農水路改善工程_鹿寮農地重劃區補路農路改善工程等七件工程 2" xfId="4381" xr:uid="{00000000-0005-0000-0000-0000810F0000}"/>
    <cellStyle name="_數量97-6-5_普令厝農地重劃區西33路農水路改善工程_鹿寮農地重劃區補路農路改善工程等七件工程_施工日誌1" xfId="2351" xr:uid="{00000000-0005-0000-0000-0000820F0000}"/>
    <cellStyle name="_數量97-6-5_普令厝農地重劃區西33路農水路改善工程_普令厝農地重劃區西33路農水路改善工程" xfId="729" xr:uid="{00000000-0005-0000-0000-0000830F0000}"/>
    <cellStyle name="_數量97-6-5_普令厝農地重劃區西33路農水路改善工程_普令厝農地重劃區西33路農水路改善工程 2" xfId="4382" xr:uid="{00000000-0005-0000-0000-0000840F0000}"/>
    <cellStyle name="_數量97-6-5_普令厝農地重劃區西33路農水路改善工程_普令厝農地重劃區西33路農水路改善工程_施工日誌1" xfId="2352" xr:uid="{00000000-0005-0000-0000-0000850F0000}"/>
    <cellStyle name="_數量97-6-5_普令厝農地重劃區西33路農水路改善工程_雲林縣崙背鄉雨水下水道清淤工程" xfId="730" xr:uid="{00000000-0005-0000-0000-0000860F0000}"/>
    <cellStyle name="_數量97-6-5_普令厝農地重劃區西33路農水路改善工程_雲林縣崙背鄉雨水下水道清淤工程 2" xfId="4383" xr:uid="{00000000-0005-0000-0000-0000870F0000}"/>
    <cellStyle name="_數量97-6-5_普令厝農地重劃區西33路農水路改善工程_雲林縣崙背鄉雨水下水道清淤工程_施工日誌1" xfId="2353" xr:uid="{00000000-0005-0000-0000-0000880F0000}"/>
    <cellStyle name="_數量97-6-5_普令厝農地重劃區西33路農水路改善工程_雲林縣臺西鄉A9～A9-3雨水下水道建設工程" xfId="4384" xr:uid="{00000000-0005-0000-0000-0000890F0000}"/>
    <cellStyle name="_數量97-6-5_普令厝農地重劃區西33路農水路改善工程_臺西鄉(凡那比颱風)鄉內道路排水災害復建工程" xfId="731" xr:uid="{00000000-0005-0000-0000-00008A0F0000}"/>
    <cellStyle name="_數量97-6-5_普令厝農地重劃區西33路農水路改善工程_臺西鄉(凡那比颱風)鄉內道路排水災害復建工程 2" xfId="4385" xr:uid="{00000000-0005-0000-0000-00008B0F0000}"/>
    <cellStyle name="_數量97-6-5_普令厝農地重劃區西33路農水路改善工程_臺西鄉(凡那比颱風)鄉內道路排水災害復建工程_施工日誌1" xfId="2354" xr:uid="{00000000-0005-0000-0000-00008C0F0000}"/>
    <cellStyle name="_數量97-6-5_普令厝農地重劃區西33路農水路改善工程_臺西鄉蚊港村蚊港巷道改善工程" xfId="4386" xr:uid="{00000000-0005-0000-0000-00008D0F0000}"/>
    <cellStyle name="_數量97-6-5_普令厝農地重劃區西33路農水路改善工程_臺西鄉普令厝重劃區西8路等道路排水改善工程(確定案)" xfId="732" xr:uid="{00000000-0005-0000-0000-00008E0F0000}"/>
    <cellStyle name="_數量97-6-5_普令厝農地重劃區西33路農水路改善工程_臺西鄉普令厝重劃區西8路等道路排水改善工程(確定案) 2" xfId="4387" xr:uid="{00000000-0005-0000-0000-00008F0F0000}"/>
    <cellStyle name="_數量97-6-5_普令厝農地重劃區西33路農水路改善工程_臺西鄉普令厝重劃區西8路等道路排水改善工程(確定案)_施工日誌1" xfId="2355" xr:uid="{00000000-0005-0000-0000-0000900F0000}"/>
    <cellStyle name="_數量97-6-5_普令厝農地重劃區西33路農水路改善工程_臺西鄉臺西公有零售市埸作為多目標使用改善工程" xfId="4388" xr:uid="{00000000-0005-0000-0000-0000910F0000}"/>
    <cellStyle name="_數量97-6-5_普令厝農地重劃區西33路農水路改善工程_豐榮、草湖等村道路及排水溝改善工程-(變更)2" xfId="4389" xr:uid="{00000000-0005-0000-0000-0000920F0000}"/>
    <cellStyle name="_數量表(0802)" xfId="733" xr:uid="{00000000-0005-0000-0000-0000930F0000}"/>
    <cellStyle name="_數量表(0802)_施工日誌1" xfId="2356" xr:uid="{00000000-0005-0000-0000-0000940F0000}"/>
    <cellStyle name="_數量表YANG" xfId="734" xr:uid="{00000000-0005-0000-0000-0000950F0000}"/>
    <cellStyle name="_數量表YANG 2" xfId="4390" xr:uid="{00000000-0005-0000-0000-0000960F0000}"/>
    <cellStyle name="_數量表YANG_施工日誌1" xfId="2357" xr:uid="{00000000-0005-0000-0000-0000970F0000}"/>
    <cellStyle name="_數量表YANG_普令厝農地重劃區西33路農水路改善工程" xfId="735" xr:uid="{00000000-0005-0000-0000-0000980F0000}"/>
    <cellStyle name="_數量表YANG_普令厝農地重劃區西33路農水路改善工程 2" xfId="4391" xr:uid="{00000000-0005-0000-0000-0000990F0000}"/>
    <cellStyle name="_數量表YANG_普令厝農地重劃區西33路農水路改善工程_土庫鎮埤腳里道路、排水溝改善工程101.05.18(修正3確定)" xfId="4392" xr:uid="{00000000-0005-0000-0000-00009A0F0000}"/>
    <cellStyle name="_數量表YANG_普令厝農地重劃區西33路農水路改善工程_元長鄉長南村巷道排水改善工程" xfId="4393" xr:uid="{00000000-0005-0000-0000-00009B0F0000}"/>
    <cellStyle name="_數量表YANG_普令厝農地重劃區西33路農水路改善工程_斗南鎮久安農地重劃區V51路農路路面改善工程" xfId="5295" xr:uid="{00000000-0005-0000-0000-00009C0F0000}"/>
    <cellStyle name="_數量表YANG_普令厝農地重劃區西33路農水路改善工程_斗南鎮田頭農地重劃區農路改善工程" xfId="5296" xr:uid="{00000000-0005-0000-0000-00009D0F0000}"/>
    <cellStyle name="_數量表YANG_普令厝農地重劃區西33路農水路改善工程_斗南鎮西岐里舊社里等路面改善工程-100.05.18" xfId="4394" xr:uid="{00000000-0005-0000-0000-00009E0F0000}"/>
    <cellStyle name="_數量表YANG_普令厝農地重劃區西33路農水路改善工程_斗南鎮阿丹里、林子里相關公共設施改善工程100.11.29" xfId="4395" xr:uid="{00000000-0005-0000-0000-00009F0F0000}"/>
    <cellStyle name="_數量表YANG_普令厝農地重劃區西33路農水路改善工程_斗南鎮將軍里等路面及附屬設施改善工程" xfId="4396" xr:uid="{00000000-0005-0000-0000-0000A00F0000}"/>
    <cellStyle name="_數量表YANG_普令厝農地重劃區西33路農水路改善工程_古坑鄉大湖底段及麻園段路面改善工程" xfId="4397" xr:uid="{00000000-0005-0000-0000-0000A10F0000}"/>
    <cellStyle name="_數量表YANG_普令厝農地重劃區西33路農水路改善工程_台西海埔地南4路排水9907豪雨災害復建工程" xfId="4398" xr:uid="{00000000-0005-0000-0000-0000A20F0000}"/>
    <cellStyle name="_數量表YANG_普令厝農地重劃區西33路農水路改善工程_台西鄉四美重劃區南北幹路4農路復建工程" xfId="736" xr:uid="{00000000-0005-0000-0000-0000A30F0000}"/>
    <cellStyle name="_數量表YANG_普令厝農地重劃區西33路農水路改善工程_台西鄉四美重劃區南北幹路4農路復建工程 2" xfId="4399" xr:uid="{00000000-0005-0000-0000-0000A40F0000}"/>
    <cellStyle name="_數量表YANG_普令厝農地重劃區西33路農水路改善工程_台西鄉四美重劃區南北幹路4農路復建工程_施工日誌1" xfId="2359" xr:uid="{00000000-0005-0000-0000-0000A50F0000}"/>
    <cellStyle name="_數量表YANG_普令厝農地重劃區西33路農水路改善工程_東勢鄉新坤村及麥寮鄉海豐村道路排水改善工程" xfId="5297" xr:uid="{00000000-0005-0000-0000-0000A60F0000}"/>
    <cellStyle name="_數量表YANG_普令厝農地重劃區西33路農水路改善工程_林縣臺西鄉A10~A12雨水下水道建設工程(增減明細)" xfId="4400" xr:uid="{00000000-0005-0000-0000-0000A70F0000}"/>
    <cellStyle name="_數量表YANG_普令厝農地重劃區西33路農水路改善工程_虎尾鎮新吉里竹圍子農村社區生態魚池暨運動公園道路與排水改善工程(預算書)" xfId="4401" xr:uid="{00000000-0005-0000-0000-0000A80F0000}"/>
    <cellStyle name="_數量表YANG_普令厝農地重劃區西33路農水路改善工程_虎尾鎮新吉里竹圍子農村社區生態魚池暨運動公園道路與排水改善工程(確定)" xfId="5298" xr:uid="{00000000-0005-0000-0000-0000A90F0000}"/>
    <cellStyle name="_數量表YANG_普令厝農地重劃區西33路農水路改善工程_長北村等巷道排水改善工程" xfId="4402" xr:uid="{00000000-0005-0000-0000-0000AA0F0000}"/>
    <cellStyle name="_數量表YANG_普令厝農地重劃區西33路農水路改善工程_後溝子一農地重劃區南北八路農路改善工程" xfId="737" xr:uid="{00000000-0005-0000-0000-0000AB0F0000}"/>
    <cellStyle name="_數量表YANG_普令厝農地重劃區西33路農水路改善工程_後溝子一農地重劃區南北八路農路改善工程 2" xfId="4403" xr:uid="{00000000-0005-0000-0000-0000AC0F0000}"/>
    <cellStyle name="_數量表YANG_普令厝農地重劃區西33路農水路改善工程_後溝子一農地重劃區南北八路農路改善工程_施工日誌1" xfId="2360" xr:uid="{00000000-0005-0000-0000-0000AD0F0000}"/>
    <cellStyle name="_數量表YANG_普令厝農地重劃區西33路農水路改善工程_施工日誌1" xfId="2358" xr:uid="{00000000-0005-0000-0000-0000AE0F0000}"/>
    <cellStyle name="_數量表YANG_普令厝農地重劃區西33路農水路改善工程_崙背鄉雨水下水道清淤疏浚維護工程" xfId="738" xr:uid="{00000000-0005-0000-0000-0000AF0F0000}"/>
    <cellStyle name="_數量表YANG_普令厝農地重劃區西33路農水路改善工程_崙背鄉雨水下水道清淤疏浚維護工程 2" xfId="4404" xr:uid="{00000000-0005-0000-0000-0000B00F0000}"/>
    <cellStyle name="_數量表YANG_普令厝農地重劃區西33路農水路改善工程_崙背鄉雨水下水道清淤疏浚維護工程_施工日誌1" xfId="2361" xr:uid="{00000000-0005-0000-0000-0000B10F0000}"/>
    <cellStyle name="_數量表YANG_普令厝農地重劃區西33路農水路改善工程_鹿寮農地重劃區補路農路改善工程等七件工程" xfId="739" xr:uid="{00000000-0005-0000-0000-0000B20F0000}"/>
    <cellStyle name="_數量表YANG_普令厝農地重劃區西33路農水路改善工程_鹿寮農地重劃區補路農路改善工程等七件工程 2" xfId="4405" xr:uid="{00000000-0005-0000-0000-0000B30F0000}"/>
    <cellStyle name="_數量表YANG_普令厝農地重劃區西33路農水路改善工程_鹿寮農地重劃區補路農路改善工程等七件工程_施工日誌1" xfId="2362" xr:uid="{00000000-0005-0000-0000-0000B40F0000}"/>
    <cellStyle name="_數量表YANG_普令厝農地重劃區西33路農水路改善工程_普令厝農地重劃區西33路農水路改善工程" xfId="740" xr:uid="{00000000-0005-0000-0000-0000B50F0000}"/>
    <cellStyle name="_數量表YANG_普令厝農地重劃區西33路農水路改善工程_普令厝農地重劃區西33路農水路改善工程 2" xfId="4406" xr:uid="{00000000-0005-0000-0000-0000B60F0000}"/>
    <cellStyle name="_數量表YANG_普令厝農地重劃區西33路農水路改善工程_普令厝農地重劃區西33路農水路改善工程_施工日誌1" xfId="2363" xr:uid="{00000000-0005-0000-0000-0000B70F0000}"/>
    <cellStyle name="_數量表YANG_普令厝農地重劃區西33路農水路改善工程_雲林縣崙背鄉雨水下水道清淤工程" xfId="741" xr:uid="{00000000-0005-0000-0000-0000B80F0000}"/>
    <cellStyle name="_數量表YANG_普令厝農地重劃區西33路農水路改善工程_雲林縣崙背鄉雨水下水道清淤工程 2" xfId="4407" xr:uid="{00000000-0005-0000-0000-0000B90F0000}"/>
    <cellStyle name="_數量表YANG_普令厝農地重劃區西33路農水路改善工程_雲林縣崙背鄉雨水下水道清淤工程_施工日誌1" xfId="2364" xr:uid="{00000000-0005-0000-0000-0000BA0F0000}"/>
    <cellStyle name="_數量表YANG_普令厝農地重劃區西33路農水路改善工程_雲林縣臺西鄉A9～A9-3雨水下水道建設工程" xfId="4408" xr:uid="{00000000-0005-0000-0000-0000BB0F0000}"/>
    <cellStyle name="_數量表YANG_普令厝農地重劃區西33路農水路改善工程_臺西鄉(凡那比颱風)鄉內道路排水災害復建工程" xfId="742" xr:uid="{00000000-0005-0000-0000-0000BC0F0000}"/>
    <cellStyle name="_數量表YANG_普令厝農地重劃區西33路農水路改善工程_臺西鄉(凡那比颱風)鄉內道路排水災害復建工程 2" xfId="4409" xr:uid="{00000000-0005-0000-0000-0000BD0F0000}"/>
    <cellStyle name="_數量表YANG_普令厝農地重劃區西33路農水路改善工程_臺西鄉(凡那比颱風)鄉內道路排水災害復建工程_施工日誌1" xfId="2365" xr:uid="{00000000-0005-0000-0000-0000BE0F0000}"/>
    <cellStyle name="_數量表YANG_普令厝農地重劃區西33路農水路改善工程_臺西鄉蚊港村蚊港巷道改善工程" xfId="4410" xr:uid="{00000000-0005-0000-0000-0000BF0F0000}"/>
    <cellStyle name="_數量表YANG_普令厝農地重劃區西33路農水路改善工程_臺西鄉普令厝重劃區西8路等道路排水改善工程(確定案)" xfId="743" xr:uid="{00000000-0005-0000-0000-0000C00F0000}"/>
    <cellStyle name="_數量表YANG_普令厝農地重劃區西33路農水路改善工程_臺西鄉普令厝重劃區西8路等道路排水改善工程(確定案) 2" xfId="4411" xr:uid="{00000000-0005-0000-0000-0000C10F0000}"/>
    <cellStyle name="_數量表YANG_普令厝農地重劃區西33路農水路改善工程_臺西鄉普令厝重劃區西8路等道路排水改善工程(確定案)_施工日誌1" xfId="2366" xr:uid="{00000000-0005-0000-0000-0000C20F0000}"/>
    <cellStyle name="_數量表YANG_普令厝農地重劃區西33路農水路改善工程_臺西鄉臺西公有零售市埸作為多目標使用改善工程" xfId="4412" xr:uid="{00000000-0005-0000-0000-0000C30F0000}"/>
    <cellStyle name="_數量表YANG_普令厝農地重劃區西33路農水路改善工程_豐榮、草湖等村道路及排水溝改善工程-(變更)2" xfId="4413" xr:uid="{00000000-0005-0000-0000-0000C40F0000}"/>
    <cellStyle name="_數量表YANG-2-12" xfId="744" xr:uid="{00000000-0005-0000-0000-0000C50F0000}"/>
    <cellStyle name="_數量表YANG-2-12 2" xfId="4414" xr:uid="{00000000-0005-0000-0000-0000C60F0000}"/>
    <cellStyle name="_數量表YANG-2-12_施工日誌1" xfId="2367" xr:uid="{00000000-0005-0000-0000-0000C70F0000}"/>
    <cellStyle name="_數量表YANG-2-12_普令厝農地重劃區西33路農水路改善工程" xfId="745" xr:uid="{00000000-0005-0000-0000-0000C80F0000}"/>
    <cellStyle name="_數量表YANG-2-12_普令厝農地重劃區西33路農水路改善工程 2" xfId="4415" xr:uid="{00000000-0005-0000-0000-0000C90F0000}"/>
    <cellStyle name="_數量表YANG-2-12_普令厝農地重劃區西33路農水路改善工程_土庫鎮埤腳里道路、排水溝改善工程101.05.18(修正3確定)" xfId="4416" xr:uid="{00000000-0005-0000-0000-0000CA0F0000}"/>
    <cellStyle name="_數量表YANG-2-12_普令厝農地重劃區西33路農水路改善工程_元長鄉長南村巷道排水改善工程" xfId="4417" xr:uid="{00000000-0005-0000-0000-0000CB0F0000}"/>
    <cellStyle name="_數量表YANG-2-12_普令厝農地重劃區西33路農水路改善工程_斗南鎮久安農地重劃區V51路農路路面改善工程" xfId="5299" xr:uid="{00000000-0005-0000-0000-0000CC0F0000}"/>
    <cellStyle name="_數量表YANG-2-12_普令厝農地重劃區西33路農水路改善工程_斗南鎮田頭農地重劃區農路改善工程" xfId="5300" xr:uid="{00000000-0005-0000-0000-0000CD0F0000}"/>
    <cellStyle name="_數量表YANG-2-12_普令厝農地重劃區西33路農水路改善工程_斗南鎮西岐里舊社里等路面改善工程-100.05.18" xfId="4418" xr:uid="{00000000-0005-0000-0000-0000CE0F0000}"/>
    <cellStyle name="_數量表YANG-2-12_普令厝農地重劃區西33路農水路改善工程_斗南鎮阿丹里、林子里相關公共設施改善工程100.11.29" xfId="4419" xr:uid="{00000000-0005-0000-0000-0000CF0F0000}"/>
    <cellStyle name="_數量表YANG-2-12_普令厝農地重劃區西33路農水路改善工程_斗南鎮將軍里等路面及附屬設施改善工程" xfId="4420" xr:uid="{00000000-0005-0000-0000-0000D00F0000}"/>
    <cellStyle name="_數量表YANG-2-12_普令厝農地重劃區西33路農水路改善工程_古坑鄉大湖底段及麻園段路面改善工程" xfId="4421" xr:uid="{00000000-0005-0000-0000-0000D10F0000}"/>
    <cellStyle name="_數量表YANG-2-12_普令厝農地重劃區西33路農水路改善工程_台西海埔地南4路排水9907豪雨災害復建工程" xfId="4422" xr:uid="{00000000-0005-0000-0000-0000D20F0000}"/>
    <cellStyle name="_數量表YANG-2-12_普令厝農地重劃區西33路農水路改善工程_台西鄉四美重劃區南北幹路4農路復建工程" xfId="746" xr:uid="{00000000-0005-0000-0000-0000D30F0000}"/>
    <cellStyle name="_數量表YANG-2-12_普令厝農地重劃區西33路農水路改善工程_台西鄉四美重劃區南北幹路4農路復建工程 2" xfId="4423" xr:uid="{00000000-0005-0000-0000-0000D40F0000}"/>
    <cellStyle name="_數量表YANG-2-12_普令厝農地重劃區西33路農水路改善工程_台西鄉四美重劃區南北幹路4農路復建工程_施工日誌1" xfId="2369" xr:uid="{00000000-0005-0000-0000-0000D50F0000}"/>
    <cellStyle name="_數量表YANG-2-12_普令厝農地重劃區西33路農水路改善工程_東勢鄉新坤村及麥寮鄉海豐村道路排水改善工程" xfId="5301" xr:uid="{00000000-0005-0000-0000-0000D60F0000}"/>
    <cellStyle name="_數量表YANG-2-12_普令厝農地重劃區西33路農水路改善工程_林縣臺西鄉A10~A12雨水下水道建設工程(增減明細)" xfId="4424" xr:uid="{00000000-0005-0000-0000-0000D70F0000}"/>
    <cellStyle name="_數量表YANG-2-12_普令厝農地重劃區西33路農水路改善工程_虎尾鎮新吉里竹圍子農村社區生態魚池暨運動公園道路與排水改善工程(預算書)" xfId="4425" xr:uid="{00000000-0005-0000-0000-0000D80F0000}"/>
    <cellStyle name="_數量表YANG-2-12_普令厝農地重劃區西33路農水路改善工程_虎尾鎮新吉里竹圍子農村社區生態魚池暨運動公園道路與排水改善工程(確定)" xfId="5302" xr:uid="{00000000-0005-0000-0000-0000D90F0000}"/>
    <cellStyle name="_數量表YANG-2-12_普令厝農地重劃區西33路農水路改善工程_長北村等巷道排水改善工程" xfId="4426" xr:uid="{00000000-0005-0000-0000-0000DA0F0000}"/>
    <cellStyle name="_數量表YANG-2-12_普令厝農地重劃區西33路農水路改善工程_後溝子一農地重劃區南北八路農路改善工程" xfId="747" xr:uid="{00000000-0005-0000-0000-0000DB0F0000}"/>
    <cellStyle name="_數量表YANG-2-12_普令厝農地重劃區西33路農水路改善工程_後溝子一農地重劃區南北八路農路改善工程 2" xfId="4427" xr:uid="{00000000-0005-0000-0000-0000DC0F0000}"/>
    <cellStyle name="_數量表YANG-2-12_普令厝農地重劃區西33路農水路改善工程_後溝子一農地重劃區南北八路農路改善工程_施工日誌1" xfId="2370" xr:uid="{00000000-0005-0000-0000-0000DD0F0000}"/>
    <cellStyle name="_數量表YANG-2-12_普令厝農地重劃區西33路農水路改善工程_施工日誌1" xfId="2368" xr:uid="{00000000-0005-0000-0000-0000DE0F0000}"/>
    <cellStyle name="_數量表YANG-2-12_普令厝農地重劃區西33路農水路改善工程_崙背鄉雨水下水道清淤疏浚維護工程" xfId="748" xr:uid="{00000000-0005-0000-0000-0000DF0F0000}"/>
    <cellStyle name="_數量表YANG-2-12_普令厝農地重劃區西33路農水路改善工程_崙背鄉雨水下水道清淤疏浚維護工程 2" xfId="4428" xr:uid="{00000000-0005-0000-0000-0000E00F0000}"/>
    <cellStyle name="_數量表YANG-2-12_普令厝農地重劃區西33路農水路改善工程_崙背鄉雨水下水道清淤疏浚維護工程_施工日誌1" xfId="2371" xr:uid="{00000000-0005-0000-0000-0000E10F0000}"/>
    <cellStyle name="_數量表YANG-2-12_普令厝農地重劃區西33路農水路改善工程_鹿寮農地重劃區補路農路改善工程等七件工程" xfId="749" xr:uid="{00000000-0005-0000-0000-0000E20F0000}"/>
    <cellStyle name="_數量表YANG-2-12_普令厝農地重劃區西33路農水路改善工程_鹿寮農地重劃區補路農路改善工程等七件工程 2" xfId="4429" xr:uid="{00000000-0005-0000-0000-0000E30F0000}"/>
    <cellStyle name="_數量表YANG-2-12_普令厝農地重劃區西33路農水路改善工程_鹿寮農地重劃區補路農路改善工程等七件工程_施工日誌1" xfId="2372" xr:uid="{00000000-0005-0000-0000-0000E40F0000}"/>
    <cellStyle name="_數量表YANG-2-12_普令厝農地重劃區西33路農水路改善工程_普令厝農地重劃區西33路農水路改善工程" xfId="750" xr:uid="{00000000-0005-0000-0000-0000E50F0000}"/>
    <cellStyle name="_數量表YANG-2-12_普令厝農地重劃區西33路農水路改善工程_普令厝農地重劃區西33路農水路改善工程 2" xfId="4430" xr:uid="{00000000-0005-0000-0000-0000E60F0000}"/>
    <cellStyle name="_數量表YANG-2-12_普令厝農地重劃區西33路農水路改善工程_普令厝農地重劃區西33路農水路改善工程_施工日誌1" xfId="2373" xr:uid="{00000000-0005-0000-0000-0000E70F0000}"/>
    <cellStyle name="_數量表YANG-2-12_普令厝農地重劃區西33路農水路改善工程_雲林縣崙背鄉雨水下水道清淤工程" xfId="751" xr:uid="{00000000-0005-0000-0000-0000E80F0000}"/>
    <cellStyle name="_數量表YANG-2-12_普令厝農地重劃區西33路農水路改善工程_雲林縣崙背鄉雨水下水道清淤工程 2" xfId="4431" xr:uid="{00000000-0005-0000-0000-0000E90F0000}"/>
    <cellStyle name="_數量表YANG-2-12_普令厝農地重劃區西33路農水路改善工程_雲林縣崙背鄉雨水下水道清淤工程_施工日誌1" xfId="2374" xr:uid="{00000000-0005-0000-0000-0000EA0F0000}"/>
    <cellStyle name="_數量表YANG-2-12_普令厝農地重劃區西33路農水路改善工程_雲林縣臺西鄉A9～A9-3雨水下水道建設工程" xfId="4432" xr:uid="{00000000-0005-0000-0000-0000EB0F0000}"/>
    <cellStyle name="_數量表YANG-2-12_普令厝農地重劃區西33路農水路改善工程_臺西鄉(凡那比颱風)鄉內道路排水災害復建工程" xfId="752" xr:uid="{00000000-0005-0000-0000-0000EC0F0000}"/>
    <cellStyle name="_數量表YANG-2-12_普令厝農地重劃區西33路農水路改善工程_臺西鄉(凡那比颱風)鄉內道路排水災害復建工程 2" xfId="4433" xr:uid="{00000000-0005-0000-0000-0000ED0F0000}"/>
    <cellStyle name="_數量表YANG-2-12_普令厝農地重劃區西33路農水路改善工程_臺西鄉(凡那比颱風)鄉內道路排水災害復建工程_施工日誌1" xfId="2375" xr:uid="{00000000-0005-0000-0000-0000EE0F0000}"/>
    <cellStyle name="_數量表YANG-2-12_普令厝農地重劃區西33路農水路改善工程_臺西鄉蚊港村蚊港巷道改善工程" xfId="4434" xr:uid="{00000000-0005-0000-0000-0000EF0F0000}"/>
    <cellStyle name="_數量表YANG-2-12_普令厝農地重劃區西33路農水路改善工程_臺西鄉普令厝重劃區西8路等道路排水改善工程(確定案)" xfId="753" xr:uid="{00000000-0005-0000-0000-0000F00F0000}"/>
    <cellStyle name="_數量表YANG-2-12_普令厝農地重劃區西33路農水路改善工程_臺西鄉普令厝重劃區西8路等道路排水改善工程(確定案) 2" xfId="4435" xr:uid="{00000000-0005-0000-0000-0000F10F0000}"/>
    <cellStyle name="_數量表YANG-2-12_普令厝農地重劃區西33路農水路改善工程_臺西鄉普令厝重劃區西8路等道路排水改善工程(確定案)_施工日誌1" xfId="2376" xr:uid="{00000000-0005-0000-0000-0000F20F0000}"/>
    <cellStyle name="_數量表YANG-2-12_普令厝農地重劃區西33路農水路改善工程_臺西鄉臺西公有零售市埸作為多目標使用改善工程" xfId="4436" xr:uid="{00000000-0005-0000-0000-0000F30F0000}"/>
    <cellStyle name="_數量表YANG-2-12_普令厝農地重劃區西33路農水路改善工程_豐榮、草湖等村道路及排水溝改善工程-(變更)2" xfId="4437" xr:uid="{00000000-0005-0000-0000-0000F40F0000}"/>
    <cellStyle name="_數量計算" xfId="754" xr:uid="{00000000-0005-0000-0000-0000F50F0000}"/>
    <cellStyle name="_數量計算_施工日誌1" xfId="2377" xr:uid="{00000000-0005-0000-0000-0000F60F0000}"/>
    <cellStyle name="_數量計算0704" xfId="755" xr:uid="{00000000-0005-0000-0000-0000F70F0000}"/>
    <cellStyle name="_數量計算0704_施工日誌1" xfId="2378" xr:uid="{00000000-0005-0000-0000-0000F80F0000}"/>
    <cellStyle name="_數量計算表 3" xfId="1620" xr:uid="{00000000-0005-0000-0000-0000F90F0000}"/>
    <cellStyle name="_數量計算表 3 2" xfId="4438" xr:uid="{00000000-0005-0000-0000-0000FA0F0000}"/>
    <cellStyle name="_數量計算表 3_空.材抽" xfId="1621" xr:uid="{00000000-0005-0000-0000-0000FB0F0000}"/>
    <cellStyle name="_數量計算表 3_空.材抽 2" xfId="4439" xr:uid="{00000000-0005-0000-0000-0000FC0F0000}"/>
    <cellStyle name="_數量計算表1 " xfId="1622" xr:uid="{00000000-0005-0000-0000-0000FD0F0000}"/>
    <cellStyle name="_數量計算表1  2" xfId="4440" xr:uid="{00000000-0005-0000-0000-0000FE0F0000}"/>
    <cellStyle name="_數量計算表1 _空.材抽" xfId="1623" xr:uid="{00000000-0005-0000-0000-0000FF0F0000}"/>
    <cellStyle name="_數量計算表1 _空.材抽 2" xfId="4441" xr:uid="{00000000-0005-0000-0000-000000100000}"/>
    <cellStyle name="_標.單" xfId="756" xr:uid="{00000000-0005-0000-0000-000001100000}"/>
    <cellStyle name="_標.單 2" xfId="4442" xr:uid="{00000000-0005-0000-0000-000002100000}"/>
    <cellStyle name="_標.單_施工日誌1" xfId="2379" xr:uid="{00000000-0005-0000-0000-000003100000}"/>
    <cellStyle name="_標.單_普令厝農地重劃區西33路農水路改善工程" xfId="757" xr:uid="{00000000-0005-0000-0000-000004100000}"/>
    <cellStyle name="_標.單_普令厝農地重劃區西33路農水路改善工程 2" xfId="4443" xr:uid="{00000000-0005-0000-0000-000005100000}"/>
    <cellStyle name="_標.單_普令厝農地重劃區西33路農水路改善工程_土庫鎮埤腳里道路、排水溝改善工程101.05.18(修正3確定)" xfId="4444" xr:uid="{00000000-0005-0000-0000-000006100000}"/>
    <cellStyle name="_標.單_普令厝農地重劃區西33路農水路改善工程_元長鄉長南村巷道排水改善工程" xfId="4445" xr:uid="{00000000-0005-0000-0000-000007100000}"/>
    <cellStyle name="_標.單_普令厝農地重劃區西33路農水路改善工程_斗南鎮久安農地重劃區V51路農路路面改善工程" xfId="5303" xr:uid="{00000000-0005-0000-0000-000008100000}"/>
    <cellStyle name="_標.單_普令厝農地重劃區西33路農水路改善工程_斗南鎮田頭農地重劃區農路改善工程" xfId="5304" xr:uid="{00000000-0005-0000-0000-000009100000}"/>
    <cellStyle name="_標.單_普令厝農地重劃區西33路農水路改善工程_斗南鎮西岐里舊社里等路面改善工程-100.05.18" xfId="4446" xr:uid="{00000000-0005-0000-0000-00000A100000}"/>
    <cellStyle name="_標.單_普令厝農地重劃區西33路農水路改善工程_斗南鎮阿丹里、林子里相關公共設施改善工程100.11.29" xfId="4447" xr:uid="{00000000-0005-0000-0000-00000B100000}"/>
    <cellStyle name="_標.單_普令厝農地重劃區西33路農水路改善工程_斗南鎮將軍里等路面及附屬設施改善工程" xfId="4448" xr:uid="{00000000-0005-0000-0000-00000C100000}"/>
    <cellStyle name="_標.單_普令厝農地重劃區西33路農水路改善工程_古坑鄉大湖底段及麻園段路面改善工程" xfId="4449" xr:uid="{00000000-0005-0000-0000-00000D100000}"/>
    <cellStyle name="_標.單_普令厝農地重劃區西33路農水路改善工程_台西海埔地南4路排水9907豪雨災害復建工程" xfId="4450" xr:uid="{00000000-0005-0000-0000-00000E100000}"/>
    <cellStyle name="_標.單_普令厝農地重劃區西33路農水路改善工程_台西鄉四美重劃區南北幹路4農路復建工程" xfId="758" xr:uid="{00000000-0005-0000-0000-00000F100000}"/>
    <cellStyle name="_標.單_普令厝農地重劃區西33路農水路改善工程_台西鄉四美重劃區南北幹路4農路復建工程 2" xfId="4451" xr:uid="{00000000-0005-0000-0000-000010100000}"/>
    <cellStyle name="_標.單_普令厝農地重劃區西33路農水路改善工程_台西鄉四美重劃區南北幹路4農路復建工程_施工日誌1" xfId="2381" xr:uid="{00000000-0005-0000-0000-000011100000}"/>
    <cellStyle name="_標.單_普令厝農地重劃區西33路農水路改善工程_東勢鄉新坤村及麥寮鄉海豐村道路排水改善工程" xfId="5305" xr:uid="{00000000-0005-0000-0000-000012100000}"/>
    <cellStyle name="_標.單_普令厝農地重劃區西33路農水路改善工程_林縣臺西鄉A10~A12雨水下水道建設工程(增減明細)" xfId="4452" xr:uid="{00000000-0005-0000-0000-000013100000}"/>
    <cellStyle name="_標.單_普令厝農地重劃區西33路農水路改善工程_虎尾鎮新吉里竹圍子農村社區生態魚池暨運動公園道路與排水改善工程(預算書)" xfId="4453" xr:uid="{00000000-0005-0000-0000-000014100000}"/>
    <cellStyle name="_標.單_普令厝農地重劃區西33路農水路改善工程_虎尾鎮新吉里竹圍子農村社區生態魚池暨運動公園道路與排水改善工程(確定)" xfId="5306" xr:uid="{00000000-0005-0000-0000-000015100000}"/>
    <cellStyle name="_標.單_普令厝農地重劃區西33路農水路改善工程_長北村等巷道排水改善工程" xfId="4454" xr:uid="{00000000-0005-0000-0000-000016100000}"/>
    <cellStyle name="_標.單_普令厝農地重劃區西33路農水路改善工程_後溝子一農地重劃區南北八路農路改善工程" xfId="759" xr:uid="{00000000-0005-0000-0000-000017100000}"/>
    <cellStyle name="_標.單_普令厝農地重劃區西33路農水路改善工程_後溝子一農地重劃區南北八路農路改善工程 2" xfId="4455" xr:uid="{00000000-0005-0000-0000-000018100000}"/>
    <cellStyle name="_標.單_普令厝農地重劃區西33路農水路改善工程_後溝子一農地重劃區南北八路農路改善工程_施工日誌1" xfId="2382" xr:uid="{00000000-0005-0000-0000-000019100000}"/>
    <cellStyle name="_標.單_普令厝農地重劃區西33路農水路改善工程_施工日誌1" xfId="2380" xr:uid="{00000000-0005-0000-0000-00001A100000}"/>
    <cellStyle name="_標.單_普令厝農地重劃區西33路農水路改善工程_崙背鄉雨水下水道清淤疏浚維護工程" xfId="760" xr:uid="{00000000-0005-0000-0000-00001B100000}"/>
    <cellStyle name="_標.單_普令厝農地重劃區西33路農水路改善工程_崙背鄉雨水下水道清淤疏浚維護工程 2" xfId="4456" xr:uid="{00000000-0005-0000-0000-00001C100000}"/>
    <cellStyle name="_標.單_普令厝農地重劃區西33路農水路改善工程_崙背鄉雨水下水道清淤疏浚維護工程_施工日誌1" xfId="2383" xr:uid="{00000000-0005-0000-0000-00001D100000}"/>
    <cellStyle name="_標.單_普令厝農地重劃區西33路農水路改善工程_鹿寮農地重劃區補路農路改善工程等七件工程" xfId="761" xr:uid="{00000000-0005-0000-0000-00001E100000}"/>
    <cellStyle name="_標.單_普令厝農地重劃區西33路農水路改善工程_鹿寮農地重劃區補路農路改善工程等七件工程 2" xfId="4457" xr:uid="{00000000-0005-0000-0000-00001F100000}"/>
    <cellStyle name="_標.單_普令厝農地重劃區西33路農水路改善工程_鹿寮農地重劃區補路農路改善工程等七件工程_施工日誌1" xfId="2384" xr:uid="{00000000-0005-0000-0000-000020100000}"/>
    <cellStyle name="_標.單_普令厝農地重劃區西33路農水路改善工程_普令厝農地重劃區西33路農水路改善工程" xfId="762" xr:uid="{00000000-0005-0000-0000-000021100000}"/>
    <cellStyle name="_標.單_普令厝農地重劃區西33路農水路改善工程_普令厝農地重劃區西33路農水路改善工程 2" xfId="4458" xr:uid="{00000000-0005-0000-0000-000022100000}"/>
    <cellStyle name="_標.單_普令厝農地重劃區西33路農水路改善工程_普令厝農地重劃區西33路農水路改善工程_施工日誌1" xfId="2385" xr:uid="{00000000-0005-0000-0000-000023100000}"/>
    <cellStyle name="_標.單_普令厝農地重劃區西33路農水路改善工程_雲林縣崙背鄉雨水下水道清淤工程" xfId="763" xr:uid="{00000000-0005-0000-0000-000024100000}"/>
    <cellStyle name="_標.單_普令厝農地重劃區西33路農水路改善工程_雲林縣崙背鄉雨水下水道清淤工程 2" xfId="4459" xr:uid="{00000000-0005-0000-0000-000025100000}"/>
    <cellStyle name="_標.單_普令厝農地重劃區西33路農水路改善工程_雲林縣崙背鄉雨水下水道清淤工程_施工日誌1" xfId="2386" xr:uid="{00000000-0005-0000-0000-000026100000}"/>
    <cellStyle name="_標.單_普令厝農地重劃區西33路農水路改善工程_雲林縣臺西鄉A9～A9-3雨水下水道建設工程" xfId="4460" xr:uid="{00000000-0005-0000-0000-000027100000}"/>
    <cellStyle name="_標.單_普令厝農地重劃區西33路農水路改善工程_臺西鄉(凡那比颱風)鄉內道路排水災害復建工程" xfId="764" xr:uid="{00000000-0005-0000-0000-000028100000}"/>
    <cellStyle name="_標.單_普令厝農地重劃區西33路農水路改善工程_臺西鄉(凡那比颱風)鄉內道路排水災害復建工程 2" xfId="4461" xr:uid="{00000000-0005-0000-0000-000029100000}"/>
    <cellStyle name="_標.單_普令厝農地重劃區西33路農水路改善工程_臺西鄉(凡那比颱風)鄉內道路排水災害復建工程_施工日誌1" xfId="2387" xr:uid="{00000000-0005-0000-0000-00002A100000}"/>
    <cellStyle name="_標.單_普令厝農地重劃區西33路農水路改善工程_臺西鄉蚊港村蚊港巷道改善工程" xfId="4462" xr:uid="{00000000-0005-0000-0000-00002B100000}"/>
    <cellStyle name="_標.單_普令厝農地重劃區西33路農水路改善工程_臺西鄉普令厝重劃區西8路等道路排水改善工程(確定案)" xfId="765" xr:uid="{00000000-0005-0000-0000-00002C100000}"/>
    <cellStyle name="_標.單_普令厝農地重劃區西33路農水路改善工程_臺西鄉普令厝重劃區西8路等道路排水改善工程(確定案) 2" xfId="4463" xr:uid="{00000000-0005-0000-0000-00002D100000}"/>
    <cellStyle name="_標.單_普令厝農地重劃區西33路農水路改善工程_臺西鄉普令厝重劃區西8路等道路排水改善工程(確定案)_施工日誌1" xfId="2388" xr:uid="{00000000-0005-0000-0000-00002E100000}"/>
    <cellStyle name="_標.單_普令厝農地重劃區西33路農水路改善工程_臺西鄉臺西公有零售市埸作為多目標使用改善工程" xfId="4464" xr:uid="{00000000-0005-0000-0000-00002F100000}"/>
    <cellStyle name="_標.單_普令厝農地重劃區西33路農水路改善工程_豐榮、草湖等村道路及排水溝改善工程-(變更)2" xfId="4465" xr:uid="{00000000-0005-0000-0000-000030100000}"/>
    <cellStyle name="_標0單" xfId="766" xr:uid="{00000000-0005-0000-0000-000031100000}"/>
    <cellStyle name="_標0單_施工日誌1" xfId="2389" xr:uid="{00000000-0005-0000-0000-000032100000}"/>
    <cellStyle name="_標單" xfId="767" xr:uid="{00000000-0005-0000-0000-000033100000}"/>
    <cellStyle name="_標單 2" xfId="4466" xr:uid="{00000000-0005-0000-0000-000034100000}"/>
    <cellStyle name="_標單_施工日誌1" xfId="2390" xr:uid="{00000000-0005-0000-0000-000035100000}"/>
    <cellStyle name="_標單_普令厝農地重劃區西33路農水路改善工程" xfId="768" xr:uid="{00000000-0005-0000-0000-000036100000}"/>
    <cellStyle name="_標單_普令厝農地重劃區西33路農水路改善工程 2" xfId="4467" xr:uid="{00000000-0005-0000-0000-000037100000}"/>
    <cellStyle name="_標單_普令厝農地重劃區西33路農水路改善工程_土庫鎮埤腳里道路、排水溝改善工程101.05.18(修正3確定)" xfId="4468" xr:uid="{00000000-0005-0000-0000-000038100000}"/>
    <cellStyle name="_標單_普令厝農地重劃區西33路農水路改善工程_元長鄉長南村巷道排水改善工程" xfId="4469" xr:uid="{00000000-0005-0000-0000-000039100000}"/>
    <cellStyle name="_標單_普令厝農地重劃區西33路農水路改善工程_斗南鎮久安農地重劃區V51路農路路面改善工程" xfId="5307" xr:uid="{00000000-0005-0000-0000-00003A100000}"/>
    <cellStyle name="_標單_普令厝農地重劃區西33路農水路改善工程_斗南鎮田頭農地重劃區農路改善工程" xfId="5308" xr:uid="{00000000-0005-0000-0000-00003B100000}"/>
    <cellStyle name="_標單_普令厝農地重劃區西33路農水路改善工程_斗南鎮西岐里舊社里等路面改善工程-100.05.18" xfId="4470" xr:uid="{00000000-0005-0000-0000-00003C100000}"/>
    <cellStyle name="_標單_普令厝農地重劃區西33路農水路改善工程_斗南鎮阿丹里、林子里相關公共設施改善工程100.11.29" xfId="4471" xr:uid="{00000000-0005-0000-0000-00003D100000}"/>
    <cellStyle name="_標單_普令厝農地重劃區西33路農水路改善工程_斗南鎮將軍里等路面及附屬設施改善工程" xfId="4472" xr:uid="{00000000-0005-0000-0000-00003E100000}"/>
    <cellStyle name="_標單_普令厝農地重劃區西33路農水路改善工程_古坑鄉大湖底段及麻園段路面改善工程" xfId="4473" xr:uid="{00000000-0005-0000-0000-00003F100000}"/>
    <cellStyle name="_標單_普令厝農地重劃區西33路農水路改善工程_台西海埔地南4路排水9907豪雨災害復建工程" xfId="4474" xr:uid="{00000000-0005-0000-0000-000040100000}"/>
    <cellStyle name="_標單_普令厝農地重劃區西33路農水路改善工程_台西鄉四美重劃區南北幹路4農路復建工程" xfId="769" xr:uid="{00000000-0005-0000-0000-000041100000}"/>
    <cellStyle name="_標單_普令厝農地重劃區西33路農水路改善工程_台西鄉四美重劃區南北幹路4農路復建工程 2" xfId="4475" xr:uid="{00000000-0005-0000-0000-000042100000}"/>
    <cellStyle name="_標單_普令厝農地重劃區西33路農水路改善工程_台西鄉四美重劃區南北幹路4農路復建工程_施工日誌1" xfId="2392" xr:uid="{00000000-0005-0000-0000-000043100000}"/>
    <cellStyle name="_標單_普令厝農地重劃區西33路農水路改善工程_東勢鄉新坤村及麥寮鄉海豐村道路排水改善工程" xfId="5309" xr:uid="{00000000-0005-0000-0000-000044100000}"/>
    <cellStyle name="_標單_普令厝農地重劃區西33路農水路改善工程_林縣臺西鄉A10~A12雨水下水道建設工程(增減明細)" xfId="4476" xr:uid="{00000000-0005-0000-0000-000045100000}"/>
    <cellStyle name="_標單_普令厝農地重劃區西33路農水路改善工程_虎尾鎮新吉里竹圍子農村社區生態魚池暨運動公園道路與排水改善工程(預算書)" xfId="4477" xr:uid="{00000000-0005-0000-0000-000046100000}"/>
    <cellStyle name="_標單_普令厝農地重劃區西33路農水路改善工程_虎尾鎮新吉里竹圍子農村社區生態魚池暨運動公園道路與排水改善工程(確定)" xfId="5310" xr:uid="{00000000-0005-0000-0000-000047100000}"/>
    <cellStyle name="_標單_普令厝農地重劃區西33路農水路改善工程_長北村等巷道排水改善工程" xfId="4478" xr:uid="{00000000-0005-0000-0000-000048100000}"/>
    <cellStyle name="_標單_普令厝農地重劃區西33路農水路改善工程_後溝子一農地重劃區南北八路農路改善工程" xfId="770" xr:uid="{00000000-0005-0000-0000-000049100000}"/>
    <cellStyle name="_標單_普令厝農地重劃區西33路農水路改善工程_後溝子一農地重劃區南北八路農路改善工程 2" xfId="4479" xr:uid="{00000000-0005-0000-0000-00004A100000}"/>
    <cellStyle name="_標單_普令厝農地重劃區西33路農水路改善工程_後溝子一農地重劃區南北八路農路改善工程_施工日誌1" xfId="2393" xr:uid="{00000000-0005-0000-0000-00004B100000}"/>
    <cellStyle name="_標單_普令厝農地重劃區西33路農水路改善工程_施工日誌1" xfId="2391" xr:uid="{00000000-0005-0000-0000-00004C100000}"/>
    <cellStyle name="_標單_普令厝農地重劃區西33路農水路改善工程_崙背鄉雨水下水道清淤疏浚維護工程" xfId="771" xr:uid="{00000000-0005-0000-0000-00004D100000}"/>
    <cellStyle name="_標單_普令厝農地重劃區西33路農水路改善工程_崙背鄉雨水下水道清淤疏浚維護工程 2" xfId="4480" xr:uid="{00000000-0005-0000-0000-00004E100000}"/>
    <cellStyle name="_標單_普令厝農地重劃區西33路農水路改善工程_崙背鄉雨水下水道清淤疏浚維護工程_施工日誌1" xfId="2394" xr:uid="{00000000-0005-0000-0000-00004F100000}"/>
    <cellStyle name="_標單_普令厝農地重劃區西33路農水路改善工程_鹿寮農地重劃區補路農路改善工程等七件工程" xfId="772" xr:uid="{00000000-0005-0000-0000-000050100000}"/>
    <cellStyle name="_標單_普令厝農地重劃區西33路農水路改善工程_鹿寮農地重劃區補路農路改善工程等七件工程 2" xfId="4481" xr:uid="{00000000-0005-0000-0000-000051100000}"/>
    <cellStyle name="_標單_普令厝農地重劃區西33路農水路改善工程_鹿寮農地重劃區補路農路改善工程等七件工程_施工日誌1" xfId="2395" xr:uid="{00000000-0005-0000-0000-000052100000}"/>
    <cellStyle name="_標單_普令厝農地重劃區西33路農水路改善工程_普令厝農地重劃區西33路農水路改善工程" xfId="773" xr:uid="{00000000-0005-0000-0000-000053100000}"/>
    <cellStyle name="_標單_普令厝農地重劃區西33路農水路改善工程_普令厝農地重劃區西33路農水路改善工程 2" xfId="4482" xr:uid="{00000000-0005-0000-0000-000054100000}"/>
    <cellStyle name="_標單_普令厝農地重劃區西33路農水路改善工程_普令厝農地重劃區西33路農水路改善工程_施工日誌1" xfId="2396" xr:uid="{00000000-0005-0000-0000-000055100000}"/>
    <cellStyle name="_標單_普令厝農地重劃區西33路農水路改善工程_雲林縣崙背鄉雨水下水道清淤工程" xfId="774" xr:uid="{00000000-0005-0000-0000-000056100000}"/>
    <cellStyle name="_標單_普令厝農地重劃區西33路農水路改善工程_雲林縣崙背鄉雨水下水道清淤工程 2" xfId="4483" xr:uid="{00000000-0005-0000-0000-000057100000}"/>
    <cellStyle name="_標單_普令厝農地重劃區西33路農水路改善工程_雲林縣崙背鄉雨水下水道清淤工程_施工日誌1" xfId="2397" xr:uid="{00000000-0005-0000-0000-000058100000}"/>
    <cellStyle name="_標單_普令厝農地重劃區西33路農水路改善工程_雲林縣臺西鄉A9～A9-3雨水下水道建設工程" xfId="4484" xr:uid="{00000000-0005-0000-0000-000059100000}"/>
    <cellStyle name="_標單_普令厝農地重劃區西33路農水路改善工程_臺西鄉(凡那比颱風)鄉內道路排水災害復建工程" xfId="775" xr:uid="{00000000-0005-0000-0000-00005A100000}"/>
    <cellStyle name="_標單_普令厝農地重劃區西33路農水路改善工程_臺西鄉(凡那比颱風)鄉內道路排水災害復建工程 2" xfId="4485" xr:uid="{00000000-0005-0000-0000-00005B100000}"/>
    <cellStyle name="_標單_普令厝農地重劃區西33路農水路改善工程_臺西鄉(凡那比颱風)鄉內道路排水災害復建工程_施工日誌1" xfId="2398" xr:uid="{00000000-0005-0000-0000-00005C100000}"/>
    <cellStyle name="_標單_普令厝農地重劃區西33路農水路改善工程_臺西鄉蚊港村蚊港巷道改善工程" xfId="4486" xr:uid="{00000000-0005-0000-0000-00005D100000}"/>
    <cellStyle name="_標單_普令厝農地重劃區西33路農水路改善工程_臺西鄉普令厝重劃區西8路等道路排水改善工程(確定案)" xfId="776" xr:uid="{00000000-0005-0000-0000-00005E100000}"/>
    <cellStyle name="_標單_普令厝農地重劃區西33路農水路改善工程_臺西鄉普令厝重劃區西8路等道路排水改善工程(確定案) 2" xfId="4487" xr:uid="{00000000-0005-0000-0000-00005F100000}"/>
    <cellStyle name="_標單_普令厝農地重劃區西33路農水路改善工程_臺西鄉普令厝重劃區西8路等道路排水改善工程(確定案)_施工日誌1" xfId="2399" xr:uid="{00000000-0005-0000-0000-000060100000}"/>
    <cellStyle name="_標單_普令厝農地重劃區西33路農水路改善工程_臺西鄉臺西公有零售市埸作為多目標使用改善工程" xfId="4488" xr:uid="{00000000-0005-0000-0000-000061100000}"/>
    <cellStyle name="_標單_普令厝農地重劃區西33路農水路改善工程_豐榮、草湖等村道路及排水溝改善工程-(變更)2" xfId="4489" xr:uid="{00000000-0005-0000-0000-000062100000}"/>
    <cellStyle name="_標單Output_20071008113433_ap_bdgt" xfId="777" xr:uid="{00000000-0005-0000-0000-000063100000}"/>
    <cellStyle name="_標單Output_20071008113433_ap_bdgt_施工日誌1" xfId="2400" xr:uid="{00000000-0005-0000-0000-000064100000}"/>
    <cellStyle name="_確定變更" xfId="778" xr:uid="{00000000-0005-0000-0000-000065100000}"/>
    <cellStyle name="_確定變更 2" xfId="4490" xr:uid="{00000000-0005-0000-0000-000066100000}"/>
    <cellStyle name="_確定變更_施工日誌1" xfId="2401" xr:uid="{00000000-0005-0000-0000-000067100000}"/>
    <cellStyle name="_確定變更_普令厝農地重劃區西33路農水路改善工程" xfId="779" xr:uid="{00000000-0005-0000-0000-000068100000}"/>
    <cellStyle name="_確定變更_普令厝農地重劃區西33路農水路改善工程 2" xfId="4491" xr:uid="{00000000-0005-0000-0000-000069100000}"/>
    <cellStyle name="_確定變更_普令厝農地重劃區西33路農水路改善工程_土庫鎮埤腳里道路、排水溝改善工程101.05.18(修正3確定)" xfId="4492" xr:uid="{00000000-0005-0000-0000-00006A100000}"/>
    <cellStyle name="_確定變更_普令厝農地重劃區西33路農水路改善工程_元長鄉長南村巷道排水改善工程" xfId="4493" xr:uid="{00000000-0005-0000-0000-00006B100000}"/>
    <cellStyle name="_確定變更_普令厝農地重劃區西33路農水路改善工程_斗南鎮久安農地重劃區V51路農路路面改善工程" xfId="5311" xr:uid="{00000000-0005-0000-0000-00006C100000}"/>
    <cellStyle name="_確定變更_普令厝農地重劃區西33路農水路改善工程_斗南鎮田頭農地重劃區農路改善工程" xfId="5312" xr:uid="{00000000-0005-0000-0000-00006D100000}"/>
    <cellStyle name="_確定變更_普令厝農地重劃區西33路農水路改善工程_斗南鎮西岐里舊社里等路面改善工程-100.05.18" xfId="4494" xr:uid="{00000000-0005-0000-0000-00006E100000}"/>
    <cellStyle name="_確定變更_普令厝農地重劃區西33路農水路改善工程_斗南鎮阿丹里、林子里相關公共設施改善工程100.11.29" xfId="4495" xr:uid="{00000000-0005-0000-0000-00006F100000}"/>
    <cellStyle name="_確定變更_普令厝農地重劃區西33路農水路改善工程_斗南鎮將軍里等路面及附屬設施改善工程" xfId="4496" xr:uid="{00000000-0005-0000-0000-000070100000}"/>
    <cellStyle name="_確定變更_普令厝農地重劃區西33路農水路改善工程_古坑鄉大湖底段及麻園段路面改善工程" xfId="4497" xr:uid="{00000000-0005-0000-0000-000071100000}"/>
    <cellStyle name="_確定變更_普令厝農地重劃區西33路農水路改善工程_台西海埔地南4路排水9907豪雨災害復建工程" xfId="4498" xr:uid="{00000000-0005-0000-0000-000072100000}"/>
    <cellStyle name="_確定變更_普令厝農地重劃區西33路農水路改善工程_台西鄉四美重劃區南北幹路4農路復建工程" xfId="780" xr:uid="{00000000-0005-0000-0000-000073100000}"/>
    <cellStyle name="_確定變更_普令厝農地重劃區西33路農水路改善工程_台西鄉四美重劃區南北幹路4農路復建工程 2" xfId="4499" xr:uid="{00000000-0005-0000-0000-000074100000}"/>
    <cellStyle name="_確定變更_普令厝農地重劃區西33路農水路改善工程_台西鄉四美重劃區南北幹路4農路復建工程_施工日誌1" xfId="2403" xr:uid="{00000000-0005-0000-0000-000075100000}"/>
    <cellStyle name="_確定變更_普令厝農地重劃區西33路農水路改善工程_東勢鄉新坤村及麥寮鄉海豐村道路排水改善工程" xfId="5313" xr:uid="{00000000-0005-0000-0000-000076100000}"/>
    <cellStyle name="_確定變更_普令厝農地重劃區西33路農水路改善工程_林縣臺西鄉A10~A12雨水下水道建設工程(增減明細)" xfId="4500" xr:uid="{00000000-0005-0000-0000-000077100000}"/>
    <cellStyle name="_確定變更_普令厝農地重劃區西33路農水路改善工程_虎尾鎮新吉里竹圍子農村社區生態魚池暨運動公園道路與排水改善工程(預算書)" xfId="4501" xr:uid="{00000000-0005-0000-0000-000078100000}"/>
    <cellStyle name="_確定變更_普令厝農地重劃區西33路農水路改善工程_虎尾鎮新吉里竹圍子農村社區生態魚池暨運動公園道路與排水改善工程(確定)" xfId="5314" xr:uid="{00000000-0005-0000-0000-000079100000}"/>
    <cellStyle name="_確定變更_普令厝農地重劃區西33路農水路改善工程_長北村等巷道排水改善工程" xfId="4502" xr:uid="{00000000-0005-0000-0000-00007A100000}"/>
    <cellStyle name="_確定變更_普令厝農地重劃區西33路農水路改善工程_後溝子一農地重劃區南北八路農路改善工程" xfId="781" xr:uid="{00000000-0005-0000-0000-00007B100000}"/>
    <cellStyle name="_確定變更_普令厝農地重劃區西33路農水路改善工程_後溝子一農地重劃區南北八路農路改善工程 2" xfId="4503" xr:uid="{00000000-0005-0000-0000-00007C100000}"/>
    <cellStyle name="_確定變更_普令厝農地重劃區西33路農水路改善工程_後溝子一農地重劃區南北八路農路改善工程_施工日誌1" xfId="2404" xr:uid="{00000000-0005-0000-0000-00007D100000}"/>
    <cellStyle name="_確定變更_普令厝農地重劃區西33路農水路改善工程_施工日誌1" xfId="2402" xr:uid="{00000000-0005-0000-0000-00007E100000}"/>
    <cellStyle name="_確定變更_普令厝農地重劃區西33路農水路改善工程_崙背鄉雨水下水道清淤疏浚維護工程" xfId="782" xr:uid="{00000000-0005-0000-0000-00007F100000}"/>
    <cellStyle name="_確定變更_普令厝農地重劃區西33路農水路改善工程_崙背鄉雨水下水道清淤疏浚維護工程 2" xfId="4504" xr:uid="{00000000-0005-0000-0000-000080100000}"/>
    <cellStyle name="_確定變更_普令厝農地重劃區西33路農水路改善工程_崙背鄉雨水下水道清淤疏浚維護工程_施工日誌1" xfId="2405" xr:uid="{00000000-0005-0000-0000-000081100000}"/>
    <cellStyle name="_確定變更_普令厝農地重劃區西33路農水路改善工程_鹿寮農地重劃區補路農路改善工程等七件工程" xfId="783" xr:uid="{00000000-0005-0000-0000-000082100000}"/>
    <cellStyle name="_確定變更_普令厝農地重劃區西33路農水路改善工程_鹿寮農地重劃區補路農路改善工程等七件工程 2" xfId="4505" xr:uid="{00000000-0005-0000-0000-000083100000}"/>
    <cellStyle name="_確定變更_普令厝農地重劃區西33路農水路改善工程_鹿寮農地重劃區補路農路改善工程等七件工程_施工日誌1" xfId="2406" xr:uid="{00000000-0005-0000-0000-000084100000}"/>
    <cellStyle name="_確定變更_普令厝農地重劃區西33路農水路改善工程_普令厝農地重劃區西33路農水路改善工程" xfId="784" xr:uid="{00000000-0005-0000-0000-000085100000}"/>
    <cellStyle name="_確定變更_普令厝農地重劃區西33路農水路改善工程_普令厝農地重劃區西33路農水路改善工程 2" xfId="4506" xr:uid="{00000000-0005-0000-0000-000086100000}"/>
    <cellStyle name="_確定變更_普令厝農地重劃區西33路農水路改善工程_普令厝農地重劃區西33路農水路改善工程_施工日誌1" xfId="2407" xr:uid="{00000000-0005-0000-0000-000087100000}"/>
    <cellStyle name="_確定變更_普令厝農地重劃區西33路農水路改善工程_雲林縣崙背鄉雨水下水道清淤工程" xfId="785" xr:uid="{00000000-0005-0000-0000-000088100000}"/>
    <cellStyle name="_確定變更_普令厝農地重劃區西33路農水路改善工程_雲林縣崙背鄉雨水下水道清淤工程 2" xfId="4507" xr:uid="{00000000-0005-0000-0000-000089100000}"/>
    <cellStyle name="_確定變更_普令厝農地重劃區西33路農水路改善工程_雲林縣崙背鄉雨水下水道清淤工程_施工日誌1" xfId="2408" xr:uid="{00000000-0005-0000-0000-00008A100000}"/>
    <cellStyle name="_確定變更_普令厝農地重劃區西33路農水路改善工程_雲林縣臺西鄉A9～A9-3雨水下水道建設工程" xfId="4508" xr:uid="{00000000-0005-0000-0000-00008B100000}"/>
    <cellStyle name="_確定變更_普令厝農地重劃區西33路農水路改善工程_臺西鄉(凡那比颱風)鄉內道路排水災害復建工程" xfId="786" xr:uid="{00000000-0005-0000-0000-00008C100000}"/>
    <cellStyle name="_確定變更_普令厝農地重劃區西33路農水路改善工程_臺西鄉(凡那比颱風)鄉內道路排水災害復建工程 2" xfId="4509" xr:uid="{00000000-0005-0000-0000-00008D100000}"/>
    <cellStyle name="_確定變更_普令厝農地重劃區西33路農水路改善工程_臺西鄉(凡那比颱風)鄉內道路排水災害復建工程_施工日誌1" xfId="2409" xr:uid="{00000000-0005-0000-0000-00008E100000}"/>
    <cellStyle name="_確定變更_普令厝農地重劃區西33路農水路改善工程_臺西鄉蚊港村蚊港巷道改善工程" xfId="4510" xr:uid="{00000000-0005-0000-0000-00008F100000}"/>
    <cellStyle name="_確定變更_普令厝農地重劃區西33路農水路改善工程_臺西鄉普令厝重劃區西8路等道路排水改善工程(確定案)" xfId="787" xr:uid="{00000000-0005-0000-0000-000090100000}"/>
    <cellStyle name="_確定變更_普令厝農地重劃區西33路農水路改善工程_臺西鄉普令厝重劃區西8路等道路排水改善工程(確定案) 2" xfId="4511" xr:uid="{00000000-0005-0000-0000-000091100000}"/>
    <cellStyle name="_確定變更_普令厝農地重劃區西33路農水路改善工程_臺西鄉普令厝重劃區西8路等道路排水改善工程(確定案)_施工日誌1" xfId="2410" xr:uid="{00000000-0005-0000-0000-000092100000}"/>
    <cellStyle name="_確定變更_普令厝農地重劃區西33路農水路改善工程_臺西鄉臺西公有零售市埸作為多目標使用改善工程" xfId="4512" xr:uid="{00000000-0005-0000-0000-000093100000}"/>
    <cellStyle name="_確定變更_普令厝農地重劃區西33路農水路改善工程_豐榮、草湖等村道路及排水溝改善工程-(變更)2" xfId="4513" xr:uid="{00000000-0005-0000-0000-000094100000}"/>
    <cellStyle name="_複本 寶火燒施工日報" xfId="788" xr:uid="{00000000-0005-0000-0000-000095100000}"/>
    <cellStyle name="_複本 寶火燒施工日報_施工日誌1" xfId="2411" xr:uid="{00000000-0005-0000-0000-000096100000}"/>
    <cellStyle name="_複本 變更設計1221" xfId="789" xr:uid="{00000000-0005-0000-0000-000097100000}"/>
    <cellStyle name="_複本 變更設計1221 2" xfId="4514" xr:uid="{00000000-0005-0000-0000-000098100000}"/>
    <cellStyle name="_複本 變更設計1221_施工日誌1" xfId="2412" xr:uid="{00000000-0005-0000-0000-000099100000}"/>
    <cellStyle name="_複本 變更設計1221_普令厝農地重劃區西33路農水路改善工程" xfId="790" xr:uid="{00000000-0005-0000-0000-00009A100000}"/>
    <cellStyle name="_複本 變更設計1221_普令厝農地重劃區西33路農水路改善工程 2" xfId="4515" xr:uid="{00000000-0005-0000-0000-00009B100000}"/>
    <cellStyle name="_複本 變更設計1221_普令厝農地重劃區西33路農水路改善工程_土庫鎮埤腳里道路、排水溝改善工程101.05.18(修正3確定)" xfId="4516" xr:uid="{00000000-0005-0000-0000-00009C100000}"/>
    <cellStyle name="_複本 變更設計1221_普令厝農地重劃區西33路農水路改善工程_元長鄉長南村巷道排水改善工程" xfId="4517" xr:uid="{00000000-0005-0000-0000-00009D100000}"/>
    <cellStyle name="_複本 變更設計1221_普令厝農地重劃區西33路農水路改善工程_斗南鎮久安農地重劃區V51路農路路面改善工程" xfId="5315" xr:uid="{00000000-0005-0000-0000-00009E100000}"/>
    <cellStyle name="_複本 變更設計1221_普令厝農地重劃區西33路農水路改善工程_斗南鎮田頭農地重劃區農路改善工程" xfId="5316" xr:uid="{00000000-0005-0000-0000-00009F100000}"/>
    <cellStyle name="_複本 變更設計1221_普令厝農地重劃區西33路農水路改善工程_斗南鎮西岐里舊社里等路面改善工程-100.05.18" xfId="4518" xr:uid="{00000000-0005-0000-0000-0000A0100000}"/>
    <cellStyle name="_複本 變更設計1221_普令厝農地重劃區西33路農水路改善工程_斗南鎮阿丹里、林子里相關公共設施改善工程100.11.29" xfId="4519" xr:uid="{00000000-0005-0000-0000-0000A1100000}"/>
    <cellStyle name="_複本 變更設計1221_普令厝農地重劃區西33路農水路改善工程_斗南鎮將軍里等路面及附屬設施改善工程" xfId="4520" xr:uid="{00000000-0005-0000-0000-0000A2100000}"/>
    <cellStyle name="_複本 變更設計1221_普令厝農地重劃區西33路農水路改善工程_古坑鄉大湖底段及麻園段路面改善工程" xfId="4521" xr:uid="{00000000-0005-0000-0000-0000A3100000}"/>
    <cellStyle name="_複本 變更設計1221_普令厝農地重劃區西33路農水路改善工程_台西海埔地南4路排水9907豪雨災害復建工程" xfId="4522" xr:uid="{00000000-0005-0000-0000-0000A4100000}"/>
    <cellStyle name="_複本 變更設計1221_普令厝農地重劃區西33路農水路改善工程_台西鄉四美重劃區南北幹路4農路復建工程" xfId="791" xr:uid="{00000000-0005-0000-0000-0000A5100000}"/>
    <cellStyle name="_複本 變更設計1221_普令厝農地重劃區西33路農水路改善工程_台西鄉四美重劃區南北幹路4農路復建工程 2" xfId="4523" xr:uid="{00000000-0005-0000-0000-0000A6100000}"/>
    <cellStyle name="_複本 變更設計1221_普令厝農地重劃區西33路農水路改善工程_台西鄉四美重劃區南北幹路4農路復建工程_施工日誌1" xfId="2414" xr:uid="{00000000-0005-0000-0000-0000A7100000}"/>
    <cellStyle name="_複本 變更設計1221_普令厝農地重劃區西33路農水路改善工程_東勢鄉新坤村及麥寮鄉海豐村道路排水改善工程" xfId="5317" xr:uid="{00000000-0005-0000-0000-0000A8100000}"/>
    <cellStyle name="_複本 變更設計1221_普令厝農地重劃區西33路農水路改善工程_林縣臺西鄉A10~A12雨水下水道建設工程(增減明細)" xfId="4524" xr:uid="{00000000-0005-0000-0000-0000A9100000}"/>
    <cellStyle name="_複本 變更設計1221_普令厝農地重劃區西33路農水路改善工程_虎尾鎮新吉里竹圍子農村社區生態魚池暨運動公園道路與排水改善工程(預算書)" xfId="4525" xr:uid="{00000000-0005-0000-0000-0000AA100000}"/>
    <cellStyle name="_複本 變更設計1221_普令厝農地重劃區西33路農水路改善工程_虎尾鎮新吉里竹圍子農村社區生態魚池暨運動公園道路與排水改善工程(確定)" xfId="5318" xr:uid="{00000000-0005-0000-0000-0000AB100000}"/>
    <cellStyle name="_複本 變更設計1221_普令厝農地重劃區西33路農水路改善工程_長北村等巷道排水改善工程" xfId="4526" xr:uid="{00000000-0005-0000-0000-0000AC100000}"/>
    <cellStyle name="_複本 變更設計1221_普令厝農地重劃區西33路農水路改善工程_後溝子一農地重劃區南北八路農路改善工程" xfId="792" xr:uid="{00000000-0005-0000-0000-0000AD100000}"/>
    <cellStyle name="_複本 變更設計1221_普令厝農地重劃區西33路農水路改善工程_後溝子一農地重劃區南北八路農路改善工程 2" xfId="4527" xr:uid="{00000000-0005-0000-0000-0000AE100000}"/>
    <cellStyle name="_複本 變更設計1221_普令厝農地重劃區西33路農水路改善工程_後溝子一農地重劃區南北八路農路改善工程_施工日誌1" xfId="2415" xr:uid="{00000000-0005-0000-0000-0000AF100000}"/>
    <cellStyle name="_複本 變更設計1221_普令厝農地重劃區西33路農水路改善工程_施工日誌1" xfId="2413" xr:uid="{00000000-0005-0000-0000-0000B0100000}"/>
    <cellStyle name="_複本 變更設計1221_普令厝農地重劃區西33路農水路改善工程_崙背鄉雨水下水道清淤疏浚維護工程" xfId="793" xr:uid="{00000000-0005-0000-0000-0000B1100000}"/>
    <cellStyle name="_複本 變更設計1221_普令厝農地重劃區西33路農水路改善工程_崙背鄉雨水下水道清淤疏浚維護工程 2" xfId="4528" xr:uid="{00000000-0005-0000-0000-0000B2100000}"/>
    <cellStyle name="_複本 變更設計1221_普令厝農地重劃區西33路農水路改善工程_崙背鄉雨水下水道清淤疏浚維護工程_施工日誌1" xfId="2416" xr:uid="{00000000-0005-0000-0000-0000B3100000}"/>
    <cellStyle name="_複本 變更設計1221_普令厝農地重劃區西33路農水路改善工程_鹿寮農地重劃區補路農路改善工程等七件工程" xfId="794" xr:uid="{00000000-0005-0000-0000-0000B4100000}"/>
    <cellStyle name="_複本 變更設計1221_普令厝農地重劃區西33路農水路改善工程_鹿寮農地重劃區補路農路改善工程等七件工程 2" xfId="4529" xr:uid="{00000000-0005-0000-0000-0000B5100000}"/>
    <cellStyle name="_複本 變更設計1221_普令厝農地重劃區西33路農水路改善工程_鹿寮農地重劃區補路農路改善工程等七件工程_施工日誌1" xfId="2417" xr:uid="{00000000-0005-0000-0000-0000B6100000}"/>
    <cellStyle name="_複本 變更設計1221_普令厝農地重劃區西33路農水路改善工程_普令厝農地重劃區西33路農水路改善工程" xfId="795" xr:uid="{00000000-0005-0000-0000-0000B7100000}"/>
    <cellStyle name="_複本 變更設計1221_普令厝農地重劃區西33路農水路改善工程_普令厝農地重劃區西33路農水路改善工程 2" xfId="4530" xr:uid="{00000000-0005-0000-0000-0000B8100000}"/>
    <cellStyle name="_複本 變更設計1221_普令厝農地重劃區西33路農水路改善工程_普令厝農地重劃區西33路農水路改善工程_施工日誌1" xfId="2418" xr:uid="{00000000-0005-0000-0000-0000B9100000}"/>
    <cellStyle name="_複本 變更設計1221_普令厝農地重劃區西33路農水路改善工程_雲林縣崙背鄉雨水下水道清淤工程" xfId="796" xr:uid="{00000000-0005-0000-0000-0000BA100000}"/>
    <cellStyle name="_複本 變更設計1221_普令厝農地重劃區西33路農水路改善工程_雲林縣崙背鄉雨水下水道清淤工程 2" xfId="4531" xr:uid="{00000000-0005-0000-0000-0000BB100000}"/>
    <cellStyle name="_複本 變更設計1221_普令厝農地重劃區西33路農水路改善工程_雲林縣崙背鄉雨水下水道清淤工程_施工日誌1" xfId="2419" xr:uid="{00000000-0005-0000-0000-0000BC100000}"/>
    <cellStyle name="_複本 變更設計1221_普令厝農地重劃區西33路農水路改善工程_雲林縣臺西鄉A9～A9-3雨水下水道建設工程" xfId="4532" xr:uid="{00000000-0005-0000-0000-0000BD100000}"/>
    <cellStyle name="_複本 變更設計1221_普令厝農地重劃區西33路農水路改善工程_臺西鄉(凡那比颱風)鄉內道路排水災害復建工程" xfId="797" xr:uid="{00000000-0005-0000-0000-0000BE100000}"/>
    <cellStyle name="_複本 變更設計1221_普令厝農地重劃區西33路農水路改善工程_臺西鄉(凡那比颱風)鄉內道路排水災害復建工程 2" xfId="4533" xr:uid="{00000000-0005-0000-0000-0000BF100000}"/>
    <cellStyle name="_複本 變更設計1221_普令厝農地重劃區西33路農水路改善工程_臺西鄉(凡那比颱風)鄉內道路排水災害復建工程_施工日誌1" xfId="2420" xr:uid="{00000000-0005-0000-0000-0000C0100000}"/>
    <cellStyle name="_複本 變更設計1221_普令厝農地重劃區西33路農水路改善工程_臺西鄉蚊港村蚊港巷道改善工程" xfId="4534" xr:uid="{00000000-0005-0000-0000-0000C1100000}"/>
    <cellStyle name="_複本 變更設計1221_普令厝農地重劃區西33路農水路改善工程_臺西鄉普令厝重劃區西8路等道路排水改善工程(確定案)" xfId="798" xr:uid="{00000000-0005-0000-0000-0000C2100000}"/>
    <cellStyle name="_複本 變更設計1221_普令厝農地重劃區西33路農水路改善工程_臺西鄉普令厝重劃區西8路等道路排水改善工程(確定案) 2" xfId="4535" xr:uid="{00000000-0005-0000-0000-0000C3100000}"/>
    <cellStyle name="_複本 變更設計1221_普令厝農地重劃區西33路農水路改善工程_臺西鄉普令厝重劃區西8路等道路排水改善工程(確定案)_施工日誌1" xfId="2421" xr:uid="{00000000-0005-0000-0000-0000C4100000}"/>
    <cellStyle name="_複本 變更設計1221_普令厝農地重劃區西33路農水路改善工程_臺西鄉臺西公有零售市埸作為多目標使用改善工程" xfId="4536" xr:uid="{00000000-0005-0000-0000-0000C5100000}"/>
    <cellStyle name="_複本 變更設計1221_普令厝農地重劃區西33路農水路改善工程_豐榮、草湖等村道路及排水溝改善工程-(變更)2" xfId="4537" xr:uid="{00000000-0005-0000-0000-0000C6100000}"/>
    <cellStyle name="_複製 -四湖鄉湖寮村下寮道路排水改善工程(決算標單)sh1_bp_rbid" xfId="799" xr:uid="{00000000-0005-0000-0000-0000C7100000}"/>
    <cellStyle name="_複製 -四湖鄉湖寮村下寮道路排水改善工程(決算標單)sh1_bp_rbid_施工日誌1" xfId="2422" xr:uid="{00000000-0005-0000-0000-0000C8100000}"/>
    <cellStyle name="_複製 -預算書0830" xfId="800" xr:uid="{00000000-0005-0000-0000-0000C9100000}"/>
    <cellStyle name="_複製 -預算書0830 2" xfId="4538" xr:uid="{00000000-0005-0000-0000-0000CA100000}"/>
    <cellStyle name="_複製 -預算書0830_施工日誌1" xfId="2423" xr:uid="{00000000-0005-0000-0000-0000CB100000}"/>
    <cellStyle name="_複製 -預算書0830_普令厝農地重劃區西33路農水路改善工程" xfId="801" xr:uid="{00000000-0005-0000-0000-0000CC100000}"/>
    <cellStyle name="_複製 -預算書0830_普令厝農地重劃區西33路農水路改善工程 2" xfId="4539" xr:uid="{00000000-0005-0000-0000-0000CD100000}"/>
    <cellStyle name="_複製 -預算書0830_普令厝農地重劃區西33路農水路改善工程_土庫鎮埤腳里道路、排水溝改善工程101.05.18(修正3確定)" xfId="4540" xr:uid="{00000000-0005-0000-0000-0000CE100000}"/>
    <cellStyle name="_複製 -預算書0830_普令厝農地重劃區西33路農水路改善工程_元長鄉長南村巷道排水改善工程" xfId="4541" xr:uid="{00000000-0005-0000-0000-0000CF100000}"/>
    <cellStyle name="_複製 -預算書0830_普令厝農地重劃區西33路農水路改善工程_斗南鎮久安農地重劃區V51路農路路面改善工程" xfId="5319" xr:uid="{00000000-0005-0000-0000-0000D0100000}"/>
    <cellStyle name="_複製 -預算書0830_普令厝農地重劃區西33路農水路改善工程_斗南鎮田頭農地重劃區農路改善工程" xfId="5320" xr:uid="{00000000-0005-0000-0000-0000D1100000}"/>
    <cellStyle name="_複製 -預算書0830_普令厝農地重劃區西33路農水路改善工程_斗南鎮西岐里舊社里等路面改善工程-100.05.18" xfId="4542" xr:uid="{00000000-0005-0000-0000-0000D2100000}"/>
    <cellStyle name="_複製 -預算書0830_普令厝農地重劃區西33路農水路改善工程_斗南鎮阿丹里、林子里相關公共設施改善工程100.11.29" xfId="4543" xr:uid="{00000000-0005-0000-0000-0000D3100000}"/>
    <cellStyle name="_複製 -預算書0830_普令厝農地重劃區西33路農水路改善工程_斗南鎮將軍里等路面及附屬設施改善工程" xfId="4544" xr:uid="{00000000-0005-0000-0000-0000D4100000}"/>
    <cellStyle name="_複製 -預算書0830_普令厝農地重劃區西33路農水路改善工程_古坑鄉大湖底段及麻園段路面改善工程" xfId="4545" xr:uid="{00000000-0005-0000-0000-0000D5100000}"/>
    <cellStyle name="_複製 -預算書0830_普令厝農地重劃區西33路農水路改善工程_台西海埔地南4路排水9907豪雨災害復建工程" xfId="4546" xr:uid="{00000000-0005-0000-0000-0000D6100000}"/>
    <cellStyle name="_複製 -預算書0830_普令厝農地重劃區西33路農水路改善工程_台西鄉四美重劃區南北幹路4農路復建工程" xfId="802" xr:uid="{00000000-0005-0000-0000-0000D7100000}"/>
    <cellStyle name="_複製 -預算書0830_普令厝農地重劃區西33路農水路改善工程_台西鄉四美重劃區南北幹路4農路復建工程 2" xfId="4547" xr:uid="{00000000-0005-0000-0000-0000D8100000}"/>
    <cellStyle name="_複製 -預算書0830_普令厝農地重劃區西33路農水路改善工程_台西鄉四美重劃區南北幹路4農路復建工程_施工日誌1" xfId="2425" xr:uid="{00000000-0005-0000-0000-0000D9100000}"/>
    <cellStyle name="_複製 -預算書0830_普令厝農地重劃區西33路農水路改善工程_東勢鄉新坤村及麥寮鄉海豐村道路排水改善工程" xfId="5321" xr:uid="{00000000-0005-0000-0000-0000DA100000}"/>
    <cellStyle name="_複製 -預算書0830_普令厝農地重劃區西33路農水路改善工程_林縣臺西鄉A10~A12雨水下水道建設工程(增減明細)" xfId="4548" xr:uid="{00000000-0005-0000-0000-0000DB100000}"/>
    <cellStyle name="_複製 -預算書0830_普令厝農地重劃區西33路農水路改善工程_虎尾鎮新吉里竹圍子農村社區生態魚池暨運動公園道路與排水改善工程(預算書)" xfId="4549" xr:uid="{00000000-0005-0000-0000-0000DC100000}"/>
    <cellStyle name="_複製 -預算書0830_普令厝農地重劃區西33路農水路改善工程_虎尾鎮新吉里竹圍子農村社區生態魚池暨運動公園道路與排水改善工程(確定)" xfId="5322" xr:uid="{00000000-0005-0000-0000-0000DD100000}"/>
    <cellStyle name="_複製 -預算書0830_普令厝農地重劃區西33路農水路改善工程_長北村等巷道排水改善工程" xfId="4550" xr:uid="{00000000-0005-0000-0000-0000DE100000}"/>
    <cellStyle name="_複製 -預算書0830_普令厝農地重劃區西33路農水路改善工程_後溝子一農地重劃區南北八路農路改善工程" xfId="803" xr:uid="{00000000-0005-0000-0000-0000DF100000}"/>
    <cellStyle name="_複製 -預算書0830_普令厝農地重劃區西33路農水路改善工程_後溝子一農地重劃區南北八路農路改善工程 2" xfId="4551" xr:uid="{00000000-0005-0000-0000-0000E0100000}"/>
    <cellStyle name="_複製 -預算書0830_普令厝農地重劃區西33路農水路改善工程_後溝子一農地重劃區南北八路農路改善工程_施工日誌1" xfId="2426" xr:uid="{00000000-0005-0000-0000-0000E1100000}"/>
    <cellStyle name="_複製 -預算書0830_普令厝農地重劃區西33路農水路改善工程_施工日誌1" xfId="2424" xr:uid="{00000000-0005-0000-0000-0000E2100000}"/>
    <cellStyle name="_複製 -預算書0830_普令厝農地重劃區西33路農水路改善工程_崙背鄉雨水下水道清淤疏浚維護工程" xfId="804" xr:uid="{00000000-0005-0000-0000-0000E3100000}"/>
    <cellStyle name="_複製 -預算書0830_普令厝農地重劃區西33路農水路改善工程_崙背鄉雨水下水道清淤疏浚維護工程 2" xfId="4552" xr:uid="{00000000-0005-0000-0000-0000E4100000}"/>
    <cellStyle name="_複製 -預算書0830_普令厝農地重劃區西33路農水路改善工程_崙背鄉雨水下水道清淤疏浚維護工程_施工日誌1" xfId="2427" xr:uid="{00000000-0005-0000-0000-0000E5100000}"/>
    <cellStyle name="_複製 -預算書0830_普令厝農地重劃區西33路農水路改善工程_鹿寮農地重劃區補路農路改善工程等七件工程" xfId="805" xr:uid="{00000000-0005-0000-0000-0000E6100000}"/>
    <cellStyle name="_複製 -預算書0830_普令厝農地重劃區西33路農水路改善工程_鹿寮農地重劃區補路農路改善工程等七件工程 2" xfId="4553" xr:uid="{00000000-0005-0000-0000-0000E7100000}"/>
    <cellStyle name="_複製 -預算書0830_普令厝農地重劃區西33路農水路改善工程_鹿寮農地重劃區補路農路改善工程等七件工程_施工日誌1" xfId="2428" xr:uid="{00000000-0005-0000-0000-0000E8100000}"/>
    <cellStyle name="_複製 -預算書0830_普令厝農地重劃區西33路農水路改善工程_普令厝農地重劃區西33路農水路改善工程" xfId="806" xr:uid="{00000000-0005-0000-0000-0000E9100000}"/>
    <cellStyle name="_複製 -預算書0830_普令厝農地重劃區西33路農水路改善工程_普令厝農地重劃區西33路農水路改善工程 2" xfId="4554" xr:uid="{00000000-0005-0000-0000-0000EA100000}"/>
    <cellStyle name="_複製 -預算書0830_普令厝農地重劃區西33路農水路改善工程_普令厝農地重劃區西33路農水路改善工程_施工日誌1" xfId="2429" xr:uid="{00000000-0005-0000-0000-0000EB100000}"/>
    <cellStyle name="_複製 -預算書0830_普令厝農地重劃區西33路農水路改善工程_雲林縣崙背鄉雨水下水道清淤工程" xfId="807" xr:uid="{00000000-0005-0000-0000-0000EC100000}"/>
    <cellStyle name="_複製 -預算書0830_普令厝農地重劃區西33路農水路改善工程_雲林縣崙背鄉雨水下水道清淤工程 2" xfId="4555" xr:uid="{00000000-0005-0000-0000-0000ED100000}"/>
    <cellStyle name="_複製 -預算書0830_普令厝農地重劃區西33路農水路改善工程_雲林縣崙背鄉雨水下水道清淤工程_施工日誌1" xfId="2430" xr:uid="{00000000-0005-0000-0000-0000EE100000}"/>
    <cellStyle name="_複製 -預算書0830_普令厝農地重劃區西33路農水路改善工程_雲林縣臺西鄉A9～A9-3雨水下水道建設工程" xfId="4556" xr:uid="{00000000-0005-0000-0000-0000EF100000}"/>
    <cellStyle name="_複製 -預算書0830_普令厝農地重劃區西33路農水路改善工程_臺西鄉(凡那比颱風)鄉內道路排水災害復建工程" xfId="808" xr:uid="{00000000-0005-0000-0000-0000F0100000}"/>
    <cellStyle name="_複製 -預算書0830_普令厝農地重劃區西33路農水路改善工程_臺西鄉(凡那比颱風)鄉內道路排水災害復建工程 2" xfId="4557" xr:uid="{00000000-0005-0000-0000-0000F1100000}"/>
    <cellStyle name="_複製 -預算書0830_普令厝農地重劃區西33路農水路改善工程_臺西鄉(凡那比颱風)鄉內道路排水災害復建工程_施工日誌1" xfId="2431" xr:uid="{00000000-0005-0000-0000-0000F2100000}"/>
    <cellStyle name="_複製 -預算書0830_普令厝農地重劃區西33路農水路改善工程_臺西鄉蚊港村蚊港巷道改善工程" xfId="4558" xr:uid="{00000000-0005-0000-0000-0000F3100000}"/>
    <cellStyle name="_複製 -預算書0830_普令厝農地重劃區西33路農水路改善工程_臺西鄉普令厝重劃區西8路等道路排水改善工程(確定案)" xfId="809" xr:uid="{00000000-0005-0000-0000-0000F4100000}"/>
    <cellStyle name="_複製 -預算書0830_普令厝農地重劃區西33路農水路改善工程_臺西鄉普令厝重劃區西8路等道路排水改善工程(確定案) 2" xfId="4559" xr:uid="{00000000-0005-0000-0000-0000F5100000}"/>
    <cellStyle name="_複製 -預算書0830_普令厝農地重劃區西33路農水路改善工程_臺西鄉普令厝重劃區西8路等道路排水改善工程(確定案)_施工日誌1" xfId="2432" xr:uid="{00000000-0005-0000-0000-0000F6100000}"/>
    <cellStyle name="_複製 -預算書0830_普令厝農地重劃區西33路農水路改善工程_臺西鄉臺西公有零售市埸作為多目標使用改善工程" xfId="4560" xr:uid="{00000000-0005-0000-0000-0000F7100000}"/>
    <cellStyle name="_複製 -預算書0830_普令厝農地重劃區西33路農水路改善工程_豐榮、草湖等村道路及排水溝改善工程-(變更)2" xfId="4561" xr:uid="{00000000-0005-0000-0000-0000F8100000}"/>
    <cellStyle name="_複製 -預算書0830_標單" xfId="810" xr:uid="{00000000-0005-0000-0000-0000F9100000}"/>
    <cellStyle name="_複製 -預算書0830_標單 2" xfId="4562" xr:uid="{00000000-0005-0000-0000-0000FA100000}"/>
    <cellStyle name="_複製 -預算書0830_標單_施工日誌1" xfId="2433" xr:uid="{00000000-0005-0000-0000-0000FB100000}"/>
    <cellStyle name="_複製 -預算書0830_標單_普令厝農地重劃區西33路農水路改善工程" xfId="811" xr:uid="{00000000-0005-0000-0000-0000FC100000}"/>
    <cellStyle name="_複製 -預算書0830_標單_普令厝農地重劃區西33路農水路改善工程 2" xfId="4563" xr:uid="{00000000-0005-0000-0000-0000FD100000}"/>
    <cellStyle name="_複製 -預算書0830_標單_普令厝農地重劃區西33路農水路改善工程_土庫鎮埤腳里道路、排水溝改善工程101.05.18(修正3確定)" xfId="4564" xr:uid="{00000000-0005-0000-0000-0000FE100000}"/>
    <cellStyle name="_複製 -預算書0830_標單_普令厝農地重劃區西33路農水路改善工程_元長鄉長南村巷道排水改善工程" xfId="4565" xr:uid="{00000000-0005-0000-0000-0000FF100000}"/>
    <cellStyle name="_複製 -預算書0830_標單_普令厝農地重劃區西33路農水路改善工程_斗南鎮久安農地重劃區V51路農路路面改善工程" xfId="5323" xr:uid="{00000000-0005-0000-0000-000000110000}"/>
    <cellStyle name="_複製 -預算書0830_標單_普令厝農地重劃區西33路農水路改善工程_斗南鎮田頭農地重劃區農路改善工程" xfId="5324" xr:uid="{00000000-0005-0000-0000-000001110000}"/>
    <cellStyle name="_複製 -預算書0830_標單_普令厝農地重劃區西33路農水路改善工程_斗南鎮西岐里舊社里等路面改善工程-100.05.18" xfId="4566" xr:uid="{00000000-0005-0000-0000-000002110000}"/>
    <cellStyle name="_複製 -預算書0830_標單_普令厝農地重劃區西33路農水路改善工程_斗南鎮阿丹里、林子里相關公共設施改善工程100.11.29" xfId="4567" xr:uid="{00000000-0005-0000-0000-000003110000}"/>
    <cellStyle name="_複製 -預算書0830_標單_普令厝農地重劃區西33路農水路改善工程_斗南鎮將軍里等路面及附屬設施改善工程" xfId="4568" xr:uid="{00000000-0005-0000-0000-000004110000}"/>
    <cellStyle name="_複製 -預算書0830_標單_普令厝農地重劃區西33路農水路改善工程_古坑鄉大湖底段及麻園段路面改善工程" xfId="4569" xr:uid="{00000000-0005-0000-0000-000005110000}"/>
    <cellStyle name="_複製 -預算書0830_標單_普令厝農地重劃區西33路農水路改善工程_台西海埔地南4路排水9907豪雨災害復建工程" xfId="4570" xr:uid="{00000000-0005-0000-0000-000006110000}"/>
    <cellStyle name="_複製 -預算書0830_標單_普令厝農地重劃區西33路農水路改善工程_台西鄉四美重劃區南北幹路4農路復建工程" xfId="812" xr:uid="{00000000-0005-0000-0000-000007110000}"/>
    <cellStyle name="_複製 -預算書0830_標單_普令厝農地重劃區西33路農水路改善工程_台西鄉四美重劃區南北幹路4農路復建工程 2" xfId="4571" xr:uid="{00000000-0005-0000-0000-000008110000}"/>
    <cellStyle name="_複製 -預算書0830_標單_普令厝農地重劃區西33路農水路改善工程_台西鄉四美重劃區南北幹路4農路復建工程_施工日誌1" xfId="2435" xr:uid="{00000000-0005-0000-0000-000009110000}"/>
    <cellStyle name="_複製 -預算書0830_標單_普令厝農地重劃區西33路農水路改善工程_東勢鄉新坤村及麥寮鄉海豐村道路排水改善工程" xfId="5325" xr:uid="{00000000-0005-0000-0000-00000A110000}"/>
    <cellStyle name="_複製 -預算書0830_標單_普令厝農地重劃區西33路農水路改善工程_林縣臺西鄉A10~A12雨水下水道建設工程(增減明細)" xfId="4572" xr:uid="{00000000-0005-0000-0000-00000B110000}"/>
    <cellStyle name="_複製 -預算書0830_標單_普令厝農地重劃區西33路農水路改善工程_虎尾鎮新吉里竹圍子農村社區生態魚池暨運動公園道路與排水改善工程(預算書)" xfId="4573" xr:uid="{00000000-0005-0000-0000-00000C110000}"/>
    <cellStyle name="_複製 -預算書0830_標單_普令厝農地重劃區西33路農水路改善工程_虎尾鎮新吉里竹圍子農村社區生態魚池暨運動公園道路與排水改善工程(確定)" xfId="5326" xr:uid="{00000000-0005-0000-0000-00000D110000}"/>
    <cellStyle name="_複製 -預算書0830_標單_普令厝農地重劃區西33路農水路改善工程_長北村等巷道排水改善工程" xfId="4574" xr:uid="{00000000-0005-0000-0000-00000E110000}"/>
    <cellStyle name="_複製 -預算書0830_標單_普令厝農地重劃區西33路農水路改善工程_後溝子一農地重劃區南北八路農路改善工程" xfId="813" xr:uid="{00000000-0005-0000-0000-00000F110000}"/>
    <cellStyle name="_複製 -預算書0830_標單_普令厝農地重劃區西33路農水路改善工程_後溝子一農地重劃區南北八路農路改善工程 2" xfId="4575" xr:uid="{00000000-0005-0000-0000-000010110000}"/>
    <cellStyle name="_複製 -預算書0830_標單_普令厝農地重劃區西33路農水路改善工程_後溝子一農地重劃區南北八路農路改善工程_施工日誌1" xfId="2436" xr:uid="{00000000-0005-0000-0000-000011110000}"/>
    <cellStyle name="_複製 -預算書0830_標單_普令厝農地重劃區西33路農水路改善工程_施工日誌1" xfId="2434" xr:uid="{00000000-0005-0000-0000-000012110000}"/>
    <cellStyle name="_複製 -預算書0830_標單_普令厝農地重劃區西33路農水路改善工程_崙背鄉雨水下水道清淤疏浚維護工程" xfId="814" xr:uid="{00000000-0005-0000-0000-000013110000}"/>
    <cellStyle name="_複製 -預算書0830_標單_普令厝農地重劃區西33路農水路改善工程_崙背鄉雨水下水道清淤疏浚維護工程 2" xfId="4576" xr:uid="{00000000-0005-0000-0000-000014110000}"/>
    <cellStyle name="_複製 -預算書0830_標單_普令厝農地重劃區西33路農水路改善工程_崙背鄉雨水下水道清淤疏浚維護工程_施工日誌1" xfId="2437" xr:uid="{00000000-0005-0000-0000-000015110000}"/>
    <cellStyle name="_複製 -預算書0830_標單_普令厝農地重劃區西33路農水路改善工程_鹿寮農地重劃區補路農路改善工程等七件工程" xfId="815" xr:uid="{00000000-0005-0000-0000-000016110000}"/>
    <cellStyle name="_複製 -預算書0830_標單_普令厝農地重劃區西33路農水路改善工程_鹿寮農地重劃區補路農路改善工程等七件工程 2" xfId="4577" xr:uid="{00000000-0005-0000-0000-000017110000}"/>
    <cellStyle name="_複製 -預算書0830_標單_普令厝農地重劃區西33路農水路改善工程_鹿寮農地重劃區補路農路改善工程等七件工程_施工日誌1" xfId="2438" xr:uid="{00000000-0005-0000-0000-000018110000}"/>
    <cellStyle name="_複製 -預算書0830_標單_普令厝農地重劃區西33路農水路改善工程_普令厝農地重劃區西33路農水路改善工程" xfId="816" xr:uid="{00000000-0005-0000-0000-000019110000}"/>
    <cellStyle name="_複製 -預算書0830_標單_普令厝農地重劃區西33路農水路改善工程_普令厝農地重劃區西33路農水路改善工程 2" xfId="4578" xr:uid="{00000000-0005-0000-0000-00001A110000}"/>
    <cellStyle name="_複製 -預算書0830_標單_普令厝農地重劃區西33路農水路改善工程_普令厝農地重劃區西33路農水路改善工程_施工日誌1" xfId="2439" xr:uid="{00000000-0005-0000-0000-00001B110000}"/>
    <cellStyle name="_複製 -預算書0830_標單_普令厝農地重劃區西33路農水路改善工程_雲林縣崙背鄉雨水下水道清淤工程" xfId="817" xr:uid="{00000000-0005-0000-0000-00001C110000}"/>
    <cellStyle name="_複製 -預算書0830_標單_普令厝農地重劃區西33路農水路改善工程_雲林縣崙背鄉雨水下水道清淤工程 2" xfId="4579" xr:uid="{00000000-0005-0000-0000-00001D110000}"/>
    <cellStyle name="_複製 -預算書0830_標單_普令厝農地重劃區西33路農水路改善工程_雲林縣崙背鄉雨水下水道清淤工程_施工日誌1" xfId="2440" xr:uid="{00000000-0005-0000-0000-00001E110000}"/>
    <cellStyle name="_複製 -預算書0830_標單_普令厝農地重劃區西33路農水路改善工程_雲林縣臺西鄉A9～A9-3雨水下水道建設工程" xfId="4580" xr:uid="{00000000-0005-0000-0000-00001F110000}"/>
    <cellStyle name="_複製 -預算書0830_標單_普令厝農地重劃區西33路農水路改善工程_臺西鄉(凡那比颱風)鄉內道路排水災害復建工程" xfId="818" xr:uid="{00000000-0005-0000-0000-000020110000}"/>
    <cellStyle name="_複製 -預算書0830_標單_普令厝農地重劃區西33路農水路改善工程_臺西鄉(凡那比颱風)鄉內道路排水災害復建工程 2" xfId="4581" xr:uid="{00000000-0005-0000-0000-000021110000}"/>
    <cellStyle name="_複製 -預算書0830_標單_普令厝農地重劃區西33路農水路改善工程_臺西鄉(凡那比颱風)鄉內道路排水災害復建工程_施工日誌1" xfId="2441" xr:uid="{00000000-0005-0000-0000-000022110000}"/>
    <cellStyle name="_複製 -預算書0830_標單_普令厝農地重劃區西33路農水路改善工程_臺西鄉蚊港村蚊港巷道改善工程" xfId="4582" xr:uid="{00000000-0005-0000-0000-000023110000}"/>
    <cellStyle name="_複製 -預算書0830_標單_普令厝農地重劃區西33路農水路改善工程_臺西鄉普令厝重劃區西8路等道路排水改善工程(確定案)" xfId="819" xr:uid="{00000000-0005-0000-0000-000024110000}"/>
    <cellStyle name="_複製 -預算書0830_標單_普令厝農地重劃區西33路農水路改善工程_臺西鄉普令厝重劃區西8路等道路排水改善工程(確定案) 2" xfId="4583" xr:uid="{00000000-0005-0000-0000-000025110000}"/>
    <cellStyle name="_複製 -預算書0830_標單_普令厝農地重劃區西33路農水路改善工程_臺西鄉普令厝重劃區西8路等道路排水改善工程(確定案)_施工日誌1" xfId="2442" xr:uid="{00000000-0005-0000-0000-000026110000}"/>
    <cellStyle name="_複製 -預算書0830_標單_普令厝農地重劃區西33路農水路改善工程_臺西鄉臺西公有零售市埸作為多目標使用改善工程" xfId="4584" xr:uid="{00000000-0005-0000-0000-000027110000}"/>
    <cellStyle name="_複製 -預算書0830_標單_普令厝農地重劃區西33路農水路改善工程_豐榮、草湖等村道路及排水溝改善工程-(變更)2" xfId="4585" xr:uid="{00000000-0005-0000-0000-000028110000}"/>
    <cellStyle name="_褒忠鄉田洋村庄旁農路等路面改善工程" xfId="1624" xr:uid="{00000000-0005-0000-0000-000029110000}"/>
    <cellStyle name="_調整預算書五塊厝重劃區農路災害復健工程" xfId="820" xr:uid="{00000000-0005-0000-0000-00002A110000}"/>
    <cellStyle name="_調整預算書五塊厝重劃區農路災害復健工程_施工日誌1" xfId="2443" xr:uid="{00000000-0005-0000-0000-00002B110000}"/>
    <cellStyle name="_調整預算書飛東農路災害復建工程" xfId="821" xr:uid="{00000000-0005-0000-0000-00002C110000}"/>
    <cellStyle name="_調整預算書飛東農路災害復建工程_施工日誌1" xfId="2444" xr:uid="{00000000-0005-0000-0000-00002D110000}"/>
    <cellStyle name="_調整預算書埤尾農路災害復建工程" xfId="822" xr:uid="{00000000-0005-0000-0000-00002E110000}"/>
    <cellStyle name="_調整預算書埤尾農路災害復建工程_施工日誌1" xfId="2445" xr:uid="{00000000-0005-0000-0000-00002F110000}"/>
    <cellStyle name="_簽呈變更路利潭（三）農地重劃區馬公大排二側等農路改善工程（4件合併)" xfId="823" xr:uid="{00000000-0005-0000-0000-000030110000}"/>
    <cellStyle name="_簽呈變更路利潭（三）農地重劃區馬公大排二側等農路改善工程（4件合併)_施工日誌1" xfId="2446" xr:uid="{00000000-0005-0000-0000-000031110000}"/>
    <cellStyle name="_議定預算書決算3-12" xfId="824" xr:uid="{00000000-0005-0000-0000-000032110000}"/>
    <cellStyle name="_議定預算書決算3-12_施工日誌1" xfId="2447" xr:uid="{00000000-0005-0000-0000-000033110000}"/>
    <cellStyle name="_變更" xfId="825" xr:uid="{00000000-0005-0000-0000-000034110000}"/>
    <cellStyle name="_變更_施工日誌1" xfId="2448" xr:uid="{00000000-0005-0000-0000-000035110000}"/>
    <cellStyle name="_變更表" xfId="826" xr:uid="{00000000-0005-0000-0000-000036110000}"/>
    <cellStyle name="_變更表 2" xfId="4586" xr:uid="{00000000-0005-0000-0000-000037110000}"/>
    <cellStyle name="_變更表_芊蓁籠農路邊坡災害復建工程【變更】" xfId="827" xr:uid="{00000000-0005-0000-0000-000038110000}"/>
    <cellStyle name="_變更表_芊蓁籠農路邊坡災害復建工程【變更】_施工日誌1" xfId="2450" xr:uid="{00000000-0005-0000-0000-000039110000}"/>
    <cellStyle name="_變更表_施工日誌1" xfId="2449" xr:uid="{00000000-0005-0000-0000-00003A110000}"/>
    <cellStyle name="_變更表_普令厝農地重劃區西33路農水路改善工程" xfId="828" xr:uid="{00000000-0005-0000-0000-00003B110000}"/>
    <cellStyle name="_變更表_普令厝農地重劃區西33路農水路改善工程 2" xfId="4587" xr:uid="{00000000-0005-0000-0000-00003C110000}"/>
    <cellStyle name="_變更表_普令厝農地重劃區西33路農水路改善工程_土庫鎮埤腳里道路、排水溝改善工程101.05.18(修正3確定)" xfId="4588" xr:uid="{00000000-0005-0000-0000-00003D110000}"/>
    <cellStyle name="_變更表_普令厝農地重劃區西33路農水路改善工程_元長鄉長南村巷道排水改善工程" xfId="4589" xr:uid="{00000000-0005-0000-0000-00003E110000}"/>
    <cellStyle name="_變更表_普令厝農地重劃區西33路農水路改善工程_斗南鎮久安農地重劃區V51路農路路面改善工程" xfId="5327" xr:uid="{00000000-0005-0000-0000-00003F110000}"/>
    <cellStyle name="_變更表_普令厝農地重劃區西33路農水路改善工程_斗南鎮田頭農地重劃區農路改善工程" xfId="5328" xr:uid="{00000000-0005-0000-0000-000040110000}"/>
    <cellStyle name="_變更表_普令厝農地重劃區西33路農水路改善工程_斗南鎮西岐里舊社里等路面改善工程-100.05.18" xfId="4590" xr:uid="{00000000-0005-0000-0000-000041110000}"/>
    <cellStyle name="_變更表_普令厝農地重劃區西33路農水路改善工程_斗南鎮阿丹里、林子里相關公共設施改善工程100.11.29" xfId="4591" xr:uid="{00000000-0005-0000-0000-000042110000}"/>
    <cellStyle name="_變更表_普令厝農地重劃區西33路農水路改善工程_斗南鎮將軍里等路面及附屬設施改善工程" xfId="4592" xr:uid="{00000000-0005-0000-0000-000043110000}"/>
    <cellStyle name="_變更表_普令厝農地重劃區西33路農水路改善工程_古坑鄉大湖底段及麻園段路面改善工程" xfId="4593" xr:uid="{00000000-0005-0000-0000-000044110000}"/>
    <cellStyle name="_變更表_普令厝農地重劃區西33路農水路改善工程_台西海埔地南4路排水9907豪雨災害復建工程" xfId="4594" xr:uid="{00000000-0005-0000-0000-000045110000}"/>
    <cellStyle name="_變更表_普令厝農地重劃區西33路農水路改善工程_台西鄉四美重劃區南北幹路4農路復建工程" xfId="829" xr:uid="{00000000-0005-0000-0000-000046110000}"/>
    <cellStyle name="_變更表_普令厝農地重劃區西33路農水路改善工程_台西鄉四美重劃區南北幹路4農路復建工程 2" xfId="4595" xr:uid="{00000000-0005-0000-0000-000047110000}"/>
    <cellStyle name="_變更表_普令厝農地重劃區西33路農水路改善工程_台西鄉四美重劃區南北幹路4農路復建工程_施工日誌1" xfId="2452" xr:uid="{00000000-0005-0000-0000-000048110000}"/>
    <cellStyle name="_變更表_普令厝農地重劃區西33路農水路改善工程_東勢鄉新坤村及麥寮鄉海豐村道路排水改善工程" xfId="5329" xr:uid="{00000000-0005-0000-0000-000049110000}"/>
    <cellStyle name="_變更表_普令厝農地重劃區西33路農水路改善工程_林縣臺西鄉A10~A12雨水下水道建設工程(增減明細)" xfId="4596" xr:uid="{00000000-0005-0000-0000-00004A110000}"/>
    <cellStyle name="_變更表_普令厝農地重劃區西33路農水路改善工程_虎尾鎮新吉里竹圍子農村社區生態魚池暨運動公園道路與排水改善工程(預算書)" xfId="4597" xr:uid="{00000000-0005-0000-0000-00004B110000}"/>
    <cellStyle name="_變更表_普令厝農地重劃區西33路農水路改善工程_虎尾鎮新吉里竹圍子農村社區生態魚池暨運動公園道路與排水改善工程(確定)" xfId="5330" xr:uid="{00000000-0005-0000-0000-00004C110000}"/>
    <cellStyle name="_變更表_普令厝農地重劃區西33路農水路改善工程_長北村等巷道排水改善工程" xfId="4598" xr:uid="{00000000-0005-0000-0000-00004D110000}"/>
    <cellStyle name="_變更表_普令厝農地重劃區西33路農水路改善工程_後溝子一農地重劃區南北八路農路改善工程" xfId="830" xr:uid="{00000000-0005-0000-0000-00004E110000}"/>
    <cellStyle name="_變更表_普令厝農地重劃區西33路農水路改善工程_後溝子一農地重劃區南北八路農路改善工程 2" xfId="4599" xr:uid="{00000000-0005-0000-0000-00004F110000}"/>
    <cellStyle name="_變更表_普令厝農地重劃區西33路農水路改善工程_後溝子一農地重劃區南北八路農路改善工程_施工日誌1" xfId="2453" xr:uid="{00000000-0005-0000-0000-000050110000}"/>
    <cellStyle name="_變更表_普令厝農地重劃區西33路農水路改善工程_施工日誌1" xfId="2451" xr:uid="{00000000-0005-0000-0000-000051110000}"/>
    <cellStyle name="_變更表_普令厝農地重劃區西33路農水路改善工程_崙背鄉雨水下水道清淤疏浚維護工程" xfId="831" xr:uid="{00000000-0005-0000-0000-000052110000}"/>
    <cellStyle name="_變更表_普令厝農地重劃區西33路農水路改善工程_崙背鄉雨水下水道清淤疏浚維護工程 2" xfId="4600" xr:uid="{00000000-0005-0000-0000-000053110000}"/>
    <cellStyle name="_變更表_普令厝農地重劃區西33路農水路改善工程_崙背鄉雨水下水道清淤疏浚維護工程_施工日誌1" xfId="2454" xr:uid="{00000000-0005-0000-0000-000054110000}"/>
    <cellStyle name="_變更表_普令厝農地重劃區西33路農水路改善工程_鹿寮農地重劃區補路農路改善工程等七件工程" xfId="832" xr:uid="{00000000-0005-0000-0000-000055110000}"/>
    <cellStyle name="_變更表_普令厝農地重劃區西33路農水路改善工程_鹿寮農地重劃區補路農路改善工程等七件工程 2" xfId="4601" xr:uid="{00000000-0005-0000-0000-000056110000}"/>
    <cellStyle name="_變更表_普令厝農地重劃區西33路農水路改善工程_鹿寮農地重劃區補路農路改善工程等七件工程_施工日誌1" xfId="2455" xr:uid="{00000000-0005-0000-0000-000057110000}"/>
    <cellStyle name="_變更表_普令厝農地重劃區西33路農水路改善工程_普令厝農地重劃區西33路農水路改善工程" xfId="833" xr:uid="{00000000-0005-0000-0000-000058110000}"/>
    <cellStyle name="_變更表_普令厝農地重劃區西33路農水路改善工程_普令厝農地重劃區西33路農水路改善工程 2" xfId="4602" xr:uid="{00000000-0005-0000-0000-000059110000}"/>
    <cellStyle name="_變更表_普令厝農地重劃區西33路農水路改善工程_普令厝農地重劃區西33路農水路改善工程_施工日誌1" xfId="2456" xr:uid="{00000000-0005-0000-0000-00005A110000}"/>
    <cellStyle name="_變更表_普令厝農地重劃區西33路農水路改善工程_雲林縣崙背鄉雨水下水道清淤工程" xfId="834" xr:uid="{00000000-0005-0000-0000-00005B110000}"/>
    <cellStyle name="_變更表_普令厝農地重劃區西33路農水路改善工程_雲林縣崙背鄉雨水下水道清淤工程 2" xfId="4603" xr:uid="{00000000-0005-0000-0000-00005C110000}"/>
    <cellStyle name="_變更表_普令厝農地重劃區西33路農水路改善工程_雲林縣崙背鄉雨水下水道清淤工程_施工日誌1" xfId="2457" xr:uid="{00000000-0005-0000-0000-00005D110000}"/>
    <cellStyle name="_變更表_普令厝農地重劃區西33路農水路改善工程_雲林縣臺西鄉A9～A9-3雨水下水道建設工程" xfId="4604" xr:uid="{00000000-0005-0000-0000-00005E110000}"/>
    <cellStyle name="_變更表_普令厝農地重劃區西33路農水路改善工程_臺西鄉(凡那比颱風)鄉內道路排水災害復建工程" xfId="835" xr:uid="{00000000-0005-0000-0000-00005F110000}"/>
    <cellStyle name="_變更表_普令厝農地重劃區西33路農水路改善工程_臺西鄉(凡那比颱風)鄉內道路排水災害復建工程 2" xfId="4605" xr:uid="{00000000-0005-0000-0000-000060110000}"/>
    <cellStyle name="_變更表_普令厝農地重劃區西33路農水路改善工程_臺西鄉(凡那比颱風)鄉內道路排水災害復建工程_施工日誌1" xfId="2458" xr:uid="{00000000-0005-0000-0000-000061110000}"/>
    <cellStyle name="_變更表_普令厝農地重劃區西33路農水路改善工程_臺西鄉蚊港村蚊港巷道改善工程" xfId="4606" xr:uid="{00000000-0005-0000-0000-000062110000}"/>
    <cellStyle name="_變更表_普令厝農地重劃區西33路農水路改善工程_臺西鄉普令厝重劃區西8路等道路排水改善工程(確定案)" xfId="836" xr:uid="{00000000-0005-0000-0000-000063110000}"/>
    <cellStyle name="_變更表_普令厝農地重劃區西33路農水路改善工程_臺西鄉普令厝重劃區西8路等道路排水改善工程(確定案) 2" xfId="4607" xr:uid="{00000000-0005-0000-0000-000064110000}"/>
    <cellStyle name="_變更表_普令厝農地重劃區西33路農水路改善工程_臺西鄉普令厝重劃區西8路等道路排水改善工程(確定案)_施工日誌1" xfId="2459" xr:uid="{00000000-0005-0000-0000-000065110000}"/>
    <cellStyle name="_變更表_普令厝農地重劃區西33路農水路改善工程_臺西鄉臺西公有零售市埸作為多目標使用改善工程" xfId="4608" xr:uid="{00000000-0005-0000-0000-000066110000}"/>
    <cellStyle name="_變更表_普令厝農地重劃區西33路農水路改善工程_豐榮、草湖等村道路及排水溝改善工程-(變更)2" xfId="4609" xr:uid="{00000000-0005-0000-0000-000067110000}"/>
    <cellStyle name="_變更表_新吉村等自來水管線汰換修復工程【99.04.22修改】" xfId="837" xr:uid="{00000000-0005-0000-0000-000068110000}"/>
    <cellStyle name="_變更表_新吉村等自來水管線汰換修復工程【99.04.22修改】_施工日誌1" xfId="2460" xr:uid="{00000000-0005-0000-0000-000069110000}"/>
    <cellStyle name="_變更設計" xfId="838" xr:uid="{00000000-0005-0000-0000-00006A110000}"/>
    <cellStyle name="_變更設計_施工日誌1" xfId="2461" xr:uid="{00000000-0005-0000-0000-00006B110000}"/>
    <cellStyle name="_變更設計1" xfId="839" xr:uid="{00000000-0005-0000-0000-00006C110000}"/>
    <cellStyle name="_變更設計1 2" xfId="4610" xr:uid="{00000000-0005-0000-0000-00006D110000}"/>
    <cellStyle name="_變更設計1_芊蓁籠農路邊坡災害復建工程【變更】" xfId="840" xr:uid="{00000000-0005-0000-0000-00006E110000}"/>
    <cellStyle name="_變更設計1_芊蓁籠農路邊坡災害復建工程【變更】_施工日誌1" xfId="2463" xr:uid="{00000000-0005-0000-0000-00006F110000}"/>
    <cellStyle name="_變更設計1_施工日誌1" xfId="2462" xr:uid="{00000000-0005-0000-0000-000070110000}"/>
    <cellStyle name="_變更設計1_普令厝農地重劃區西33路農水路改善工程" xfId="841" xr:uid="{00000000-0005-0000-0000-000071110000}"/>
    <cellStyle name="_變更設計1_普令厝農地重劃區西33路農水路改善工程 2" xfId="4611" xr:uid="{00000000-0005-0000-0000-000072110000}"/>
    <cellStyle name="_變更設計1_普令厝農地重劃區西33路農水路改善工程_土庫鎮埤腳里道路、排水溝改善工程101.05.18(修正3確定)" xfId="4612" xr:uid="{00000000-0005-0000-0000-000073110000}"/>
    <cellStyle name="_變更設計1_普令厝農地重劃區西33路農水路改善工程_元長鄉長南村巷道排水改善工程" xfId="4613" xr:uid="{00000000-0005-0000-0000-000074110000}"/>
    <cellStyle name="_變更設計1_普令厝農地重劃區西33路農水路改善工程_斗南鎮久安農地重劃區V51路農路路面改善工程" xfId="5331" xr:uid="{00000000-0005-0000-0000-000075110000}"/>
    <cellStyle name="_變更設計1_普令厝農地重劃區西33路農水路改善工程_斗南鎮田頭農地重劃區農路改善工程" xfId="5332" xr:uid="{00000000-0005-0000-0000-000076110000}"/>
    <cellStyle name="_變更設計1_普令厝農地重劃區西33路農水路改善工程_斗南鎮西岐里舊社里等路面改善工程-100.05.18" xfId="4614" xr:uid="{00000000-0005-0000-0000-000077110000}"/>
    <cellStyle name="_變更設計1_普令厝農地重劃區西33路農水路改善工程_斗南鎮阿丹里、林子里相關公共設施改善工程100.11.29" xfId="4615" xr:uid="{00000000-0005-0000-0000-000078110000}"/>
    <cellStyle name="_變更設計1_普令厝農地重劃區西33路農水路改善工程_斗南鎮將軍里等路面及附屬設施改善工程" xfId="4616" xr:uid="{00000000-0005-0000-0000-000079110000}"/>
    <cellStyle name="_變更設計1_普令厝農地重劃區西33路農水路改善工程_古坑鄉大湖底段及麻園段路面改善工程" xfId="4617" xr:uid="{00000000-0005-0000-0000-00007A110000}"/>
    <cellStyle name="_變更設計1_普令厝農地重劃區西33路農水路改善工程_台西海埔地南4路排水9907豪雨災害復建工程" xfId="4618" xr:uid="{00000000-0005-0000-0000-00007B110000}"/>
    <cellStyle name="_變更設計1_普令厝農地重劃區西33路農水路改善工程_台西鄉四美重劃區南北幹路4農路復建工程" xfId="842" xr:uid="{00000000-0005-0000-0000-00007C110000}"/>
    <cellStyle name="_變更設計1_普令厝農地重劃區西33路農水路改善工程_台西鄉四美重劃區南北幹路4農路復建工程 2" xfId="4619" xr:uid="{00000000-0005-0000-0000-00007D110000}"/>
    <cellStyle name="_變更設計1_普令厝農地重劃區西33路農水路改善工程_台西鄉四美重劃區南北幹路4農路復建工程_施工日誌1" xfId="2465" xr:uid="{00000000-0005-0000-0000-00007E110000}"/>
    <cellStyle name="_變更設計1_普令厝農地重劃區西33路農水路改善工程_東勢鄉新坤村及麥寮鄉海豐村道路排水改善工程" xfId="5333" xr:uid="{00000000-0005-0000-0000-00007F110000}"/>
    <cellStyle name="_變更設計1_普令厝農地重劃區西33路農水路改善工程_林縣臺西鄉A10~A12雨水下水道建設工程(增減明細)" xfId="4620" xr:uid="{00000000-0005-0000-0000-000080110000}"/>
    <cellStyle name="_變更設計1_普令厝農地重劃區西33路農水路改善工程_虎尾鎮新吉里竹圍子農村社區生態魚池暨運動公園道路與排水改善工程(預算書)" xfId="4621" xr:uid="{00000000-0005-0000-0000-000081110000}"/>
    <cellStyle name="_變更設計1_普令厝農地重劃區西33路農水路改善工程_虎尾鎮新吉里竹圍子農村社區生態魚池暨運動公園道路與排水改善工程(確定)" xfId="5334" xr:uid="{00000000-0005-0000-0000-000082110000}"/>
    <cellStyle name="_變更設計1_普令厝農地重劃區西33路農水路改善工程_長北村等巷道排水改善工程" xfId="4622" xr:uid="{00000000-0005-0000-0000-000083110000}"/>
    <cellStyle name="_變更設計1_普令厝農地重劃區西33路農水路改善工程_後溝子一農地重劃區南北八路農路改善工程" xfId="843" xr:uid="{00000000-0005-0000-0000-000084110000}"/>
    <cellStyle name="_變更設計1_普令厝農地重劃區西33路農水路改善工程_後溝子一農地重劃區南北八路農路改善工程 2" xfId="4623" xr:uid="{00000000-0005-0000-0000-000085110000}"/>
    <cellStyle name="_變更設計1_普令厝農地重劃區西33路農水路改善工程_後溝子一農地重劃區南北八路農路改善工程_施工日誌1" xfId="2466" xr:uid="{00000000-0005-0000-0000-000086110000}"/>
    <cellStyle name="_變更設計1_普令厝農地重劃區西33路農水路改善工程_施工日誌1" xfId="2464" xr:uid="{00000000-0005-0000-0000-000087110000}"/>
    <cellStyle name="_變更設計1_普令厝農地重劃區西33路農水路改善工程_崙背鄉雨水下水道清淤疏浚維護工程" xfId="844" xr:uid="{00000000-0005-0000-0000-000088110000}"/>
    <cellStyle name="_變更設計1_普令厝農地重劃區西33路農水路改善工程_崙背鄉雨水下水道清淤疏浚維護工程 2" xfId="4624" xr:uid="{00000000-0005-0000-0000-000089110000}"/>
    <cellStyle name="_變更設計1_普令厝農地重劃區西33路農水路改善工程_崙背鄉雨水下水道清淤疏浚維護工程_施工日誌1" xfId="2467" xr:uid="{00000000-0005-0000-0000-00008A110000}"/>
    <cellStyle name="_變更設計1_普令厝農地重劃區西33路農水路改善工程_鹿寮農地重劃區補路農路改善工程等七件工程" xfId="845" xr:uid="{00000000-0005-0000-0000-00008B110000}"/>
    <cellStyle name="_變更設計1_普令厝農地重劃區西33路農水路改善工程_鹿寮農地重劃區補路農路改善工程等七件工程 2" xfId="4625" xr:uid="{00000000-0005-0000-0000-00008C110000}"/>
    <cellStyle name="_變更設計1_普令厝農地重劃區西33路農水路改善工程_鹿寮農地重劃區補路農路改善工程等七件工程_施工日誌1" xfId="2468" xr:uid="{00000000-0005-0000-0000-00008D110000}"/>
    <cellStyle name="_變更設計1_普令厝農地重劃區西33路農水路改善工程_普令厝農地重劃區西33路農水路改善工程" xfId="846" xr:uid="{00000000-0005-0000-0000-00008E110000}"/>
    <cellStyle name="_變更設計1_普令厝農地重劃區西33路農水路改善工程_普令厝農地重劃區西33路農水路改善工程 2" xfId="4626" xr:uid="{00000000-0005-0000-0000-00008F110000}"/>
    <cellStyle name="_變更設計1_普令厝農地重劃區西33路農水路改善工程_普令厝農地重劃區西33路農水路改善工程_施工日誌1" xfId="2469" xr:uid="{00000000-0005-0000-0000-000090110000}"/>
    <cellStyle name="_變更設計1_普令厝農地重劃區西33路農水路改善工程_雲林縣崙背鄉雨水下水道清淤工程" xfId="847" xr:uid="{00000000-0005-0000-0000-000091110000}"/>
    <cellStyle name="_變更設計1_普令厝農地重劃區西33路農水路改善工程_雲林縣崙背鄉雨水下水道清淤工程 2" xfId="4627" xr:uid="{00000000-0005-0000-0000-000092110000}"/>
    <cellStyle name="_變更設計1_普令厝農地重劃區西33路農水路改善工程_雲林縣崙背鄉雨水下水道清淤工程_施工日誌1" xfId="2470" xr:uid="{00000000-0005-0000-0000-000093110000}"/>
    <cellStyle name="_變更設計1_普令厝農地重劃區西33路農水路改善工程_雲林縣臺西鄉A9～A9-3雨水下水道建設工程" xfId="4628" xr:uid="{00000000-0005-0000-0000-000094110000}"/>
    <cellStyle name="_變更設計1_普令厝農地重劃區西33路農水路改善工程_臺西鄉(凡那比颱風)鄉內道路排水災害復建工程" xfId="848" xr:uid="{00000000-0005-0000-0000-000095110000}"/>
    <cellStyle name="_變更設計1_普令厝農地重劃區西33路農水路改善工程_臺西鄉(凡那比颱風)鄉內道路排水災害復建工程 2" xfId="4629" xr:uid="{00000000-0005-0000-0000-000096110000}"/>
    <cellStyle name="_變更設計1_普令厝農地重劃區西33路農水路改善工程_臺西鄉(凡那比颱風)鄉內道路排水災害復建工程_施工日誌1" xfId="2471" xr:uid="{00000000-0005-0000-0000-000097110000}"/>
    <cellStyle name="_變更設計1_普令厝農地重劃區西33路農水路改善工程_臺西鄉蚊港村蚊港巷道改善工程" xfId="4630" xr:uid="{00000000-0005-0000-0000-000098110000}"/>
    <cellStyle name="_變更設計1_普令厝農地重劃區西33路農水路改善工程_臺西鄉普令厝重劃區西8路等道路排水改善工程(確定案)" xfId="849" xr:uid="{00000000-0005-0000-0000-000099110000}"/>
    <cellStyle name="_變更設計1_普令厝農地重劃區西33路農水路改善工程_臺西鄉普令厝重劃區西8路等道路排水改善工程(確定案) 2" xfId="4631" xr:uid="{00000000-0005-0000-0000-00009A110000}"/>
    <cellStyle name="_變更設計1_普令厝農地重劃區西33路農水路改善工程_臺西鄉普令厝重劃區西8路等道路排水改善工程(確定案)_施工日誌1" xfId="2472" xr:uid="{00000000-0005-0000-0000-00009B110000}"/>
    <cellStyle name="_變更設計1_普令厝農地重劃區西33路農水路改善工程_臺西鄉臺西公有零售市埸作為多目標使用改善工程" xfId="4632" xr:uid="{00000000-0005-0000-0000-00009C110000}"/>
    <cellStyle name="_變更設計1_普令厝農地重劃區西33路農水路改善工程_豐榮、草湖等村道路及排水溝改善工程-(變更)2" xfId="4633" xr:uid="{00000000-0005-0000-0000-00009D110000}"/>
    <cellStyle name="_變更設計1_新吉村等自來水管線汰換修復工程【99.04.22修改】" xfId="850" xr:uid="{00000000-0005-0000-0000-00009E110000}"/>
    <cellStyle name="_變更設計1_新吉村等自來水管線汰換修復工程【99.04.22修改】_施工日誌1" xfId="2473" xr:uid="{00000000-0005-0000-0000-00009F110000}"/>
    <cellStyle name="0,0_x000d__x000a_NA_x000d__x000a_" xfId="851" xr:uid="{00000000-0005-0000-0000-0000A0110000}"/>
    <cellStyle name="0,0_x000d__x000a_NA_x000d__x000a_ 2" xfId="4634" xr:uid="{00000000-0005-0000-0000-0000A1110000}"/>
    <cellStyle name="20% - 輔色1 2" xfId="5335" xr:uid="{00000000-0005-0000-0000-0000A2110000}"/>
    <cellStyle name="20% - 輔色2 2" xfId="5336" xr:uid="{00000000-0005-0000-0000-0000A3110000}"/>
    <cellStyle name="20% - 輔色3 2" xfId="5337" xr:uid="{00000000-0005-0000-0000-0000A4110000}"/>
    <cellStyle name="20% - 輔色4 2" xfId="5338" xr:uid="{00000000-0005-0000-0000-0000A5110000}"/>
    <cellStyle name="20% - 輔色5 2" xfId="5339" xr:uid="{00000000-0005-0000-0000-0000A6110000}"/>
    <cellStyle name="20% - 輔色6 2" xfId="5340" xr:uid="{00000000-0005-0000-0000-0000A7110000}"/>
    <cellStyle name="40% - 輔色1 2" xfId="5341" xr:uid="{00000000-0005-0000-0000-0000A8110000}"/>
    <cellStyle name="40% - 輔色2 2" xfId="5342" xr:uid="{00000000-0005-0000-0000-0000A9110000}"/>
    <cellStyle name="40% - 輔色3 2" xfId="5343" xr:uid="{00000000-0005-0000-0000-0000AA110000}"/>
    <cellStyle name="40% - 輔色4 2" xfId="5344" xr:uid="{00000000-0005-0000-0000-0000AB110000}"/>
    <cellStyle name="40% - 輔色5 2" xfId="5345" xr:uid="{00000000-0005-0000-0000-0000AC110000}"/>
    <cellStyle name="40% - 輔色6 2" xfId="5346" xr:uid="{00000000-0005-0000-0000-0000AD110000}"/>
    <cellStyle name="60% - 輔色1 2" xfId="5347" xr:uid="{00000000-0005-0000-0000-0000AE110000}"/>
    <cellStyle name="60% - 輔色2 2" xfId="5348" xr:uid="{00000000-0005-0000-0000-0000AF110000}"/>
    <cellStyle name="60% - 輔色3 2" xfId="5349" xr:uid="{00000000-0005-0000-0000-0000B0110000}"/>
    <cellStyle name="60% - 輔色4 2" xfId="5350" xr:uid="{00000000-0005-0000-0000-0000B1110000}"/>
    <cellStyle name="60% - 輔色5 2" xfId="5351" xr:uid="{00000000-0005-0000-0000-0000B2110000}"/>
    <cellStyle name="60% - 輔色6 2" xfId="5352" xr:uid="{00000000-0005-0000-0000-0000B3110000}"/>
    <cellStyle name="aa" xfId="852" xr:uid="{00000000-0005-0000-0000-0000B4110000}"/>
    <cellStyle name="aa 2" xfId="4635" xr:uid="{00000000-0005-0000-0000-0000B5110000}"/>
    <cellStyle name="ass" xfId="2483" xr:uid="{00000000-0005-0000-0000-0000B6110000}"/>
    <cellStyle name="eng" xfId="853" xr:uid="{00000000-0005-0000-0000-0000B7110000}"/>
    <cellStyle name="Header1" xfId="4636" xr:uid="{00000000-0005-0000-0000-0000B8110000}"/>
    <cellStyle name="Header2" xfId="4637" xr:uid="{00000000-0005-0000-0000-0000B9110000}"/>
    <cellStyle name="lu" xfId="854" xr:uid="{00000000-0005-0000-0000-0000BA110000}"/>
    <cellStyle name="name" xfId="4638" xr:uid="{00000000-0005-0000-0000-0000BB110000}"/>
    <cellStyle name="Normal - Style1" xfId="855" xr:uid="{00000000-0005-0000-0000-0000BC110000}"/>
    <cellStyle name="Normal_Basic Assumptions" xfId="856" xr:uid="{00000000-0005-0000-0000-0000BD110000}"/>
    <cellStyle name="t_Area" xfId="857" xr:uid="{00000000-0005-0000-0000-0000BE110000}"/>
    <cellStyle name="t_Area 2" xfId="4639" xr:uid="{00000000-0005-0000-0000-0000BF110000}"/>
    <cellStyle name="t_Area_施工日誌1" xfId="2474" xr:uid="{00000000-0005-0000-0000-0000C0110000}"/>
    <cellStyle name="t_Area_新吉村等自來水管線汰換修復工程【99.04.22修改】" xfId="858" xr:uid="{00000000-0005-0000-0000-0000C1110000}"/>
    <cellStyle name="t_Area_新吉村等自來水管線汰換修復工程【99.04.22修改】_施工日誌1" xfId="2475" xr:uid="{00000000-0005-0000-0000-0000C2110000}"/>
    <cellStyle name="t1" xfId="4640" xr:uid="{00000000-0005-0000-0000-0000C3110000}"/>
    <cellStyle name="title" xfId="4641" xr:uid="{00000000-0005-0000-0000-0000C4110000}"/>
    <cellStyle name="一般" xfId="0" builtinId="0"/>
    <cellStyle name="一般 2" xfId="859" xr:uid="{00000000-0005-0000-0000-0000C6110000}"/>
    <cellStyle name="一般 2 2" xfId="4643" xr:uid="{00000000-0005-0000-0000-0000C7110000}"/>
    <cellStyle name="一般 2 3" xfId="4642" xr:uid="{00000000-0005-0000-0000-0000C8110000}"/>
    <cellStyle name="一般 2_101.06.21變更設計(完整版)-1" xfId="4644" xr:uid="{00000000-0005-0000-0000-0000C9110000}"/>
    <cellStyle name="一般 3" xfId="860" xr:uid="{00000000-0005-0000-0000-0000CA110000}"/>
    <cellStyle name="一般 3 2" xfId="4645" xr:uid="{00000000-0005-0000-0000-0000CB110000}"/>
    <cellStyle name="一般 4" xfId="861" xr:uid="{00000000-0005-0000-0000-0000CC110000}"/>
    <cellStyle name="一般 4 2" xfId="4647" xr:uid="{00000000-0005-0000-0000-0000CD110000}"/>
    <cellStyle name="一般 4 3" xfId="4646" xr:uid="{00000000-0005-0000-0000-0000CE110000}"/>
    <cellStyle name="一般 4_101.06.21變更設計(完整版)-1" xfId="4648" xr:uid="{00000000-0005-0000-0000-0000CF110000}"/>
    <cellStyle name="一般 5" xfId="862" xr:uid="{00000000-0005-0000-0000-0000D0110000}"/>
    <cellStyle name="一般 5 2" xfId="4649" xr:uid="{00000000-0005-0000-0000-0000D1110000}"/>
    <cellStyle name="一般 6" xfId="5" xr:uid="{00000000-0005-0000-0000-0000D2110000}"/>
    <cellStyle name="一般 6 2" xfId="4650" xr:uid="{00000000-0005-0000-0000-0000D3110000}"/>
    <cellStyle name="一般 7" xfId="2481" xr:uid="{00000000-0005-0000-0000-0000D4110000}"/>
    <cellStyle name="一般 7 2" xfId="4651" xr:uid="{00000000-0005-0000-0000-0000D5110000}"/>
    <cellStyle name="一般 9" xfId="863" xr:uid="{00000000-0005-0000-0000-0000D6110000}"/>
    <cellStyle name="一般_pcc_d" xfId="2479" xr:uid="{00000000-0005-0000-0000-0000D7110000}"/>
    <cellStyle name="一般_文昌路道路排水溝改善工程(住都局)_安靖村南靖寮下庄村路災修工程(95萬)_預算書(1025)" xfId="5380" xr:uid="{5D57FEAB-12C7-4E14-9999-8FC62B4EFFEC}"/>
    <cellStyle name="一般_四湖鄉雲134線道路及排水改善工程(預算書)CANG98-08-31_ap_bdgt" xfId="2480" xr:uid="{00000000-0005-0000-0000-0000D8110000}"/>
    <cellStyle name="一般_第一次變更設計_複製 -福安村黃昏市場0109抽驗" xfId="3" xr:uid="{00000000-0005-0000-0000-0000D9110000}"/>
    <cellStyle name="一般_鶴鳴村民主街以東馬鳴-停工1月9日抽驗" xfId="2" xr:uid="{00000000-0005-0000-0000-0000DA110000}"/>
    <cellStyle name="人工挖方" xfId="4652" xr:uid="{00000000-0005-0000-0000-0000DB110000}"/>
    <cellStyle name="千分位" xfId="1" builtinId="3"/>
    <cellStyle name="千分位 2" xfId="864" xr:uid="{00000000-0005-0000-0000-0000DD110000}"/>
    <cellStyle name="千分位 2 2" xfId="4654" xr:uid="{00000000-0005-0000-0000-0000DE110000}"/>
    <cellStyle name="千分位 2 2 2" xfId="5354" xr:uid="{00000000-0005-0000-0000-0000DF110000}"/>
    <cellStyle name="千分位 2 2 3" xfId="5353" xr:uid="{00000000-0005-0000-0000-0000E0110000}"/>
    <cellStyle name="千分位 2_182121_預算書-四湖鄉南光農地重劃區南北十九路蔡厝路等路面改善工程" xfId="5355" xr:uid="{00000000-0005-0000-0000-0000E1110000}"/>
    <cellStyle name="千分位 3" xfId="865" xr:uid="{00000000-0005-0000-0000-0000E2110000}"/>
    <cellStyle name="千分位 3 2" xfId="4655" xr:uid="{00000000-0005-0000-0000-0000E3110000}"/>
    <cellStyle name="千分位 4" xfId="866" xr:uid="{00000000-0005-0000-0000-0000E4110000}"/>
    <cellStyle name="千分位 4 2" xfId="4656" xr:uid="{00000000-0005-0000-0000-0000E5110000}"/>
    <cellStyle name="千分位 5" xfId="4657" xr:uid="{00000000-0005-0000-0000-0000E6110000}"/>
    <cellStyle name="千分位 6" xfId="4653" xr:uid="{00000000-0005-0000-0000-0000E7110000}"/>
    <cellStyle name="千分位[0] 2" xfId="867" xr:uid="{00000000-0005-0000-0000-0000E8110000}"/>
    <cellStyle name="千分位[0] 2 2" xfId="4658" xr:uid="{00000000-0005-0000-0000-0000E9110000}"/>
    <cellStyle name="千分位[0] 3" xfId="2482" xr:uid="{00000000-0005-0000-0000-0000EA110000}"/>
    <cellStyle name="中等 2" xfId="5356" xr:uid="{00000000-0005-0000-0000-0000EB110000}"/>
    <cellStyle name="未定義" xfId="868" xr:uid="{00000000-0005-0000-0000-0000EC110000}"/>
    <cellStyle name="未定義 2" xfId="4659" xr:uid="{00000000-0005-0000-0000-0000ED110000}"/>
    <cellStyle name="合計 2" xfId="5357" xr:uid="{00000000-0005-0000-0000-0000EE110000}"/>
    <cellStyle name="好 2" xfId="5358" xr:uid="{00000000-0005-0000-0000-0000EF110000}"/>
    <cellStyle name="好_Sheet1" xfId="4660" xr:uid="{00000000-0005-0000-0000-0000F0110000}"/>
    <cellStyle name="好_Sheet2" xfId="4661" xr:uid="{00000000-0005-0000-0000-0000F1110000}"/>
    <cellStyle name="好_Sheet3" xfId="4662" xr:uid="{00000000-0005-0000-0000-0000F2110000}"/>
    <cellStyle name="好_施工日誌1" xfId="2476" xr:uid="{00000000-0005-0000-0000-0000F3110000}"/>
    <cellStyle name="好_數量表" xfId="4663" xr:uid="{00000000-0005-0000-0000-0000F4110000}"/>
    <cellStyle name="百分比" xfId="4" builtinId="5"/>
    <cellStyle name="百分比 2" xfId="869" xr:uid="{00000000-0005-0000-0000-0000F6110000}"/>
    <cellStyle name="表格 1" xfId="870" xr:uid="{00000000-0005-0000-0000-0000F7110000}"/>
    <cellStyle name="表格 1 2" xfId="4664" xr:uid="{00000000-0005-0000-0000-0000F8110000}"/>
    <cellStyle name="挖方" xfId="4665" xr:uid="{00000000-0005-0000-0000-0000F9110000}"/>
    <cellStyle name="計算方式 2" xfId="5359" xr:uid="{00000000-0005-0000-0000-0000FA110000}"/>
    <cellStyle name="貨幣[0]_Apply" xfId="871" xr:uid="{00000000-0005-0000-0000-0000FB110000}"/>
    <cellStyle name="連結的儲存格 2" xfId="5360" xr:uid="{00000000-0005-0000-0000-0000FC110000}"/>
    <cellStyle name="備註 2" xfId="5361" xr:uid="{00000000-0005-0000-0000-0000FD110000}"/>
    <cellStyle name="單價分析表表格[1]" xfId="872" xr:uid="{00000000-0005-0000-0000-0000FE110000}"/>
    <cellStyle name="單價分析表表格[1] 2" xfId="1629" xr:uid="{00000000-0005-0000-0000-0000FF110000}"/>
    <cellStyle name="單價分析表表格[1] 3" xfId="5362" xr:uid="{00000000-0005-0000-0000-000000120000}"/>
    <cellStyle name="單價分析表表格[1]_施工日誌1" xfId="2477" xr:uid="{00000000-0005-0000-0000-000001120000}"/>
    <cellStyle name="距離" xfId="873" xr:uid="{00000000-0005-0000-0000-000002120000}"/>
    <cellStyle name="詳細表" xfId="874" xr:uid="{00000000-0005-0000-0000-000003120000}"/>
    <cellStyle name="詳細表 2" xfId="4666" xr:uid="{00000000-0005-0000-0000-000004120000}"/>
    <cellStyle name="預算書" xfId="875" xr:uid="{00000000-0005-0000-0000-000005120000}"/>
    <cellStyle name="說明文字 2" xfId="5363" xr:uid="{00000000-0005-0000-0000-000006120000}"/>
    <cellStyle name="輔色1 2" xfId="5364" xr:uid="{00000000-0005-0000-0000-000007120000}"/>
    <cellStyle name="輔色2 2" xfId="5365" xr:uid="{00000000-0005-0000-0000-000008120000}"/>
    <cellStyle name="輔色3 2" xfId="5366" xr:uid="{00000000-0005-0000-0000-000009120000}"/>
    <cellStyle name="輔色4 2" xfId="5367" xr:uid="{00000000-0005-0000-0000-00000A120000}"/>
    <cellStyle name="輔色5 2" xfId="5368" xr:uid="{00000000-0005-0000-0000-00000B120000}"/>
    <cellStyle name="輔色6 2" xfId="5369" xr:uid="{00000000-0005-0000-0000-00000C120000}"/>
    <cellStyle name="樁號" xfId="876" xr:uid="{00000000-0005-0000-0000-00000D120000}"/>
    <cellStyle name="標題 1 2" xfId="5371" xr:uid="{00000000-0005-0000-0000-00000E120000}"/>
    <cellStyle name="標題 2 2" xfId="5372" xr:uid="{00000000-0005-0000-0000-00000F120000}"/>
    <cellStyle name="標題 3 2" xfId="5373" xr:uid="{00000000-0005-0000-0000-000010120000}"/>
    <cellStyle name="標題 4 2" xfId="5374" xr:uid="{00000000-0005-0000-0000-000011120000}"/>
    <cellStyle name="標題 5" xfId="5370" xr:uid="{00000000-0005-0000-0000-000012120000}"/>
    <cellStyle name="樣式 1" xfId="877" xr:uid="{00000000-0005-0000-0000-000013120000}"/>
    <cellStyle name="樣式 1 2" xfId="2484" xr:uid="{00000000-0005-0000-0000-000014120000}"/>
    <cellStyle name="樣式 10" xfId="878" xr:uid="{00000000-0005-0000-0000-000015120000}"/>
    <cellStyle name="樣式 10 2" xfId="4667" xr:uid="{00000000-0005-0000-0000-000016120000}"/>
    <cellStyle name="樣式 100" xfId="879" xr:uid="{00000000-0005-0000-0000-000017120000}"/>
    <cellStyle name="樣式 100 2" xfId="4668" xr:uid="{00000000-0005-0000-0000-000018120000}"/>
    <cellStyle name="樣式 101" xfId="880" xr:uid="{00000000-0005-0000-0000-000019120000}"/>
    <cellStyle name="樣式 101 2" xfId="4669" xr:uid="{00000000-0005-0000-0000-00001A120000}"/>
    <cellStyle name="樣式 102" xfId="881" xr:uid="{00000000-0005-0000-0000-00001B120000}"/>
    <cellStyle name="樣式 102 2" xfId="4670" xr:uid="{00000000-0005-0000-0000-00001C120000}"/>
    <cellStyle name="樣式 103" xfId="882" xr:uid="{00000000-0005-0000-0000-00001D120000}"/>
    <cellStyle name="樣式 103 2" xfId="4671" xr:uid="{00000000-0005-0000-0000-00001E120000}"/>
    <cellStyle name="樣式 104" xfId="883" xr:uid="{00000000-0005-0000-0000-00001F120000}"/>
    <cellStyle name="樣式 104 2" xfId="4672" xr:uid="{00000000-0005-0000-0000-000020120000}"/>
    <cellStyle name="樣式 105" xfId="884" xr:uid="{00000000-0005-0000-0000-000021120000}"/>
    <cellStyle name="樣式 105 2" xfId="4673" xr:uid="{00000000-0005-0000-0000-000022120000}"/>
    <cellStyle name="樣式 106" xfId="885" xr:uid="{00000000-0005-0000-0000-000023120000}"/>
    <cellStyle name="樣式 106 2" xfId="4674" xr:uid="{00000000-0005-0000-0000-000024120000}"/>
    <cellStyle name="樣式 107" xfId="886" xr:uid="{00000000-0005-0000-0000-000025120000}"/>
    <cellStyle name="樣式 107 2" xfId="4675" xr:uid="{00000000-0005-0000-0000-000026120000}"/>
    <cellStyle name="樣式 108" xfId="887" xr:uid="{00000000-0005-0000-0000-000027120000}"/>
    <cellStyle name="樣式 108 2" xfId="4676" xr:uid="{00000000-0005-0000-0000-000028120000}"/>
    <cellStyle name="樣式 109" xfId="888" xr:uid="{00000000-0005-0000-0000-000029120000}"/>
    <cellStyle name="樣式 109 2" xfId="4677" xr:uid="{00000000-0005-0000-0000-00002A120000}"/>
    <cellStyle name="樣式 11" xfId="889" xr:uid="{00000000-0005-0000-0000-00002B120000}"/>
    <cellStyle name="樣式 11 2" xfId="4678" xr:uid="{00000000-0005-0000-0000-00002C120000}"/>
    <cellStyle name="樣式 110" xfId="890" xr:uid="{00000000-0005-0000-0000-00002D120000}"/>
    <cellStyle name="樣式 110 2" xfId="4679" xr:uid="{00000000-0005-0000-0000-00002E120000}"/>
    <cellStyle name="樣式 111" xfId="891" xr:uid="{00000000-0005-0000-0000-00002F120000}"/>
    <cellStyle name="樣式 111 2" xfId="4680" xr:uid="{00000000-0005-0000-0000-000030120000}"/>
    <cellStyle name="樣式 112" xfId="892" xr:uid="{00000000-0005-0000-0000-000031120000}"/>
    <cellStyle name="樣式 112 2" xfId="4681" xr:uid="{00000000-0005-0000-0000-000032120000}"/>
    <cellStyle name="樣式 113" xfId="893" xr:uid="{00000000-0005-0000-0000-000033120000}"/>
    <cellStyle name="樣式 113 2" xfId="4682" xr:uid="{00000000-0005-0000-0000-000034120000}"/>
    <cellStyle name="樣式 114" xfId="894" xr:uid="{00000000-0005-0000-0000-000035120000}"/>
    <cellStyle name="樣式 114 2" xfId="4683" xr:uid="{00000000-0005-0000-0000-000036120000}"/>
    <cellStyle name="樣式 115" xfId="895" xr:uid="{00000000-0005-0000-0000-000037120000}"/>
    <cellStyle name="樣式 115 2" xfId="4684" xr:uid="{00000000-0005-0000-0000-000038120000}"/>
    <cellStyle name="樣式 116" xfId="896" xr:uid="{00000000-0005-0000-0000-000039120000}"/>
    <cellStyle name="樣式 116 2" xfId="4685" xr:uid="{00000000-0005-0000-0000-00003A120000}"/>
    <cellStyle name="樣式 117" xfId="897" xr:uid="{00000000-0005-0000-0000-00003B120000}"/>
    <cellStyle name="樣式 117 2" xfId="4686" xr:uid="{00000000-0005-0000-0000-00003C120000}"/>
    <cellStyle name="樣式 118" xfId="898" xr:uid="{00000000-0005-0000-0000-00003D120000}"/>
    <cellStyle name="樣式 118 2" xfId="4687" xr:uid="{00000000-0005-0000-0000-00003E120000}"/>
    <cellStyle name="樣式 119" xfId="899" xr:uid="{00000000-0005-0000-0000-00003F120000}"/>
    <cellStyle name="樣式 119 2" xfId="4688" xr:uid="{00000000-0005-0000-0000-000040120000}"/>
    <cellStyle name="樣式 12" xfId="900" xr:uid="{00000000-0005-0000-0000-000041120000}"/>
    <cellStyle name="樣式 12 2" xfId="4689" xr:uid="{00000000-0005-0000-0000-000042120000}"/>
    <cellStyle name="樣式 120" xfId="901" xr:uid="{00000000-0005-0000-0000-000043120000}"/>
    <cellStyle name="樣式 120 2" xfId="4690" xr:uid="{00000000-0005-0000-0000-000044120000}"/>
    <cellStyle name="樣式 121" xfId="902" xr:uid="{00000000-0005-0000-0000-000045120000}"/>
    <cellStyle name="樣式 121 2" xfId="4691" xr:uid="{00000000-0005-0000-0000-000046120000}"/>
    <cellStyle name="樣式 122" xfId="903" xr:uid="{00000000-0005-0000-0000-000047120000}"/>
    <cellStyle name="樣式 122 2" xfId="4692" xr:uid="{00000000-0005-0000-0000-000048120000}"/>
    <cellStyle name="樣式 123" xfId="904" xr:uid="{00000000-0005-0000-0000-000049120000}"/>
    <cellStyle name="樣式 123 2" xfId="4693" xr:uid="{00000000-0005-0000-0000-00004A120000}"/>
    <cellStyle name="樣式 124" xfId="905" xr:uid="{00000000-0005-0000-0000-00004B120000}"/>
    <cellStyle name="樣式 124 2" xfId="4694" xr:uid="{00000000-0005-0000-0000-00004C120000}"/>
    <cellStyle name="樣式 125" xfId="906" xr:uid="{00000000-0005-0000-0000-00004D120000}"/>
    <cellStyle name="樣式 125 2" xfId="4695" xr:uid="{00000000-0005-0000-0000-00004E120000}"/>
    <cellStyle name="樣式 126" xfId="907" xr:uid="{00000000-0005-0000-0000-00004F120000}"/>
    <cellStyle name="樣式 126 2" xfId="4696" xr:uid="{00000000-0005-0000-0000-000050120000}"/>
    <cellStyle name="樣式 127" xfId="908" xr:uid="{00000000-0005-0000-0000-000051120000}"/>
    <cellStyle name="樣式 127 2" xfId="4697" xr:uid="{00000000-0005-0000-0000-000052120000}"/>
    <cellStyle name="樣式 128" xfId="909" xr:uid="{00000000-0005-0000-0000-000053120000}"/>
    <cellStyle name="樣式 128 2" xfId="4698" xr:uid="{00000000-0005-0000-0000-000054120000}"/>
    <cellStyle name="樣式 129" xfId="910" xr:uid="{00000000-0005-0000-0000-000055120000}"/>
    <cellStyle name="樣式 129 2" xfId="4699" xr:uid="{00000000-0005-0000-0000-000056120000}"/>
    <cellStyle name="樣式 13" xfId="911" xr:uid="{00000000-0005-0000-0000-000057120000}"/>
    <cellStyle name="樣式 13 2" xfId="4700" xr:uid="{00000000-0005-0000-0000-000058120000}"/>
    <cellStyle name="樣式 130" xfId="912" xr:uid="{00000000-0005-0000-0000-000059120000}"/>
    <cellStyle name="樣式 130 2" xfId="4701" xr:uid="{00000000-0005-0000-0000-00005A120000}"/>
    <cellStyle name="樣式 131" xfId="913" xr:uid="{00000000-0005-0000-0000-00005B120000}"/>
    <cellStyle name="樣式 131 2" xfId="4702" xr:uid="{00000000-0005-0000-0000-00005C120000}"/>
    <cellStyle name="樣式 132" xfId="914" xr:uid="{00000000-0005-0000-0000-00005D120000}"/>
    <cellStyle name="樣式 132 2" xfId="4703" xr:uid="{00000000-0005-0000-0000-00005E120000}"/>
    <cellStyle name="樣式 133" xfId="915" xr:uid="{00000000-0005-0000-0000-00005F120000}"/>
    <cellStyle name="樣式 133 2" xfId="4704" xr:uid="{00000000-0005-0000-0000-000060120000}"/>
    <cellStyle name="樣式 134" xfId="916" xr:uid="{00000000-0005-0000-0000-000061120000}"/>
    <cellStyle name="樣式 134 2" xfId="4705" xr:uid="{00000000-0005-0000-0000-000062120000}"/>
    <cellStyle name="樣式 135" xfId="917" xr:uid="{00000000-0005-0000-0000-000063120000}"/>
    <cellStyle name="樣式 135 2" xfId="4706" xr:uid="{00000000-0005-0000-0000-000064120000}"/>
    <cellStyle name="樣式 136" xfId="918" xr:uid="{00000000-0005-0000-0000-000065120000}"/>
    <cellStyle name="樣式 136 2" xfId="4707" xr:uid="{00000000-0005-0000-0000-000066120000}"/>
    <cellStyle name="樣式 137" xfId="919" xr:uid="{00000000-0005-0000-0000-000067120000}"/>
    <cellStyle name="樣式 137 2" xfId="4708" xr:uid="{00000000-0005-0000-0000-000068120000}"/>
    <cellStyle name="樣式 138" xfId="920" xr:uid="{00000000-0005-0000-0000-000069120000}"/>
    <cellStyle name="樣式 138 2" xfId="4709" xr:uid="{00000000-0005-0000-0000-00006A120000}"/>
    <cellStyle name="樣式 139" xfId="921" xr:uid="{00000000-0005-0000-0000-00006B120000}"/>
    <cellStyle name="樣式 139 2" xfId="4710" xr:uid="{00000000-0005-0000-0000-00006C120000}"/>
    <cellStyle name="樣式 14" xfId="922" xr:uid="{00000000-0005-0000-0000-00006D120000}"/>
    <cellStyle name="樣式 14 2" xfId="4711" xr:uid="{00000000-0005-0000-0000-00006E120000}"/>
    <cellStyle name="樣式 140" xfId="923" xr:uid="{00000000-0005-0000-0000-00006F120000}"/>
    <cellStyle name="樣式 140 2" xfId="4712" xr:uid="{00000000-0005-0000-0000-000070120000}"/>
    <cellStyle name="樣式 141" xfId="924" xr:uid="{00000000-0005-0000-0000-000071120000}"/>
    <cellStyle name="樣式 141 2" xfId="4713" xr:uid="{00000000-0005-0000-0000-000072120000}"/>
    <cellStyle name="樣式 142" xfId="925" xr:uid="{00000000-0005-0000-0000-000073120000}"/>
    <cellStyle name="樣式 142 2" xfId="4714" xr:uid="{00000000-0005-0000-0000-000074120000}"/>
    <cellStyle name="樣式 143" xfId="926" xr:uid="{00000000-0005-0000-0000-000075120000}"/>
    <cellStyle name="樣式 143 2" xfId="4715" xr:uid="{00000000-0005-0000-0000-000076120000}"/>
    <cellStyle name="樣式 144" xfId="927" xr:uid="{00000000-0005-0000-0000-000077120000}"/>
    <cellStyle name="樣式 144 2" xfId="4716" xr:uid="{00000000-0005-0000-0000-000078120000}"/>
    <cellStyle name="樣式 145" xfId="928" xr:uid="{00000000-0005-0000-0000-000079120000}"/>
    <cellStyle name="樣式 145 2" xfId="4717" xr:uid="{00000000-0005-0000-0000-00007A120000}"/>
    <cellStyle name="樣式 146" xfId="929" xr:uid="{00000000-0005-0000-0000-00007B120000}"/>
    <cellStyle name="樣式 146 2" xfId="4718" xr:uid="{00000000-0005-0000-0000-00007C120000}"/>
    <cellStyle name="樣式 147" xfId="930" xr:uid="{00000000-0005-0000-0000-00007D120000}"/>
    <cellStyle name="樣式 147 2" xfId="4719" xr:uid="{00000000-0005-0000-0000-00007E120000}"/>
    <cellStyle name="樣式 148" xfId="931" xr:uid="{00000000-0005-0000-0000-00007F120000}"/>
    <cellStyle name="樣式 148 2" xfId="4720" xr:uid="{00000000-0005-0000-0000-000080120000}"/>
    <cellStyle name="樣式 149" xfId="932" xr:uid="{00000000-0005-0000-0000-000081120000}"/>
    <cellStyle name="樣式 149 2" xfId="4721" xr:uid="{00000000-0005-0000-0000-000082120000}"/>
    <cellStyle name="樣式 15" xfId="933" xr:uid="{00000000-0005-0000-0000-000083120000}"/>
    <cellStyle name="樣式 15 2" xfId="4722" xr:uid="{00000000-0005-0000-0000-000084120000}"/>
    <cellStyle name="樣式 150" xfId="934" xr:uid="{00000000-0005-0000-0000-000085120000}"/>
    <cellStyle name="樣式 150 2" xfId="4723" xr:uid="{00000000-0005-0000-0000-000086120000}"/>
    <cellStyle name="樣式 151" xfId="935" xr:uid="{00000000-0005-0000-0000-000087120000}"/>
    <cellStyle name="樣式 151 2" xfId="4724" xr:uid="{00000000-0005-0000-0000-000088120000}"/>
    <cellStyle name="樣式 152" xfId="936" xr:uid="{00000000-0005-0000-0000-000089120000}"/>
    <cellStyle name="樣式 152 2" xfId="4725" xr:uid="{00000000-0005-0000-0000-00008A120000}"/>
    <cellStyle name="樣式 153" xfId="937" xr:uid="{00000000-0005-0000-0000-00008B120000}"/>
    <cellStyle name="樣式 153 2" xfId="4726" xr:uid="{00000000-0005-0000-0000-00008C120000}"/>
    <cellStyle name="樣式 154" xfId="938" xr:uid="{00000000-0005-0000-0000-00008D120000}"/>
    <cellStyle name="樣式 154 2" xfId="4727" xr:uid="{00000000-0005-0000-0000-00008E120000}"/>
    <cellStyle name="樣式 155" xfId="939" xr:uid="{00000000-0005-0000-0000-00008F120000}"/>
    <cellStyle name="樣式 155 2" xfId="4728" xr:uid="{00000000-0005-0000-0000-000090120000}"/>
    <cellStyle name="樣式 156" xfId="940" xr:uid="{00000000-0005-0000-0000-000091120000}"/>
    <cellStyle name="樣式 156 2" xfId="4729" xr:uid="{00000000-0005-0000-0000-000092120000}"/>
    <cellStyle name="樣式 157" xfId="941" xr:uid="{00000000-0005-0000-0000-000093120000}"/>
    <cellStyle name="樣式 157 2" xfId="4730" xr:uid="{00000000-0005-0000-0000-000094120000}"/>
    <cellStyle name="樣式 158" xfId="942" xr:uid="{00000000-0005-0000-0000-000095120000}"/>
    <cellStyle name="樣式 158 2" xfId="4731" xr:uid="{00000000-0005-0000-0000-000096120000}"/>
    <cellStyle name="樣式 159" xfId="943" xr:uid="{00000000-0005-0000-0000-000097120000}"/>
    <cellStyle name="樣式 159 2" xfId="4732" xr:uid="{00000000-0005-0000-0000-000098120000}"/>
    <cellStyle name="樣式 16" xfId="944" xr:uid="{00000000-0005-0000-0000-000099120000}"/>
    <cellStyle name="樣式 16 2" xfId="4733" xr:uid="{00000000-0005-0000-0000-00009A120000}"/>
    <cellStyle name="樣式 160" xfId="945" xr:uid="{00000000-0005-0000-0000-00009B120000}"/>
    <cellStyle name="樣式 160 2" xfId="4734" xr:uid="{00000000-0005-0000-0000-00009C120000}"/>
    <cellStyle name="樣式 161" xfId="946" xr:uid="{00000000-0005-0000-0000-00009D120000}"/>
    <cellStyle name="樣式 161 2" xfId="4735" xr:uid="{00000000-0005-0000-0000-00009E120000}"/>
    <cellStyle name="樣式 162" xfId="947" xr:uid="{00000000-0005-0000-0000-00009F120000}"/>
    <cellStyle name="樣式 162 2" xfId="4736" xr:uid="{00000000-0005-0000-0000-0000A0120000}"/>
    <cellStyle name="樣式 163" xfId="948" xr:uid="{00000000-0005-0000-0000-0000A1120000}"/>
    <cellStyle name="樣式 163 2" xfId="4737" xr:uid="{00000000-0005-0000-0000-0000A2120000}"/>
    <cellStyle name="樣式 164" xfId="949" xr:uid="{00000000-0005-0000-0000-0000A3120000}"/>
    <cellStyle name="樣式 164 2" xfId="4738" xr:uid="{00000000-0005-0000-0000-0000A4120000}"/>
    <cellStyle name="樣式 165" xfId="950" xr:uid="{00000000-0005-0000-0000-0000A5120000}"/>
    <cellStyle name="樣式 165 2" xfId="4739" xr:uid="{00000000-0005-0000-0000-0000A6120000}"/>
    <cellStyle name="樣式 166" xfId="951" xr:uid="{00000000-0005-0000-0000-0000A7120000}"/>
    <cellStyle name="樣式 166 2" xfId="4740" xr:uid="{00000000-0005-0000-0000-0000A8120000}"/>
    <cellStyle name="樣式 167" xfId="952" xr:uid="{00000000-0005-0000-0000-0000A9120000}"/>
    <cellStyle name="樣式 167 2" xfId="4741" xr:uid="{00000000-0005-0000-0000-0000AA120000}"/>
    <cellStyle name="樣式 168" xfId="953" xr:uid="{00000000-0005-0000-0000-0000AB120000}"/>
    <cellStyle name="樣式 168 2" xfId="4742" xr:uid="{00000000-0005-0000-0000-0000AC120000}"/>
    <cellStyle name="樣式 169" xfId="954" xr:uid="{00000000-0005-0000-0000-0000AD120000}"/>
    <cellStyle name="樣式 169 2" xfId="4743" xr:uid="{00000000-0005-0000-0000-0000AE120000}"/>
    <cellStyle name="樣式 17" xfId="955" xr:uid="{00000000-0005-0000-0000-0000AF120000}"/>
    <cellStyle name="樣式 17 2" xfId="4744" xr:uid="{00000000-0005-0000-0000-0000B0120000}"/>
    <cellStyle name="樣式 170" xfId="956" xr:uid="{00000000-0005-0000-0000-0000B1120000}"/>
    <cellStyle name="樣式 170 2" xfId="4745" xr:uid="{00000000-0005-0000-0000-0000B2120000}"/>
    <cellStyle name="樣式 171" xfId="957" xr:uid="{00000000-0005-0000-0000-0000B3120000}"/>
    <cellStyle name="樣式 171 2" xfId="4746" xr:uid="{00000000-0005-0000-0000-0000B4120000}"/>
    <cellStyle name="樣式 172" xfId="958" xr:uid="{00000000-0005-0000-0000-0000B5120000}"/>
    <cellStyle name="樣式 172 2" xfId="4747" xr:uid="{00000000-0005-0000-0000-0000B6120000}"/>
    <cellStyle name="樣式 173" xfId="959" xr:uid="{00000000-0005-0000-0000-0000B7120000}"/>
    <cellStyle name="樣式 173 2" xfId="4748" xr:uid="{00000000-0005-0000-0000-0000B8120000}"/>
    <cellStyle name="樣式 174" xfId="960" xr:uid="{00000000-0005-0000-0000-0000B9120000}"/>
    <cellStyle name="樣式 174 2" xfId="4749" xr:uid="{00000000-0005-0000-0000-0000BA120000}"/>
    <cellStyle name="樣式 175" xfId="961" xr:uid="{00000000-0005-0000-0000-0000BB120000}"/>
    <cellStyle name="樣式 175 2" xfId="4750" xr:uid="{00000000-0005-0000-0000-0000BC120000}"/>
    <cellStyle name="樣式 176" xfId="962" xr:uid="{00000000-0005-0000-0000-0000BD120000}"/>
    <cellStyle name="樣式 176 2" xfId="4751" xr:uid="{00000000-0005-0000-0000-0000BE120000}"/>
    <cellStyle name="樣式 177" xfId="963" xr:uid="{00000000-0005-0000-0000-0000BF120000}"/>
    <cellStyle name="樣式 177 2" xfId="4752" xr:uid="{00000000-0005-0000-0000-0000C0120000}"/>
    <cellStyle name="樣式 178" xfId="964" xr:uid="{00000000-0005-0000-0000-0000C1120000}"/>
    <cellStyle name="樣式 178 2" xfId="4753" xr:uid="{00000000-0005-0000-0000-0000C2120000}"/>
    <cellStyle name="樣式 179" xfId="965" xr:uid="{00000000-0005-0000-0000-0000C3120000}"/>
    <cellStyle name="樣式 179 2" xfId="4754" xr:uid="{00000000-0005-0000-0000-0000C4120000}"/>
    <cellStyle name="樣式 18" xfId="966" xr:uid="{00000000-0005-0000-0000-0000C5120000}"/>
    <cellStyle name="樣式 18 2" xfId="4755" xr:uid="{00000000-0005-0000-0000-0000C6120000}"/>
    <cellStyle name="樣式 180" xfId="967" xr:uid="{00000000-0005-0000-0000-0000C7120000}"/>
    <cellStyle name="樣式 180 2" xfId="4756" xr:uid="{00000000-0005-0000-0000-0000C8120000}"/>
    <cellStyle name="樣式 181" xfId="968" xr:uid="{00000000-0005-0000-0000-0000C9120000}"/>
    <cellStyle name="樣式 181 2" xfId="4757" xr:uid="{00000000-0005-0000-0000-0000CA120000}"/>
    <cellStyle name="樣式 182" xfId="969" xr:uid="{00000000-0005-0000-0000-0000CB120000}"/>
    <cellStyle name="樣式 182 2" xfId="4758" xr:uid="{00000000-0005-0000-0000-0000CC120000}"/>
    <cellStyle name="樣式 183" xfId="970" xr:uid="{00000000-0005-0000-0000-0000CD120000}"/>
    <cellStyle name="樣式 183 2" xfId="4759" xr:uid="{00000000-0005-0000-0000-0000CE120000}"/>
    <cellStyle name="樣式 184" xfId="971" xr:uid="{00000000-0005-0000-0000-0000CF120000}"/>
    <cellStyle name="樣式 184 2" xfId="4760" xr:uid="{00000000-0005-0000-0000-0000D0120000}"/>
    <cellStyle name="樣式 185" xfId="972" xr:uid="{00000000-0005-0000-0000-0000D1120000}"/>
    <cellStyle name="樣式 185 2" xfId="4761" xr:uid="{00000000-0005-0000-0000-0000D2120000}"/>
    <cellStyle name="樣式 186" xfId="973" xr:uid="{00000000-0005-0000-0000-0000D3120000}"/>
    <cellStyle name="樣式 186 2" xfId="4762" xr:uid="{00000000-0005-0000-0000-0000D4120000}"/>
    <cellStyle name="樣式 187" xfId="974" xr:uid="{00000000-0005-0000-0000-0000D5120000}"/>
    <cellStyle name="樣式 187 2" xfId="4763" xr:uid="{00000000-0005-0000-0000-0000D6120000}"/>
    <cellStyle name="樣式 188" xfId="975" xr:uid="{00000000-0005-0000-0000-0000D7120000}"/>
    <cellStyle name="樣式 188 2" xfId="4764" xr:uid="{00000000-0005-0000-0000-0000D8120000}"/>
    <cellStyle name="樣式 189" xfId="976" xr:uid="{00000000-0005-0000-0000-0000D9120000}"/>
    <cellStyle name="樣式 189 2" xfId="4765" xr:uid="{00000000-0005-0000-0000-0000DA120000}"/>
    <cellStyle name="樣式 19" xfId="977" xr:uid="{00000000-0005-0000-0000-0000DB120000}"/>
    <cellStyle name="樣式 19 2" xfId="4766" xr:uid="{00000000-0005-0000-0000-0000DC120000}"/>
    <cellStyle name="樣式 190" xfId="978" xr:uid="{00000000-0005-0000-0000-0000DD120000}"/>
    <cellStyle name="樣式 190 2" xfId="4767" xr:uid="{00000000-0005-0000-0000-0000DE120000}"/>
    <cellStyle name="樣式 191" xfId="979" xr:uid="{00000000-0005-0000-0000-0000DF120000}"/>
    <cellStyle name="樣式 191 2" xfId="4768" xr:uid="{00000000-0005-0000-0000-0000E0120000}"/>
    <cellStyle name="樣式 192" xfId="980" xr:uid="{00000000-0005-0000-0000-0000E1120000}"/>
    <cellStyle name="樣式 192 2" xfId="4769" xr:uid="{00000000-0005-0000-0000-0000E2120000}"/>
    <cellStyle name="樣式 193" xfId="981" xr:uid="{00000000-0005-0000-0000-0000E3120000}"/>
    <cellStyle name="樣式 193 2" xfId="4770" xr:uid="{00000000-0005-0000-0000-0000E4120000}"/>
    <cellStyle name="樣式 194" xfId="982" xr:uid="{00000000-0005-0000-0000-0000E5120000}"/>
    <cellStyle name="樣式 194 2" xfId="4771" xr:uid="{00000000-0005-0000-0000-0000E6120000}"/>
    <cellStyle name="樣式 195" xfId="983" xr:uid="{00000000-0005-0000-0000-0000E7120000}"/>
    <cellStyle name="樣式 195 2" xfId="4772" xr:uid="{00000000-0005-0000-0000-0000E8120000}"/>
    <cellStyle name="樣式 196" xfId="984" xr:uid="{00000000-0005-0000-0000-0000E9120000}"/>
    <cellStyle name="樣式 196 2" xfId="4773" xr:uid="{00000000-0005-0000-0000-0000EA120000}"/>
    <cellStyle name="樣式 197" xfId="985" xr:uid="{00000000-0005-0000-0000-0000EB120000}"/>
    <cellStyle name="樣式 197 2" xfId="4774" xr:uid="{00000000-0005-0000-0000-0000EC120000}"/>
    <cellStyle name="樣式 198" xfId="986" xr:uid="{00000000-0005-0000-0000-0000ED120000}"/>
    <cellStyle name="樣式 198 2" xfId="4775" xr:uid="{00000000-0005-0000-0000-0000EE120000}"/>
    <cellStyle name="樣式 199" xfId="987" xr:uid="{00000000-0005-0000-0000-0000EF120000}"/>
    <cellStyle name="樣式 199 2" xfId="4776" xr:uid="{00000000-0005-0000-0000-0000F0120000}"/>
    <cellStyle name="樣式 2" xfId="988" xr:uid="{00000000-0005-0000-0000-0000F1120000}"/>
    <cellStyle name="樣式 2 2" xfId="4777" xr:uid="{00000000-0005-0000-0000-0000F2120000}"/>
    <cellStyle name="樣式 20" xfId="989" xr:uid="{00000000-0005-0000-0000-0000F3120000}"/>
    <cellStyle name="樣式 20 2" xfId="4778" xr:uid="{00000000-0005-0000-0000-0000F4120000}"/>
    <cellStyle name="樣式 200" xfId="990" xr:uid="{00000000-0005-0000-0000-0000F5120000}"/>
    <cellStyle name="樣式 200 2" xfId="4779" xr:uid="{00000000-0005-0000-0000-0000F6120000}"/>
    <cellStyle name="樣式 201" xfId="991" xr:uid="{00000000-0005-0000-0000-0000F7120000}"/>
    <cellStyle name="樣式 201 2" xfId="4780" xr:uid="{00000000-0005-0000-0000-0000F8120000}"/>
    <cellStyle name="樣式 202" xfId="992" xr:uid="{00000000-0005-0000-0000-0000F9120000}"/>
    <cellStyle name="樣式 202 2" xfId="4781" xr:uid="{00000000-0005-0000-0000-0000FA120000}"/>
    <cellStyle name="樣式 203" xfId="993" xr:uid="{00000000-0005-0000-0000-0000FB120000}"/>
    <cellStyle name="樣式 203 2" xfId="4782" xr:uid="{00000000-0005-0000-0000-0000FC120000}"/>
    <cellStyle name="樣式 204" xfId="994" xr:uid="{00000000-0005-0000-0000-0000FD120000}"/>
    <cellStyle name="樣式 204 2" xfId="4783" xr:uid="{00000000-0005-0000-0000-0000FE120000}"/>
    <cellStyle name="樣式 205" xfId="995" xr:uid="{00000000-0005-0000-0000-0000FF120000}"/>
    <cellStyle name="樣式 205 2" xfId="4784" xr:uid="{00000000-0005-0000-0000-000000130000}"/>
    <cellStyle name="樣式 206" xfId="996" xr:uid="{00000000-0005-0000-0000-000001130000}"/>
    <cellStyle name="樣式 206 2" xfId="4785" xr:uid="{00000000-0005-0000-0000-000002130000}"/>
    <cellStyle name="樣式 207" xfId="997" xr:uid="{00000000-0005-0000-0000-000003130000}"/>
    <cellStyle name="樣式 207 2" xfId="4786" xr:uid="{00000000-0005-0000-0000-000004130000}"/>
    <cellStyle name="樣式 208" xfId="998" xr:uid="{00000000-0005-0000-0000-000005130000}"/>
    <cellStyle name="樣式 208 2" xfId="4787" xr:uid="{00000000-0005-0000-0000-000006130000}"/>
    <cellStyle name="樣式 209" xfId="999" xr:uid="{00000000-0005-0000-0000-000007130000}"/>
    <cellStyle name="樣式 209 2" xfId="4788" xr:uid="{00000000-0005-0000-0000-000008130000}"/>
    <cellStyle name="樣式 21" xfId="1000" xr:uid="{00000000-0005-0000-0000-000009130000}"/>
    <cellStyle name="樣式 21 2" xfId="4789" xr:uid="{00000000-0005-0000-0000-00000A130000}"/>
    <cellStyle name="樣式 210" xfId="1001" xr:uid="{00000000-0005-0000-0000-00000B130000}"/>
    <cellStyle name="樣式 210 2" xfId="4790" xr:uid="{00000000-0005-0000-0000-00000C130000}"/>
    <cellStyle name="樣式 211" xfId="1002" xr:uid="{00000000-0005-0000-0000-00000D130000}"/>
    <cellStyle name="樣式 211 2" xfId="4791" xr:uid="{00000000-0005-0000-0000-00000E130000}"/>
    <cellStyle name="樣式 212" xfId="1003" xr:uid="{00000000-0005-0000-0000-00000F130000}"/>
    <cellStyle name="樣式 212 2" xfId="4792" xr:uid="{00000000-0005-0000-0000-000010130000}"/>
    <cellStyle name="樣式 213" xfId="1004" xr:uid="{00000000-0005-0000-0000-000011130000}"/>
    <cellStyle name="樣式 213 2" xfId="4793" xr:uid="{00000000-0005-0000-0000-000012130000}"/>
    <cellStyle name="樣式 214" xfId="1005" xr:uid="{00000000-0005-0000-0000-000013130000}"/>
    <cellStyle name="樣式 214 2" xfId="4794" xr:uid="{00000000-0005-0000-0000-000014130000}"/>
    <cellStyle name="樣式 215" xfId="1006" xr:uid="{00000000-0005-0000-0000-000015130000}"/>
    <cellStyle name="樣式 215 2" xfId="4795" xr:uid="{00000000-0005-0000-0000-000016130000}"/>
    <cellStyle name="樣式 216" xfId="1007" xr:uid="{00000000-0005-0000-0000-000017130000}"/>
    <cellStyle name="樣式 216 2" xfId="4796" xr:uid="{00000000-0005-0000-0000-000018130000}"/>
    <cellStyle name="樣式 217" xfId="1008" xr:uid="{00000000-0005-0000-0000-000019130000}"/>
    <cellStyle name="樣式 217 2" xfId="4797" xr:uid="{00000000-0005-0000-0000-00001A130000}"/>
    <cellStyle name="樣式 218" xfId="1009" xr:uid="{00000000-0005-0000-0000-00001B130000}"/>
    <cellStyle name="樣式 218 2" xfId="4798" xr:uid="{00000000-0005-0000-0000-00001C130000}"/>
    <cellStyle name="樣式 219" xfId="1010" xr:uid="{00000000-0005-0000-0000-00001D130000}"/>
    <cellStyle name="樣式 219 2" xfId="4799" xr:uid="{00000000-0005-0000-0000-00001E130000}"/>
    <cellStyle name="樣式 22" xfId="1011" xr:uid="{00000000-0005-0000-0000-00001F130000}"/>
    <cellStyle name="樣式 22 2" xfId="4800" xr:uid="{00000000-0005-0000-0000-000020130000}"/>
    <cellStyle name="樣式 220" xfId="1012" xr:uid="{00000000-0005-0000-0000-000021130000}"/>
    <cellStyle name="樣式 220 2" xfId="4801" xr:uid="{00000000-0005-0000-0000-000022130000}"/>
    <cellStyle name="樣式 221" xfId="1013" xr:uid="{00000000-0005-0000-0000-000023130000}"/>
    <cellStyle name="樣式 221 2" xfId="4802" xr:uid="{00000000-0005-0000-0000-000024130000}"/>
    <cellStyle name="樣式 222" xfId="1014" xr:uid="{00000000-0005-0000-0000-000025130000}"/>
    <cellStyle name="樣式 222 2" xfId="4803" xr:uid="{00000000-0005-0000-0000-000026130000}"/>
    <cellStyle name="樣式 223" xfId="1015" xr:uid="{00000000-0005-0000-0000-000027130000}"/>
    <cellStyle name="樣式 223 2" xfId="4804" xr:uid="{00000000-0005-0000-0000-000028130000}"/>
    <cellStyle name="樣式 224" xfId="1016" xr:uid="{00000000-0005-0000-0000-000029130000}"/>
    <cellStyle name="樣式 224 2" xfId="4805" xr:uid="{00000000-0005-0000-0000-00002A130000}"/>
    <cellStyle name="樣式 225" xfId="1017" xr:uid="{00000000-0005-0000-0000-00002B130000}"/>
    <cellStyle name="樣式 225 2" xfId="4806" xr:uid="{00000000-0005-0000-0000-00002C130000}"/>
    <cellStyle name="樣式 226" xfId="1018" xr:uid="{00000000-0005-0000-0000-00002D130000}"/>
    <cellStyle name="樣式 226 2" xfId="4807" xr:uid="{00000000-0005-0000-0000-00002E130000}"/>
    <cellStyle name="樣式 227" xfId="1019" xr:uid="{00000000-0005-0000-0000-00002F130000}"/>
    <cellStyle name="樣式 227 2" xfId="4808" xr:uid="{00000000-0005-0000-0000-000030130000}"/>
    <cellStyle name="樣式 228" xfId="1020" xr:uid="{00000000-0005-0000-0000-000031130000}"/>
    <cellStyle name="樣式 228 2" xfId="4809" xr:uid="{00000000-0005-0000-0000-000032130000}"/>
    <cellStyle name="樣式 229" xfId="1021" xr:uid="{00000000-0005-0000-0000-000033130000}"/>
    <cellStyle name="樣式 229 2" xfId="4810" xr:uid="{00000000-0005-0000-0000-000034130000}"/>
    <cellStyle name="樣式 23" xfId="1022" xr:uid="{00000000-0005-0000-0000-000035130000}"/>
    <cellStyle name="樣式 23 2" xfId="4811" xr:uid="{00000000-0005-0000-0000-000036130000}"/>
    <cellStyle name="樣式 230" xfId="1023" xr:uid="{00000000-0005-0000-0000-000037130000}"/>
    <cellStyle name="樣式 230 2" xfId="4812" xr:uid="{00000000-0005-0000-0000-000038130000}"/>
    <cellStyle name="樣式 231" xfId="1024" xr:uid="{00000000-0005-0000-0000-000039130000}"/>
    <cellStyle name="樣式 231 2" xfId="4813" xr:uid="{00000000-0005-0000-0000-00003A130000}"/>
    <cellStyle name="樣式 232" xfId="1025" xr:uid="{00000000-0005-0000-0000-00003B130000}"/>
    <cellStyle name="樣式 232 2" xfId="4814" xr:uid="{00000000-0005-0000-0000-00003C130000}"/>
    <cellStyle name="樣式 233" xfId="1026" xr:uid="{00000000-0005-0000-0000-00003D130000}"/>
    <cellStyle name="樣式 233 2" xfId="4815" xr:uid="{00000000-0005-0000-0000-00003E130000}"/>
    <cellStyle name="樣式 234" xfId="1027" xr:uid="{00000000-0005-0000-0000-00003F130000}"/>
    <cellStyle name="樣式 234 2" xfId="4816" xr:uid="{00000000-0005-0000-0000-000040130000}"/>
    <cellStyle name="樣式 235" xfId="1028" xr:uid="{00000000-0005-0000-0000-000041130000}"/>
    <cellStyle name="樣式 235 2" xfId="4817" xr:uid="{00000000-0005-0000-0000-000042130000}"/>
    <cellStyle name="樣式 236" xfId="1029" xr:uid="{00000000-0005-0000-0000-000043130000}"/>
    <cellStyle name="樣式 236 2" xfId="4818" xr:uid="{00000000-0005-0000-0000-000044130000}"/>
    <cellStyle name="樣式 237" xfId="1030" xr:uid="{00000000-0005-0000-0000-000045130000}"/>
    <cellStyle name="樣式 237 2" xfId="4819" xr:uid="{00000000-0005-0000-0000-000046130000}"/>
    <cellStyle name="樣式 238" xfId="1031" xr:uid="{00000000-0005-0000-0000-000047130000}"/>
    <cellStyle name="樣式 238 2" xfId="4820" xr:uid="{00000000-0005-0000-0000-000048130000}"/>
    <cellStyle name="樣式 239" xfId="1032" xr:uid="{00000000-0005-0000-0000-000049130000}"/>
    <cellStyle name="樣式 239 2" xfId="4821" xr:uid="{00000000-0005-0000-0000-00004A130000}"/>
    <cellStyle name="樣式 24" xfId="1033" xr:uid="{00000000-0005-0000-0000-00004B130000}"/>
    <cellStyle name="樣式 24 2" xfId="4822" xr:uid="{00000000-0005-0000-0000-00004C130000}"/>
    <cellStyle name="樣式 240" xfId="1034" xr:uid="{00000000-0005-0000-0000-00004D130000}"/>
    <cellStyle name="樣式 240 2" xfId="4823" xr:uid="{00000000-0005-0000-0000-00004E130000}"/>
    <cellStyle name="樣式 241" xfId="1035" xr:uid="{00000000-0005-0000-0000-00004F130000}"/>
    <cellStyle name="樣式 241 2" xfId="4824" xr:uid="{00000000-0005-0000-0000-000050130000}"/>
    <cellStyle name="樣式 242" xfId="1036" xr:uid="{00000000-0005-0000-0000-000051130000}"/>
    <cellStyle name="樣式 242 2" xfId="4825" xr:uid="{00000000-0005-0000-0000-000052130000}"/>
    <cellStyle name="樣式 243" xfId="1037" xr:uid="{00000000-0005-0000-0000-000053130000}"/>
    <cellStyle name="樣式 243 2" xfId="4826" xr:uid="{00000000-0005-0000-0000-000054130000}"/>
    <cellStyle name="樣式 244" xfId="1038" xr:uid="{00000000-0005-0000-0000-000055130000}"/>
    <cellStyle name="樣式 244 2" xfId="4827" xr:uid="{00000000-0005-0000-0000-000056130000}"/>
    <cellStyle name="樣式 245" xfId="1039" xr:uid="{00000000-0005-0000-0000-000057130000}"/>
    <cellStyle name="樣式 245 2" xfId="4828" xr:uid="{00000000-0005-0000-0000-000058130000}"/>
    <cellStyle name="樣式 246" xfId="1040" xr:uid="{00000000-0005-0000-0000-000059130000}"/>
    <cellStyle name="樣式 246 2" xfId="4829" xr:uid="{00000000-0005-0000-0000-00005A130000}"/>
    <cellStyle name="樣式 247" xfId="1041" xr:uid="{00000000-0005-0000-0000-00005B130000}"/>
    <cellStyle name="樣式 247 2" xfId="4830" xr:uid="{00000000-0005-0000-0000-00005C130000}"/>
    <cellStyle name="樣式 248" xfId="1042" xr:uid="{00000000-0005-0000-0000-00005D130000}"/>
    <cellStyle name="樣式 248 2" xfId="4831" xr:uid="{00000000-0005-0000-0000-00005E130000}"/>
    <cellStyle name="樣式 249" xfId="1043" xr:uid="{00000000-0005-0000-0000-00005F130000}"/>
    <cellStyle name="樣式 249 2" xfId="4832" xr:uid="{00000000-0005-0000-0000-000060130000}"/>
    <cellStyle name="樣式 25" xfId="1044" xr:uid="{00000000-0005-0000-0000-000061130000}"/>
    <cellStyle name="樣式 25 2" xfId="4833" xr:uid="{00000000-0005-0000-0000-000062130000}"/>
    <cellStyle name="樣式 250" xfId="1045" xr:uid="{00000000-0005-0000-0000-000063130000}"/>
    <cellStyle name="樣式 250 2" xfId="4834" xr:uid="{00000000-0005-0000-0000-000064130000}"/>
    <cellStyle name="樣式 251" xfId="1046" xr:uid="{00000000-0005-0000-0000-000065130000}"/>
    <cellStyle name="樣式 251 2" xfId="4835" xr:uid="{00000000-0005-0000-0000-000066130000}"/>
    <cellStyle name="樣式 252" xfId="1047" xr:uid="{00000000-0005-0000-0000-000067130000}"/>
    <cellStyle name="樣式 252 2" xfId="4836" xr:uid="{00000000-0005-0000-0000-000068130000}"/>
    <cellStyle name="樣式 253" xfId="1048" xr:uid="{00000000-0005-0000-0000-000069130000}"/>
    <cellStyle name="樣式 253 2" xfId="4837" xr:uid="{00000000-0005-0000-0000-00006A130000}"/>
    <cellStyle name="樣式 254" xfId="1049" xr:uid="{00000000-0005-0000-0000-00006B130000}"/>
    <cellStyle name="樣式 254 2" xfId="4838" xr:uid="{00000000-0005-0000-0000-00006C130000}"/>
    <cellStyle name="樣式 255" xfId="1050" xr:uid="{00000000-0005-0000-0000-00006D130000}"/>
    <cellStyle name="樣式 255 2" xfId="4839" xr:uid="{00000000-0005-0000-0000-00006E130000}"/>
    <cellStyle name="樣式 256" xfId="1051" xr:uid="{00000000-0005-0000-0000-00006F130000}"/>
    <cellStyle name="樣式 256 2" xfId="4840" xr:uid="{00000000-0005-0000-0000-000070130000}"/>
    <cellStyle name="樣式 257" xfId="1052" xr:uid="{00000000-0005-0000-0000-000071130000}"/>
    <cellStyle name="樣式 257 2" xfId="4841" xr:uid="{00000000-0005-0000-0000-000072130000}"/>
    <cellStyle name="樣式 258" xfId="1053" xr:uid="{00000000-0005-0000-0000-000073130000}"/>
    <cellStyle name="樣式 258 2" xfId="4842" xr:uid="{00000000-0005-0000-0000-000074130000}"/>
    <cellStyle name="樣式 259" xfId="1054" xr:uid="{00000000-0005-0000-0000-000075130000}"/>
    <cellStyle name="樣式 259 2" xfId="4843" xr:uid="{00000000-0005-0000-0000-000076130000}"/>
    <cellStyle name="樣式 26" xfId="1055" xr:uid="{00000000-0005-0000-0000-000077130000}"/>
    <cellStyle name="樣式 26 2" xfId="4844" xr:uid="{00000000-0005-0000-0000-000078130000}"/>
    <cellStyle name="樣式 260" xfId="1056" xr:uid="{00000000-0005-0000-0000-000079130000}"/>
    <cellStyle name="樣式 260 2" xfId="4845" xr:uid="{00000000-0005-0000-0000-00007A130000}"/>
    <cellStyle name="樣式 261" xfId="1057" xr:uid="{00000000-0005-0000-0000-00007B130000}"/>
    <cellStyle name="樣式 261 2" xfId="4846" xr:uid="{00000000-0005-0000-0000-00007C130000}"/>
    <cellStyle name="樣式 262" xfId="1058" xr:uid="{00000000-0005-0000-0000-00007D130000}"/>
    <cellStyle name="樣式 262 2" xfId="4847" xr:uid="{00000000-0005-0000-0000-00007E130000}"/>
    <cellStyle name="樣式 263" xfId="1059" xr:uid="{00000000-0005-0000-0000-00007F130000}"/>
    <cellStyle name="樣式 263 2" xfId="4848" xr:uid="{00000000-0005-0000-0000-000080130000}"/>
    <cellStyle name="樣式 264" xfId="1060" xr:uid="{00000000-0005-0000-0000-000081130000}"/>
    <cellStyle name="樣式 264 2" xfId="4849" xr:uid="{00000000-0005-0000-0000-000082130000}"/>
    <cellStyle name="樣式 265" xfId="1061" xr:uid="{00000000-0005-0000-0000-000083130000}"/>
    <cellStyle name="樣式 265 2" xfId="4850" xr:uid="{00000000-0005-0000-0000-000084130000}"/>
    <cellStyle name="樣式 266" xfId="1062" xr:uid="{00000000-0005-0000-0000-000085130000}"/>
    <cellStyle name="樣式 266 2" xfId="4851" xr:uid="{00000000-0005-0000-0000-000086130000}"/>
    <cellStyle name="樣式 267" xfId="1063" xr:uid="{00000000-0005-0000-0000-000087130000}"/>
    <cellStyle name="樣式 267 2" xfId="4852" xr:uid="{00000000-0005-0000-0000-000088130000}"/>
    <cellStyle name="樣式 268" xfId="1064" xr:uid="{00000000-0005-0000-0000-000089130000}"/>
    <cellStyle name="樣式 268 2" xfId="4853" xr:uid="{00000000-0005-0000-0000-00008A130000}"/>
    <cellStyle name="樣式 269" xfId="1065" xr:uid="{00000000-0005-0000-0000-00008B130000}"/>
    <cellStyle name="樣式 269 2" xfId="4854" xr:uid="{00000000-0005-0000-0000-00008C130000}"/>
    <cellStyle name="樣式 27" xfId="1066" xr:uid="{00000000-0005-0000-0000-00008D130000}"/>
    <cellStyle name="樣式 27 2" xfId="4855" xr:uid="{00000000-0005-0000-0000-00008E130000}"/>
    <cellStyle name="樣式 270" xfId="1067" xr:uid="{00000000-0005-0000-0000-00008F130000}"/>
    <cellStyle name="樣式 270 2" xfId="4856" xr:uid="{00000000-0005-0000-0000-000090130000}"/>
    <cellStyle name="樣式 271" xfId="1068" xr:uid="{00000000-0005-0000-0000-000091130000}"/>
    <cellStyle name="樣式 271 2" xfId="4857" xr:uid="{00000000-0005-0000-0000-000092130000}"/>
    <cellStyle name="樣式 272" xfId="1069" xr:uid="{00000000-0005-0000-0000-000093130000}"/>
    <cellStyle name="樣式 272 2" xfId="4858" xr:uid="{00000000-0005-0000-0000-000094130000}"/>
    <cellStyle name="樣式 273" xfId="1070" xr:uid="{00000000-0005-0000-0000-000095130000}"/>
    <cellStyle name="樣式 273 2" xfId="4859" xr:uid="{00000000-0005-0000-0000-000096130000}"/>
    <cellStyle name="樣式 274" xfId="1071" xr:uid="{00000000-0005-0000-0000-000097130000}"/>
    <cellStyle name="樣式 274 2" xfId="4860" xr:uid="{00000000-0005-0000-0000-000098130000}"/>
    <cellStyle name="樣式 275" xfId="1072" xr:uid="{00000000-0005-0000-0000-000099130000}"/>
    <cellStyle name="樣式 275 2" xfId="4861" xr:uid="{00000000-0005-0000-0000-00009A130000}"/>
    <cellStyle name="樣式 276" xfId="1073" xr:uid="{00000000-0005-0000-0000-00009B130000}"/>
    <cellStyle name="樣式 276 2" xfId="4862" xr:uid="{00000000-0005-0000-0000-00009C130000}"/>
    <cellStyle name="樣式 277" xfId="1074" xr:uid="{00000000-0005-0000-0000-00009D130000}"/>
    <cellStyle name="樣式 277 2" xfId="4863" xr:uid="{00000000-0005-0000-0000-00009E130000}"/>
    <cellStyle name="樣式 278" xfId="1075" xr:uid="{00000000-0005-0000-0000-00009F130000}"/>
    <cellStyle name="樣式 278 2" xfId="4864" xr:uid="{00000000-0005-0000-0000-0000A0130000}"/>
    <cellStyle name="樣式 279" xfId="1076" xr:uid="{00000000-0005-0000-0000-0000A1130000}"/>
    <cellStyle name="樣式 279 2" xfId="4865" xr:uid="{00000000-0005-0000-0000-0000A2130000}"/>
    <cellStyle name="樣式 28" xfId="1077" xr:uid="{00000000-0005-0000-0000-0000A3130000}"/>
    <cellStyle name="樣式 28 2" xfId="4866" xr:uid="{00000000-0005-0000-0000-0000A4130000}"/>
    <cellStyle name="樣式 280" xfId="1078" xr:uid="{00000000-0005-0000-0000-0000A5130000}"/>
    <cellStyle name="樣式 280 2" xfId="4867" xr:uid="{00000000-0005-0000-0000-0000A6130000}"/>
    <cellStyle name="樣式 281" xfId="1079" xr:uid="{00000000-0005-0000-0000-0000A7130000}"/>
    <cellStyle name="樣式 281 2" xfId="4868" xr:uid="{00000000-0005-0000-0000-0000A8130000}"/>
    <cellStyle name="樣式 282" xfId="1080" xr:uid="{00000000-0005-0000-0000-0000A9130000}"/>
    <cellStyle name="樣式 282 2" xfId="4869" xr:uid="{00000000-0005-0000-0000-0000AA130000}"/>
    <cellStyle name="樣式 283" xfId="1081" xr:uid="{00000000-0005-0000-0000-0000AB130000}"/>
    <cellStyle name="樣式 283 2" xfId="4870" xr:uid="{00000000-0005-0000-0000-0000AC130000}"/>
    <cellStyle name="樣式 284" xfId="1082" xr:uid="{00000000-0005-0000-0000-0000AD130000}"/>
    <cellStyle name="樣式 284 2" xfId="4871" xr:uid="{00000000-0005-0000-0000-0000AE130000}"/>
    <cellStyle name="樣式 285" xfId="1083" xr:uid="{00000000-0005-0000-0000-0000AF130000}"/>
    <cellStyle name="樣式 285 2" xfId="4872" xr:uid="{00000000-0005-0000-0000-0000B0130000}"/>
    <cellStyle name="樣式 286" xfId="1084" xr:uid="{00000000-0005-0000-0000-0000B1130000}"/>
    <cellStyle name="樣式 286 2" xfId="4873" xr:uid="{00000000-0005-0000-0000-0000B2130000}"/>
    <cellStyle name="樣式 287" xfId="1085" xr:uid="{00000000-0005-0000-0000-0000B3130000}"/>
    <cellStyle name="樣式 287 2" xfId="4874" xr:uid="{00000000-0005-0000-0000-0000B4130000}"/>
    <cellStyle name="樣式 288" xfId="1086" xr:uid="{00000000-0005-0000-0000-0000B5130000}"/>
    <cellStyle name="樣式 288 2" xfId="4875" xr:uid="{00000000-0005-0000-0000-0000B6130000}"/>
    <cellStyle name="樣式 289" xfId="1087" xr:uid="{00000000-0005-0000-0000-0000B7130000}"/>
    <cellStyle name="樣式 289 2" xfId="4876" xr:uid="{00000000-0005-0000-0000-0000B8130000}"/>
    <cellStyle name="樣式 29" xfId="1088" xr:uid="{00000000-0005-0000-0000-0000B9130000}"/>
    <cellStyle name="樣式 29 2" xfId="4877" xr:uid="{00000000-0005-0000-0000-0000BA130000}"/>
    <cellStyle name="樣式 290" xfId="1089" xr:uid="{00000000-0005-0000-0000-0000BB130000}"/>
    <cellStyle name="樣式 290 2" xfId="4878" xr:uid="{00000000-0005-0000-0000-0000BC130000}"/>
    <cellStyle name="樣式 291" xfId="1090" xr:uid="{00000000-0005-0000-0000-0000BD130000}"/>
    <cellStyle name="樣式 291 2" xfId="4879" xr:uid="{00000000-0005-0000-0000-0000BE130000}"/>
    <cellStyle name="樣式 292" xfId="1091" xr:uid="{00000000-0005-0000-0000-0000BF130000}"/>
    <cellStyle name="樣式 292 2" xfId="4880" xr:uid="{00000000-0005-0000-0000-0000C0130000}"/>
    <cellStyle name="樣式 293" xfId="1092" xr:uid="{00000000-0005-0000-0000-0000C1130000}"/>
    <cellStyle name="樣式 293 2" xfId="4881" xr:uid="{00000000-0005-0000-0000-0000C2130000}"/>
    <cellStyle name="樣式 294" xfId="1093" xr:uid="{00000000-0005-0000-0000-0000C3130000}"/>
    <cellStyle name="樣式 294 2" xfId="4882" xr:uid="{00000000-0005-0000-0000-0000C4130000}"/>
    <cellStyle name="樣式 295" xfId="1094" xr:uid="{00000000-0005-0000-0000-0000C5130000}"/>
    <cellStyle name="樣式 295 2" xfId="4883" xr:uid="{00000000-0005-0000-0000-0000C6130000}"/>
    <cellStyle name="樣式 296" xfId="1095" xr:uid="{00000000-0005-0000-0000-0000C7130000}"/>
    <cellStyle name="樣式 296 2" xfId="4884" xr:uid="{00000000-0005-0000-0000-0000C8130000}"/>
    <cellStyle name="樣式 297" xfId="1096" xr:uid="{00000000-0005-0000-0000-0000C9130000}"/>
    <cellStyle name="樣式 297 2" xfId="4885" xr:uid="{00000000-0005-0000-0000-0000CA130000}"/>
    <cellStyle name="樣式 298" xfId="1097" xr:uid="{00000000-0005-0000-0000-0000CB130000}"/>
    <cellStyle name="樣式 298 2" xfId="4886" xr:uid="{00000000-0005-0000-0000-0000CC130000}"/>
    <cellStyle name="樣式 299" xfId="1098" xr:uid="{00000000-0005-0000-0000-0000CD130000}"/>
    <cellStyle name="樣式 299 2" xfId="4887" xr:uid="{00000000-0005-0000-0000-0000CE130000}"/>
    <cellStyle name="樣式 3" xfId="1099" xr:uid="{00000000-0005-0000-0000-0000CF130000}"/>
    <cellStyle name="樣式 3 2" xfId="4888" xr:uid="{00000000-0005-0000-0000-0000D0130000}"/>
    <cellStyle name="樣式 30" xfId="1100" xr:uid="{00000000-0005-0000-0000-0000D1130000}"/>
    <cellStyle name="樣式 30 2" xfId="4889" xr:uid="{00000000-0005-0000-0000-0000D2130000}"/>
    <cellStyle name="樣式 300" xfId="1101" xr:uid="{00000000-0005-0000-0000-0000D3130000}"/>
    <cellStyle name="樣式 300 2" xfId="4890" xr:uid="{00000000-0005-0000-0000-0000D4130000}"/>
    <cellStyle name="樣式 301" xfId="1102" xr:uid="{00000000-0005-0000-0000-0000D5130000}"/>
    <cellStyle name="樣式 301 2" xfId="4891" xr:uid="{00000000-0005-0000-0000-0000D6130000}"/>
    <cellStyle name="樣式 302" xfId="1103" xr:uid="{00000000-0005-0000-0000-0000D7130000}"/>
    <cellStyle name="樣式 302 2" xfId="4892" xr:uid="{00000000-0005-0000-0000-0000D8130000}"/>
    <cellStyle name="樣式 303" xfId="1104" xr:uid="{00000000-0005-0000-0000-0000D9130000}"/>
    <cellStyle name="樣式 303 2" xfId="4893" xr:uid="{00000000-0005-0000-0000-0000DA130000}"/>
    <cellStyle name="樣式 304" xfId="1105" xr:uid="{00000000-0005-0000-0000-0000DB130000}"/>
    <cellStyle name="樣式 304 2" xfId="4894" xr:uid="{00000000-0005-0000-0000-0000DC130000}"/>
    <cellStyle name="樣式 305" xfId="1106" xr:uid="{00000000-0005-0000-0000-0000DD130000}"/>
    <cellStyle name="樣式 305 2" xfId="4895" xr:uid="{00000000-0005-0000-0000-0000DE130000}"/>
    <cellStyle name="樣式 306" xfId="1107" xr:uid="{00000000-0005-0000-0000-0000DF130000}"/>
    <cellStyle name="樣式 306 2" xfId="4896" xr:uid="{00000000-0005-0000-0000-0000E0130000}"/>
    <cellStyle name="樣式 307" xfId="1108" xr:uid="{00000000-0005-0000-0000-0000E1130000}"/>
    <cellStyle name="樣式 307 2" xfId="4897" xr:uid="{00000000-0005-0000-0000-0000E2130000}"/>
    <cellStyle name="樣式 308" xfId="1109" xr:uid="{00000000-0005-0000-0000-0000E3130000}"/>
    <cellStyle name="樣式 308 2" xfId="4898" xr:uid="{00000000-0005-0000-0000-0000E4130000}"/>
    <cellStyle name="樣式 309" xfId="1110" xr:uid="{00000000-0005-0000-0000-0000E5130000}"/>
    <cellStyle name="樣式 309 2" xfId="4899" xr:uid="{00000000-0005-0000-0000-0000E6130000}"/>
    <cellStyle name="樣式 31" xfId="1111" xr:uid="{00000000-0005-0000-0000-0000E7130000}"/>
    <cellStyle name="樣式 31 2" xfId="4900" xr:uid="{00000000-0005-0000-0000-0000E8130000}"/>
    <cellStyle name="樣式 310" xfId="1112" xr:uid="{00000000-0005-0000-0000-0000E9130000}"/>
    <cellStyle name="樣式 310 2" xfId="4901" xr:uid="{00000000-0005-0000-0000-0000EA130000}"/>
    <cellStyle name="樣式 311" xfId="1113" xr:uid="{00000000-0005-0000-0000-0000EB130000}"/>
    <cellStyle name="樣式 311 2" xfId="4902" xr:uid="{00000000-0005-0000-0000-0000EC130000}"/>
    <cellStyle name="樣式 312" xfId="1114" xr:uid="{00000000-0005-0000-0000-0000ED130000}"/>
    <cellStyle name="樣式 312 2" xfId="4903" xr:uid="{00000000-0005-0000-0000-0000EE130000}"/>
    <cellStyle name="樣式 313" xfId="1115" xr:uid="{00000000-0005-0000-0000-0000EF130000}"/>
    <cellStyle name="樣式 313 2" xfId="4904" xr:uid="{00000000-0005-0000-0000-0000F0130000}"/>
    <cellStyle name="樣式 314" xfId="1116" xr:uid="{00000000-0005-0000-0000-0000F1130000}"/>
    <cellStyle name="樣式 314 2" xfId="4905" xr:uid="{00000000-0005-0000-0000-0000F2130000}"/>
    <cellStyle name="樣式 315" xfId="1117" xr:uid="{00000000-0005-0000-0000-0000F3130000}"/>
    <cellStyle name="樣式 315 2" xfId="4906" xr:uid="{00000000-0005-0000-0000-0000F4130000}"/>
    <cellStyle name="樣式 316" xfId="1118" xr:uid="{00000000-0005-0000-0000-0000F5130000}"/>
    <cellStyle name="樣式 316 2" xfId="4907" xr:uid="{00000000-0005-0000-0000-0000F6130000}"/>
    <cellStyle name="樣式 317" xfId="1119" xr:uid="{00000000-0005-0000-0000-0000F7130000}"/>
    <cellStyle name="樣式 317 2" xfId="4908" xr:uid="{00000000-0005-0000-0000-0000F8130000}"/>
    <cellStyle name="樣式 318" xfId="1120" xr:uid="{00000000-0005-0000-0000-0000F9130000}"/>
    <cellStyle name="樣式 318 2" xfId="4909" xr:uid="{00000000-0005-0000-0000-0000FA130000}"/>
    <cellStyle name="樣式 319" xfId="1121" xr:uid="{00000000-0005-0000-0000-0000FB130000}"/>
    <cellStyle name="樣式 319 2" xfId="4910" xr:uid="{00000000-0005-0000-0000-0000FC130000}"/>
    <cellStyle name="樣式 32" xfId="1122" xr:uid="{00000000-0005-0000-0000-0000FD130000}"/>
    <cellStyle name="樣式 32 2" xfId="4911" xr:uid="{00000000-0005-0000-0000-0000FE130000}"/>
    <cellStyle name="樣式 320" xfId="1123" xr:uid="{00000000-0005-0000-0000-0000FF130000}"/>
    <cellStyle name="樣式 320 2" xfId="4912" xr:uid="{00000000-0005-0000-0000-000000140000}"/>
    <cellStyle name="樣式 321" xfId="1124" xr:uid="{00000000-0005-0000-0000-000001140000}"/>
    <cellStyle name="樣式 321 2" xfId="4913" xr:uid="{00000000-0005-0000-0000-000002140000}"/>
    <cellStyle name="樣式 322" xfId="1125" xr:uid="{00000000-0005-0000-0000-000003140000}"/>
    <cellStyle name="樣式 322 2" xfId="4914" xr:uid="{00000000-0005-0000-0000-000004140000}"/>
    <cellStyle name="樣式 323" xfId="1126" xr:uid="{00000000-0005-0000-0000-000005140000}"/>
    <cellStyle name="樣式 323 2" xfId="4915" xr:uid="{00000000-0005-0000-0000-000006140000}"/>
    <cellStyle name="樣式 324" xfId="1127" xr:uid="{00000000-0005-0000-0000-000007140000}"/>
    <cellStyle name="樣式 324 2" xfId="4916" xr:uid="{00000000-0005-0000-0000-000008140000}"/>
    <cellStyle name="樣式 325" xfId="1128" xr:uid="{00000000-0005-0000-0000-000009140000}"/>
    <cellStyle name="樣式 325 2" xfId="4917" xr:uid="{00000000-0005-0000-0000-00000A140000}"/>
    <cellStyle name="樣式 326" xfId="1129" xr:uid="{00000000-0005-0000-0000-00000B140000}"/>
    <cellStyle name="樣式 326 2" xfId="4918" xr:uid="{00000000-0005-0000-0000-00000C140000}"/>
    <cellStyle name="樣式 327" xfId="1130" xr:uid="{00000000-0005-0000-0000-00000D140000}"/>
    <cellStyle name="樣式 327 2" xfId="4919" xr:uid="{00000000-0005-0000-0000-00000E140000}"/>
    <cellStyle name="樣式 328" xfId="1131" xr:uid="{00000000-0005-0000-0000-00000F140000}"/>
    <cellStyle name="樣式 328 2" xfId="4920" xr:uid="{00000000-0005-0000-0000-000010140000}"/>
    <cellStyle name="樣式 329" xfId="1132" xr:uid="{00000000-0005-0000-0000-000011140000}"/>
    <cellStyle name="樣式 329 2" xfId="4921" xr:uid="{00000000-0005-0000-0000-000012140000}"/>
    <cellStyle name="樣式 33" xfId="1133" xr:uid="{00000000-0005-0000-0000-000013140000}"/>
    <cellStyle name="樣式 33 2" xfId="4922" xr:uid="{00000000-0005-0000-0000-000014140000}"/>
    <cellStyle name="樣式 330" xfId="1134" xr:uid="{00000000-0005-0000-0000-000015140000}"/>
    <cellStyle name="樣式 330 2" xfId="4923" xr:uid="{00000000-0005-0000-0000-000016140000}"/>
    <cellStyle name="樣式 331" xfId="1135" xr:uid="{00000000-0005-0000-0000-000017140000}"/>
    <cellStyle name="樣式 331 2" xfId="4924" xr:uid="{00000000-0005-0000-0000-000018140000}"/>
    <cellStyle name="樣式 332" xfId="1136" xr:uid="{00000000-0005-0000-0000-000019140000}"/>
    <cellStyle name="樣式 332 2" xfId="4925" xr:uid="{00000000-0005-0000-0000-00001A140000}"/>
    <cellStyle name="樣式 333" xfId="1137" xr:uid="{00000000-0005-0000-0000-00001B140000}"/>
    <cellStyle name="樣式 333 2" xfId="4926" xr:uid="{00000000-0005-0000-0000-00001C140000}"/>
    <cellStyle name="樣式 334" xfId="1138" xr:uid="{00000000-0005-0000-0000-00001D140000}"/>
    <cellStyle name="樣式 334 2" xfId="4927" xr:uid="{00000000-0005-0000-0000-00001E140000}"/>
    <cellStyle name="樣式 335" xfId="1139" xr:uid="{00000000-0005-0000-0000-00001F140000}"/>
    <cellStyle name="樣式 335 2" xfId="4928" xr:uid="{00000000-0005-0000-0000-000020140000}"/>
    <cellStyle name="樣式 336" xfId="1140" xr:uid="{00000000-0005-0000-0000-000021140000}"/>
    <cellStyle name="樣式 336 2" xfId="4929" xr:uid="{00000000-0005-0000-0000-000022140000}"/>
    <cellStyle name="樣式 337" xfId="1141" xr:uid="{00000000-0005-0000-0000-000023140000}"/>
    <cellStyle name="樣式 337 2" xfId="4930" xr:uid="{00000000-0005-0000-0000-000024140000}"/>
    <cellStyle name="樣式 338" xfId="1142" xr:uid="{00000000-0005-0000-0000-000025140000}"/>
    <cellStyle name="樣式 338 2" xfId="4931" xr:uid="{00000000-0005-0000-0000-000026140000}"/>
    <cellStyle name="樣式 339" xfId="1143" xr:uid="{00000000-0005-0000-0000-000027140000}"/>
    <cellStyle name="樣式 339 2" xfId="4932" xr:uid="{00000000-0005-0000-0000-000028140000}"/>
    <cellStyle name="樣式 34" xfId="1144" xr:uid="{00000000-0005-0000-0000-000029140000}"/>
    <cellStyle name="樣式 34 2" xfId="4933" xr:uid="{00000000-0005-0000-0000-00002A140000}"/>
    <cellStyle name="樣式 340" xfId="1145" xr:uid="{00000000-0005-0000-0000-00002B140000}"/>
    <cellStyle name="樣式 340 2" xfId="4934" xr:uid="{00000000-0005-0000-0000-00002C140000}"/>
    <cellStyle name="樣式 341" xfId="1146" xr:uid="{00000000-0005-0000-0000-00002D140000}"/>
    <cellStyle name="樣式 341 2" xfId="4935" xr:uid="{00000000-0005-0000-0000-00002E140000}"/>
    <cellStyle name="樣式 342" xfId="1147" xr:uid="{00000000-0005-0000-0000-00002F140000}"/>
    <cellStyle name="樣式 342 2" xfId="4936" xr:uid="{00000000-0005-0000-0000-000030140000}"/>
    <cellStyle name="樣式 343" xfId="1148" xr:uid="{00000000-0005-0000-0000-000031140000}"/>
    <cellStyle name="樣式 343 2" xfId="4937" xr:uid="{00000000-0005-0000-0000-000032140000}"/>
    <cellStyle name="樣式 344" xfId="1149" xr:uid="{00000000-0005-0000-0000-000033140000}"/>
    <cellStyle name="樣式 344 2" xfId="4938" xr:uid="{00000000-0005-0000-0000-000034140000}"/>
    <cellStyle name="樣式 345" xfId="1150" xr:uid="{00000000-0005-0000-0000-000035140000}"/>
    <cellStyle name="樣式 345 2" xfId="4939" xr:uid="{00000000-0005-0000-0000-000036140000}"/>
    <cellStyle name="樣式 346" xfId="1151" xr:uid="{00000000-0005-0000-0000-000037140000}"/>
    <cellStyle name="樣式 346 2" xfId="4940" xr:uid="{00000000-0005-0000-0000-000038140000}"/>
    <cellStyle name="樣式 347" xfId="1152" xr:uid="{00000000-0005-0000-0000-000039140000}"/>
    <cellStyle name="樣式 347 2" xfId="4941" xr:uid="{00000000-0005-0000-0000-00003A140000}"/>
    <cellStyle name="樣式 348" xfId="1153" xr:uid="{00000000-0005-0000-0000-00003B140000}"/>
    <cellStyle name="樣式 348 2" xfId="4942" xr:uid="{00000000-0005-0000-0000-00003C140000}"/>
    <cellStyle name="樣式 349" xfId="1154" xr:uid="{00000000-0005-0000-0000-00003D140000}"/>
    <cellStyle name="樣式 349 2" xfId="4943" xr:uid="{00000000-0005-0000-0000-00003E140000}"/>
    <cellStyle name="樣式 35" xfId="1155" xr:uid="{00000000-0005-0000-0000-00003F140000}"/>
    <cellStyle name="樣式 35 2" xfId="4944" xr:uid="{00000000-0005-0000-0000-000040140000}"/>
    <cellStyle name="樣式 350" xfId="1156" xr:uid="{00000000-0005-0000-0000-000041140000}"/>
    <cellStyle name="樣式 350 2" xfId="4945" xr:uid="{00000000-0005-0000-0000-000042140000}"/>
    <cellStyle name="樣式 351" xfId="1157" xr:uid="{00000000-0005-0000-0000-000043140000}"/>
    <cellStyle name="樣式 351 2" xfId="4946" xr:uid="{00000000-0005-0000-0000-000044140000}"/>
    <cellStyle name="樣式 352" xfId="1158" xr:uid="{00000000-0005-0000-0000-000045140000}"/>
    <cellStyle name="樣式 352 2" xfId="4947" xr:uid="{00000000-0005-0000-0000-000046140000}"/>
    <cellStyle name="樣式 353" xfId="1159" xr:uid="{00000000-0005-0000-0000-000047140000}"/>
    <cellStyle name="樣式 353 2" xfId="4948" xr:uid="{00000000-0005-0000-0000-000048140000}"/>
    <cellStyle name="樣式 354" xfId="1160" xr:uid="{00000000-0005-0000-0000-000049140000}"/>
    <cellStyle name="樣式 354 2" xfId="4949" xr:uid="{00000000-0005-0000-0000-00004A140000}"/>
    <cellStyle name="樣式 355" xfId="1161" xr:uid="{00000000-0005-0000-0000-00004B140000}"/>
    <cellStyle name="樣式 355 2" xfId="4950" xr:uid="{00000000-0005-0000-0000-00004C140000}"/>
    <cellStyle name="樣式 356" xfId="1162" xr:uid="{00000000-0005-0000-0000-00004D140000}"/>
    <cellStyle name="樣式 356 2" xfId="4951" xr:uid="{00000000-0005-0000-0000-00004E140000}"/>
    <cellStyle name="樣式 357" xfId="1163" xr:uid="{00000000-0005-0000-0000-00004F140000}"/>
    <cellStyle name="樣式 357 2" xfId="4952" xr:uid="{00000000-0005-0000-0000-000050140000}"/>
    <cellStyle name="樣式 358" xfId="1164" xr:uid="{00000000-0005-0000-0000-000051140000}"/>
    <cellStyle name="樣式 358 2" xfId="4953" xr:uid="{00000000-0005-0000-0000-000052140000}"/>
    <cellStyle name="樣式 359" xfId="1165" xr:uid="{00000000-0005-0000-0000-000053140000}"/>
    <cellStyle name="樣式 359 2" xfId="4954" xr:uid="{00000000-0005-0000-0000-000054140000}"/>
    <cellStyle name="樣式 36" xfId="1166" xr:uid="{00000000-0005-0000-0000-000055140000}"/>
    <cellStyle name="樣式 36 2" xfId="4955" xr:uid="{00000000-0005-0000-0000-000056140000}"/>
    <cellStyle name="樣式 360" xfId="1167" xr:uid="{00000000-0005-0000-0000-000057140000}"/>
    <cellStyle name="樣式 360 2" xfId="4956" xr:uid="{00000000-0005-0000-0000-000058140000}"/>
    <cellStyle name="樣式 361" xfId="1168" xr:uid="{00000000-0005-0000-0000-000059140000}"/>
    <cellStyle name="樣式 361 2" xfId="4957" xr:uid="{00000000-0005-0000-0000-00005A140000}"/>
    <cellStyle name="樣式 362" xfId="1169" xr:uid="{00000000-0005-0000-0000-00005B140000}"/>
    <cellStyle name="樣式 362 2" xfId="4958" xr:uid="{00000000-0005-0000-0000-00005C140000}"/>
    <cellStyle name="樣式 363" xfId="1170" xr:uid="{00000000-0005-0000-0000-00005D140000}"/>
    <cellStyle name="樣式 363 2" xfId="4959" xr:uid="{00000000-0005-0000-0000-00005E140000}"/>
    <cellStyle name="樣式 364" xfId="1171" xr:uid="{00000000-0005-0000-0000-00005F140000}"/>
    <cellStyle name="樣式 364 2" xfId="4960" xr:uid="{00000000-0005-0000-0000-000060140000}"/>
    <cellStyle name="樣式 365" xfId="1172" xr:uid="{00000000-0005-0000-0000-000061140000}"/>
    <cellStyle name="樣式 365 2" xfId="4961" xr:uid="{00000000-0005-0000-0000-000062140000}"/>
    <cellStyle name="樣式 366" xfId="1625" xr:uid="{00000000-0005-0000-0000-000063140000}"/>
    <cellStyle name="樣式 366 2" xfId="4962" xr:uid="{00000000-0005-0000-0000-000064140000}"/>
    <cellStyle name="樣式 367" xfId="1626" xr:uid="{00000000-0005-0000-0000-000065140000}"/>
    <cellStyle name="樣式 367 2" xfId="4963" xr:uid="{00000000-0005-0000-0000-000066140000}"/>
    <cellStyle name="樣式 368" xfId="1627" xr:uid="{00000000-0005-0000-0000-000067140000}"/>
    <cellStyle name="樣式 368 2" xfId="4964" xr:uid="{00000000-0005-0000-0000-000068140000}"/>
    <cellStyle name="樣式 369" xfId="1628" xr:uid="{00000000-0005-0000-0000-000069140000}"/>
    <cellStyle name="樣式 369 2" xfId="4965" xr:uid="{00000000-0005-0000-0000-00006A140000}"/>
    <cellStyle name="樣式 37" xfId="1173" xr:uid="{00000000-0005-0000-0000-00006B140000}"/>
    <cellStyle name="樣式 37 2" xfId="4966" xr:uid="{00000000-0005-0000-0000-00006C140000}"/>
    <cellStyle name="樣式 38" xfId="1174" xr:uid="{00000000-0005-0000-0000-00006D140000}"/>
    <cellStyle name="樣式 38 2" xfId="4967" xr:uid="{00000000-0005-0000-0000-00006E140000}"/>
    <cellStyle name="樣式 39" xfId="1175" xr:uid="{00000000-0005-0000-0000-00006F140000}"/>
    <cellStyle name="樣式 39 2" xfId="4968" xr:uid="{00000000-0005-0000-0000-000070140000}"/>
    <cellStyle name="樣式 4" xfId="1176" xr:uid="{00000000-0005-0000-0000-000071140000}"/>
    <cellStyle name="樣式 4 2" xfId="4969" xr:uid="{00000000-0005-0000-0000-000072140000}"/>
    <cellStyle name="樣式 40" xfId="1177" xr:uid="{00000000-0005-0000-0000-000073140000}"/>
    <cellStyle name="樣式 40 2" xfId="4970" xr:uid="{00000000-0005-0000-0000-000074140000}"/>
    <cellStyle name="樣式 41" xfId="1178" xr:uid="{00000000-0005-0000-0000-000075140000}"/>
    <cellStyle name="樣式 41 2" xfId="4971" xr:uid="{00000000-0005-0000-0000-000076140000}"/>
    <cellStyle name="樣式 42" xfId="1179" xr:uid="{00000000-0005-0000-0000-000077140000}"/>
    <cellStyle name="樣式 42 2" xfId="4972" xr:uid="{00000000-0005-0000-0000-000078140000}"/>
    <cellStyle name="樣式 43" xfId="1180" xr:uid="{00000000-0005-0000-0000-000079140000}"/>
    <cellStyle name="樣式 43 2" xfId="4973" xr:uid="{00000000-0005-0000-0000-00007A140000}"/>
    <cellStyle name="樣式 44" xfId="1181" xr:uid="{00000000-0005-0000-0000-00007B140000}"/>
    <cellStyle name="樣式 44 2" xfId="4974" xr:uid="{00000000-0005-0000-0000-00007C140000}"/>
    <cellStyle name="樣式 45" xfId="1182" xr:uid="{00000000-0005-0000-0000-00007D140000}"/>
    <cellStyle name="樣式 45 2" xfId="4975" xr:uid="{00000000-0005-0000-0000-00007E140000}"/>
    <cellStyle name="樣式 46" xfId="1183" xr:uid="{00000000-0005-0000-0000-00007F140000}"/>
    <cellStyle name="樣式 46 2" xfId="4976" xr:uid="{00000000-0005-0000-0000-000080140000}"/>
    <cellStyle name="樣式 47" xfId="1184" xr:uid="{00000000-0005-0000-0000-000081140000}"/>
    <cellStyle name="樣式 47 2" xfId="4977" xr:uid="{00000000-0005-0000-0000-000082140000}"/>
    <cellStyle name="樣式 48" xfId="1185" xr:uid="{00000000-0005-0000-0000-000083140000}"/>
    <cellStyle name="樣式 48 2" xfId="4978" xr:uid="{00000000-0005-0000-0000-000084140000}"/>
    <cellStyle name="樣式 49" xfId="1186" xr:uid="{00000000-0005-0000-0000-000085140000}"/>
    <cellStyle name="樣式 49 2" xfId="4979" xr:uid="{00000000-0005-0000-0000-000086140000}"/>
    <cellStyle name="樣式 5" xfId="1187" xr:uid="{00000000-0005-0000-0000-000087140000}"/>
    <cellStyle name="樣式 5 2" xfId="4980" xr:uid="{00000000-0005-0000-0000-000088140000}"/>
    <cellStyle name="樣式 50" xfId="1188" xr:uid="{00000000-0005-0000-0000-000089140000}"/>
    <cellStyle name="樣式 50 2" xfId="4981" xr:uid="{00000000-0005-0000-0000-00008A140000}"/>
    <cellStyle name="樣式 51" xfId="1189" xr:uid="{00000000-0005-0000-0000-00008B140000}"/>
    <cellStyle name="樣式 51 2" xfId="4982" xr:uid="{00000000-0005-0000-0000-00008C140000}"/>
    <cellStyle name="樣式 52" xfId="1190" xr:uid="{00000000-0005-0000-0000-00008D140000}"/>
    <cellStyle name="樣式 52 2" xfId="4983" xr:uid="{00000000-0005-0000-0000-00008E140000}"/>
    <cellStyle name="樣式 53" xfId="1191" xr:uid="{00000000-0005-0000-0000-00008F140000}"/>
    <cellStyle name="樣式 53 2" xfId="4984" xr:uid="{00000000-0005-0000-0000-000090140000}"/>
    <cellStyle name="樣式 54" xfId="1192" xr:uid="{00000000-0005-0000-0000-000091140000}"/>
    <cellStyle name="樣式 54 2" xfId="4985" xr:uid="{00000000-0005-0000-0000-000092140000}"/>
    <cellStyle name="樣式 55" xfId="1193" xr:uid="{00000000-0005-0000-0000-000093140000}"/>
    <cellStyle name="樣式 55 2" xfId="4986" xr:uid="{00000000-0005-0000-0000-000094140000}"/>
    <cellStyle name="樣式 56" xfId="1194" xr:uid="{00000000-0005-0000-0000-000095140000}"/>
    <cellStyle name="樣式 56 2" xfId="4987" xr:uid="{00000000-0005-0000-0000-000096140000}"/>
    <cellStyle name="樣式 57" xfId="1195" xr:uid="{00000000-0005-0000-0000-000097140000}"/>
    <cellStyle name="樣式 57 2" xfId="4988" xr:uid="{00000000-0005-0000-0000-000098140000}"/>
    <cellStyle name="樣式 58" xfId="1196" xr:uid="{00000000-0005-0000-0000-000099140000}"/>
    <cellStyle name="樣式 58 2" xfId="4989" xr:uid="{00000000-0005-0000-0000-00009A140000}"/>
    <cellStyle name="樣式 59" xfId="1197" xr:uid="{00000000-0005-0000-0000-00009B140000}"/>
    <cellStyle name="樣式 59 2" xfId="4990" xr:uid="{00000000-0005-0000-0000-00009C140000}"/>
    <cellStyle name="樣式 6" xfId="1198" xr:uid="{00000000-0005-0000-0000-00009D140000}"/>
    <cellStyle name="樣式 6 2" xfId="4991" xr:uid="{00000000-0005-0000-0000-00009E140000}"/>
    <cellStyle name="樣式 60" xfId="1199" xr:uid="{00000000-0005-0000-0000-00009F140000}"/>
    <cellStyle name="樣式 60 2" xfId="4992" xr:uid="{00000000-0005-0000-0000-0000A0140000}"/>
    <cellStyle name="樣式 61" xfId="1200" xr:uid="{00000000-0005-0000-0000-0000A1140000}"/>
    <cellStyle name="樣式 61 2" xfId="4993" xr:uid="{00000000-0005-0000-0000-0000A2140000}"/>
    <cellStyle name="樣式 62" xfId="1201" xr:uid="{00000000-0005-0000-0000-0000A3140000}"/>
    <cellStyle name="樣式 62 2" xfId="4994" xr:uid="{00000000-0005-0000-0000-0000A4140000}"/>
    <cellStyle name="樣式 63" xfId="1202" xr:uid="{00000000-0005-0000-0000-0000A5140000}"/>
    <cellStyle name="樣式 63 2" xfId="4995" xr:uid="{00000000-0005-0000-0000-0000A6140000}"/>
    <cellStyle name="樣式 64" xfId="1203" xr:uid="{00000000-0005-0000-0000-0000A7140000}"/>
    <cellStyle name="樣式 64 2" xfId="4996" xr:uid="{00000000-0005-0000-0000-0000A8140000}"/>
    <cellStyle name="樣式 65" xfId="1204" xr:uid="{00000000-0005-0000-0000-0000A9140000}"/>
    <cellStyle name="樣式 65 2" xfId="4997" xr:uid="{00000000-0005-0000-0000-0000AA140000}"/>
    <cellStyle name="樣式 66" xfId="1205" xr:uid="{00000000-0005-0000-0000-0000AB140000}"/>
    <cellStyle name="樣式 66 2" xfId="4998" xr:uid="{00000000-0005-0000-0000-0000AC140000}"/>
    <cellStyle name="樣式 67" xfId="1206" xr:uid="{00000000-0005-0000-0000-0000AD140000}"/>
    <cellStyle name="樣式 67 2" xfId="4999" xr:uid="{00000000-0005-0000-0000-0000AE140000}"/>
    <cellStyle name="樣式 68" xfId="1207" xr:uid="{00000000-0005-0000-0000-0000AF140000}"/>
    <cellStyle name="樣式 68 2" xfId="5000" xr:uid="{00000000-0005-0000-0000-0000B0140000}"/>
    <cellStyle name="樣式 69" xfId="1208" xr:uid="{00000000-0005-0000-0000-0000B1140000}"/>
    <cellStyle name="樣式 69 2" xfId="5001" xr:uid="{00000000-0005-0000-0000-0000B2140000}"/>
    <cellStyle name="樣式 7" xfId="1209" xr:uid="{00000000-0005-0000-0000-0000B3140000}"/>
    <cellStyle name="樣式 7 2" xfId="5002" xr:uid="{00000000-0005-0000-0000-0000B4140000}"/>
    <cellStyle name="樣式 70" xfId="1210" xr:uid="{00000000-0005-0000-0000-0000B5140000}"/>
    <cellStyle name="樣式 70 2" xfId="5003" xr:uid="{00000000-0005-0000-0000-0000B6140000}"/>
    <cellStyle name="樣式 71" xfId="1211" xr:uid="{00000000-0005-0000-0000-0000B7140000}"/>
    <cellStyle name="樣式 71 2" xfId="5004" xr:uid="{00000000-0005-0000-0000-0000B8140000}"/>
    <cellStyle name="樣式 72" xfId="1212" xr:uid="{00000000-0005-0000-0000-0000B9140000}"/>
    <cellStyle name="樣式 72 2" xfId="5005" xr:uid="{00000000-0005-0000-0000-0000BA140000}"/>
    <cellStyle name="樣式 73" xfId="1213" xr:uid="{00000000-0005-0000-0000-0000BB140000}"/>
    <cellStyle name="樣式 73 2" xfId="5006" xr:uid="{00000000-0005-0000-0000-0000BC140000}"/>
    <cellStyle name="樣式 74" xfId="1214" xr:uid="{00000000-0005-0000-0000-0000BD140000}"/>
    <cellStyle name="樣式 74 2" xfId="5007" xr:uid="{00000000-0005-0000-0000-0000BE140000}"/>
    <cellStyle name="樣式 75" xfId="1215" xr:uid="{00000000-0005-0000-0000-0000BF140000}"/>
    <cellStyle name="樣式 75 2" xfId="5008" xr:uid="{00000000-0005-0000-0000-0000C0140000}"/>
    <cellStyle name="樣式 76" xfId="1216" xr:uid="{00000000-0005-0000-0000-0000C1140000}"/>
    <cellStyle name="樣式 76 2" xfId="5009" xr:uid="{00000000-0005-0000-0000-0000C2140000}"/>
    <cellStyle name="樣式 77" xfId="1217" xr:uid="{00000000-0005-0000-0000-0000C3140000}"/>
    <cellStyle name="樣式 77 2" xfId="5010" xr:uid="{00000000-0005-0000-0000-0000C4140000}"/>
    <cellStyle name="樣式 78" xfId="1218" xr:uid="{00000000-0005-0000-0000-0000C5140000}"/>
    <cellStyle name="樣式 78 2" xfId="5011" xr:uid="{00000000-0005-0000-0000-0000C6140000}"/>
    <cellStyle name="樣式 79" xfId="1219" xr:uid="{00000000-0005-0000-0000-0000C7140000}"/>
    <cellStyle name="樣式 79 2" xfId="5012" xr:uid="{00000000-0005-0000-0000-0000C8140000}"/>
    <cellStyle name="樣式 8" xfId="1220" xr:uid="{00000000-0005-0000-0000-0000C9140000}"/>
    <cellStyle name="樣式 8 2" xfId="5013" xr:uid="{00000000-0005-0000-0000-0000CA140000}"/>
    <cellStyle name="樣式 80" xfId="1221" xr:uid="{00000000-0005-0000-0000-0000CB140000}"/>
    <cellStyle name="樣式 80 2" xfId="5014" xr:uid="{00000000-0005-0000-0000-0000CC140000}"/>
    <cellStyle name="樣式 81" xfId="1222" xr:uid="{00000000-0005-0000-0000-0000CD140000}"/>
    <cellStyle name="樣式 81 2" xfId="5015" xr:uid="{00000000-0005-0000-0000-0000CE140000}"/>
    <cellStyle name="樣式 82" xfId="1223" xr:uid="{00000000-0005-0000-0000-0000CF140000}"/>
    <cellStyle name="樣式 82 2" xfId="5016" xr:uid="{00000000-0005-0000-0000-0000D0140000}"/>
    <cellStyle name="樣式 83" xfId="1224" xr:uid="{00000000-0005-0000-0000-0000D1140000}"/>
    <cellStyle name="樣式 83 2" xfId="5017" xr:uid="{00000000-0005-0000-0000-0000D2140000}"/>
    <cellStyle name="樣式 84" xfId="1225" xr:uid="{00000000-0005-0000-0000-0000D3140000}"/>
    <cellStyle name="樣式 84 2" xfId="5018" xr:uid="{00000000-0005-0000-0000-0000D4140000}"/>
    <cellStyle name="樣式 85" xfId="1226" xr:uid="{00000000-0005-0000-0000-0000D5140000}"/>
    <cellStyle name="樣式 85 2" xfId="5019" xr:uid="{00000000-0005-0000-0000-0000D6140000}"/>
    <cellStyle name="樣式 86" xfId="1227" xr:uid="{00000000-0005-0000-0000-0000D7140000}"/>
    <cellStyle name="樣式 86 2" xfId="5020" xr:uid="{00000000-0005-0000-0000-0000D8140000}"/>
    <cellStyle name="樣式 87" xfId="1228" xr:uid="{00000000-0005-0000-0000-0000D9140000}"/>
    <cellStyle name="樣式 87 2" xfId="5021" xr:uid="{00000000-0005-0000-0000-0000DA140000}"/>
    <cellStyle name="樣式 88" xfId="1229" xr:uid="{00000000-0005-0000-0000-0000DB140000}"/>
    <cellStyle name="樣式 88 2" xfId="5022" xr:uid="{00000000-0005-0000-0000-0000DC140000}"/>
    <cellStyle name="樣式 89" xfId="1230" xr:uid="{00000000-0005-0000-0000-0000DD140000}"/>
    <cellStyle name="樣式 89 2" xfId="5023" xr:uid="{00000000-0005-0000-0000-0000DE140000}"/>
    <cellStyle name="樣式 9" xfId="1231" xr:uid="{00000000-0005-0000-0000-0000DF140000}"/>
    <cellStyle name="樣式 9 2" xfId="5024" xr:uid="{00000000-0005-0000-0000-0000E0140000}"/>
    <cellStyle name="樣式 90" xfId="1232" xr:uid="{00000000-0005-0000-0000-0000E1140000}"/>
    <cellStyle name="樣式 90 2" xfId="5025" xr:uid="{00000000-0005-0000-0000-0000E2140000}"/>
    <cellStyle name="樣式 91" xfId="1233" xr:uid="{00000000-0005-0000-0000-0000E3140000}"/>
    <cellStyle name="樣式 91 2" xfId="5026" xr:uid="{00000000-0005-0000-0000-0000E4140000}"/>
    <cellStyle name="樣式 92" xfId="1234" xr:uid="{00000000-0005-0000-0000-0000E5140000}"/>
    <cellStyle name="樣式 92 2" xfId="5027" xr:uid="{00000000-0005-0000-0000-0000E6140000}"/>
    <cellStyle name="樣式 93" xfId="1235" xr:uid="{00000000-0005-0000-0000-0000E7140000}"/>
    <cellStyle name="樣式 93 2" xfId="5028" xr:uid="{00000000-0005-0000-0000-0000E8140000}"/>
    <cellStyle name="樣式 94" xfId="1236" xr:uid="{00000000-0005-0000-0000-0000E9140000}"/>
    <cellStyle name="樣式 94 2" xfId="5029" xr:uid="{00000000-0005-0000-0000-0000EA140000}"/>
    <cellStyle name="樣式 95" xfId="1237" xr:uid="{00000000-0005-0000-0000-0000EB140000}"/>
    <cellStyle name="樣式 95 2" xfId="5030" xr:uid="{00000000-0005-0000-0000-0000EC140000}"/>
    <cellStyle name="樣式 96" xfId="1238" xr:uid="{00000000-0005-0000-0000-0000ED140000}"/>
    <cellStyle name="樣式 96 2" xfId="5031" xr:uid="{00000000-0005-0000-0000-0000EE140000}"/>
    <cellStyle name="樣式 97" xfId="1239" xr:uid="{00000000-0005-0000-0000-0000EF140000}"/>
    <cellStyle name="樣式 97 2" xfId="5032" xr:uid="{00000000-0005-0000-0000-0000F0140000}"/>
    <cellStyle name="樣式 98" xfId="1240" xr:uid="{00000000-0005-0000-0000-0000F1140000}"/>
    <cellStyle name="樣式 98 2" xfId="5033" xr:uid="{00000000-0005-0000-0000-0000F2140000}"/>
    <cellStyle name="樣式 99" xfId="1241" xr:uid="{00000000-0005-0000-0000-0000F3140000}"/>
    <cellStyle name="樣式 99 2" xfId="5034" xr:uid="{00000000-0005-0000-0000-0000F4140000}"/>
    <cellStyle name="樣式一" xfId="1242" xr:uid="{00000000-0005-0000-0000-0000F5140000}"/>
    <cellStyle name="樣式一 2" xfId="5035" xr:uid="{00000000-0005-0000-0000-0000F6140000}"/>
    <cellStyle name="機械挖方" xfId="5036" xr:uid="{00000000-0005-0000-0000-0000F7140000}"/>
    <cellStyle name="輸入 2" xfId="5375" xr:uid="{00000000-0005-0000-0000-0000F8140000}"/>
    <cellStyle name="輸出 2" xfId="5376" xr:uid="{00000000-0005-0000-0000-0000F9140000}"/>
    <cellStyle name="隨後的超連結" xfId="1243" xr:uid="{00000000-0005-0000-0000-0000FA140000}"/>
    <cellStyle name="隨後的超連結 2" xfId="5037" xr:uid="{00000000-0005-0000-0000-0000FB140000}"/>
    <cellStyle name="檢查儲存格 2" xfId="5377" xr:uid="{00000000-0005-0000-0000-0000FC140000}"/>
    <cellStyle name="壞 2" xfId="5378" xr:uid="{00000000-0005-0000-0000-0000FD140000}"/>
    <cellStyle name="壞_Sheet1" xfId="5038" xr:uid="{00000000-0005-0000-0000-0000FE140000}"/>
    <cellStyle name="壞_Sheet2" xfId="5039" xr:uid="{00000000-0005-0000-0000-0000FF140000}"/>
    <cellStyle name="壞_Sheet3" xfId="5040" xr:uid="{00000000-0005-0000-0000-000000150000}"/>
    <cellStyle name="壞_施工日誌1" xfId="2478" xr:uid="{00000000-0005-0000-0000-000001150000}"/>
    <cellStyle name="壞_數量表" xfId="5041" xr:uid="{00000000-0005-0000-0000-000002150000}"/>
    <cellStyle name="警告文字 2" xfId="5379" xr:uid="{00000000-0005-0000-0000-00000315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fc25a19c0c04c7e/&#26700;&#38754;/(&#38928;&#31639;&#26360;to&#24288;&#21830;)&#20803;&#38263;&#22283;&#23567;&#36774;&#29702;114&#24180;&#24230;&#20805;&#23526;&#35373;&#26045;&#35373;&#20633;-&#26657;&#22290;&#37610;&#38754;&#25913;&#21892;&#24037;&#31243;_1150519-2.xls" TargetMode="External"/><Relationship Id="rId1" Type="http://schemas.openxmlformats.org/officeDocument/2006/relationships/externalLinkPath" Target="(&#38928;&#31639;&#26360;to&#24288;&#21830;)&#20803;&#38263;&#22283;&#23567;&#36774;&#29702;114&#24180;&#24230;&#20805;&#23526;&#35373;&#26045;&#35373;&#20633;-&#26657;&#22290;&#37610;&#38754;&#25913;&#21892;&#24037;&#31243;_115051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總表"/>
      <sheetName val="詳細價目表"/>
      <sheetName val="單價分析"/>
    </sheetNames>
    <sheetDataSet>
      <sheetData sheetId="0"/>
      <sheetData sheetId="1">
        <row r="3">
          <cell r="B3" t="str">
            <v>工程告示牌與職安告示牌(租用)</v>
          </cell>
          <cell r="D3">
            <v>1</v>
          </cell>
        </row>
        <row r="4">
          <cell r="B4" t="str">
            <v>施工管制措施(租用)</v>
          </cell>
          <cell r="D4">
            <v>1</v>
          </cell>
        </row>
        <row r="5">
          <cell r="B5" t="str">
            <v>施工動線開闢，整備與復原工程</v>
          </cell>
          <cell r="D5">
            <v>1</v>
          </cell>
        </row>
        <row r="6">
          <cell r="B6" t="str">
            <v>施工測量，工地放樣</v>
          </cell>
          <cell r="D6">
            <v>1</v>
          </cell>
        </row>
        <row r="7">
          <cell r="B7" t="str">
            <v>移除清運大王椰子樹(含挖樹頭，混凝土打底)</v>
          </cell>
          <cell r="D7">
            <v>9</v>
          </cell>
        </row>
        <row r="8">
          <cell r="B8" t="str">
            <v>既有水溝陰井清淤，暢通西南側圍牆外陰井暗溝排水至通路排水溝(含試水);雜項工程</v>
          </cell>
          <cell r="D8">
            <v>1</v>
          </cell>
        </row>
        <row r="9">
          <cell r="B9" t="str">
            <v>埋設RC陰井(含鍍鋅鋼材止滑細縫陰井蓋含框)</v>
          </cell>
          <cell r="D9">
            <v>9</v>
          </cell>
        </row>
        <row r="10">
          <cell r="B10" t="str">
            <v>埋設10吋排水管</v>
          </cell>
          <cell r="D10">
            <v>52</v>
          </cell>
        </row>
        <row r="11">
          <cell r="B11" t="str">
            <v>安裝專用不鏽鋼開關箱，接引既有電源附接地線，陰井內安裝不鏽鋼沉水抽水馬達，安裝排水管排水至排水溝</v>
          </cell>
          <cell r="D11">
            <v>1</v>
          </cell>
        </row>
        <row r="12">
          <cell r="B12" t="str">
            <v>挖除石板鋪面，廢棄物集中處理</v>
          </cell>
          <cell r="D12">
            <v>31</v>
          </cell>
        </row>
        <row r="13">
          <cell r="B13" t="str">
            <v>切割打除既有地坪，廢棄物集中處理</v>
          </cell>
          <cell r="D13">
            <v>100</v>
          </cell>
        </row>
        <row r="14">
          <cell r="B14" t="str">
            <v>場鑄RC緣石</v>
          </cell>
          <cell r="D14">
            <v>35</v>
          </cell>
        </row>
        <row r="15">
          <cell r="B15" t="str">
            <v>鋪設預鑄緣石</v>
          </cell>
          <cell r="D15">
            <v>282</v>
          </cell>
        </row>
        <row r="16">
          <cell r="B16" t="str">
            <v>整地底土壓實，鋪設RC地坪，面層抿石子</v>
          </cell>
          <cell r="D16">
            <v>58</v>
          </cell>
        </row>
        <row r="17">
          <cell r="B17" t="str">
            <v>鋪設碎石級配(H15cm)</v>
          </cell>
          <cell r="D17">
            <v>360</v>
          </cell>
        </row>
        <row r="18">
          <cell r="B18" t="str">
            <v>既有AC面刷毛與清潔</v>
          </cell>
          <cell r="D18">
            <v>2400</v>
          </cell>
        </row>
        <row r="19">
          <cell r="B19" t="str">
            <v>鋪設透層與底層AC(平均厚4cm)</v>
          </cell>
          <cell r="D19">
            <v>360</v>
          </cell>
        </row>
        <row r="20">
          <cell r="B20" t="str">
            <v>鋪設黏層與密級配面層AC(平均厚4cm)</v>
          </cell>
          <cell r="D20">
            <v>2760</v>
          </cell>
        </row>
        <row r="21">
          <cell r="B21" t="str">
            <v>整地，覆砂土，密植草皮</v>
          </cell>
          <cell r="D21">
            <v>275</v>
          </cell>
        </row>
        <row r="22">
          <cell r="B22" t="str">
            <v>材料檢驗費</v>
          </cell>
          <cell r="D22">
            <v>1</v>
          </cell>
        </row>
        <row r="23">
          <cell r="B23" t="str">
            <v>營建廢棄物清運(含清運證明)</v>
          </cell>
          <cell r="D23">
            <v>1</v>
          </cell>
        </row>
        <row r="25">
          <cell r="B25" t="str">
            <v>職業安全衛生管理費（壹*1.6%）</v>
          </cell>
          <cell r="D25">
            <v>1</v>
          </cell>
        </row>
        <row r="26">
          <cell r="B26" t="str">
            <v>公共工程品質管制作業費（壹*1.6%）</v>
          </cell>
          <cell r="D26">
            <v>1</v>
          </cell>
        </row>
        <row r="27">
          <cell r="B27" t="str">
            <v>包商管理及利潤費（壹*7%）</v>
          </cell>
          <cell r="D27">
            <v>1</v>
          </cell>
        </row>
        <row r="28">
          <cell r="B28" t="str">
            <v>保險費</v>
          </cell>
          <cell r="D28">
            <v>1</v>
          </cell>
        </row>
        <row r="29">
          <cell r="B29" t="str">
            <v>營業稅（(壹~伍)*5％）</v>
          </cell>
        </row>
      </sheetData>
      <sheetData sheetId="2"/>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檢視1" id="{81097389-A4EA-48DC-81BE-E99DF0DE28CB}"/>
</namedSheetView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39"/>
  <sheetViews>
    <sheetView tabSelected="1" view="pageBreakPreview" topLeftCell="A1205" zoomScale="90" zoomScaleNormal="100" zoomScaleSheetLayoutView="90" workbookViewId="0">
      <selection activeCell="A1223" sqref="A1223:N1223"/>
    </sheetView>
  </sheetViews>
  <sheetFormatPr defaultColWidth="9" defaultRowHeight="16.2"/>
  <cols>
    <col min="1" max="1" width="12.33203125" style="4" customWidth="1"/>
    <col min="2" max="2" width="6.6640625" style="4" customWidth="1"/>
    <col min="3" max="3" width="7.21875" style="4" customWidth="1"/>
    <col min="4" max="7" width="6.6640625" style="4" customWidth="1"/>
    <col min="8" max="8" width="9.33203125" style="4" customWidth="1"/>
    <col min="9" max="9" width="5.6640625" style="4" customWidth="1"/>
    <col min="10" max="10" width="5.88671875" style="4" customWidth="1"/>
    <col min="11" max="11" width="3.44140625" style="4" customWidth="1"/>
    <col min="12" max="12" width="10" style="4" customWidth="1"/>
    <col min="13" max="13" width="5.21875" style="4" customWidth="1"/>
    <col min="14" max="14" width="8.109375" style="4" customWidth="1"/>
    <col min="15" max="15" width="9" style="4"/>
    <col min="16" max="16" width="12.6640625" style="36" customWidth="1"/>
    <col min="17" max="17" width="17.109375" style="36" customWidth="1"/>
    <col min="18" max="18" width="14.6640625" style="36" customWidth="1"/>
    <col min="19" max="19" width="9.44140625" style="19" bestFit="1" customWidth="1"/>
    <col min="20" max="21" width="9" style="19"/>
    <col min="22" max="16384" width="9" style="4"/>
  </cols>
  <sheetData>
    <row r="1" spans="1:21" s="1" customFormat="1" ht="21.6" customHeight="1">
      <c r="A1" s="125" t="s">
        <v>0</v>
      </c>
      <c r="B1" s="125"/>
      <c r="C1" s="125"/>
      <c r="D1" s="125"/>
      <c r="E1" s="125"/>
      <c r="F1" s="125"/>
      <c r="G1" s="125"/>
      <c r="H1" s="125"/>
      <c r="I1" s="125"/>
      <c r="J1" s="125"/>
      <c r="K1" s="125"/>
      <c r="L1" s="125"/>
      <c r="M1" s="125"/>
      <c r="N1" s="125"/>
      <c r="P1" s="29"/>
      <c r="Q1" s="29"/>
      <c r="R1" s="29"/>
      <c r="S1" s="6"/>
      <c r="T1" s="6"/>
      <c r="U1" s="6"/>
    </row>
    <row r="2" spans="1:21" s="1" customFormat="1" ht="18" customHeight="1">
      <c r="A2" s="1" t="s">
        <v>45</v>
      </c>
      <c r="B2" s="7">
        <v>1</v>
      </c>
      <c r="C2" s="5"/>
      <c r="D2" s="5"/>
      <c r="E2" s="5"/>
      <c r="F2" s="5"/>
      <c r="G2" s="5"/>
      <c r="H2" s="5"/>
      <c r="I2" s="5"/>
      <c r="J2" s="5"/>
      <c r="K2" s="5"/>
      <c r="L2" s="5"/>
      <c r="M2" s="5"/>
      <c r="N2" s="5"/>
      <c r="P2" s="29"/>
      <c r="Q2" s="29"/>
      <c r="R2" s="29"/>
      <c r="S2" s="6"/>
      <c r="T2" s="6"/>
      <c r="U2" s="6"/>
    </row>
    <row r="3" spans="1:21" s="1" customFormat="1">
      <c r="A3" s="1" t="s">
        <v>46</v>
      </c>
      <c r="B3" s="1" t="s">
        <v>1</v>
      </c>
      <c r="C3" s="1" t="s">
        <v>2</v>
      </c>
      <c r="D3" s="1" t="s">
        <v>3</v>
      </c>
      <c r="E3" s="1" t="s">
        <v>2</v>
      </c>
      <c r="H3" s="112" t="s">
        <v>4</v>
      </c>
      <c r="I3" s="112"/>
      <c r="J3" s="113">
        <v>46212</v>
      </c>
      <c r="K3" s="113"/>
      <c r="L3" s="113"/>
      <c r="M3" s="114">
        <f>J3</f>
        <v>46212</v>
      </c>
      <c r="N3" s="114"/>
      <c r="P3" s="29"/>
      <c r="Q3" s="29"/>
      <c r="R3" s="29"/>
      <c r="S3" s="6"/>
      <c r="T3" s="6"/>
      <c r="U3" s="6"/>
    </row>
    <row r="4" spans="1:21" s="1" customFormat="1" ht="17.100000000000001" customHeight="1">
      <c r="A4" s="8" t="s">
        <v>5</v>
      </c>
      <c r="B4" s="115" t="s">
        <v>66</v>
      </c>
      <c r="C4" s="116"/>
      <c r="D4" s="116"/>
      <c r="E4" s="116"/>
      <c r="F4" s="116"/>
      <c r="G4" s="117"/>
      <c r="H4" s="63" t="s">
        <v>6</v>
      </c>
      <c r="I4" s="63"/>
      <c r="J4" s="63"/>
      <c r="K4" s="63" t="s">
        <v>52</v>
      </c>
      <c r="L4" s="63"/>
      <c r="M4" s="63"/>
      <c r="N4" s="63"/>
      <c r="P4" s="29"/>
      <c r="Q4" s="29"/>
      <c r="R4" s="29"/>
      <c r="S4" s="6"/>
      <c r="T4" s="6"/>
      <c r="U4" s="6"/>
    </row>
    <row r="5" spans="1:21" s="1" customFormat="1">
      <c r="A5" s="8" t="s">
        <v>32</v>
      </c>
      <c r="B5" s="10">
        <v>60</v>
      </c>
      <c r="C5" s="11" t="s">
        <v>43</v>
      </c>
      <c r="D5" s="71" t="s">
        <v>7</v>
      </c>
      <c r="E5" s="73"/>
      <c r="F5" s="10">
        <v>1</v>
      </c>
      <c r="G5" s="11" t="s">
        <v>44</v>
      </c>
      <c r="H5" s="9" t="s">
        <v>9</v>
      </c>
      <c r="I5" s="10">
        <f>B5-F5</f>
        <v>59</v>
      </c>
      <c r="J5" s="11" t="s">
        <v>44</v>
      </c>
      <c r="K5" s="118" t="s">
        <v>33</v>
      </c>
      <c r="L5" s="119"/>
      <c r="M5" s="12"/>
      <c r="N5" s="11" t="s">
        <v>8</v>
      </c>
      <c r="P5" s="29"/>
      <c r="Q5" s="29"/>
      <c r="R5" s="29"/>
      <c r="S5" s="6"/>
      <c r="T5" s="6"/>
      <c r="U5" s="6"/>
    </row>
    <row r="6" spans="1:21" s="1" customFormat="1">
      <c r="A6" s="71" t="s">
        <v>34</v>
      </c>
      <c r="B6" s="72"/>
      <c r="C6" s="73"/>
      <c r="D6" s="120">
        <v>46212</v>
      </c>
      <c r="E6" s="121"/>
      <c r="F6" s="121"/>
      <c r="G6" s="122"/>
      <c r="H6" s="71" t="s">
        <v>35</v>
      </c>
      <c r="I6" s="72"/>
      <c r="J6" s="73"/>
      <c r="K6" s="120">
        <f>D6+59</f>
        <v>46271</v>
      </c>
      <c r="L6" s="121"/>
      <c r="M6" s="121"/>
      <c r="N6" s="122"/>
      <c r="P6" s="29"/>
      <c r="Q6" s="29"/>
      <c r="R6" s="29"/>
      <c r="S6" s="6"/>
      <c r="T6" s="6"/>
      <c r="U6" s="6"/>
    </row>
    <row r="7" spans="1:21" s="1" customFormat="1" ht="14.1" customHeight="1">
      <c r="A7" s="92" t="s">
        <v>10</v>
      </c>
      <c r="B7" s="93"/>
      <c r="C7" s="94"/>
      <c r="D7" s="98">
        <f>0.0005/5</f>
        <v>1E-4</v>
      </c>
      <c r="E7" s="99"/>
      <c r="F7" s="99"/>
      <c r="G7" s="100"/>
      <c r="H7" s="104" t="s">
        <v>36</v>
      </c>
      <c r="I7" s="105"/>
      <c r="J7" s="106"/>
      <c r="K7" s="110">
        <f>R38</f>
        <v>4.3738267814241432E-3</v>
      </c>
      <c r="L7" s="105"/>
      <c r="M7" s="105"/>
      <c r="N7" s="106"/>
      <c r="P7" s="29"/>
      <c r="Q7" s="29"/>
      <c r="R7" s="29"/>
      <c r="S7" s="6"/>
      <c r="T7" s="6"/>
      <c r="U7" s="6"/>
    </row>
    <row r="8" spans="1:21" s="1" customFormat="1" ht="9.6" hidden="1" customHeight="1">
      <c r="A8" s="95"/>
      <c r="B8" s="96"/>
      <c r="C8" s="97"/>
      <c r="D8" s="101"/>
      <c r="E8" s="102"/>
      <c r="F8" s="102"/>
      <c r="G8" s="103"/>
      <c r="H8" s="107"/>
      <c r="I8" s="108"/>
      <c r="J8" s="109"/>
      <c r="K8" s="107"/>
      <c r="L8" s="108"/>
      <c r="M8" s="108"/>
      <c r="N8" s="109"/>
      <c r="P8" s="29"/>
      <c r="Q8" s="29"/>
      <c r="R8" s="29"/>
      <c r="S8" s="6"/>
      <c r="T8" s="6"/>
      <c r="U8" s="6"/>
    </row>
    <row r="9" spans="1:21" s="1" customFormat="1" ht="14.1" customHeight="1">
      <c r="A9" s="62" t="s">
        <v>11</v>
      </c>
      <c r="B9" s="62"/>
      <c r="C9" s="62"/>
      <c r="D9" s="62"/>
      <c r="E9" s="62"/>
      <c r="F9" s="62"/>
      <c r="G9" s="62"/>
      <c r="H9" s="62"/>
      <c r="I9" s="62"/>
      <c r="J9" s="62"/>
      <c r="K9" s="62"/>
      <c r="L9" s="62"/>
      <c r="M9" s="62"/>
      <c r="N9" s="62"/>
      <c r="P9" s="29"/>
      <c r="Q9" s="29"/>
      <c r="R9" s="29"/>
      <c r="S9" s="6"/>
      <c r="T9" s="6"/>
      <c r="U9" s="6"/>
    </row>
    <row r="10" spans="1:21" s="2" customFormat="1" ht="15" customHeight="1">
      <c r="A10" s="111" t="s">
        <v>12</v>
      </c>
      <c r="B10" s="111"/>
      <c r="C10" s="111"/>
      <c r="D10" s="111"/>
      <c r="E10" s="111"/>
      <c r="F10" s="14" t="s">
        <v>37</v>
      </c>
      <c r="G10" s="111" t="s">
        <v>38</v>
      </c>
      <c r="H10" s="111"/>
      <c r="I10" s="63" t="s">
        <v>39</v>
      </c>
      <c r="J10" s="63"/>
      <c r="K10" s="63"/>
      <c r="L10" s="63" t="s">
        <v>40</v>
      </c>
      <c r="M10" s="63"/>
      <c r="N10" s="9" t="s">
        <v>13</v>
      </c>
      <c r="P10" s="28" t="s">
        <v>47</v>
      </c>
      <c r="Q10" s="29" t="s">
        <v>48</v>
      </c>
      <c r="R10" s="29" t="s">
        <v>49</v>
      </c>
      <c r="S10" s="15"/>
      <c r="T10" s="15"/>
      <c r="U10" s="15"/>
    </row>
    <row r="11" spans="1:21" s="1" customFormat="1" ht="17.399999999999999" customHeight="1">
      <c r="A11" s="64" t="str">
        <f>[1]詳細價目表!B3</f>
        <v>工程告示牌與職安告示牌(租用)</v>
      </c>
      <c r="B11" s="65"/>
      <c r="C11" s="65"/>
      <c r="D11" s="65"/>
      <c r="E11" s="66"/>
      <c r="F11" s="27" t="s">
        <v>60</v>
      </c>
      <c r="G11" s="67">
        <f>[1]詳細價目表!D3</f>
        <v>1</v>
      </c>
      <c r="H11" s="68"/>
      <c r="I11" s="87">
        <v>1</v>
      </c>
      <c r="J11" s="87"/>
      <c r="K11" s="88"/>
      <c r="L11" s="69">
        <f>I11</f>
        <v>1</v>
      </c>
      <c r="M11" s="70"/>
      <c r="N11" s="8"/>
      <c r="P11" s="30">
        <v>6000</v>
      </c>
      <c r="Q11" s="38">
        <f>P11*G11</f>
        <v>6000</v>
      </c>
      <c r="R11" s="28">
        <f>L11*P11</f>
        <v>6000</v>
      </c>
      <c r="S11" s="6"/>
      <c r="T11" s="6"/>
      <c r="U11" s="6"/>
    </row>
    <row r="12" spans="1:21" s="1" customFormat="1" ht="16.95" customHeight="1">
      <c r="A12" s="64" t="str">
        <f>[1]詳細價目表!B4</f>
        <v>施工管制措施(租用)</v>
      </c>
      <c r="B12" s="65"/>
      <c r="C12" s="65"/>
      <c r="D12" s="65"/>
      <c r="E12" s="66"/>
      <c r="F12" s="20" t="s">
        <v>60</v>
      </c>
      <c r="G12" s="67">
        <f>[1]詳細價目表!D4</f>
        <v>1</v>
      </c>
      <c r="H12" s="68"/>
      <c r="I12" s="87"/>
      <c r="J12" s="87"/>
      <c r="K12" s="88"/>
      <c r="L12" s="69">
        <f t="shared" ref="L12:L24" si="0">I12</f>
        <v>0</v>
      </c>
      <c r="M12" s="70"/>
      <c r="N12" s="8"/>
      <c r="P12" s="30">
        <v>193300</v>
      </c>
      <c r="Q12" s="38">
        <f t="shared" ref="Q12:Q36" si="1">P12*G12</f>
        <v>193300</v>
      </c>
      <c r="R12" s="28">
        <f>L12*P12</f>
        <v>0</v>
      </c>
      <c r="S12" s="6"/>
      <c r="T12" s="6"/>
      <c r="U12" s="6"/>
    </row>
    <row r="13" spans="1:21" s="1" customFormat="1" ht="18.600000000000001" customHeight="1">
      <c r="A13" s="64" t="str">
        <f>[1]詳細價目表!B5</f>
        <v>施工動線開闢，整備與復原工程</v>
      </c>
      <c r="B13" s="65"/>
      <c r="C13" s="65"/>
      <c r="D13" s="65"/>
      <c r="E13" s="66"/>
      <c r="F13" s="20" t="s">
        <v>60</v>
      </c>
      <c r="G13" s="67">
        <f>[1]詳細價目表!D5</f>
        <v>1</v>
      </c>
      <c r="H13" s="68"/>
      <c r="I13" s="87"/>
      <c r="J13" s="87"/>
      <c r="K13" s="88"/>
      <c r="L13" s="69">
        <f t="shared" si="0"/>
        <v>0</v>
      </c>
      <c r="M13" s="70"/>
      <c r="N13" s="8"/>
      <c r="P13" s="30">
        <v>30000</v>
      </c>
      <c r="Q13" s="38">
        <f t="shared" si="1"/>
        <v>30000</v>
      </c>
      <c r="R13" s="28">
        <f>L13*P13</f>
        <v>0</v>
      </c>
      <c r="S13" s="6"/>
      <c r="T13" s="6"/>
      <c r="U13" s="6"/>
    </row>
    <row r="14" spans="1:21" s="1" customFormat="1" ht="15.6" customHeight="1">
      <c r="A14" s="64" t="str">
        <f>[1]詳細價目表!B6</f>
        <v>施工測量，工地放樣</v>
      </c>
      <c r="B14" s="65"/>
      <c r="C14" s="65"/>
      <c r="D14" s="65"/>
      <c r="E14" s="66"/>
      <c r="F14" s="20" t="s">
        <v>60</v>
      </c>
      <c r="G14" s="67">
        <f>[1]詳細價目表!D6</f>
        <v>1</v>
      </c>
      <c r="H14" s="68"/>
      <c r="I14" s="87"/>
      <c r="J14" s="87"/>
      <c r="K14" s="88"/>
      <c r="L14" s="69">
        <f t="shared" si="0"/>
        <v>0</v>
      </c>
      <c r="M14" s="70"/>
      <c r="N14" s="8"/>
      <c r="P14" s="31">
        <v>10000</v>
      </c>
      <c r="Q14" s="38">
        <f t="shared" si="1"/>
        <v>10000</v>
      </c>
      <c r="R14" s="28">
        <f t="shared" ref="R14:R36" si="2">L14*P14</f>
        <v>0</v>
      </c>
      <c r="T14" s="6"/>
      <c r="U14" s="6"/>
    </row>
    <row r="15" spans="1:21" s="1" customFormat="1" ht="16.95" customHeight="1">
      <c r="A15" s="64" t="str">
        <f>[1]詳細價目表!B7</f>
        <v>移除清運大王椰子樹(含挖樹頭，混凝土打底)</v>
      </c>
      <c r="B15" s="65"/>
      <c r="C15" s="65"/>
      <c r="D15" s="65"/>
      <c r="E15" s="66"/>
      <c r="F15" s="20" t="s">
        <v>61</v>
      </c>
      <c r="G15" s="67">
        <f>[1]詳細價目表!D7</f>
        <v>9</v>
      </c>
      <c r="H15" s="68"/>
      <c r="I15" s="87"/>
      <c r="J15" s="87"/>
      <c r="K15" s="88"/>
      <c r="L15" s="69">
        <f t="shared" si="0"/>
        <v>0</v>
      </c>
      <c r="M15" s="70"/>
      <c r="N15" s="8"/>
      <c r="P15" s="30">
        <v>21000</v>
      </c>
      <c r="Q15" s="38">
        <f t="shared" si="1"/>
        <v>189000</v>
      </c>
      <c r="R15" s="28">
        <f t="shared" si="2"/>
        <v>0</v>
      </c>
      <c r="T15" s="6"/>
      <c r="U15" s="6"/>
    </row>
    <row r="16" spans="1:21" s="1" customFormat="1" ht="15.6" customHeight="1">
      <c r="A16" s="64" t="str">
        <f>[1]詳細價目表!B8</f>
        <v>既有水溝陰井清淤，暢通西南側圍牆外陰井暗溝排水至通路排水溝(含試水);雜項工程</v>
      </c>
      <c r="B16" s="65"/>
      <c r="C16" s="65"/>
      <c r="D16" s="65"/>
      <c r="E16" s="66"/>
      <c r="F16" s="2" t="s">
        <v>60</v>
      </c>
      <c r="G16" s="67">
        <f>[1]詳細價目表!D8</f>
        <v>1</v>
      </c>
      <c r="H16" s="68"/>
      <c r="I16" s="126"/>
      <c r="J16" s="127"/>
      <c r="K16" s="128"/>
      <c r="L16" s="69">
        <f t="shared" si="0"/>
        <v>0</v>
      </c>
      <c r="M16" s="70"/>
      <c r="N16" s="8"/>
      <c r="P16" s="30">
        <v>184468</v>
      </c>
      <c r="Q16" s="38">
        <f t="shared" si="1"/>
        <v>184468</v>
      </c>
      <c r="R16" s="28">
        <f t="shared" si="2"/>
        <v>0</v>
      </c>
      <c r="T16" s="6"/>
      <c r="U16" s="6"/>
    </row>
    <row r="17" spans="1:21" s="1" customFormat="1" ht="13.95" customHeight="1">
      <c r="A17" s="64" t="str">
        <f>[1]詳細價目表!B9</f>
        <v>埋設RC陰井(含鍍鋅鋼材止滑細縫陰井蓋含框)</v>
      </c>
      <c r="B17" s="65"/>
      <c r="C17" s="65"/>
      <c r="D17" s="65"/>
      <c r="E17" s="66"/>
      <c r="F17" s="20" t="s">
        <v>62</v>
      </c>
      <c r="G17" s="67">
        <f>[1]詳細價目表!D9</f>
        <v>9</v>
      </c>
      <c r="H17" s="68"/>
      <c r="I17" s="87"/>
      <c r="J17" s="87"/>
      <c r="K17" s="88"/>
      <c r="L17" s="69">
        <f t="shared" si="0"/>
        <v>0</v>
      </c>
      <c r="M17" s="70"/>
      <c r="N17" s="8"/>
      <c r="P17" s="30">
        <v>20000</v>
      </c>
      <c r="Q17" s="38">
        <f t="shared" si="1"/>
        <v>180000</v>
      </c>
      <c r="R17" s="28">
        <f t="shared" si="2"/>
        <v>0</v>
      </c>
      <c r="S17" s="6"/>
      <c r="T17" s="6"/>
      <c r="U17" s="6"/>
    </row>
    <row r="18" spans="1:21" s="1" customFormat="1" ht="15" customHeight="1">
      <c r="A18" s="64" t="str">
        <f>[1]詳細價目表!B10</f>
        <v>埋設10吋排水管</v>
      </c>
      <c r="B18" s="65"/>
      <c r="C18" s="65"/>
      <c r="D18" s="65"/>
      <c r="E18" s="66"/>
      <c r="F18" s="20" t="s">
        <v>63</v>
      </c>
      <c r="G18" s="67">
        <f>[1]詳細價目表!D10</f>
        <v>52</v>
      </c>
      <c r="H18" s="68"/>
      <c r="I18" s="87"/>
      <c r="J18" s="87"/>
      <c r="K18" s="88"/>
      <c r="L18" s="69">
        <f t="shared" si="0"/>
        <v>0</v>
      </c>
      <c r="M18" s="70"/>
      <c r="N18" s="8"/>
      <c r="P18" s="31">
        <v>2500</v>
      </c>
      <c r="Q18" s="38">
        <f t="shared" si="1"/>
        <v>130000</v>
      </c>
      <c r="R18" s="28">
        <f t="shared" si="2"/>
        <v>0</v>
      </c>
      <c r="S18" s="6"/>
      <c r="T18" s="6"/>
      <c r="U18" s="6"/>
    </row>
    <row r="19" spans="1:21" s="1" customFormat="1" ht="14.4" customHeight="1">
      <c r="A19" s="64" t="str">
        <f>[1]詳細價目表!B11</f>
        <v>安裝專用不鏽鋼開關箱，接引既有電源附接地線，陰井內安裝不鏽鋼沉水抽水馬達，安裝排水管排水至排水溝</v>
      </c>
      <c r="B19" s="65"/>
      <c r="C19" s="65"/>
      <c r="D19" s="65"/>
      <c r="E19" s="66"/>
      <c r="F19" s="20" t="s">
        <v>64</v>
      </c>
      <c r="G19" s="67">
        <f>[1]詳細價目表!D11</f>
        <v>1</v>
      </c>
      <c r="H19" s="68"/>
      <c r="I19" s="87"/>
      <c r="J19" s="87"/>
      <c r="K19" s="88"/>
      <c r="L19" s="69">
        <f t="shared" si="0"/>
        <v>0</v>
      </c>
      <c r="M19" s="70"/>
      <c r="N19" s="8"/>
      <c r="P19" s="30">
        <v>80000</v>
      </c>
      <c r="Q19" s="38">
        <f t="shared" si="1"/>
        <v>80000</v>
      </c>
      <c r="R19" s="28">
        <f t="shared" si="2"/>
        <v>0</v>
      </c>
      <c r="S19" s="6"/>
      <c r="T19" s="6"/>
      <c r="U19" s="6"/>
    </row>
    <row r="20" spans="1:21" s="1" customFormat="1" ht="15.6" customHeight="1">
      <c r="A20" s="64" t="str">
        <f>[1]詳細價目表!B12</f>
        <v>挖除石板鋪面，廢棄物集中處理</v>
      </c>
      <c r="B20" s="65"/>
      <c r="C20" s="65"/>
      <c r="D20" s="65"/>
      <c r="E20" s="66"/>
      <c r="F20" s="20" t="s">
        <v>65</v>
      </c>
      <c r="G20" s="67">
        <f>[1]詳細價目表!D12</f>
        <v>31</v>
      </c>
      <c r="H20" s="68"/>
      <c r="I20" s="87"/>
      <c r="J20" s="87"/>
      <c r="K20" s="88"/>
      <c r="L20" s="69">
        <f t="shared" si="0"/>
        <v>0</v>
      </c>
      <c r="M20" s="70"/>
      <c r="N20" s="8"/>
      <c r="P20" s="30">
        <v>400</v>
      </c>
      <c r="Q20" s="38">
        <f t="shared" si="1"/>
        <v>12400</v>
      </c>
      <c r="R20" s="28">
        <f t="shared" si="2"/>
        <v>0</v>
      </c>
      <c r="S20" s="6"/>
      <c r="T20" s="6"/>
      <c r="U20" s="6"/>
    </row>
    <row r="21" spans="1:21" s="1" customFormat="1" ht="13.95" customHeight="1">
      <c r="A21" s="64" t="str">
        <f>[1]詳細價目表!B13</f>
        <v>切割打除既有地坪，廢棄物集中處理</v>
      </c>
      <c r="B21" s="65"/>
      <c r="C21" s="65"/>
      <c r="D21" s="65"/>
      <c r="E21" s="66"/>
      <c r="F21" s="20" t="s">
        <v>65</v>
      </c>
      <c r="G21" s="67">
        <f>[1]詳細價目表!D13</f>
        <v>100</v>
      </c>
      <c r="H21" s="68"/>
      <c r="I21" s="87"/>
      <c r="J21" s="87"/>
      <c r="K21" s="88"/>
      <c r="L21" s="69">
        <f t="shared" si="0"/>
        <v>0</v>
      </c>
      <c r="M21" s="70"/>
      <c r="N21" s="8"/>
      <c r="P21" s="30">
        <v>350</v>
      </c>
      <c r="Q21" s="38">
        <f t="shared" si="1"/>
        <v>35000</v>
      </c>
      <c r="R21" s="28">
        <f t="shared" si="2"/>
        <v>0</v>
      </c>
      <c r="S21" s="6"/>
      <c r="T21" s="6"/>
      <c r="U21" s="6"/>
    </row>
    <row r="22" spans="1:21" s="1" customFormat="1" ht="15" customHeight="1">
      <c r="A22" s="64" t="str">
        <f>[1]詳細價目表!B14</f>
        <v>場鑄RC緣石</v>
      </c>
      <c r="B22" s="65"/>
      <c r="C22" s="65"/>
      <c r="D22" s="65"/>
      <c r="E22" s="66"/>
      <c r="F22" s="20" t="s">
        <v>63</v>
      </c>
      <c r="G22" s="67">
        <f>[1]詳細價目表!D14</f>
        <v>35</v>
      </c>
      <c r="H22" s="68"/>
      <c r="I22" s="87"/>
      <c r="J22" s="87"/>
      <c r="K22" s="88"/>
      <c r="L22" s="69">
        <f t="shared" si="0"/>
        <v>0</v>
      </c>
      <c r="M22" s="70"/>
      <c r="N22" s="8"/>
      <c r="P22" s="30">
        <v>1200</v>
      </c>
      <c r="Q22" s="38">
        <f t="shared" si="1"/>
        <v>42000</v>
      </c>
      <c r="R22" s="28">
        <f t="shared" si="2"/>
        <v>0</v>
      </c>
      <c r="S22" s="6"/>
      <c r="T22" s="6"/>
      <c r="U22" s="6"/>
    </row>
    <row r="23" spans="1:21" s="1" customFormat="1" ht="13.2" customHeight="1">
      <c r="A23" s="64" t="str">
        <f>[1]詳細價目表!B15</f>
        <v>鋪設預鑄緣石</v>
      </c>
      <c r="B23" s="65"/>
      <c r="C23" s="65"/>
      <c r="D23" s="65"/>
      <c r="E23" s="66"/>
      <c r="F23" s="20" t="s">
        <v>63</v>
      </c>
      <c r="G23" s="67">
        <f>[1]詳細價目表!D15</f>
        <v>282</v>
      </c>
      <c r="H23" s="68"/>
      <c r="I23" s="87"/>
      <c r="J23" s="87"/>
      <c r="K23" s="88"/>
      <c r="L23" s="69">
        <f t="shared" si="0"/>
        <v>0</v>
      </c>
      <c r="M23" s="70"/>
      <c r="N23" s="8"/>
      <c r="P23" s="30">
        <v>1400</v>
      </c>
      <c r="Q23" s="38">
        <f t="shared" si="1"/>
        <v>394800</v>
      </c>
      <c r="R23" s="28">
        <f t="shared" si="2"/>
        <v>0</v>
      </c>
      <c r="S23" s="6"/>
      <c r="T23" s="6"/>
      <c r="U23" s="6"/>
    </row>
    <row r="24" spans="1:21" s="1" customFormat="1" ht="13.95" customHeight="1">
      <c r="A24" s="64" t="str">
        <f>[1]詳細價目表!B16</f>
        <v>整地底土壓實，鋪設RC地坪，面層抿石子</v>
      </c>
      <c r="B24" s="65"/>
      <c r="C24" s="65"/>
      <c r="D24" s="65"/>
      <c r="E24" s="66"/>
      <c r="F24" s="21" t="s">
        <v>65</v>
      </c>
      <c r="G24" s="67">
        <f>[1]詳細價目表!D16</f>
        <v>58</v>
      </c>
      <c r="H24" s="68"/>
      <c r="I24" s="87"/>
      <c r="J24" s="87"/>
      <c r="K24" s="88"/>
      <c r="L24" s="69">
        <f t="shared" si="0"/>
        <v>0</v>
      </c>
      <c r="M24" s="70"/>
      <c r="N24" s="8"/>
      <c r="P24" s="30">
        <v>3600</v>
      </c>
      <c r="Q24" s="38">
        <f t="shared" si="1"/>
        <v>208800</v>
      </c>
      <c r="R24" s="28">
        <f t="shared" si="2"/>
        <v>0</v>
      </c>
      <c r="S24" s="6"/>
      <c r="T24" s="6"/>
      <c r="U24" s="6"/>
    </row>
    <row r="25" spans="1:21" s="1" customFormat="1" ht="15.6" customHeight="1">
      <c r="A25" s="64" t="str">
        <f>[1]詳細價目表!B17</f>
        <v>鋪設碎石級配(H15cm)</v>
      </c>
      <c r="B25" s="65"/>
      <c r="C25" s="65"/>
      <c r="D25" s="65"/>
      <c r="E25" s="66"/>
      <c r="F25" s="21" t="s">
        <v>65</v>
      </c>
      <c r="G25" s="67">
        <f>[1]詳細價目表!D17</f>
        <v>360</v>
      </c>
      <c r="H25" s="68"/>
      <c r="I25" s="87"/>
      <c r="J25" s="87"/>
      <c r="K25" s="88"/>
      <c r="L25" s="69">
        <f>I25</f>
        <v>0</v>
      </c>
      <c r="M25" s="70"/>
      <c r="N25" s="8"/>
      <c r="P25" s="30">
        <v>230</v>
      </c>
      <c r="Q25" s="38">
        <f t="shared" si="1"/>
        <v>82800</v>
      </c>
      <c r="R25" s="28">
        <f t="shared" si="2"/>
        <v>0</v>
      </c>
      <c r="S25" s="6"/>
      <c r="T25" s="6"/>
      <c r="U25" s="6"/>
    </row>
    <row r="26" spans="1:21" s="1" customFormat="1" ht="14.4" customHeight="1">
      <c r="A26" s="64" t="str">
        <f>[1]詳細價目表!B18</f>
        <v>既有AC面刷毛與清潔</v>
      </c>
      <c r="B26" s="65"/>
      <c r="C26" s="65"/>
      <c r="D26" s="65"/>
      <c r="E26" s="66"/>
      <c r="F26" s="21" t="s">
        <v>65</v>
      </c>
      <c r="G26" s="67">
        <f>[1]詳細價目表!D18</f>
        <v>2400</v>
      </c>
      <c r="H26" s="68"/>
      <c r="I26" s="87"/>
      <c r="J26" s="87"/>
      <c r="K26" s="88"/>
      <c r="L26" s="69">
        <f t="shared" ref="L26:L31" si="3">I26</f>
        <v>0</v>
      </c>
      <c r="M26" s="70"/>
      <c r="N26" s="8"/>
      <c r="P26" s="30">
        <v>80</v>
      </c>
      <c r="Q26" s="38">
        <f t="shared" si="1"/>
        <v>192000</v>
      </c>
      <c r="R26" s="28">
        <f t="shared" si="2"/>
        <v>0</v>
      </c>
      <c r="S26" s="6"/>
      <c r="T26" s="6"/>
      <c r="U26" s="6"/>
    </row>
    <row r="27" spans="1:21" s="1" customFormat="1" ht="15" customHeight="1">
      <c r="A27" s="64" t="str">
        <f>[1]詳細價目表!B19</f>
        <v>鋪設透層與底層AC(平均厚4cm)</v>
      </c>
      <c r="B27" s="65"/>
      <c r="C27" s="65"/>
      <c r="D27" s="65"/>
      <c r="E27" s="66"/>
      <c r="F27" s="21" t="s">
        <v>65</v>
      </c>
      <c r="G27" s="67">
        <f>[1]詳細價目表!D19</f>
        <v>360</v>
      </c>
      <c r="H27" s="68"/>
      <c r="I27" s="87"/>
      <c r="J27" s="87"/>
      <c r="K27" s="88"/>
      <c r="L27" s="69">
        <f t="shared" si="3"/>
        <v>0</v>
      </c>
      <c r="M27" s="70"/>
      <c r="N27" s="8"/>
      <c r="P27" s="30">
        <v>420</v>
      </c>
      <c r="Q27" s="38">
        <f t="shared" si="1"/>
        <v>151200</v>
      </c>
      <c r="R27" s="28">
        <f t="shared" si="2"/>
        <v>0</v>
      </c>
      <c r="S27" s="6"/>
      <c r="T27" s="6"/>
      <c r="U27" s="6"/>
    </row>
    <row r="28" spans="1:21" s="1" customFormat="1" ht="15" customHeight="1">
      <c r="A28" s="64" t="str">
        <f>[1]詳細價目表!B20</f>
        <v>鋪設黏層與密級配面層AC(平均厚4cm)</v>
      </c>
      <c r="B28" s="65"/>
      <c r="C28" s="65"/>
      <c r="D28" s="65"/>
      <c r="E28" s="66"/>
      <c r="F28" s="21" t="s">
        <v>65</v>
      </c>
      <c r="G28" s="67">
        <f>[1]詳細價目表!D20</f>
        <v>2760</v>
      </c>
      <c r="H28" s="68"/>
      <c r="I28" s="87"/>
      <c r="J28" s="87"/>
      <c r="K28" s="88"/>
      <c r="L28" s="69">
        <f t="shared" si="3"/>
        <v>0</v>
      </c>
      <c r="M28" s="70"/>
      <c r="N28" s="8"/>
      <c r="P28" s="30">
        <v>460</v>
      </c>
      <c r="Q28" s="38">
        <f t="shared" si="1"/>
        <v>1269600</v>
      </c>
      <c r="R28" s="28">
        <f t="shared" si="2"/>
        <v>0</v>
      </c>
      <c r="S28" s="6"/>
      <c r="T28" s="6"/>
      <c r="U28" s="6"/>
    </row>
    <row r="29" spans="1:21" s="1" customFormat="1" ht="15" customHeight="1">
      <c r="A29" s="64" t="str">
        <f>[1]詳細價目表!B21</f>
        <v>整地，覆砂土，密植草皮</v>
      </c>
      <c r="B29" s="65"/>
      <c r="C29" s="65"/>
      <c r="D29" s="65"/>
      <c r="E29" s="66"/>
      <c r="F29" s="21" t="s">
        <v>65</v>
      </c>
      <c r="G29" s="67">
        <f>[1]詳細價目表!D21</f>
        <v>275</v>
      </c>
      <c r="H29" s="68"/>
      <c r="I29" s="87"/>
      <c r="J29" s="87"/>
      <c r="K29" s="88"/>
      <c r="L29" s="69">
        <f t="shared" si="3"/>
        <v>0</v>
      </c>
      <c r="M29" s="70"/>
      <c r="N29" s="8"/>
      <c r="P29" s="31">
        <v>350</v>
      </c>
      <c r="Q29" s="38">
        <f t="shared" si="1"/>
        <v>96250</v>
      </c>
      <c r="R29" s="28">
        <f t="shared" si="2"/>
        <v>0</v>
      </c>
      <c r="S29" s="6"/>
      <c r="T29" s="6"/>
      <c r="U29" s="6"/>
    </row>
    <row r="30" spans="1:21" s="1" customFormat="1" ht="15" customHeight="1">
      <c r="A30" s="64" t="str">
        <f>[1]詳細價目表!B22</f>
        <v>材料檢驗費</v>
      </c>
      <c r="B30" s="65"/>
      <c r="C30" s="65"/>
      <c r="D30" s="65"/>
      <c r="E30" s="66"/>
      <c r="F30" s="21" t="s">
        <v>60</v>
      </c>
      <c r="G30" s="67">
        <f>[1]詳細價目表!D22</f>
        <v>1</v>
      </c>
      <c r="H30" s="68"/>
      <c r="I30" s="87"/>
      <c r="J30" s="87"/>
      <c r="K30" s="88"/>
      <c r="L30" s="69">
        <f t="shared" si="3"/>
        <v>0</v>
      </c>
      <c r="M30" s="70"/>
      <c r="N30" s="8"/>
      <c r="P30" s="30">
        <v>40000</v>
      </c>
      <c r="Q30" s="38">
        <f t="shared" si="1"/>
        <v>40000</v>
      </c>
      <c r="R30" s="28">
        <f t="shared" si="2"/>
        <v>0</v>
      </c>
      <c r="S30" s="6"/>
      <c r="T30" s="6"/>
      <c r="U30" s="6"/>
    </row>
    <row r="31" spans="1:21" s="1" customFormat="1" ht="15" customHeight="1">
      <c r="A31" s="64" t="str">
        <f>[1]詳細價目表!B23</f>
        <v>營建廢棄物清運(含清運證明)</v>
      </c>
      <c r="B31" s="65"/>
      <c r="C31" s="65"/>
      <c r="D31" s="65"/>
      <c r="E31" s="66"/>
      <c r="F31" s="20" t="s">
        <v>60</v>
      </c>
      <c r="G31" s="67">
        <f>[1]詳細價目表!D23</f>
        <v>1</v>
      </c>
      <c r="H31" s="68"/>
      <c r="I31" s="87"/>
      <c r="J31" s="87"/>
      <c r="K31" s="88"/>
      <c r="L31" s="69">
        <f t="shared" si="3"/>
        <v>0</v>
      </c>
      <c r="M31" s="70"/>
      <c r="N31" s="8"/>
      <c r="P31" s="31">
        <v>276970</v>
      </c>
      <c r="Q31" s="38">
        <f t="shared" si="1"/>
        <v>276970</v>
      </c>
      <c r="R31" s="28">
        <f t="shared" si="2"/>
        <v>0</v>
      </c>
      <c r="S31" s="6"/>
      <c r="T31" s="6"/>
      <c r="U31" s="6"/>
    </row>
    <row r="32" spans="1:21" s="1" customFormat="1" ht="15" customHeight="1">
      <c r="A32" s="64" t="str">
        <f>[1]詳細價目表!B25</f>
        <v>職業安全衛生管理費（壹*1.6%）</v>
      </c>
      <c r="B32" s="65"/>
      <c r="C32" s="65"/>
      <c r="D32" s="65"/>
      <c r="E32" s="66"/>
      <c r="F32" s="20" t="s">
        <v>60</v>
      </c>
      <c r="G32" s="67">
        <v>1</v>
      </c>
      <c r="H32" s="68"/>
      <c r="I32" s="87"/>
      <c r="J32" s="87"/>
      <c r="K32" s="88"/>
      <c r="L32" s="69">
        <f t="shared" ref="L32:L36" si="4">I32</f>
        <v>0</v>
      </c>
      <c r="M32" s="70"/>
      <c r="N32" s="8"/>
      <c r="P32" s="32">
        <v>60873</v>
      </c>
      <c r="Q32" s="38">
        <f t="shared" si="1"/>
        <v>60873</v>
      </c>
      <c r="R32" s="28">
        <f t="shared" si="2"/>
        <v>0</v>
      </c>
      <c r="S32" s="6"/>
      <c r="T32" s="6"/>
      <c r="U32" s="6"/>
    </row>
    <row r="33" spans="1:21" s="1" customFormat="1" ht="15" customHeight="1">
      <c r="A33" s="64" t="str">
        <f>[1]詳細價目表!B26</f>
        <v>公共工程品質管制作業費（壹*1.6%）</v>
      </c>
      <c r="B33" s="65"/>
      <c r="C33" s="65"/>
      <c r="D33" s="65"/>
      <c r="E33" s="66"/>
      <c r="F33" s="20" t="s">
        <v>60</v>
      </c>
      <c r="G33" s="67">
        <f>[1]詳細價目表!D25</f>
        <v>1</v>
      </c>
      <c r="H33" s="68"/>
      <c r="I33" s="87"/>
      <c r="J33" s="87"/>
      <c r="K33" s="88"/>
      <c r="L33" s="69">
        <f t="shared" si="4"/>
        <v>0</v>
      </c>
      <c r="M33" s="70"/>
      <c r="N33" s="8"/>
      <c r="P33" s="32">
        <v>60873</v>
      </c>
      <c r="Q33" s="38">
        <f t="shared" si="1"/>
        <v>60873</v>
      </c>
      <c r="R33" s="28">
        <f t="shared" si="2"/>
        <v>0</v>
      </c>
      <c r="S33" s="6"/>
      <c r="T33" s="6"/>
      <c r="U33" s="6"/>
    </row>
    <row r="34" spans="1:21" s="1" customFormat="1" ht="15" customHeight="1">
      <c r="A34" s="64" t="str">
        <f>[1]詳細價目表!B27</f>
        <v>包商管理及利潤費（壹*7%）</v>
      </c>
      <c r="B34" s="65"/>
      <c r="C34" s="65"/>
      <c r="D34" s="65"/>
      <c r="E34" s="66"/>
      <c r="F34" s="20" t="s">
        <v>60</v>
      </c>
      <c r="G34" s="67">
        <f>[1]詳細價目表!D26</f>
        <v>1</v>
      </c>
      <c r="H34" s="68"/>
      <c r="I34" s="87"/>
      <c r="J34" s="87"/>
      <c r="K34" s="88"/>
      <c r="L34" s="69">
        <f t="shared" si="4"/>
        <v>0</v>
      </c>
      <c r="M34" s="70"/>
      <c r="N34" s="8"/>
      <c r="P34" s="34">
        <v>266321</v>
      </c>
      <c r="Q34" s="38">
        <f t="shared" si="1"/>
        <v>266321</v>
      </c>
      <c r="R34" s="28">
        <f t="shared" si="2"/>
        <v>0</v>
      </c>
      <c r="S34" s="6"/>
      <c r="T34" s="6"/>
      <c r="U34" s="6"/>
    </row>
    <row r="35" spans="1:21" s="1" customFormat="1" ht="15" customHeight="1">
      <c r="A35" s="64" t="str">
        <f>[1]詳細價目表!B28</f>
        <v>保險費</v>
      </c>
      <c r="B35" s="65"/>
      <c r="C35" s="65"/>
      <c r="D35" s="65"/>
      <c r="E35" s="66"/>
      <c r="F35" s="2" t="s">
        <v>60</v>
      </c>
      <c r="G35" s="67">
        <f>[1]詳細價目表!D27</f>
        <v>1</v>
      </c>
      <c r="H35" s="68"/>
      <c r="I35" s="87">
        <v>1</v>
      </c>
      <c r="J35" s="87"/>
      <c r="K35" s="88"/>
      <c r="L35" s="69">
        <f t="shared" si="4"/>
        <v>1</v>
      </c>
      <c r="M35" s="70"/>
      <c r="N35" s="8"/>
      <c r="P35" s="32">
        <v>13316</v>
      </c>
      <c r="Q35" s="38">
        <f t="shared" si="1"/>
        <v>13316</v>
      </c>
      <c r="R35" s="28">
        <f t="shared" si="2"/>
        <v>13316</v>
      </c>
      <c r="S35" s="6"/>
      <c r="T35" s="6"/>
      <c r="U35" s="6"/>
    </row>
    <row r="36" spans="1:21" s="1" customFormat="1" ht="15" customHeight="1">
      <c r="A36" s="64" t="str">
        <f>[1]詳細價目表!B29</f>
        <v>營業稅（(壹~伍)*5％）</v>
      </c>
      <c r="B36" s="65"/>
      <c r="C36" s="65"/>
      <c r="D36" s="65"/>
      <c r="E36" s="66"/>
      <c r="F36" s="20" t="s">
        <v>60</v>
      </c>
      <c r="G36" s="67">
        <f>[1]詳細價目表!D28</f>
        <v>1</v>
      </c>
      <c r="H36" s="68"/>
      <c r="I36" s="87"/>
      <c r="J36" s="87"/>
      <c r="K36" s="88"/>
      <c r="L36" s="69">
        <f t="shared" si="4"/>
        <v>0</v>
      </c>
      <c r="M36" s="70"/>
      <c r="N36" s="8"/>
      <c r="P36" s="32">
        <v>210299</v>
      </c>
      <c r="Q36" s="38">
        <f t="shared" si="1"/>
        <v>210299</v>
      </c>
      <c r="R36" s="28">
        <f t="shared" si="2"/>
        <v>0</v>
      </c>
      <c r="S36" s="6"/>
      <c r="T36" s="6"/>
      <c r="U36" s="6"/>
    </row>
    <row r="37" spans="1:21" s="1" customFormat="1" ht="15" customHeight="1">
      <c r="A37" s="64"/>
      <c r="B37" s="65"/>
      <c r="C37" s="65"/>
      <c r="D37" s="65"/>
      <c r="E37" s="66"/>
      <c r="F37" s="20"/>
      <c r="G37" s="67"/>
      <c r="H37" s="68"/>
      <c r="I37" s="87"/>
      <c r="J37" s="87"/>
      <c r="K37" s="88"/>
      <c r="L37" s="69"/>
      <c r="M37" s="70"/>
      <c r="N37" s="8"/>
      <c r="P37" s="32"/>
      <c r="Q37" s="33">
        <f>SUM(Q11:Q36)</f>
        <v>4416270</v>
      </c>
      <c r="R37" s="29">
        <f>SUM(R11:R36)</f>
        <v>19316</v>
      </c>
      <c r="S37" s="6"/>
      <c r="T37" s="6"/>
      <c r="U37" s="6"/>
    </row>
    <row r="38" spans="1:21" s="1" customFormat="1" ht="15" customHeight="1">
      <c r="A38" s="64"/>
      <c r="B38" s="65"/>
      <c r="C38" s="65"/>
      <c r="D38" s="65"/>
      <c r="E38" s="66"/>
      <c r="F38" s="20"/>
      <c r="G38" s="67"/>
      <c r="H38" s="68"/>
      <c r="I38" s="87"/>
      <c r="J38" s="87"/>
      <c r="K38" s="88"/>
      <c r="L38" s="69"/>
      <c r="M38" s="70"/>
      <c r="N38" s="25"/>
      <c r="P38" s="32"/>
      <c r="Q38" s="33"/>
      <c r="R38" s="37">
        <f>R37/Q37</f>
        <v>4.3738267814241432E-3</v>
      </c>
      <c r="S38" s="6"/>
      <c r="T38" s="6"/>
      <c r="U38" s="6"/>
    </row>
    <row r="39" spans="1:21" s="1" customFormat="1" ht="15" customHeight="1">
      <c r="A39" s="64"/>
      <c r="B39" s="65"/>
      <c r="C39" s="65"/>
      <c r="D39" s="65"/>
      <c r="E39" s="66"/>
      <c r="F39" s="20"/>
      <c r="G39" s="67"/>
      <c r="H39" s="68"/>
      <c r="I39" s="87"/>
      <c r="J39" s="87"/>
      <c r="K39" s="88"/>
      <c r="L39" s="69"/>
      <c r="M39" s="70"/>
      <c r="N39" s="25"/>
      <c r="P39" s="32"/>
      <c r="Q39" s="33"/>
      <c r="R39" s="29"/>
      <c r="S39" s="6"/>
      <c r="T39" s="6"/>
      <c r="U39" s="6"/>
    </row>
    <row r="40" spans="1:21" s="2" customFormat="1" ht="14.1" customHeight="1">
      <c r="A40" s="64"/>
      <c r="B40" s="65"/>
      <c r="C40" s="65"/>
      <c r="D40" s="65"/>
      <c r="E40" s="66"/>
      <c r="F40" s="20"/>
      <c r="G40" s="67"/>
      <c r="H40" s="68"/>
      <c r="I40" s="87"/>
      <c r="J40" s="87"/>
      <c r="K40" s="88"/>
      <c r="L40" s="69"/>
      <c r="M40" s="70"/>
      <c r="N40" s="25"/>
      <c r="P40" s="32"/>
      <c r="Q40" s="33"/>
      <c r="R40" s="29"/>
      <c r="S40" s="15"/>
      <c r="T40" s="15"/>
      <c r="U40" s="15"/>
    </row>
    <row r="41" spans="1:21" s="1" customFormat="1" ht="14.1" customHeight="1">
      <c r="A41" s="64"/>
      <c r="B41" s="65"/>
      <c r="C41" s="65"/>
      <c r="D41" s="65"/>
      <c r="E41" s="66"/>
      <c r="F41" s="20"/>
      <c r="G41" s="67"/>
      <c r="H41" s="68"/>
      <c r="I41" s="87"/>
      <c r="J41" s="87"/>
      <c r="K41" s="88"/>
      <c r="L41" s="69"/>
      <c r="M41" s="70"/>
      <c r="N41" s="25"/>
      <c r="P41" s="32"/>
      <c r="Q41" s="33"/>
      <c r="R41" s="29"/>
      <c r="S41" s="6"/>
      <c r="T41" s="6"/>
      <c r="U41" s="6"/>
    </row>
    <row r="42" spans="1:21" s="1" customFormat="1" ht="14.1" customHeight="1">
      <c r="A42" s="64"/>
      <c r="B42" s="65"/>
      <c r="C42" s="65"/>
      <c r="D42" s="65"/>
      <c r="E42" s="66"/>
      <c r="F42" s="20"/>
      <c r="G42" s="67"/>
      <c r="H42" s="68"/>
      <c r="I42" s="87"/>
      <c r="J42" s="87"/>
      <c r="K42" s="88"/>
      <c r="L42" s="69"/>
      <c r="M42" s="70"/>
      <c r="N42" s="25"/>
      <c r="P42" s="32"/>
      <c r="Q42" s="33"/>
      <c r="R42" s="29"/>
      <c r="S42" s="6"/>
      <c r="T42" s="6"/>
      <c r="U42" s="6"/>
    </row>
    <row r="43" spans="1:21" s="1" customFormat="1" ht="14.1" customHeight="1">
      <c r="A43" s="64"/>
      <c r="B43" s="65"/>
      <c r="C43" s="65"/>
      <c r="D43" s="65"/>
      <c r="E43" s="66"/>
      <c r="F43" s="20"/>
      <c r="G43" s="67"/>
      <c r="H43" s="68"/>
      <c r="I43" s="87"/>
      <c r="J43" s="87"/>
      <c r="K43" s="88"/>
      <c r="L43" s="69"/>
      <c r="M43" s="70"/>
      <c r="N43" s="25"/>
      <c r="P43" s="32"/>
      <c r="Q43" s="33"/>
      <c r="R43" s="29"/>
      <c r="S43" s="6"/>
      <c r="T43" s="6"/>
      <c r="U43" s="6"/>
    </row>
    <row r="44" spans="1:21" s="1" customFormat="1" ht="14.1" customHeight="1">
      <c r="A44" s="64"/>
      <c r="B44" s="65"/>
      <c r="C44" s="65"/>
      <c r="D44" s="65"/>
      <c r="E44" s="66"/>
      <c r="F44" s="20"/>
      <c r="G44" s="67"/>
      <c r="H44" s="68"/>
      <c r="I44" s="87"/>
      <c r="J44" s="87"/>
      <c r="K44" s="88"/>
      <c r="L44" s="69"/>
      <c r="M44" s="70"/>
      <c r="N44" s="25"/>
      <c r="P44" s="32"/>
      <c r="Q44" s="33"/>
      <c r="R44" s="29"/>
      <c r="S44" s="6"/>
      <c r="T44" s="6"/>
      <c r="U44" s="6"/>
    </row>
    <row r="45" spans="1:21" s="1" customFormat="1" ht="14.1" customHeight="1">
      <c r="A45" s="64"/>
      <c r="B45" s="65"/>
      <c r="C45" s="65"/>
      <c r="D45" s="65"/>
      <c r="E45" s="66"/>
      <c r="F45" s="20"/>
      <c r="G45" s="67"/>
      <c r="H45" s="68"/>
      <c r="I45" s="87"/>
      <c r="J45" s="87"/>
      <c r="K45" s="88"/>
      <c r="L45" s="69"/>
      <c r="M45" s="70"/>
      <c r="N45" s="25"/>
      <c r="P45" s="32"/>
      <c r="Q45" s="33"/>
      <c r="R45" s="29"/>
      <c r="S45" s="6"/>
      <c r="T45" s="6"/>
      <c r="U45" s="6"/>
    </row>
    <row r="46" spans="1:21" s="1" customFormat="1" ht="14.1" customHeight="1">
      <c r="A46" s="64"/>
      <c r="B46" s="65"/>
      <c r="C46" s="65"/>
      <c r="D46" s="65"/>
      <c r="E46" s="66"/>
      <c r="F46" s="20"/>
      <c r="G46" s="67"/>
      <c r="H46" s="68"/>
      <c r="I46" s="87"/>
      <c r="J46" s="87"/>
      <c r="K46" s="88"/>
      <c r="L46" s="69"/>
      <c r="M46" s="70"/>
      <c r="N46" s="25"/>
      <c r="P46" s="32"/>
      <c r="Q46" s="33"/>
      <c r="R46" s="29"/>
      <c r="S46" s="6"/>
      <c r="T46" s="6"/>
      <c r="U46" s="6"/>
    </row>
    <row r="47" spans="1:21" s="3" customFormat="1" ht="14.1" customHeight="1">
      <c r="A47" s="62" t="s">
        <v>14</v>
      </c>
      <c r="B47" s="62"/>
      <c r="C47" s="62"/>
      <c r="D47" s="62"/>
      <c r="E47" s="62"/>
      <c r="F47" s="62"/>
      <c r="G47" s="62"/>
      <c r="H47" s="62"/>
      <c r="I47" s="62"/>
      <c r="J47" s="62"/>
      <c r="K47" s="62"/>
      <c r="L47" s="62"/>
      <c r="M47" s="62"/>
      <c r="N47" s="62"/>
      <c r="P47" s="35"/>
      <c r="Q47" s="35"/>
      <c r="R47" s="35"/>
      <c r="S47" s="18"/>
      <c r="T47" s="18"/>
      <c r="U47" s="18"/>
    </row>
    <row r="48" spans="1:21" s="3" customFormat="1" ht="14.1" customHeight="1">
      <c r="A48" s="71" t="s">
        <v>15</v>
      </c>
      <c r="B48" s="72"/>
      <c r="C48" s="72"/>
      <c r="D48" s="72"/>
      <c r="E48" s="73"/>
      <c r="F48" s="9" t="s">
        <v>37</v>
      </c>
      <c r="G48" s="71" t="s">
        <v>38</v>
      </c>
      <c r="H48" s="73"/>
      <c r="I48" s="71" t="s">
        <v>42</v>
      </c>
      <c r="J48" s="72"/>
      <c r="K48" s="73"/>
      <c r="L48" s="74" t="s">
        <v>17</v>
      </c>
      <c r="M48" s="75"/>
      <c r="N48" s="9" t="s">
        <v>18</v>
      </c>
      <c r="P48" s="35"/>
      <c r="Q48" s="35"/>
      <c r="R48" s="35"/>
      <c r="S48" s="18"/>
      <c r="T48" s="18"/>
      <c r="U48" s="18"/>
    </row>
    <row r="49" spans="1:21" s="3" customFormat="1" ht="14.1" customHeight="1">
      <c r="A49" s="71"/>
      <c r="B49" s="72"/>
      <c r="C49" s="72"/>
      <c r="D49" s="72"/>
      <c r="E49" s="73"/>
      <c r="F49" s="13"/>
      <c r="G49" s="76"/>
      <c r="H49" s="77"/>
      <c r="I49" s="78"/>
      <c r="J49" s="79"/>
      <c r="K49" s="80"/>
      <c r="L49" s="81"/>
      <c r="M49" s="82"/>
      <c r="N49" s="8"/>
      <c r="P49" s="35"/>
      <c r="Q49" s="35"/>
      <c r="R49" s="35"/>
      <c r="S49" s="18"/>
      <c r="T49" s="18"/>
      <c r="U49" s="18"/>
    </row>
    <row r="50" spans="1:21" s="3" customFormat="1" ht="13.2" customHeight="1">
      <c r="A50" s="62" t="s">
        <v>19</v>
      </c>
      <c r="B50" s="62"/>
      <c r="C50" s="62"/>
      <c r="D50" s="62"/>
      <c r="E50" s="62"/>
      <c r="F50" s="62"/>
      <c r="G50" s="62"/>
      <c r="H50" s="62"/>
      <c r="I50" s="62"/>
      <c r="J50" s="62"/>
      <c r="K50" s="62"/>
      <c r="L50" s="62"/>
      <c r="M50" s="62"/>
      <c r="N50" s="62"/>
      <c r="P50" s="35"/>
      <c r="Q50" s="35"/>
      <c r="R50" s="35"/>
      <c r="S50" s="18"/>
      <c r="T50" s="18"/>
      <c r="U50" s="18"/>
    </row>
    <row r="51" spans="1:21" s="3" customFormat="1" ht="13.95" hidden="1" customHeight="1">
      <c r="A51" s="63" t="s">
        <v>20</v>
      </c>
      <c r="B51" s="63"/>
      <c r="C51" s="63" t="s">
        <v>21</v>
      </c>
      <c r="D51" s="63"/>
      <c r="E51" s="63" t="s">
        <v>22</v>
      </c>
      <c r="F51" s="63"/>
      <c r="G51" s="63" t="s">
        <v>23</v>
      </c>
      <c r="H51" s="63"/>
      <c r="I51" s="63"/>
      <c r="J51" s="63" t="s">
        <v>16</v>
      </c>
      <c r="K51" s="63"/>
      <c r="L51" s="63"/>
      <c r="M51" s="63" t="s">
        <v>17</v>
      </c>
      <c r="N51" s="63"/>
      <c r="P51" s="35"/>
      <c r="Q51" s="35"/>
      <c r="R51" s="35"/>
      <c r="S51" s="18"/>
      <c r="T51" s="18"/>
      <c r="U51" s="18"/>
    </row>
    <row r="52" spans="1:21" s="3" customFormat="1" ht="13.95" customHeight="1">
      <c r="A52" s="60" t="s">
        <v>24</v>
      </c>
      <c r="B52" s="52"/>
      <c r="C52" s="61">
        <v>1</v>
      </c>
      <c r="D52" s="61"/>
      <c r="E52" s="61">
        <f>C52</f>
        <v>1</v>
      </c>
      <c r="F52" s="61"/>
      <c r="G52" s="60" t="s">
        <v>51</v>
      </c>
      <c r="H52" s="51"/>
      <c r="I52" s="52"/>
      <c r="J52" s="61"/>
      <c r="K52" s="61"/>
      <c r="L52" s="61"/>
      <c r="M52" s="123">
        <f>J52</f>
        <v>0</v>
      </c>
      <c r="N52" s="124"/>
      <c r="P52" s="35"/>
      <c r="Q52" s="35"/>
      <c r="R52" s="35"/>
      <c r="S52" s="18"/>
      <c r="T52" s="18"/>
      <c r="U52" s="18"/>
    </row>
    <row r="53" spans="1:21" s="3" customFormat="1" ht="13.95" hidden="1" customHeight="1">
      <c r="A53" s="60" t="s">
        <v>25</v>
      </c>
      <c r="B53" s="52"/>
      <c r="C53" s="61"/>
      <c r="D53" s="61"/>
      <c r="E53" s="61">
        <f t="shared" ref="E53:E54" si="5">C53</f>
        <v>0</v>
      </c>
      <c r="F53" s="61"/>
      <c r="G53" s="60" t="s">
        <v>50</v>
      </c>
      <c r="H53" s="51"/>
      <c r="I53" s="52"/>
      <c r="J53" s="61"/>
      <c r="K53" s="61"/>
      <c r="L53" s="61"/>
      <c r="M53" s="123">
        <f>J53</f>
        <v>0</v>
      </c>
      <c r="N53" s="124"/>
      <c r="P53" s="35"/>
      <c r="Q53" s="35"/>
      <c r="R53" s="35"/>
      <c r="S53" s="18"/>
      <c r="T53" s="18"/>
      <c r="U53" s="18"/>
    </row>
    <row r="54" spans="1:21" s="3" customFormat="1" ht="14.1" customHeight="1">
      <c r="A54" s="60" t="s">
        <v>25</v>
      </c>
      <c r="B54" s="52"/>
      <c r="C54" s="61">
        <v>1</v>
      </c>
      <c r="D54" s="61"/>
      <c r="E54" s="61">
        <f t="shared" si="5"/>
        <v>1</v>
      </c>
      <c r="F54" s="61"/>
      <c r="G54" s="60" t="s">
        <v>55</v>
      </c>
      <c r="H54" s="51"/>
      <c r="I54" s="52"/>
      <c r="J54" s="61"/>
      <c r="K54" s="61"/>
      <c r="L54" s="61"/>
      <c r="M54" s="123">
        <f>J54</f>
        <v>0</v>
      </c>
      <c r="N54" s="124"/>
      <c r="P54" s="35"/>
      <c r="Q54" s="35"/>
      <c r="R54" s="35"/>
      <c r="S54" s="18"/>
      <c r="T54" s="18"/>
      <c r="U54" s="18"/>
    </row>
    <row r="55" spans="1:21" s="3" customFormat="1" ht="14.1" customHeight="1">
      <c r="A55" s="53" t="s">
        <v>53</v>
      </c>
      <c r="B55" s="47"/>
      <c r="C55" s="53"/>
      <c r="D55" s="53"/>
      <c r="E55" s="53"/>
      <c r="F55" s="53"/>
      <c r="G55" s="53"/>
      <c r="H55" s="53"/>
      <c r="I55" s="53"/>
      <c r="J55" s="53"/>
      <c r="K55" s="53"/>
      <c r="L55" s="53"/>
      <c r="M55" s="53"/>
      <c r="N55" s="53"/>
      <c r="P55" s="35"/>
      <c r="Q55" s="35"/>
      <c r="R55" s="35"/>
      <c r="S55" s="18"/>
      <c r="T55" s="18"/>
      <c r="U55" s="18"/>
    </row>
    <row r="56" spans="1:21" s="3" customFormat="1" ht="16.2" customHeight="1">
      <c r="A56" s="45" t="s">
        <v>56</v>
      </c>
      <c r="B56" s="46"/>
      <c r="C56" s="46"/>
      <c r="D56" s="46"/>
      <c r="E56" s="46"/>
      <c r="F56" s="46"/>
      <c r="G56" s="46"/>
      <c r="H56" s="46"/>
      <c r="I56" s="46"/>
      <c r="J56" s="46"/>
      <c r="K56" s="46"/>
      <c r="L56" s="46"/>
      <c r="M56" s="46"/>
      <c r="N56" s="47"/>
      <c r="P56" s="35"/>
      <c r="Q56" s="35"/>
      <c r="R56" s="35"/>
      <c r="S56" s="18"/>
      <c r="T56" s="18"/>
      <c r="U56" s="18"/>
    </row>
    <row r="57" spans="1:21">
      <c r="A57" s="54" t="s">
        <v>54</v>
      </c>
      <c r="B57" s="55"/>
      <c r="C57" s="55"/>
      <c r="D57" s="55"/>
      <c r="E57" s="55"/>
      <c r="F57" s="55"/>
      <c r="G57" s="55"/>
      <c r="H57" s="55"/>
      <c r="I57" s="55"/>
      <c r="J57" s="55"/>
      <c r="K57" s="55"/>
      <c r="L57" s="55"/>
      <c r="M57" s="55"/>
      <c r="N57" s="56"/>
      <c r="O57" s="1"/>
    </row>
    <row r="58" spans="1:21">
      <c r="A58" s="40" t="s">
        <v>26</v>
      </c>
      <c r="B58" s="41"/>
      <c r="C58" s="40"/>
      <c r="D58" s="40"/>
      <c r="E58" s="40"/>
      <c r="F58" s="40"/>
      <c r="G58" s="40"/>
      <c r="H58" s="40"/>
      <c r="I58" s="40"/>
      <c r="J58" s="40"/>
      <c r="K58" s="40"/>
      <c r="L58" s="40"/>
      <c r="M58" s="40"/>
      <c r="N58" s="40"/>
      <c r="O58" s="1"/>
    </row>
    <row r="59" spans="1:21" ht="16.2" customHeight="1">
      <c r="A59" s="57" t="s">
        <v>27</v>
      </c>
      <c r="B59" s="58"/>
      <c r="C59" s="58"/>
      <c r="D59" s="58"/>
      <c r="E59" s="58"/>
      <c r="F59" s="58"/>
      <c r="G59" s="58"/>
      <c r="H59" s="58"/>
      <c r="I59" s="58"/>
      <c r="J59" s="58"/>
      <c r="K59" s="58"/>
      <c r="L59" s="58"/>
      <c r="M59" s="58"/>
      <c r="N59" s="59"/>
      <c r="O59" s="1"/>
    </row>
    <row r="60" spans="1:21" ht="16.2" customHeight="1">
      <c r="A60" s="57" t="s">
        <v>57</v>
      </c>
      <c r="B60" s="58"/>
      <c r="C60" s="58"/>
      <c r="D60" s="58"/>
      <c r="E60" s="58"/>
      <c r="F60" s="58"/>
      <c r="G60" s="58"/>
      <c r="H60" s="58"/>
      <c r="I60" s="58"/>
      <c r="J60" s="58"/>
      <c r="K60" s="58"/>
      <c r="L60" s="58"/>
      <c r="M60" s="58"/>
      <c r="N60" s="59"/>
      <c r="O60" s="1"/>
    </row>
    <row r="61" spans="1:21">
      <c r="A61" s="57" t="s">
        <v>58</v>
      </c>
      <c r="B61" s="58"/>
      <c r="C61" s="58"/>
      <c r="D61" s="58"/>
      <c r="E61" s="58"/>
      <c r="F61" s="58"/>
      <c r="G61" s="58"/>
      <c r="H61" s="58"/>
      <c r="I61" s="58"/>
      <c r="J61" s="58"/>
      <c r="K61" s="58"/>
      <c r="L61" s="58"/>
      <c r="M61" s="58"/>
      <c r="N61" s="59"/>
      <c r="O61" s="1"/>
    </row>
    <row r="62" spans="1:21" ht="16.2" customHeight="1">
      <c r="A62" s="57" t="s">
        <v>59</v>
      </c>
      <c r="B62" s="58"/>
      <c r="C62" s="58"/>
      <c r="D62" s="58"/>
      <c r="E62" s="58"/>
      <c r="F62" s="58"/>
      <c r="G62" s="58"/>
      <c r="H62" s="58"/>
      <c r="I62" s="58"/>
      <c r="J62" s="58"/>
      <c r="K62" s="58"/>
      <c r="L62" s="58"/>
      <c r="M62" s="58"/>
      <c r="N62" s="59"/>
      <c r="O62" s="1"/>
    </row>
    <row r="63" spans="1:21" ht="16.2" customHeight="1">
      <c r="A63" s="57" t="s">
        <v>28</v>
      </c>
      <c r="B63" s="58"/>
      <c r="C63" s="58"/>
      <c r="D63" s="58"/>
      <c r="E63" s="58"/>
      <c r="F63" s="58"/>
      <c r="G63" s="58"/>
      <c r="H63" s="58"/>
      <c r="I63" s="58"/>
      <c r="J63" s="58"/>
      <c r="K63" s="58"/>
      <c r="L63" s="58"/>
      <c r="M63" s="58"/>
      <c r="N63" s="59"/>
      <c r="O63" s="1"/>
    </row>
    <row r="64" spans="1:21">
      <c r="A64" s="40" t="s">
        <v>29</v>
      </c>
      <c r="B64" s="41"/>
      <c r="C64" s="40"/>
      <c r="D64" s="40"/>
      <c r="E64" s="40"/>
      <c r="F64" s="40"/>
      <c r="G64" s="40"/>
      <c r="H64" s="40"/>
      <c r="I64" s="40"/>
      <c r="J64" s="40"/>
      <c r="K64" s="40"/>
      <c r="L64" s="40"/>
      <c r="M64" s="40"/>
      <c r="N64" s="40"/>
      <c r="O64" s="1"/>
    </row>
    <row r="65" spans="1:18">
      <c r="A65" s="42"/>
      <c r="B65" s="43"/>
      <c r="C65" s="43"/>
      <c r="D65" s="43"/>
      <c r="E65" s="43"/>
      <c r="F65" s="43"/>
      <c r="G65" s="43"/>
      <c r="H65" s="43"/>
      <c r="I65" s="43"/>
      <c r="J65" s="43"/>
      <c r="K65" s="43"/>
      <c r="L65" s="43"/>
      <c r="M65" s="43"/>
      <c r="N65" s="44"/>
      <c r="O65" s="2"/>
      <c r="P65" s="29"/>
      <c r="Q65" s="29"/>
      <c r="R65" s="29"/>
    </row>
    <row r="66" spans="1:18" ht="16.2" customHeight="1">
      <c r="A66" s="40" t="s">
        <v>30</v>
      </c>
      <c r="B66" s="41"/>
      <c r="C66" s="40"/>
      <c r="D66" s="40"/>
      <c r="E66" s="40"/>
      <c r="F66" s="40"/>
      <c r="G66" s="40"/>
      <c r="H66" s="40"/>
      <c r="I66" s="40"/>
      <c r="J66" s="40"/>
      <c r="K66" s="40"/>
      <c r="L66" s="40"/>
      <c r="M66" s="40"/>
      <c r="N66" s="40"/>
      <c r="O66" s="1"/>
      <c r="P66" s="32"/>
      <c r="Q66" s="33"/>
      <c r="R66" s="29"/>
    </row>
    <row r="67" spans="1:18" ht="16.2" customHeight="1">
      <c r="A67" s="42"/>
      <c r="B67" s="43"/>
      <c r="C67" s="43"/>
      <c r="D67" s="43"/>
      <c r="E67" s="43"/>
      <c r="F67" s="43"/>
      <c r="G67" s="43"/>
      <c r="H67" s="43"/>
      <c r="I67" s="43"/>
      <c r="J67" s="43"/>
      <c r="K67" s="43"/>
      <c r="L67" s="43"/>
      <c r="M67" s="43"/>
      <c r="N67" s="44"/>
      <c r="O67" s="1"/>
      <c r="P67" s="32"/>
      <c r="Q67" s="33"/>
      <c r="R67" s="29"/>
    </row>
    <row r="68" spans="1:18">
      <c r="A68" s="40" t="s">
        <v>31</v>
      </c>
      <c r="B68" s="41"/>
      <c r="C68" s="40"/>
      <c r="D68" s="40"/>
      <c r="E68" s="40"/>
      <c r="F68" s="40"/>
      <c r="G68" s="40"/>
      <c r="H68" s="40"/>
      <c r="I68" s="40"/>
      <c r="J68" s="40"/>
      <c r="K68" s="40"/>
      <c r="L68" s="40"/>
      <c r="M68" s="40"/>
      <c r="N68" s="40"/>
      <c r="O68" s="1"/>
      <c r="P68" s="32"/>
      <c r="Q68" s="33"/>
      <c r="R68" s="29"/>
    </row>
    <row r="69" spans="1:18" ht="16.2" customHeight="1">
      <c r="A69" s="45" t="s">
        <v>94</v>
      </c>
      <c r="B69" s="46"/>
      <c r="C69" s="46"/>
      <c r="D69" s="46"/>
      <c r="E69" s="46"/>
      <c r="F69" s="46"/>
      <c r="G69" s="46"/>
      <c r="H69" s="46"/>
      <c r="I69" s="46"/>
      <c r="J69" s="46"/>
      <c r="K69" s="46"/>
      <c r="L69" s="46"/>
      <c r="M69" s="46"/>
      <c r="N69" s="47"/>
      <c r="O69" s="1"/>
      <c r="P69" s="32"/>
      <c r="Q69" s="33"/>
      <c r="R69" s="29"/>
    </row>
    <row r="70" spans="1:18" ht="16.2" customHeight="1">
      <c r="A70" s="48" t="s">
        <v>41</v>
      </c>
      <c r="B70" s="49"/>
      <c r="C70" s="50"/>
      <c r="D70" s="50"/>
      <c r="E70" s="50"/>
      <c r="F70" s="50"/>
      <c r="G70" s="50"/>
      <c r="H70" s="51"/>
      <c r="I70" s="51"/>
      <c r="J70" s="51"/>
      <c r="K70" s="51"/>
      <c r="L70" s="51"/>
      <c r="M70" s="51"/>
      <c r="N70" s="52"/>
      <c r="O70" s="1"/>
      <c r="P70" s="34"/>
      <c r="Q70" s="33"/>
      <c r="R70" s="29"/>
    </row>
    <row r="71" spans="1:18" ht="28.2">
      <c r="A71" s="1" t="s">
        <v>45</v>
      </c>
      <c r="B71" s="7">
        <f>B2+1</f>
        <v>2</v>
      </c>
      <c r="C71" s="5"/>
      <c r="D71" s="5"/>
      <c r="E71" s="5"/>
      <c r="F71" s="5"/>
      <c r="G71" s="5"/>
      <c r="H71" s="5"/>
      <c r="I71" s="5"/>
      <c r="J71" s="5"/>
      <c r="K71" s="5"/>
      <c r="L71" s="5"/>
      <c r="M71" s="5"/>
      <c r="N71" s="5"/>
      <c r="O71" s="1"/>
      <c r="P71" s="32"/>
      <c r="Q71" s="33"/>
      <c r="R71" s="29"/>
    </row>
    <row r="72" spans="1:18">
      <c r="A72" s="1" t="s">
        <v>46</v>
      </c>
      <c r="B72" s="1" t="s">
        <v>1</v>
      </c>
      <c r="C72" s="1" t="s">
        <v>2</v>
      </c>
      <c r="D72" s="1" t="s">
        <v>3</v>
      </c>
      <c r="E72" s="1" t="s">
        <v>2</v>
      </c>
      <c r="F72" s="1"/>
      <c r="G72" s="1"/>
      <c r="H72" s="112" t="s">
        <v>4</v>
      </c>
      <c r="I72" s="112"/>
      <c r="J72" s="113">
        <f>J3+1</f>
        <v>46213</v>
      </c>
      <c r="K72" s="113"/>
      <c r="L72" s="113"/>
      <c r="M72" s="114">
        <f>J72</f>
        <v>46213</v>
      </c>
      <c r="N72" s="114"/>
      <c r="O72" s="1"/>
      <c r="P72" s="32"/>
      <c r="Q72" s="33"/>
      <c r="R72" s="29"/>
    </row>
    <row r="73" spans="1:18">
      <c r="A73" s="8" t="s">
        <v>5</v>
      </c>
      <c r="B73" s="115" t="str">
        <f>B4</f>
        <v>元長國小辦理114年度充實設施設備-校園鋪面改善工程</v>
      </c>
      <c r="C73" s="116"/>
      <c r="D73" s="116"/>
      <c r="E73" s="116"/>
      <c r="F73" s="116"/>
      <c r="G73" s="117"/>
      <c r="H73" s="63" t="s">
        <v>6</v>
      </c>
      <c r="I73" s="63"/>
      <c r="J73" s="63"/>
      <c r="K73" s="63" t="s">
        <v>52</v>
      </c>
      <c r="L73" s="63"/>
      <c r="M73" s="63"/>
      <c r="N73" s="63"/>
      <c r="O73" s="1"/>
      <c r="P73" s="32"/>
      <c r="Q73" s="33"/>
      <c r="R73" s="29"/>
    </row>
    <row r="74" spans="1:18">
      <c r="A74" s="8" t="s">
        <v>32</v>
      </c>
      <c r="B74" s="10">
        <f>B5</f>
        <v>60</v>
      </c>
      <c r="C74" s="11" t="s">
        <v>43</v>
      </c>
      <c r="D74" s="71" t="s">
        <v>7</v>
      </c>
      <c r="E74" s="73"/>
      <c r="F74" s="10">
        <f>F5+1</f>
        <v>2</v>
      </c>
      <c r="G74" s="11" t="s">
        <v>8</v>
      </c>
      <c r="H74" s="9" t="s">
        <v>9</v>
      </c>
      <c r="I74" s="10">
        <f>B74-F74</f>
        <v>58</v>
      </c>
      <c r="J74" s="11" t="s">
        <v>8</v>
      </c>
      <c r="K74" s="118" t="s">
        <v>33</v>
      </c>
      <c r="L74" s="119"/>
      <c r="M74" s="12"/>
      <c r="N74" s="11" t="s">
        <v>8</v>
      </c>
      <c r="O74" s="1"/>
      <c r="P74" s="34"/>
      <c r="Q74" s="33"/>
      <c r="R74" s="29"/>
    </row>
    <row r="75" spans="1:18">
      <c r="A75" s="71" t="s">
        <v>34</v>
      </c>
      <c r="B75" s="72"/>
      <c r="C75" s="73"/>
      <c r="D75" s="120">
        <v>46212</v>
      </c>
      <c r="E75" s="121"/>
      <c r="F75" s="121"/>
      <c r="G75" s="122"/>
      <c r="H75" s="71" t="s">
        <v>35</v>
      </c>
      <c r="I75" s="72"/>
      <c r="J75" s="73"/>
      <c r="K75" s="120">
        <f>D75+59</f>
        <v>46271</v>
      </c>
      <c r="L75" s="121"/>
      <c r="M75" s="121"/>
      <c r="N75" s="122"/>
      <c r="O75" s="1"/>
      <c r="P75" s="32"/>
      <c r="Q75" s="33"/>
      <c r="R75" s="29"/>
    </row>
    <row r="76" spans="1:18">
      <c r="A76" s="92" t="s">
        <v>10</v>
      </c>
      <c r="B76" s="93"/>
      <c r="C76" s="94"/>
      <c r="D76" s="98">
        <f>D7+0.0005/5</f>
        <v>2.0000000000000001E-4</v>
      </c>
      <c r="E76" s="99"/>
      <c r="F76" s="99"/>
      <c r="G76" s="100"/>
      <c r="H76" s="104" t="s">
        <v>36</v>
      </c>
      <c r="I76" s="105"/>
      <c r="J76" s="106"/>
      <c r="K76" s="110">
        <f>R107</f>
        <v>4.7170123203517898E-2</v>
      </c>
      <c r="L76" s="105"/>
      <c r="M76" s="105"/>
      <c r="N76" s="106"/>
      <c r="O76" s="1"/>
      <c r="P76" s="32"/>
      <c r="Q76" s="33"/>
      <c r="R76" s="29"/>
    </row>
    <row r="77" spans="1:18">
      <c r="A77" s="95"/>
      <c r="B77" s="96"/>
      <c r="C77" s="97"/>
      <c r="D77" s="101"/>
      <c r="E77" s="102"/>
      <c r="F77" s="102"/>
      <c r="G77" s="103"/>
      <c r="H77" s="107"/>
      <c r="I77" s="108"/>
      <c r="J77" s="109"/>
      <c r="K77" s="107"/>
      <c r="L77" s="108"/>
      <c r="M77" s="108"/>
      <c r="N77" s="109"/>
      <c r="O77" s="1"/>
      <c r="P77" s="32"/>
      <c r="Q77" s="33"/>
      <c r="R77" s="29"/>
    </row>
    <row r="78" spans="1:18">
      <c r="A78" s="62" t="s">
        <v>11</v>
      </c>
      <c r="B78" s="62"/>
      <c r="C78" s="62"/>
      <c r="D78" s="62"/>
      <c r="E78" s="62"/>
      <c r="F78" s="62"/>
      <c r="G78" s="62"/>
      <c r="H78" s="62"/>
      <c r="I78" s="62"/>
      <c r="J78" s="62"/>
      <c r="K78" s="62"/>
      <c r="L78" s="62"/>
      <c r="M78" s="62"/>
      <c r="N78" s="62"/>
      <c r="O78" s="1"/>
      <c r="P78" s="32"/>
      <c r="Q78" s="33"/>
      <c r="R78" s="29"/>
    </row>
    <row r="79" spans="1:18">
      <c r="A79" s="111" t="s">
        <v>12</v>
      </c>
      <c r="B79" s="111"/>
      <c r="C79" s="111"/>
      <c r="D79" s="111"/>
      <c r="E79" s="111"/>
      <c r="F79" s="14" t="s">
        <v>37</v>
      </c>
      <c r="G79" s="111" t="s">
        <v>38</v>
      </c>
      <c r="H79" s="111"/>
      <c r="I79" s="63" t="s">
        <v>39</v>
      </c>
      <c r="J79" s="63"/>
      <c r="K79" s="63"/>
      <c r="L79" s="63" t="s">
        <v>40</v>
      </c>
      <c r="M79" s="63"/>
      <c r="N79" s="9" t="s">
        <v>13</v>
      </c>
      <c r="O79" s="1"/>
      <c r="P79" s="28" t="s">
        <v>47</v>
      </c>
      <c r="Q79" s="29" t="s">
        <v>48</v>
      </c>
      <c r="R79" s="29" t="s">
        <v>49</v>
      </c>
    </row>
    <row r="80" spans="1:18">
      <c r="A80" s="83" t="s">
        <v>93</v>
      </c>
      <c r="B80" s="84"/>
      <c r="C80" s="84"/>
      <c r="D80" s="84"/>
      <c r="E80" s="85"/>
      <c r="F80" s="27" t="s">
        <v>60</v>
      </c>
      <c r="G80" s="67">
        <v>1</v>
      </c>
      <c r="H80" s="68"/>
      <c r="I80" s="86"/>
      <c r="J80" s="87"/>
      <c r="K80" s="88"/>
      <c r="L80" s="69">
        <f>I80+L11</f>
        <v>1</v>
      </c>
      <c r="M80" s="70"/>
      <c r="N80" s="8"/>
      <c r="O80" s="1"/>
      <c r="P80" s="30">
        <v>6000</v>
      </c>
      <c r="Q80" s="38">
        <f>P80*G80</f>
        <v>6000</v>
      </c>
      <c r="R80" s="28">
        <f>L80*P80</f>
        <v>6000</v>
      </c>
    </row>
    <row r="81" spans="1:18">
      <c r="A81" s="83" t="s">
        <v>68</v>
      </c>
      <c r="B81" s="84"/>
      <c r="C81" s="84"/>
      <c r="D81" s="84"/>
      <c r="E81" s="85"/>
      <c r="F81" s="20" t="s">
        <v>60</v>
      </c>
      <c r="G81" s="67">
        <v>1</v>
      </c>
      <c r="H81" s="68"/>
      <c r="I81" s="87"/>
      <c r="J81" s="87"/>
      <c r="K81" s="88"/>
      <c r="L81" s="69">
        <f t="shared" ref="L81:L91" si="6">I81+L12</f>
        <v>0</v>
      </c>
      <c r="M81" s="70"/>
      <c r="N81" s="8"/>
      <c r="O81" s="1"/>
      <c r="P81" s="30">
        <v>193300</v>
      </c>
      <c r="Q81" s="38">
        <f t="shared" ref="Q81:Q105" si="7">P81*G81</f>
        <v>193300</v>
      </c>
      <c r="R81" s="28">
        <f>L81*P81</f>
        <v>0</v>
      </c>
    </row>
    <row r="82" spans="1:18">
      <c r="A82" s="89" t="s">
        <v>69</v>
      </c>
      <c r="B82" s="90"/>
      <c r="C82" s="90"/>
      <c r="D82" s="90"/>
      <c r="E82" s="91"/>
      <c r="F82" s="20" t="s">
        <v>60</v>
      </c>
      <c r="G82" s="67">
        <v>1</v>
      </c>
      <c r="H82" s="68"/>
      <c r="I82" s="87"/>
      <c r="J82" s="87"/>
      <c r="K82" s="88"/>
      <c r="L82" s="69">
        <f t="shared" si="6"/>
        <v>0</v>
      </c>
      <c r="M82" s="70"/>
      <c r="N82" s="8"/>
      <c r="O82" s="1"/>
      <c r="P82" s="30">
        <v>30000</v>
      </c>
      <c r="Q82" s="38">
        <f t="shared" si="7"/>
        <v>30000</v>
      </c>
      <c r="R82" s="28">
        <f>L82*P82</f>
        <v>0</v>
      </c>
    </row>
    <row r="83" spans="1:18">
      <c r="A83" s="64" t="s">
        <v>70</v>
      </c>
      <c r="B83" s="65"/>
      <c r="C83" s="65"/>
      <c r="D83" s="65"/>
      <c r="E83" s="66"/>
      <c r="F83" s="20" t="s">
        <v>60</v>
      </c>
      <c r="G83" s="67">
        <v>1</v>
      </c>
      <c r="H83" s="68"/>
      <c r="I83" s="87"/>
      <c r="J83" s="87"/>
      <c r="K83" s="88"/>
      <c r="L83" s="69">
        <f t="shared" si="6"/>
        <v>0</v>
      </c>
      <c r="M83" s="70"/>
      <c r="N83" s="8"/>
      <c r="O83" s="1"/>
      <c r="P83" s="31">
        <v>10000</v>
      </c>
      <c r="Q83" s="38">
        <f t="shared" si="7"/>
        <v>10000</v>
      </c>
      <c r="R83" s="28">
        <f t="shared" ref="R83:R105" si="8">L83*P83</f>
        <v>0</v>
      </c>
    </row>
    <row r="84" spans="1:18">
      <c r="A84" s="64" t="s">
        <v>95</v>
      </c>
      <c r="B84" s="65"/>
      <c r="C84" s="65"/>
      <c r="D84" s="65"/>
      <c r="E84" s="66"/>
      <c r="F84" s="20" t="s">
        <v>61</v>
      </c>
      <c r="G84" s="67">
        <v>9</v>
      </c>
      <c r="H84" s="68"/>
      <c r="I84" s="87">
        <v>9</v>
      </c>
      <c r="J84" s="87"/>
      <c r="K84" s="88"/>
      <c r="L84" s="69">
        <f t="shared" si="6"/>
        <v>9</v>
      </c>
      <c r="M84" s="70"/>
      <c r="N84" s="8"/>
      <c r="O84" s="1"/>
      <c r="P84" s="30">
        <v>21000</v>
      </c>
      <c r="Q84" s="38">
        <f t="shared" si="7"/>
        <v>189000</v>
      </c>
      <c r="R84" s="28">
        <f t="shared" si="8"/>
        <v>189000</v>
      </c>
    </row>
    <row r="85" spans="1:18">
      <c r="A85" s="64" t="s">
        <v>72</v>
      </c>
      <c r="B85" s="65"/>
      <c r="C85" s="65"/>
      <c r="D85" s="65"/>
      <c r="E85" s="66"/>
      <c r="F85" s="2" t="s">
        <v>60</v>
      </c>
      <c r="G85" s="67">
        <v>1</v>
      </c>
      <c r="H85" s="68"/>
      <c r="I85" s="87"/>
      <c r="J85" s="87"/>
      <c r="K85" s="88"/>
      <c r="L85" s="69">
        <f t="shared" si="6"/>
        <v>0</v>
      </c>
      <c r="M85" s="70"/>
      <c r="N85" s="8"/>
      <c r="O85" s="1"/>
      <c r="P85" s="30">
        <v>184468</v>
      </c>
      <c r="Q85" s="38">
        <f t="shared" si="7"/>
        <v>184468</v>
      </c>
      <c r="R85" s="28">
        <f t="shared" si="8"/>
        <v>0</v>
      </c>
    </row>
    <row r="86" spans="1:18">
      <c r="A86" s="83" t="s">
        <v>73</v>
      </c>
      <c r="B86" s="84"/>
      <c r="C86" s="84"/>
      <c r="D86" s="84"/>
      <c r="E86" s="85"/>
      <c r="F86" s="20" t="s">
        <v>62</v>
      </c>
      <c r="G86" s="67">
        <v>9</v>
      </c>
      <c r="H86" s="68"/>
      <c r="I86" s="87"/>
      <c r="J86" s="87"/>
      <c r="K86" s="88"/>
      <c r="L86" s="69">
        <f t="shared" si="6"/>
        <v>0</v>
      </c>
      <c r="M86" s="70"/>
      <c r="N86" s="8"/>
      <c r="O86" s="1"/>
      <c r="P86" s="30">
        <v>20000</v>
      </c>
      <c r="Q86" s="38">
        <f t="shared" si="7"/>
        <v>180000</v>
      </c>
      <c r="R86" s="28">
        <f t="shared" si="8"/>
        <v>0</v>
      </c>
    </row>
    <row r="87" spans="1:18">
      <c r="A87" s="83" t="s">
        <v>74</v>
      </c>
      <c r="B87" s="84"/>
      <c r="C87" s="84"/>
      <c r="D87" s="84"/>
      <c r="E87" s="85"/>
      <c r="F87" s="20" t="s">
        <v>63</v>
      </c>
      <c r="G87" s="67">
        <v>52</v>
      </c>
      <c r="H87" s="68"/>
      <c r="I87" s="87"/>
      <c r="J87" s="87"/>
      <c r="K87" s="88"/>
      <c r="L87" s="69">
        <f t="shared" si="6"/>
        <v>0</v>
      </c>
      <c r="M87" s="70"/>
      <c r="N87" s="8"/>
      <c r="O87" s="1"/>
      <c r="P87" s="31">
        <v>2500</v>
      </c>
      <c r="Q87" s="38">
        <f t="shared" si="7"/>
        <v>130000</v>
      </c>
      <c r="R87" s="28">
        <f t="shared" si="8"/>
        <v>0</v>
      </c>
    </row>
    <row r="88" spans="1:18">
      <c r="A88" s="83" t="s">
        <v>75</v>
      </c>
      <c r="B88" s="84"/>
      <c r="C88" s="84"/>
      <c r="D88" s="84"/>
      <c r="E88" s="85"/>
      <c r="F88" s="20" t="s">
        <v>64</v>
      </c>
      <c r="G88" s="67">
        <v>1</v>
      </c>
      <c r="H88" s="68"/>
      <c r="I88" s="87"/>
      <c r="J88" s="87"/>
      <c r="K88" s="88"/>
      <c r="L88" s="69">
        <f t="shared" si="6"/>
        <v>0</v>
      </c>
      <c r="M88" s="70"/>
      <c r="N88" s="8"/>
      <c r="O88" s="1"/>
      <c r="P88" s="30">
        <v>80000</v>
      </c>
      <c r="Q88" s="38">
        <f t="shared" si="7"/>
        <v>80000</v>
      </c>
      <c r="R88" s="28">
        <f t="shared" si="8"/>
        <v>0</v>
      </c>
    </row>
    <row r="89" spans="1:18">
      <c r="A89" s="89" t="s">
        <v>76</v>
      </c>
      <c r="B89" s="90"/>
      <c r="C89" s="90"/>
      <c r="D89" s="90"/>
      <c r="E89" s="91"/>
      <c r="F89" s="20" t="s">
        <v>65</v>
      </c>
      <c r="G89" s="67">
        <v>31</v>
      </c>
      <c r="H89" s="68"/>
      <c r="I89" s="87"/>
      <c r="J89" s="87"/>
      <c r="K89" s="88"/>
      <c r="L89" s="69">
        <f t="shared" si="6"/>
        <v>0</v>
      </c>
      <c r="M89" s="70"/>
      <c r="N89" s="8"/>
      <c r="O89" s="1"/>
      <c r="P89" s="30">
        <v>400</v>
      </c>
      <c r="Q89" s="38">
        <f t="shared" si="7"/>
        <v>12400</v>
      </c>
      <c r="R89" s="28">
        <f t="shared" si="8"/>
        <v>0</v>
      </c>
    </row>
    <row r="90" spans="1:18">
      <c r="A90" s="64" t="s">
        <v>77</v>
      </c>
      <c r="B90" s="65"/>
      <c r="C90" s="65"/>
      <c r="D90" s="65"/>
      <c r="E90" s="66"/>
      <c r="F90" s="20" t="s">
        <v>65</v>
      </c>
      <c r="G90" s="67">
        <v>100</v>
      </c>
      <c r="H90" s="68"/>
      <c r="I90" s="87"/>
      <c r="J90" s="87"/>
      <c r="K90" s="88"/>
      <c r="L90" s="69">
        <f t="shared" si="6"/>
        <v>0</v>
      </c>
      <c r="M90" s="70"/>
      <c r="N90" s="8"/>
      <c r="O90" s="1"/>
      <c r="P90" s="30">
        <v>350</v>
      </c>
      <c r="Q90" s="38">
        <f t="shared" si="7"/>
        <v>35000</v>
      </c>
      <c r="R90" s="28">
        <f t="shared" si="8"/>
        <v>0</v>
      </c>
    </row>
    <row r="91" spans="1:18">
      <c r="A91" s="64" t="s">
        <v>78</v>
      </c>
      <c r="B91" s="65"/>
      <c r="C91" s="65"/>
      <c r="D91" s="65"/>
      <c r="E91" s="66"/>
      <c r="F91" s="20" t="s">
        <v>63</v>
      </c>
      <c r="G91" s="67">
        <v>35</v>
      </c>
      <c r="H91" s="68"/>
      <c r="I91" s="87"/>
      <c r="J91" s="87"/>
      <c r="K91" s="88"/>
      <c r="L91" s="69">
        <f t="shared" si="6"/>
        <v>0</v>
      </c>
      <c r="M91" s="70"/>
      <c r="N91" s="8"/>
      <c r="O91" s="1"/>
      <c r="P91" s="30">
        <v>1200</v>
      </c>
      <c r="Q91" s="38">
        <f t="shared" si="7"/>
        <v>42000</v>
      </c>
      <c r="R91" s="28">
        <f t="shared" si="8"/>
        <v>0</v>
      </c>
    </row>
    <row r="92" spans="1:18">
      <c r="A92" s="64" t="s">
        <v>79</v>
      </c>
      <c r="B92" s="65"/>
      <c r="C92" s="65"/>
      <c r="D92" s="65"/>
      <c r="E92" s="66"/>
      <c r="F92" s="20" t="s">
        <v>63</v>
      </c>
      <c r="G92" s="67">
        <v>282</v>
      </c>
      <c r="H92" s="68"/>
      <c r="I92" s="86"/>
      <c r="J92" s="87"/>
      <c r="K92" s="88"/>
      <c r="L92" s="69">
        <f t="shared" ref="L92:L105" si="9">I92+L23</f>
        <v>0</v>
      </c>
      <c r="M92" s="70"/>
      <c r="N92" s="8"/>
      <c r="O92" s="1"/>
      <c r="P92" s="30">
        <v>1400</v>
      </c>
      <c r="Q92" s="38">
        <f t="shared" si="7"/>
        <v>394800</v>
      </c>
      <c r="R92" s="28">
        <f t="shared" si="8"/>
        <v>0</v>
      </c>
    </row>
    <row r="93" spans="1:18">
      <c r="A93" s="83" t="s">
        <v>80</v>
      </c>
      <c r="B93" s="84"/>
      <c r="C93" s="84"/>
      <c r="D93" s="84"/>
      <c r="E93" s="85"/>
      <c r="F93" s="21" t="s">
        <v>65</v>
      </c>
      <c r="G93" s="67">
        <v>58</v>
      </c>
      <c r="H93" s="68"/>
      <c r="I93" s="86"/>
      <c r="J93" s="87"/>
      <c r="K93" s="88"/>
      <c r="L93" s="69">
        <f t="shared" si="9"/>
        <v>0</v>
      </c>
      <c r="M93" s="70"/>
      <c r="N93" s="8"/>
      <c r="O93" s="1"/>
      <c r="P93" s="30">
        <v>3600</v>
      </c>
      <c r="Q93" s="38">
        <f t="shared" si="7"/>
        <v>208800</v>
      </c>
      <c r="R93" s="28">
        <f t="shared" si="8"/>
        <v>0</v>
      </c>
    </row>
    <row r="94" spans="1:18">
      <c r="A94" s="83" t="s">
        <v>81</v>
      </c>
      <c r="B94" s="84"/>
      <c r="C94" s="84"/>
      <c r="D94" s="84"/>
      <c r="E94" s="85"/>
      <c r="F94" s="21" t="s">
        <v>65</v>
      </c>
      <c r="G94" s="67">
        <v>360</v>
      </c>
      <c r="H94" s="68"/>
      <c r="I94" s="86"/>
      <c r="J94" s="87"/>
      <c r="K94" s="88"/>
      <c r="L94" s="69">
        <f t="shared" si="9"/>
        <v>0</v>
      </c>
      <c r="M94" s="70"/>
      <c r="N94" s="8"/>
      <c r="O94" s="1"/>
      <c r="P94" s="30">
        <v>230</v>
      </c>
      <c r="Q94" s="38">
        <f t="shared" si="7"/>
        <v>82800</v>
      </c>
      <c r="R94" s="28">
        <f t="shared" si="8"/>
        <v>0</v>
      </c>
    </row>
    <row r="95" spans="1:18">
      <c r="A95" s="83" t="s">
        <v>82</v>
      </c>
      <c r="B95" s="84"/>
      <c r="C95" s="84"/>
      <c r="D95" s="84"/>
      <c r="E95" s="85"/>
      <c r="F95" s="21" t="s">
        <v>65</v>
      </c>
      <c r="G95" s="67">
        <v>2400</v>
      </c>
      <c r="H95" s="68"/>
      <c r="I95" s="86"/>
      <c r="J95" s="87"/>
      <c r="K95" s="88"/>
      <c r="L95" s="69">
        <f t="shared" si="9"/>
        <v>0</v>
      </c>
      <c r="M95" s="70"/>
      <c r="N95" s="8"/>
      <c r="O95" s="1"/>
      <c r="P95" s="30">
        <v>80</v>
      </c>
      <c r="Q95" s="38">
        <f t="shared" si="7"/>
        <v>192000</v>
      </c>
      <c r="R95" s="28">
        <f t="shared" si="8"/>
        <v>0</v>
      </c>
    </row>
    <row r="96" spans="1:18">
      <c r="A96" s="89" t="s">
        <v>83</v>
      </c>
      <c r="B96" s="90"/>
      <c r="C96" s="90"/>
      <c r="D96" s="90"/>
      <c r="E96" s="91"/>
      <c r="F96" s="21" t="s">
        <v>65</v>
      </c>
      <c r="G96" s="67">
        <v>360</v>
      </c>
      <c r="H96" s="68"/>
      <c r="I96" s="86"/>
      <c r="J96" s="87"/>
      <c r="K96" s="88"/>
      <c r="L96" s="69">
        <f t="shared" si="9"/>
        <v>0</v>
      </c>
      <c r="M96" s="70"/>
      <c r="N96" s="8"/>
      <c r="O96" s="1"/>
      <c r="P96" s="30">
        <v>420</v>
      </c>
      <c r="Q96" s="38">
        <f t="shared" si="7"/>
        <v>151200</v>
      </c>
      <c r="R96" s="28">
        <f t="shared" si="8"/>
        <v>0</v>
      </c>
    </row>
    <row r="97" spans="1:19">
      <c r="A97" s="64" t="s">
        <v>84</v>
      </c>
      <c r="B97" s="65"/>
      <c r="C97" s="65"/>
      <c r="D97" s="65"/>
      <c r="E97" s="66"/>
      <c r="F97" s="21" t="s">
        <v>65</v>
      </c>
      <c r="G97" s="67">
        <v>2760</v>
      </c>
      <c r="H97" s="68"/>
      <c r="I97" s="86"/>
      <c r="J97" s="87"/>
      <c r="K97" s="88"/>
      <c r="L97" s="69">
        <f t="shared" si="9"/>
        <v>0</v>
      </c>
      <c r="M97" s="70"/>
      <c r="N97" s="8"/>
      <c r="O97" s="1"/>
      <c r="P97" s="30">
        <v>460</v>
      </c>
      <c r="Q97" s="38">
        <f t="shared" si="7"/>
        <v>1269600</v>
      </c>
      <c r="R97" s="28">
        <f t="shared" si="8"/>
        <v>0</v>
      </c>
    </row>
    <row r="98" spans="1:19">
      <c r="A98" s="64" t="s">
        <v>85</v>
      </c>
      <c r="B98" s="65"/>
      <c r="C98" s="65"/>
      <c r="D98" s="65"/>
      <c r="E98" s="66"/>
      <c r="F98" s="21" t="s">
        <v>65</v>
      </c>
      <c r="G98" s="67">
        <v>275</v>
      </c>
      <c r="H98" s="68"/>
      <c r="I98" s="86"/>
      <c r="J98" s="87"/>
      <c r="K98" s="88"/>
      <c r="L98" s="69">
        <f t="shared" si="9"/>
        <v>0</v>
      </c>
      <c r="M98" s="70"/>
      <c r="N98" s="8"/>
      <c r="O98" s="1"/>
      <c r="P98" s="31">
        <v>350</v>
      </c>
      <c r="Q98" s="38">
        <f t="shared" si="7"/>
        <v>96250</v>
      </c>
      <c r="R98" s="28">
        <f t="shared" si="8"/>
        <v>0</v>
      </c>
    </row>
    <row r="99" spans="1:19">
      <c r="A99" s="64" t="s">
        <v>86</v>
      </c>
      <c r="B99" s="65"/>
      <c r="C99" s="65"/>
      <c r="D99" s="65"/>
      <c r="E99" s="66"/>
      <c r="F99" s="21" t="s">
        <v>60</v>
      </c>
      <c r="G99" s="67">
        <v>1</v>
      </c>
      <c r="H99" s="68"/>
      <c r="I99" s="86"/>
      <c r="J99" s="87"/>
      <c r="K99" s="88"/>
      <c r="L99" s="69">
        <f t="shared" si="9"/>
        <v>0</v>
      </c>
      <c r="M99" s="70"/>
      <c r="N99" s="8"/>
      <c r="O99" s="2"/>
      <c r="P99" s="30">
        <v>40000</v>
      </c>
      <c r="Q99" s="38">
        <f t="shared" si="7"/>
        <v>40000</v>
      </c>
      <c r="R99" s="28">
        <f t="shared" si="8"/>
        <v>0</v>
      </c>
    </row>
    <row r="100" spans="1:19">
      <c r="A100" s="83" t="s">
        <v>87</v>
      </c>
      <c r="B100" s="84"/>
      <c r="C100" s="84"/>
      <c r="D100" s="84"/>
      <c r="E100" s="85"/>
      <c r="F100" s="20" t="s">
        <v>60</v>
      </c>
      <c r="G100" s="67">
        <v>1</v>
      </c>
      <c r="H100" s="68"/>
      <c r="I100" s="86"/>
      <c r="J100" s="87"/>
      <c r="K100" s="88"/>
      <c r="L100" s="69">
        <f t="shared" si="9"/>
        <v>0</v>
      </c>
      <c r="M100" s="70"/>
      <c r="N100" s="8"/>
      <c r="O100" s="1"/>
      <c r="P100" s="31">
        <v>276970</v>
      </c>
      <c r="Q100" s="38">
        <f t="shared" si="7"/>
        <v>276970</v>
      </c>
      <c r="R100" s="28">
        <f t="shared" si="8"/>
        <v>0</v>
      </c>
    </row>
    <row r="101" spans="1:19">
      <c r="A101" s="83" t="s">
        <v>88</v>
      </c>
      <c r="B101" s="84"/>
      <c r="C101" s="84"/>
      <c r="D101" s="84"/>
      <c r="E101" s="85"/>
      <c r="F101" s="20" t="s">
        <v>60</v>
      </c>
      <c r="G101" s="67">
        <v>1</v>
      </c>
      <c r="H101" s="68"/>
      <c r="I101" s="26"/>
      <c r="J101" s="23"/>
      <c r="K101" s="24"/>
      <c r="L101" s="69">
        <f t="shared" si="9"/>
        <v>0</v>
      </c>
      <c r="M101" s="70"/>
      <c r="N101" s="25"/>
      <c r="O101" s="1"/>
      <c r="P101" s="32">
        <v>60873</v>
      </c>
      <c r="Q101" s="38">
        <f t="shared" si="7"/>
        <v>60873</v>
      </c>
      <c r="R101" s="28">
        <f t="shared" si="8"/>
        <v>0</v>
      </c>
    </row>
    <row r="102" spans="1:19">
      <c r="A102" s="83" t="s">
        <v>89</v>
      </c>
      <c r="B102" s="84"/>
      <c r="C102" s="84"/>
      <c r="D102" s="84"/>
      <c r="E102" s="85"/>
      <c r="F102" s="20" t="s">
        <v>60</v>
      </c>
      <c r="G102" s="67">
        <v>1</v>
      </c>
      <c r="H102" s="68"/>
      <c r="I102" s="26"/>
      <c r="J102" s="23"/>
      <c r="K102" s="24"/>
      <c r="L102" s="69">
        <f t="shared" si="9"/>
        <v>0</v>
      </c>
      <c r="M102" s="70"/>
      <c r="N102" s="25"/>
      <c r="O102" s="1"/>
      <c r="P102" s="32">
        <v>60873</v>
      </c>
      <c r="Q102" s="38">
        <f t="shared" si="7"/>
        <v>60873</v>
      </c>
      <c r="R102" s="28">
        <f t="shared" si="8"/>
        <v>0</v>
      </c>
    </row>
    <row r="103" spans="1:19" ht="16.2" customHeight="1">
      <c r="A103" s="83" t="s">
        <v>90</v>
      </c>
      <c r="B103" s="84"/>
      <c r="C103" s="84"/>
      <c r="D103" s="84"/>
      <c r="E103" s="85"/>
      <c r="F103" s="20" t="s">
        <v>60</v>
      </c>
      <c r="G103" s="67">
        <v>1</v>
      </c>
      <c r="H103" s="68"/>
      <c r="I103" s="26"/>
      <c r="J103" s="23"/>
      <c r="K103" s="24"/>
      <c r="L103" s="69">
        <f t="shared" si="9"/>
        <v>0</v>
      </c>
      <c r="M103" s="70"/>
      <c r="N103" s="25"/>
      <c r="O103" s="1"/>
      <c r="P103" s="34">
        <v>266321</v>
      </c>
      <c r="Q103" s="38">
        <f t="shared" si="7"/>
        <v>266321</v>
      </c>
      <c r="R103" s="28">
        <f t="shared" si="8"/>
        <v>0</v>
      </c>
    </row>
    <row r="104" spans="1:19" ht="16.2" customHeight="1">
      <c r="A104" s="83" t="s">
        <v>91</v>
      </c>
      <c r="B104" s="84"/>
      <c r="C104" s="84"/>
      <c r="D104" s="84"/>
      <c r="E104" s="85"/>
      <c r="F104" s="2" t="s">
        <v>60</v>
      </c>
      <c r="G104" s="67">
        <v>1</v>
      </c>
      <c r="H104" s="68"/>
      <c r="I104" s="26"/>
      <c r="J104" s="23"/>
      <c r="K104" s="24"/>
      <c r="L104" s="69">
        <f t="shared" si="9"/>
        <v>1</v>
      </c>
      <c r="M104" s="70"/>
      <c r="N104" s="25"/>
      <c r="O104" s="1"/>
      <c r="P104" s="32">
        <v>13316</v>
      </c>
      <c r="Q104" s="38">
        <f t="shared" si="7"/>
        <v>13316</v>
      </c>
      <c r="R104" s="28">
        <f t="shared" si="8"/>
        <v>13316</v>
      </c>
    </row>
    <row r="105" spans="1:19">
      <c r="A105" s="83" t="s">
        <v>92</v>
      </c>
      <c r="B105" s="84"/>
      <c r="C105" s="84"/>
      <c r="D105" s="84"/>
      <c r="E105" s="85"/>
      <c r="F105" s="20" t="s">
        <v>60</v>
      </c>
      <c r="G105" s="67">
        <v>1</v>
      </c>
      <c r="H105" s="68"/>
      <c r="I105" s="26"/>
      <c r="J105" s="23"/>
      <c r="K105" s="24"/>
      <c r="L105" s="69">
        <f t="shared" si="9"/>
        <v>0</v>
      </c>
      <c r="M105" s="70"/>
      <c r="N105" s="25"/>
      <c r="O105" s="1"/>
      <c r="P105" s="32">
        <v>210299</v>
      </c>
      <c r="Q105" s="38">
        <f t="shared" si="7"/>
        <v>210299</v>
      </c>
      <c r="R105" s="28">
        <f t="shared" si="8"/>
        <v>0</v>
      </c>
    </row>
    <row r="106" spans="1:19" ht="16.2" customHeight="1">
      <c r="A106" s="64"/>
      <c r="B106" s="65"/>
      <c r="C106" s="65"/>
      <c r="D106" s="65"/>
      <c r="E106" s="66"/>
      <c r="F106" s="22"/>
      <c r="G106" s="67"/>
      <c r="H106" s="68"/>
      <c r="I106" s="26"/>
      <c r="J106" s="23"/>
      <c r="K106" s="24"/>
      <c r="L106" s="69"/>
      <c r="M106" s="70"/>
      <c r="N106" s="25"/>
      <c r="O106" s="3"/>
      <c r="P106" s="32"/>
      <c r="Q106" s="33">
        <f>SUM(Q80:Q105)</f>
        <v>4416270</v>
      </c>
      <c r="R106" s="29">
        <f>SUM(R80:R105)</f>
        <v>208316</v>
      </c>
    </row>
    <row r="107" spans="1:19" ht="16.2" customHeight="1">
      <c r="A107" s="64"/>
      <c r="B107" s="65"/>
      <c r="C107" s="65"/>
      <c r="D107" s="65"/>
      <c r="E107" s="66"/>
      <c r="F107" s="22"/>
      <c r="G107" s="67"/>
      <c r="H107" s="68"/>
      <c r="I107" s="26"/>
      <c r="J107" s="23"/>
      <c r="K107" s="24"/>
      <c r="L107" s="69"/>
      <c r="M107" s="70"/>
      <c r="N107" s="25"/>
      <c r="O107" s="3"/>
      <c r="P107" s="32"/>
      <c r="Q107" s="33"/>
      <c r="R107" s="37">
        <f>R106/Q106</f>
        <v>4.7170123203517898E-2</v>
      </c>
    </row>
    <row r="108" spans="1:19">
      <c r="A108" s="62" t="s">
        <v>14</v>
      </c>
      <c r="B108" s="62"/>
      <c r="C108" s="62"/>
      <c r="D108" s="62"/>
      <c r="E108" s="62"/>
      <c r="F108" s="62"/>
      <c r="G108" s="62"/>
      <c r="H108" s="62"/>
      <c r="I108" s="62"/>
      <c r="J108" s="62"/>
      <c r="K108" s="62"/>
      <c r="L108" s="62"/>
      <c r="M108" s="62"/>
      <c r="N108" s="62"/>
      <c r="O108" s="1"/>
      <c r="P108" s="32"/>
      <c r="Q108" s="33"/>
      <c r="R108" s="29"/>
      <c r="S108" s="16"/>
    </row>
    <row r="109" spans="1:19">
      <c r="A109" s="71" t="s">
        <v>15</v>
      </c>
      <c r="B109" s="72"/>
      <c r="C109" s="72"/>
      <c r="D109" s="72"/>
      <c r="E109" s="73"/>
      <c r="F109" s="9" t="s">
        <v>37</v>
      </c>
      <c r="G109" s="71" t="s">
        <v>38</v>
      </c>
      <c r="H109" s="73"/>
      <c r="I109" s="71" t="s">
        <v>42</v>
      </c>
      <c r="J109" s="72"/>
      <c r="K109" s="73"/>
      <c r="L109" s="74" t="s">
        <v>17</v>
      </c>
      <c r="M109" s="75"/>
      <c r="N109" s="9" t="s">
        <v>13</v>
      </c>
      <c r="O109" s="1"/>
      <c r="P109" s="32"/>
      <c r="Q109" s="33"/>
      <c r="R109" s="29"/>
      <c r="S109" s="16"/>
    </row>
    <row r="110" spans="1:19">
      <c r="A110" s="71"/>
      <c r="B110" s="72"/>
      <c r="C110" s="72"/>
      <c r="D110" s="72"/>
      <c r="E110" s="73"/>
      <c r="F110" s="13"/>
      <c r="G110" s="76"/>
      <c r="H110" s="77"/>
      <c r="I110" s="78"/>
      <c r="J110" s="79"/>
      <c r="K110" s="80"/>
      <c r="L110" s="81"/>
      <c r="M110" s="82"/>
      <c r="N110" s="8"/>
      <c r="O110" s="1"/>
      <c r="P110" s="32"/>
      <c r="Q110" s="33"/>
      <c r="R110" s="29"/>
      <c r="S110" s="16"/>
    </row>
    <row r="111" spans="1:19">
      <c r="A111" s="62" t="s">
        <v>19</v>
      </c>
      <c r="B111" s="62"/>
      <c r="C111" s="62"/>
      <c r="D111" s="62"/>
      <c r="E111" s="62"/>
      <c r="F111" s="62"/>
      <c r="G111" s="62"/>
      <c r="H111" s="62"/>
      <c r="I111" s="62"/>
      <c r="J111" s="62"/>
      <c r="K111" s="62"/>
      <c r="L111" s="62"/>
      <c r="M111" s="62"/>
      <c r="N111" s="62"/>
      <c r="O111" s="1"/>
      <c r="P111" s="32"/>
      <c r="Q111" s="33"/>
      <c r="R111" s="29"/>
      <c r="S111" s="16"/>
    </row>
    <row r="112" spans="1:19">
      <c r="A112" s="63" t="s">
        <v>20</v>
      </c>
      <c r="B112" s="63"/>
      <c r="C112" s="63" t="s">
        <v>21</v>
      </c>
      <c r="D112" s="63"/>
      <c r="E112" s="63" t="s">
        <v>22</v>
      </c>
      <c r="F112" s="63"/>
      <c r="G112" s="63" t="s">
        <v>23</v>
      </c>
      <c r="H112" s="63"/>
      <c r="I112" s="63"/>
      <c r="J112" s="63" t="s">
        <v>16</v>
      </c>
      <c r="K112" s="63"/>
      <c r="L112" s="63"/>
      <c r="M112" s="63" t="s">
        <v>17</v>
      </c>
      <c r="N112" s="63"/>
      <c r="O112" s="1"/>
      <c r="Q112" s="32"/>
      <c r="R112" s="33"/>
      <c r="S112" s="16"/>
    </row>
    <row r="113" spans="1:19">
      <c r="A113" s="60" t="s">
        <v>24</v>
      </c>
      <c r="B113" s="52"/>
      <c r="C113" s="61">
        <v>4</v>
      </c>
      <c r="D113" s="61"/>
      <c r="E113" s="61">
        <f>C113+E52</f>
        <v>5</v>
      </c>
      <c r="F113" s="61"/>
      <c r="G113" s="60" t="s">
        <v>51</v>
      </c>
      <c r="H113" s="51"/>
      <c r="I113" s="52"/>
      <c r="J113" s="61">
        <v>1</v>
      </c>
      <c r="K113" s="61"/>
      <c r="L113" s="61"/>
      <c r="M113" s="61">
        <f>J113+M52</f>
        <v>1</v>
      </c>
      <c r="N113" s="61"/>
      <c r="O113" s="1"/>
      <c r="Q113" s="32"/>
      <c r="R113" s="33"/>
      <c r="S113" s="16"/>
    </row>
    <row r="114" spans="1:19">
      <c r="A114" s="60" t="s">
        <v>25</v>
      </c>
      <c r="B114" s="52"/>
      <c r="C114" s="61">
        <v>3</v>
      </c>
      <c r="D114" s="61"/>
      <c r="E114" s="61">
        <f>C114+E54</f>
        <v>4</v>
      </c>
      <c r="F114" s="61"/>
      <c r="G114" s="60" t="s">
        <v>50</v>
      </c>
      <c r="H114" s="51"/>
      <c r="I114" s="52"/>
      <c r="J114" s="61">
        <v>1</v>
      </c>
      <c r="K114" s="61"/>
      <c r="L114" s="61"/>
      <c r="M114" s="61">
        <f>J114+M53</f>
        <v>1</v>
      </c>
      <c r="N114" s="61"/>
      <c r="O114" s="1"/>
      <c r="Q114" s="32"/>
      <c r="R114" s="33"/>
      <c r="S114" s="16"/>
    </row>
    <row r="115" spans="1:19">
      <c r="A115" s="60"/>
      <c r="B115" s="52"/>
      <c r="C115" s="61"/>
      <c r="D115" s="61"/>
      <c r="E115" s="61"/>
      <c r="F115" s="61"/>
      <c r="G115" s="60" t="s">
        <v>55</v>
      </c>
      <c r="H115" s="51"/>
      <c r="I115" s="52"/>
      <c r="J115" s="61"/>
      <c r="K115" s="61"/>
      <c r="L115" s="61"/>
      <c r="M115" s="61">
        <f>K115+M54</f>
        <v>0</v>
      </c>
      <c r="N115" s="61"/>
      <c r="O115" s="2"/>
      <c r="P115" s="29"/>
      <c r="Q115" s="32"/>
      <c r="R115" s="33"/>
      <c r="S115" s="16"/>
    </row>
    <row r="116" spans="1:19">
      <c r="A116" s="53" t="s">
        <v>53</v>
      </c>
      <c r="B116" s="47"/>
      <c r="C116" s="53"/>
      <c r="D116" s="53"/>
      <c r="E116" s="53"/>
      <c r="F116" s="53"/>
      <c r="G116" s="53"/>
      <c r="H116" s="53"/>
      <c r="I116" s="53"/>
      <c r="J116" s="53"/>
      <c r="K116" s="53"/>
      <c r="L116" s="53"/>
      <c r="M116" s="53"/>
      <c r="N116" s="53"/>
      <c r="O116" s="1"/>
      <c r="P116" s="32"/>
      <c r="Q116" s="32"/>
      <c r="R116" s="33"/>
      <c r="S116" s="16"/>
    </row>
    <row r="117" spans="1:19">
      <c r="A117" s="45" t="s">
        <v>56</v>
      </c>
      <c r="B117" s="46"/>
      <c r="C117" s="46"/>
      <c r="D117" s="46"/>
      <c r="E117" s="46"/>
      <c r="F117" s="46"/>
      <c r="G117" s="46"/>
      <c r="H117" s="46"/>
      <c r="I117" s="46"/>
      <c r="J117" s="46"/>
      <c r="K117" s="46"/>
      <c r="L117" s="46"/>
      <c r="M117" s="46"/>
      <c r="N117" s="47"/>
      <c r="O117" s="1"/>
      <c r="P117" s="32"/>
      <c r="Q117" s="34"/>
      <c r="R117" s="33"/>
      <c r="S117" s="16"/>
    </row>
    <row r="118" spans="1:19">
      <c r="A118" s="54" t="s">
        <v>54</v>
      </c>
      <c r="B118" s="55"/>
      <c r="C118" s="55"/>
      <c r="D118" s="55"/>
      <c r="E118" s="55"/>
      <c r="F118" s="55"/>
      <c r="G118" s="55"/>
      <c r="H118" s="55"/>
      <c r="I118" s="55"/>
      <c r="J118" s="55"/>
      <c r="K118" s="55"/>
      <c r="L118" s="55"/>
      <c r="M118" s="55"/>
      <c r="N118" s="56"/>
      <c r="O118" s="1"/>
      <c r="P118" s="32"/>
      <c r="Q118" s="32"/>
      <c r="R118" s="33"/>
      <c r="S118" s="16"/>
    </row>
    <row r="119" spans="1:19">
      <c r="A119" s="40" t="s">
        <v>26</v>
      </c>
      <c r="B119" s="41"/>
      <c r="C119" s="40"/>
      <c r="D119" s="40"/>
      <c r="E119" s="40"/>
      <c r="F119" s="40"/>
      <c r="G119" s="40"/>
      <c r="H119" s="40"/>
      <c r="I119" s="40"/>
      <c r="J119" s="40"/>
      <c r="K119" s="40"/>
      <c r="L119" s="40"/>
      <c r="M119" s="40"/>
      <c r="N119" s="40"/>
      <c r="O119" s="1"/>
      <c r="P119" s="32"/>
      <c r="Q119" s="32"/>
      <c r="R119" s="33"/>
      <c r="S119" s="16"/>
    </row>
    <row r="120" spans="1:19">
      <c r="A120" s="57" t="s">
        <v>27</v>
      </c>
      <c r="B120" s="58"/>
      <c r="C120" s="58"/>
      <c r="D120" s="58"/>
      <c r="E120" s="58"/>
      <c r="F120" s="58"/>
      <c r="G120" s="58"/>
      <c r="H120" s="58"/>
      <c r="I120" s="58"/>
      <c r="J120" s="58"/>
      <c r="K120" s="58"/>
      <c r="L120" s="58"/>
      <c r="M120" s="58"/>
      <c r="N120" s="59"/>
      <c r="O120" s="1"/>
      <c r="P120" s="34"/>
      <c r="Q120" s="34"/>
      <c r="R120" s="33"/>
      <c r="S120" s="16"/>
    </row>
    <row r="121" spans="1:19">
      <c r="A121" s="57" t="s">
        <v>57</v>
      </c>
      <c r="B121" s="58"/>
      <c r="C121" s="58"/>
      <c r="D121" s="58"/>
      <c r="E121" s="58"/>
      <c r="F121" s="58"/>
      <c r="G121" s="58"/>
      <c r="H121" s="58"/>
      <c r="I121" s="58"/>
      <c r="J121" s="58"/>
      <c r="K121" s="58"/>
      <c r="L121" s="58"/>
      <c r="M121" s="58"/>
      <c r="N121" s="59"/>
      <c r="O121" s="1"/>
      <c r="P121" s="32"/>
      <c r="Q121" s="32"/>
      <c r="R121" s="33"/>
      <c r="S121" s="16"/>
    </row>
    <row r="122" spans="1:19">
      <c r="A122" s="57" t="s">
        <v>58</v>
      </c>
      <c r="B122" s="58"/>
      <c r="C122" s="58"/>
      <c r="D122" s="58"/>
      <c r="E122" s="58"/>
      <c r="F122" s="58"/>
      <c r="G122" s="58"/>
      <c r="H122" s="58"/>
      <c r="I122" s="58"/>
      <c r="J122" s="58"/>
      <c r="K122" s="58"/>
      <c r="L122" s="58"/>
      <c r="M122" s="58"/>
      <c r="N122" s="59"/>
      <c r="O122" s="1"/>
      <c r="P122" s="32"/>
      <c r="Q122" s="32"/>
      <c r="R122" s="33"/>
      <c r="S122" s="16"/>
    </row>
    <row r="123" spans="1:19">
      <c r="A123" s="57" t="s">
        <v>59</v>
      </c>
      <c r="B123" s="58"/>
      <c r="C123" s="58"/>
      <c r="D123" s="58"/>
      <c r="E123" s="58"/>
      <c r="F123" s="58"/>
      <c r="G123" s="58"/>
      <c r="H123" s="58"/>
      <c r="I123" s="58"/>
      <c r="J123" s="58"/>
      <c r="K123" s="58"/>
      <c r="L123" s="58"/>
      <c r="M123" s="58"/>
      <c r="N123" s="59"/>
      <c r="O123" s="1"/>
      <c r="P123" s="32"/>
      <c r="Q123" s="34"/>
      <c r="R123" s="33"/>
      <c r="S123" s="16"/>
    </row>
    <row r="124" spans="1:19">
      <c r="A124" s="57" t="s">
        <v>28</v>
      </c>
      <c r="B124" s="58"/>
      <c r="C124" s="58"/>
      <c r="D124" s="58"/>
      <c r="E124" s="58"/>
      <c r="F124" s="58"/>
      <c r="G124" s="58"/>
      <c r="H124" s="58"/>
      <c r="I124" s="58"/>
      <c r="J124" s="58"/>
      <c r="K124" s="58"/>
      <c r="L124" s="58"/>
      <c r="M124" s="58"/>
      <c r="N124" s="59"/>
      <c r="O124" s="1"/>
      <c r="P124" s="34"/>
      <c r="Q124" s="32"/>
      <c r="R124" s="33"/>
      <c r="S124" s="16"/>
    </row>
    <row r="125" spans="1:19">
      <c r="A125" s="40" t="s">
        <v>29</v>
      </c>
      <c r="B125" s="41"/>
      <c r="C125" s="40"/>
      <c r="D125" s="40"/>
      <c r="E125" s="40"/>
      <c r="F125" s="40"/>
      <c r="G125" s="40"/>
      <c r="H125" s="40"/>
      <c r="I125" s="40"/>
      <c r="J125" s="40"/>
      <c r="K125" s="40"/>
      <c r="L125" s="40"/>
      <c r="M125" s="40"/>
      <c r="N125" s="40"/>
      <c r="O125" s="1"/>
      <c r="P125" s="32"/>
      <c r="Q125" s="32"/>
      <c r="R125" s="33"/>
      <c r="S125" s="16"/>
    </row>
    <row r="126" spans="1:19">
      <c r="A126" s="42"/>
      <c r="B126" s="43"/>
      <c r="C126" s="43"/>
      <c r="D126" s="43"/>
      <c r="E126" s="43"/>
      <c r="F126" s="43"/>
      <c r="G126" s="43"/>
      <c r="H126" s="43"/>
      <c r="I126" s="43"/>
      <c r="J126" s="43"/>
      <c r="K126" s="43"/>
      <c r="L126" s="43"/>
      <c r="M126" s="43"/>
      <c r="N126" s="44"/>
      <c r="O126" s="1"/>
      <c r="P126" s="32"/>
      <c r="Q126" s="32"/>
      <c r="R126" s="33"/>
      <c r="S126" s="16"/>
    </row>
    <row r="127" spans="1:19">
      <c r="A127" s="40" t="s">
        <v>30</v>
      </c>
      <c r="B127" s="41"/>
      <c r="C127" s="40"/>
      <c r="D127" s="40"/>
      <c r="E127" s="40"/>
      <c r="F127" s="40"/>
      <c r="G127" s="40"/>
      <c r="H127" s="40"/>
      <c r="I127" s="40"/>
      <c r="J127" s="40"/>
      <c r="K127" s="40"/>
      <c r="L127" s="40"/>
      <c r="M127" s="40"/>
      <c r="N127" s="40"/>
      <c r="O127" s="1"/>
      <c r="P127" s="32"/>
      <c r="Q127" s="32"/>
      <c r="R127" s="33"/>
      <c r="S127" s="16"/>
    </row>
    <row r="128" spans="1:19">
      <c r="A128" s="42"/>
      <c r="B128" s="43"/>
      <c r="C128" s="43"/>
      <c r="D128" s="43"/>
      <c r="E128" s="43"/>
      <c r="F128" s="43"/>
      <c r="G128" s="43"/>
      <c r="H128" s="43"/>
      <c r="I128" s="43"/>
      <c r="J128" s="43"/>
      <c r="K128" s="43"/>
      <c r="L128" s="43"/>
      <c r="M128" s="43"/>
      <c r="N128" s="44"/>
      <c r="O128" s="1"/>
      <c r="P128" s="32"/>
      <c r="Q128" s="32"/>
      <c r="R128" s="33"/>
      <c r="S128" s="16"/>
    </row>
    <row r="129" spans="1:19">
      <c r="A129" s="40" t="s">
        <v>96</v>
      </c>
      <c r="B129" s="41"/>
      <c r="C129" s="40"/>
      <c r="D129" s="40"/>
      <c r="E129" s="40"/>
      <c r="F129" s="40"/>
      <c r="G129" s="40"/>
      <c r="H129" s="40"/>
      <c r="I129" s="40"/>
      <c r="J129" s="40"/>
      <c r="K129" s="40"/>
      <c r="L129" s="40"/>
      <c r="M129" s="40"/>
      <c r="N129" s="40"/>
      <c r="O129" s="1"/>
      <c r="P129" s="32"/>
      <c r="Q129" s="32"/>
      <c r="R129" s="33"/>
      <c r="S129" s="17"/>
    </row>
    <row r="130" spans="1:19">
      <c r="A130" s="45"/>
      <c r="B130" s="46"/>
      <c r="C130" s="46"/>
      <c r="D130" s="46"/>
      <c r="E130" s="46"/>
      <c r="F130" s="46"/>
      <c r="G130" s="46"/>
      <c r="H130" s="46"/>
      <c r="I130" s="46"/>
      <c r="J130" s="46"/>
      <c r="K130" s="46"/>
      <c r="L130" s="46"/>
      <c r="M130" s="46"/>
      <c r="N130" s="47"/>
      <c r="O130" s="1"/>
      <c r="P130" s="32"/>
      <c r="Q130" s="32"/>
      <c r="R130" s="33"/>
      <c r="S130" s="1"/>
    </row>
    <row r="131" spans="1:19">
      <c r="A131" s="48" t="s">
        <v>41</v>
      </c>
      <c r="B131" s="49"/>
      <c r="C131" s="50"/>
      <c r="D131" s="50"/>
      <c r="E131" s="50"/>
      <c r="F131" s="50"/>
      <c r="G131" s="50"/>
      <c r="H131" s="51"/>
      <c r="I131" s="51"/>
      <c r="J131" s="51"/>
      <c r="K131" s="51"/>
      <c r="L131" s="51"/>
      <c r="M131" s="51"/>
      <c r="N131" s="52"/>
      <c r="O131" s="1"/>
      <c r="P131" s="32"/>
      <c r="Q131" s="32"/>
      <c r="R131" s="33"/>
      <c r="S131" s="1"/>
    </row>
    <row r="132" spans="1:19" ht="28.2">
      <c r="A132" s="1" t="s">
        <v>45</v>
      </c>
      <c r="B132" s="7">
        <f>B71+1</f>
        <v>3</v>
      </c>
      <c r="C132" s="5"/>
      <c r="D132" s="5"/>
      <c r="E132" s="5"/>
      <c r="F132" s="5"/>
      <c r="G132" s="5"/>
      <c r="H132" s="5"/>
      <c r="I132" s="5"/>
      <c r="J132" s="5"/>
      <c r="K132" s="5"/>
      <c r="L132" s="5"/>
      <c r="M132" s="5"/>
      <c r="N132" s="5"/>
      <c r="O132" s="1"/>
      <c r="P132" s="32"/>
      <c r="Q132" s="33"/>
      <c r="R132" s="29"/>
    </row>
    <row r="133" spans="1:19">
      <c r="A133" s="1" t="s">
        <v>46</v>
      </c>
      <c r="B133" s="1" t="s">
        <v>1</v>
      </c>
      <c r="C133" s="39" t="s">
        <v>106</v>
      </c>
      <c r="D133" s="1" t="s">
        <v>3</v>
      </c>
      <c r="E133" s="1" t="s">
        <v>106</v>
      </c>
      <c r="F133" s="1"/>
      <c r="G133" s="1"/>
      <c r="H133" s="112" t="s">
        <v>4</v>
      </c>
      <c r="I133" s="112"/>
      <c r="J133" s="113">
        <f>J72+1</f>
        <v>46214</v>
      </c>
      <c r="K133" s="113"/>
      <c r="L133" s="113"/>
      <c r="M133" s="114">
        <f>J133</f>
        <v>46214</v>
      </c>
      <c r="N133" s="114"/>
      <c r="O133" s="1"/>
      <c r="P133" s="32"/>
      <c r="Q133" s="33"/>
      <c r="R133" s="29"/>
    </row>
    <row r="134" spans="1:19">
      <c r="A134" s="8" t="s">
        <v>5</v>
      </c>
      <c r="B134" s="115">
        <f>B65</f>
        <v>0</v>
      </c>
      <c r="C134" s="116"/>
      <c r="D134" s="116"/>
      <c r="E134" s="116"/>
      <c r="F134" s="116"/>
      <c r="G134" s="117"/>
      <c r="H134" s="63" t="s">
        <v>6</v>
      </c>
      <c r="I134" s="63"/>
      <c r="J134" s="63"/>
      <c r="K134" s="63" t="s">
        <v>52</v>
      </c>
      <c r="L134" s="63"/>
      <c r="M134" s="63"/>
      <c r="N134" s="63"/>
      <c r="O134" s="1"/>
      <c r="P134" s="32"/>
      <c r="Q134" s="33"/>
      <c r="R134" s="29"/>
    </row>
    <row r="135" spans="1:19">
      <c r="A135" s="8" t="s">
        <v>32</v>
      </c>
      <c r="B135" s="10">
        <v>60</v>
      </c>
      <c r="C135" s="11" t="s">
        <v>43</v>
      </c>
      <c r="D135" s="71" t="s">
        <v>7</v>
      </c>
      <c r="E135" s="73"/>
      <c r="F135" s="10">
        <f>F74+1</f>
        <v>3</v>
      </c>
      <c r="G135" s="11" t="s">
        <v>8</v>
      </c>
      <c r="H135" s="9" t="s">
        <v>9</v>
      </c>
      <c r="I135" s="10">
        <f>B135-F135</f>
        <v>57</v>
      </c>
      <c r="J135" s="11" t="s">
        <v>8</v>
      </c>
      <c r="K135" s="118" t="s">
        <v>33</v>
      </c>
      <c r="L135" s="119"/>
      <c r="M135" s="12"/>
      <c r="N135" s="11" t="s">
        <v>8</v>
      </c>
      <c r="O135" s="1"/>
      <c r="P135" s="34"/>
      <c r="Q135" s="33"/>
      <c r="R135" s="29"/>
    </row>
    <row r="136" spans="1:19">
      <c r="A136" s="71" t="s">
        <v>34</v>
      </c>
      <c r="B136" s="72"/>
      <c r="C136" s="73"/>
      <c r="D136" s="120">
        <v>46212</v>
      </c>
      <c r="E136" s="121"/>
      <c r="F136" s="121"/>
      <c r="G136" s="122"/>
      <c r="H136" s="71" t="s">
        <v>35</v>
      </c>
      <c r="I136" s="72"/>
      <c r="J136" s="73"/>
      <c r="K136" s="120">
        <f>D136+59</f>
        <v>46271</v>
      </c>
      <c r="L136" s="121"/>
      <c r="M136" s="121"/>
      <c r="N136" s="122"/>
      <c r="O136" s="1"/>
      <c r="P136" s="32"/>
      <c r="Q136" s="33"/>
      <c r="R136" s="29"/>
    </row>
    <row r="137" spans="1:19">
      <c r="A137" s="92" t="s">
        <v>10</v>
      </c>
      <c r="B137" s="93"/>
      <c r="C137" s="94"/>
      <c r="D137" s="98">
        <f>D76+0.0005/5</f>
        <v>3.0000000000000003E-4</v>
      </c>
      <c r="E137" s="99"/>
      <c r="F137" s="99"/>
      <c r="G137" s="100"/>
      <c r="H137" s="104" t="s">
        <v>36</v>
      </c>
      <c r="I137" s="105"/>
      <c r="J137" s="106"/>
      <c r="K137" s="110">
        <f>R168</f>
        <v>4.7170123203517898E-2</v>
      </c>
      <c r="L137" s="105"/>
      <c r="M137" s="105"/>
      <c r="N137" s="106"/>
      <c r="O137" s="1"/>
      <c r="P137" s="32"/>
      <c r="Q137" s="33"/>
      <c r="R137" s="29"/>
    </row>
    <row r="138" spans="1:19">
      <c r="A138" s="95"/>
      <c r="B138" s="96"/>
      <c r="C138" s="97"/>
      <c r="D138" s="101"/>
      <c r="E138" s="102"/>
      <c r="F138" s="102"/>
      <c r="G138" s="103"/>
      <c r="H138" s="107"/>
      <c r="I138" s="108"/>
      <c r="J138" s="109"/>
      <c r="K138" s="107"/>
      <c r="L138" s="108"/>
      <c r="M138" s="108"/>
      <c r="N138" s="109"/>
      <c r="O138" s="1"/>
      <c r="P138" s="32"/>
      <c r="Q138" s="33"/>
      <c r="R138" s="29"/>
    </row>
    <row r="139" spans="1:19">
      <c r="A139" s="62" t="s">
        <v>11</v>
      </c>
      <c r="B139" s="62"/>
      <c r="C139" s="62"/>
      <c r="D139" s="62"/>
      <c r="E139" s="62"/>
      <c r="F139" s="62"/>
      <c r="G139" s="62"/>
      <c r="H139" s="62"/>
      <c r="I139" s="62"/>
      <c r="J139" s="62"/>
      <c r="K139" s="62"/>
      <c r="L139" s="62"/>
      <c r="M139" s="62"/>
      <c r="N139" s="62"/>
      <c r="O139" s="1"/>
      <c r="P139" s="32"/>
      <c r="Q139" s="33"/>
      <c r="R139" s="29"/>
    </row>
    <row r="140" spans="1:19">
      <c r="A140" s="111" t="s">
        <v>12</v>
      </c>
      <c r="B140" s="111"/>
      <c r="C140" s="111"/>
      <c r="D140" s="111"/>
      <c r="E140" s="111"/>
      <c r="F140" s="14" t="s">
        <v>37</v>
      </c>
      <c r="G140" s="111" t="s">
        <v>38</v>
      </c>
      <c r="H140" s="111"/>
      <c r="I140" s="63" t="s">
        <v>39</v>
      </c>
      <c r="J140" s="63"/>
      <c r="K140" s="63"/>
      <c r="L140" s="63" t="s">
        <v>40</v>
      </c>
      <c r="M140" s="63"/>
      <c r="N140" s="9" t="s">
        <v>13</v>
      </c>
      <c r="O140" s="1"/>
      <c r="P140" s="28" t="s">
        <v>47</v>
      </c>
      <c r="Q140" s="29" t="s">
        <v>48</v>
      </c>
      <c r="R140" s="29" t="s">
        <v>49</v>
      </c>
    </row>
    <row r="141" spans="1:19">
      <c r="A141" s="83" t="s">
        <v>67</v>
      </c>
      <c r="B141" s="84"/>
      <c r="C141" s="84"/>
      <c r="D141" s="84"/>
      <c r="E141" s="85"/>
      <c r="F141" s="27" t="s">
        <v>60</v>
      </c>
      <c r="G141" s="67">
        <v>1</v>
      </c>
      <c r="H141" s="68"/>
      <c r="I141" s="86"/>
      <c r="J141" s="87"/>
      <c r="K141" s="88"/>
      <c r="L141" s="69">
        <f>I141+L80</f>
        <v>1</v>
      </c>
      <c r="M141" s="70"/>
      <c r="N141" s="8"/>
      <c r="O141" s="1"/>
      <c r="P141" s="30">
        <v>6000</v>
      </c>
      <c r="Q141" s="38">
        <f>P141*G141</f>
        <v>6000</v>
      </c>
      <c r="R141" s="28">
        <f>L141*P141</f>
        <v>6000</v>
      </c>
    </row>
    <row r="142" spans="1:19">
      <c r="A142" s="83" t="s">
        <v>68</v>
      </c>
      <c r="B142" s="84"/>
      <c r="C142" s="84"/>
      <c r="D142" s="84"/>
      <c r="E142" s="85"/>
      <c r="F142" s="20" t="s">
        <v>60</v>
      </c>
      <c r="G142" s="67">
        <v>1</v>
      </c>
      <c r="H142" s="68"/>
      <c r="I142" s="87"/>
      <c r="J142" s="87"/>
      <c r="K142" s="88"/>
      <c r="L142" s="69">
        <f t="shared" ref="L142:L150" si="10">I142+L81</f>
        <v>0</v>
      </c>
      <c r="M142" s="70"/>
      <c r="N142" s="8"/>
      <c r="O142" s="1"/>
      <c r="P142" s="30">
        <v>193300</v>
      </c>
      <c r="Q142" s="38">
        <f t="shared" ref="Q142:Q166" si="11">P142*G142</f>
        <v>193300</v>
      </c>
      <c r="R142" s="28">
        <f>L142*P142</f>
        <v>0</v>
      </c>
    </row>
    <row r="143" spans="1:19">
      <c r="A143" s="89" t="s">
        <v>69</v>
      </c>
      <c r="B143" s="90"/>
      <c r="C143" s="90"/>
      <c r="D143" s="90"/>
      <c r="E143" s="91"/>
      <c r="F143" s="20" t="s">
        <v>60</v>
      </c>
      <c r="G143" s="67">
        <v>1</v>
      </c>
      <c r="H143" s="68"/>
      <c r="I143" s="87"/>
      <c r="J143" s="87"/>
      <c r="K143" s="88"/>
      <c r="L143" s="69">
        <f t="shared" si="10"/>
        <v>0</v>
      </c>
      <c r="M143" s="70"/>
      <c r="N143" s="8"/>
      <c r="O143" s="1"/>
      <c r="P143" s="30">
        <v>30000</v>
      </c>
      <c r="Q143" s="38">
        <f t="shared" si="11"/>
        <v>30000</v>
      </c>
      <c r="R143" s="28">
        <f>L143*P143</f>
        <v>0</v>
      </c>
    </row>
    <row r="144" spans="1:19">
      <c r="A144" s="64" t="s">
        <v>70</v>
      </c>
      <c r="B144" s="65"/>
      <c r="C144" s="65"/>
      <c r="D144" s="65"/>
      <c r="E144" s="66"/>
      <c r="F144" s="20" t="s">
        <v>60</v>
      </c>
      <c r="G144" s="67">
        <v>1</v>
      </c>
      <c r="H144" s="68"/>
      <c r="I144" s="87"/>
      <c r="J144" s="87"/>
      <c r="K144" s="88"/>
      <c r="L144" s="69">
        <f t="shared" si="10"/>
        <v>0</v>
      </c>
      <c r="M144" s="70"/>
      <c r="N144" s="8"/>
      <c r="O144" s="1"/>
      <c r="P144" s="31">
        <v>10000</v>
      </c>
      <c r="Q144" s="38">
        <f t="shared" si="11"/>
        <v>10000</v>
      </c>
      <c r="R144" s="28">
        <f t="shared" ref="R144:R166" si="12">L144*P144</f>
        <v>0</v>
      </c>
    </row>
    <row r="145" spans="1:18">
      <c r="A145" s="64" t="s">
        <v>71</v>
      </c>
      <c r="B145" s="65"/>
      <c r="C145" s="65"/>
      <c r="D145" s="65"/>
      <c r="E145" s="66"/>
      <c r="F145" s="20" t="s">
        <v>61</v>
      </c>
      <c r="G145" s="67">
        <v>9</v>
      </c>
      <c r="H145" s="68"/>
      <c r="I145" s="87"/>
      <c r="J145" s="87"/>
      <c r="K145" s="88"/>
      <c r="L145" s="69">
        <f t="shared" si="10"/>
        <v>9</v>
      </c>
      <c r="M145" s="70"/>
      <c r="N145" s="8"/>
      <c r="O145" s="1"/>
      <c r="P145" s="30">
        <v>21000</v>
      </c>
      <c r="Q145" s="38">
        <f t="shared" si="11"/>
        <v>189000</v>
      </c>
      <c r="R145" s="28">
        <f t="shared" si="12"/>
        <v>189000</v>
      </c>
    </row>
    <row r="146" spans="1:18">
      <c r="A146" s="64" t="s">
        <v>72</v>
      </c>
      <c r="B146" s="65"/>
      <c r="C146" s="65"/>
      <c r="D146" s="65"/>
      <c r="E146" s="66"/>
      <c r="F146" s="2" t="s">
        <v>60</v>
      </c>
      <c r="G146" s="67">
        <v>1</v>
      </c>
      <c r="H146" s="68"/>
      <c r="I146" s="87"/>
      <c r="J146" s="87"/>
      <c r="K146" s="88"/>
      <c r="L146" s="69">
        <f t="shared" si="10"/>
        <v>0</v>
      </c>
      <c r="M146" s="70"/>
      <c r="N146" s="8"/>
      <c r="O146" s="1"/>
      <c r="P146" s="30">
        <v>184468</v>
      </c>
      <c r="Q146" s="38">
        <f t="shared" si="11"/>
        <v>184468</v>
      </c>
      <c r="R146" s="28">
        <f t="shared" si="12"/>
        <v>0</v>
      </c>
    </row>
    <row r="147" spans="1:18">
      <c r="A147" s="83" t="s">
        <v>73</v>
      </c>
      <c r="B147" s="84"/>
      <c r="C147" s="84"/>
      <c r="D147" s="84"/>
      <c r="E147" s="85"/>
      <c r="F147" s="20" t="s">
        <v>62</v>
      </c>
      <c r="G147" s="67">
        <v>9</v>
      </c>
      <c r="H147" s="68"/>
      <c r="I147" s="87"/>
      <c r="J147" s="87"/>
      <c r="K147" s="88"/>
      <c r="L147" s="69">
        <f t="shared" si="10"/>
        <v>0</v>
      </c>
      <c r="M147" s="70"/>
      <c r="N147" s="8"/>
      <c r="O147" s="1"/>
      <c r="P147" s="30">
        <v>20000</v>
      </c>
      <c r="Q147" s="38">
        <f t="shared" si="11"/>
        <v>180000</v>
      </c>
      <c r="R147" s="28">
        <f t="shared" si="12"/>
        <v>0</v>
      </c>
    </row>
    <row r="148" spans="1:18">
      <c r="A148" s="83" t="s">
        <v>74</v>
      </c>
      <c r="B148" s="84"/>
      <c r="C148" s="84"/>
      <c r="D148" s="84"/>
      <c r="E148" s="85"/>
      <c r="F148" s="20" t="s">
        <v>63</v>
      </c>
      <c r="G148" s="67">
        <v>52</v>
      </c>
      <c r="H148" s="68"/>
      <c r="I148" s="87"/>
      <c r="J148" s="87"/>
      <c r="K148" s="88"/>
      <c r="L148" s="69">
        <f t="shared" si="10"/>
        <v>0</v>
      </c>
      <c r="M148" s="70"/>
      <c r="N148" s="8"/>
      <c r="O148" s="1"/>
      <c r="P148" s="31">
        <v>2500</v>
      </c>
      <c r="Q148" s="38">
        <f t="shared" si="11"/>
        <v>130000</v>
      </c>
      <c r="R148" s="28">
        <f t="shared" si="12"/>
        <v>0</v>
      </c>
    </row>
    <row r="149" spans="1:18">
      <c r="A149" s="83" t="s">
        <v>75</v>
      </c>
      <c r="B149" s="84"/>
      <c r="C149" s="84"/>
      <c r="D149" s="84"/>
      <c r="E149" s="85"/>
      <c r="F149" s="20" t="s">
        <v>64</v>
      </c>
      <c r="G149" s="67">
        <v>1</v>
      </c>
      <c r="H149" s="68"/>
      <c r="I149" s="87"/>
      <c r="J149" s="87"/>
      <c r="K149" s="88"/>
      <c r="L149" s="69">
        <f t="shared" si="10"/>
        <v>0</v>
      </c>
      <c r="M149" s="70"/>
      <c r="N149" s="8"/>
      <c r="O149" s="1"/>
      <c r="P149" s="30">
        <v>80000</v>
      </c>
      <c r="Q149" s="38">
        <f t="shared" si="11"/>
        <v>80000</v>
      </c>
      <c r="R149" s="28">
        <f t="shared" si="12"/>
        <v>0</v>
      </c>
    </row>
    <row r="150" spans="1:18">
      <c r="A150" s="89" t="s">
        <v>76</v>
      </c>
      <c r="B150" s="90"/>
      <c r="C150" s="90"/>
      <c r="D150" s="90"/>
      <c r="E150" s="91"/>
      <c r="F150" s="20" t="s">
        <v>65</v>
      </c>
      <c r="G150" s="67">
        <v>31</v>
      </c>
      <c r="H150" s="68"/>
      <c r="I150" s="87"/>
      <c r="J150" s="87"/>
      <c r="K150" s="88"/>
      <c r="L150" s="69">
        <f t="shared" si="10"/>
        <v>0</v>
      </c>
      <c r="M150" s="70"/>
      <c r="N150" s="8"/>
      <c r="O150" s="1"/>
      <c r="P150" s="30">
        <v>400</v>
      </c>
      <c r="Q150" s="38">
        <f t="shared" si="11"/>
        <v>12400</v>
      </c>
      <c r="R150" s="28">
        <f t="shared" si="12"/>
        <v>0</v>
      </c>
    </row>
    <row r="151" spans="1:18">
      <c r="A151" s="64" t="s">
        <v>77</v>
      </c>
      <c r="B151" s="65"/>
      <c r="C151" s="65"/>
      <c r="D151" s="65"/>
      <c r="E151" s="66"/>
      <c r="F151" s="20" t="s">
        <v>65</v>
      </c>
      <c r="G151" s="67">
        <v>100</v>
      </c>
      <c r="H151" s="68"/>
      <c r="I151" s="87"/>
      <c r="J151" s="87"/>
      <c r="K151" s="88"/>
      <c r="L151" s="69">
        <f t="shared" ref="L151:L166" si="13">I151+L90</f>
        <v>0</v>
      </c>
      <c r="M151" s="70"/>
      <c r="N151" s="8"/>
      <c r="O151" s="1"/>
      <c r="P151" s="30">
        <v>350</v>
      </c>
      <c r="Q151" s="38">
        <f t="shared" si="11"/>
        <v>35000</v>
      </c>
      <c r="R151" s="28">
        <f t="shared" si="12"/>
        <v>0</v>
      </c>
    </row>
    <row r="152" spans="1:18">
      <c r="A152" s="64" t="s">
        <v>78</v>
      </c>
      <c r="B152" s="65"/>
      <c r="C152" s="65"/>
      <c r="D152" s="65"/>
      <c r="E152" s="66"/>
      <c r="F152" s="20" t="s">
        <v>63</v>
      </c>
      <c r="G152" s="67">
        <v>35</v>
      </c>
      <c r="H152" s="68"/>
      <c r="I152" s="87"/>
      <c r="J152" s="87"/>
      <c r="K152" s="88"/>
      <c r="L152" s="69">
        <f t="shared" si="13"/>
        <v>0</v>
      </c>
      <c r="M152" s="70"/>
      <c r="N152" s="8"/>
      <c r="O152" s="1"/>
      <c r="P152" s="30">
        <v>1200</v>
      </c>
      <c r="Q152" s="38">
        <f t="shared" si="11"/>
        <v>42000</v>
      </c>
      <c r="R152" s="28">
        <f t="shared" si="12"/>
        <v>0</v>
      </c>
    </row>
    <row r="153" spans="1:18">
      <c r="A153" s="64" t="s">
        <v>79</v>
      </c>
      <c r="B153" s="65"/>
      <c r="C153" s="65"/>
      <c r="D153" s="65"/>
      <c r="E153" s="66"/>
      <c r="F153" s="20" t="s">
        <v>63</v>
      </c>
      <c r="G153" s="67">
        <v>282</v>
      </c>
      <c r="H153" s="68"/>
      <c r="I153" s="86"/>
      <c r="J153" s="87"/>
      <c r="K153" s="88"/>
      <c r="L153" s="69">
        <f t="shared" si="13"/>
        <v>0</v>
      </c>
      <c r="M153" s="70"/>
      <c r="N153" s="8"/>
      <c r="O153" s="1"/>
      <c r="P153" s="30">
        <v>1400</v>
      </c>
      <c r="Q153" s="38">
        <f t="shared" si="11"/>
        <v>394800</v>
      </c>
      <c r="R153" s="28">
        <f t="shared" si="12"/>
        <v>0</v>
      </c>
    </row>
    <row r="154" spans="1:18">
      <c r="A154" s="83" t="s">
        <v>80</v>
      </c>
      <c r="B154" s="84"/>
      <c r="C154" s="84"/>
      <c r="D154" s="84"/>
      <c r="E154" s="85"/>
      <c r="F154" s="21" t="s">
        <v>65</v>
      </c>
      <c r="G154" s="67">
        <v>58</v>
      </c>
      <c r="H154" s="68"/>
      <c r="I154" s="86"/>
      <c r="J154" s="87"/>
      <c r="K154" s="88"/>
      <c r="L154" s="69">
        <f t="shared" si="13"/>
        <v>0</v>
      </c>
      <c r="M154" s="70"/>
      <c r="N154" s="8"/>
      <c r="O154" s="1"/>
      <c r="P154" s="30">
        <v>3600</v>
      </c>
      <c r="Q154" s="38">
        <f t="shared" si="11"/>
        <v>208800</v>
      </c>
      <c r="R154" s="28">
        <f t="shared" si="12"/>
        <v>0</v>
      </c>
    </row>
    <row r="155" spans="1:18">
      <c r="A155" s="83" t="s">
        <v>81</v>
      </c>
      <c r="B155" s="84"/>
      <c r="C155" s="84"/>
      <c r="D155" s="84"/>
      <c r="E155" s="85"/>
      <c r="F155" s="21" t="s">
        <v>65</v>
      </c>
      <c r="G155" s="67">
        <v>360</v>
      </c>
      <c r="H155" s="68"/>
      <c r="I155" s="86"/>
      <c r="J155" s="87"/>
      <c r="K155" s="88"/>
      <c r="L155" s="69">
        <f t="shared" si="13"/>
        <v>0</v>
      </c>
      <c r="M155" s="70"/>
      <c r="N155" s="8"/>
      <c r="O155" s="1"/>
      <c r="P155" s="30">
        <v>230</v>
      </c>
      <c r="Q155" s="38">
        <f t="shared" si="11"/>
        <v>82800</v>
      </c>
      <c r="R155" s="28">
        <f t="shared" si="12"/>
        <v>0</v>
      </c>
    </row>
    <row r="156" spans="1:18">
      <c r="A156" s="83" t="s">
        <v>82</v>
      </c>
      <c r="B156" s="84"/>
      <c r="C156" s="84"/>
      <c r="D156" s="84"/>
      <c r="E156" s="85"/>
      <c r="F156" s="21" t="s">
        <v>65</v>
      </c>
      <c r="G156" s="67">
        <v>2400</v>
      </c>
      <c r="H156" s="68"/>
      <c r="I156" s="86"/>
      <c r="J156" s="87"/>
      <c r="K156" s="88"/>
      <c r="L156" s="69">
        <f t="shared" si="13"/>
        <v>0</v>
      </c>
      <c r="M156" s="70"/>
      <c r="N156" s="8"/>
      <c r="O156" s="1"/>
      <c r="P156" s="30">
        <v>80</v>
      </c>
      <c r="Q156" s="38">
        <f t="shared" si="11"/>
        <v>192000</v>
      </c>
      <c r="R156" s="28">
        <f t="shared" si="12"/>
        <v>0</v>
      </c>
    </row>
    <row r="157" spans="1:18">
      <c r="A157" s="89" t="s">
        <v>83</v>
      </c>
      <c r="B157" s="90"/>
      <c r="C157" s="90"/>
      <c r="D157" s="90"/>
      <c r="E157" s="91"/>
      <c r="F157" s="21" t="s">
        <v>65</v>
      </c>
      <c r="G157" s="67">
        <v>360</v>
      </c>
      <c r="H157" s="68"/>
      <c r="I157" s="86"/>
      <c r="J157" s="87"/>
      <c r="K157" s="88"/>
      <c r="L157" s="69">
        <f t="shared" si="13"/>
        <v>0</v>
      </c>
      <c r="M157" s="70"/>
      <c r="N157" s="8"/>
      <c r="O157" s="1"/>
      <c r="P157" s="30">
        <v>420</v>
      </c>
      <c r="Q157" s="38">
        <f t="shared" si="11"/>
        <v>151200</v>
      </c>
      <c r="R157" s="28">
        <f t="shared" si="12"/>
        <v>0</v>
      </c>
    </row>
    <row r="158" spans="1:18">
      <c r="A158" s="64" t="s">
        <v>84</v>
      </c>
      <c r="B158" s="65"/>
      <c r="C158" s="65"/>
      <c r="D158" s="65"/>
      <c r="E158" s="66"/>
      <c r="F158" s="21" t="s">
        <v>65</v>
      </c>
      <c r="G158" s="67">
        <v>2760</v>
      </c>
      <c r="H158" s="68"/>
      <c r="I158" s="86"/>
      <c r="J158" s="87"/>
      <c r="K158" s="88"/>
      <c r="L158" s="69">
        <f t="shared" si="13"/>
        <v>0</v>
      </c>
      <c r="M158" s="70"/>
      <c r="N158" s="8"/>
      <c r="O158" s="1"/>
      <c r="P158" s="30">
        <v>460</v>
      </c>
      <c r="Q158" s="38">
        <f t="shared" si="11"/>
        <v>1269600</v>
      </c>
      <c r="R158" s="28">
        <f t="shared" si="12"/>
        <v>0</v>
      </c>
    </row>
    <row r="159" spans="1:18">
      <c r="A159" s="64" t="s">
        <v>85</v>
      </c>
      <c r="B159" s="65"/>
      <c r="C159" s="65"/>
      <c r="D159" s="65"/>
      <c r="E159" s="66"/>
      <c r="F159" s="21" t="s">
        <v>65</v>
      </c>
      <c r="G159" s="67">
        <v>275</v>
      </c>
      <c r="H159" s="68"/>
      <c r="I159" s="86"/>
      <c r="J159" s="87"/>
      <c r="K159" s="88"/>
      <c r="L159" s="69">
        <f t="shared" si="13"/>
        <v>0</v>
      </c>
      <c r="M159" s="70"/>
      <c r="N159" s="8"/>
      <c r="O159" s="1"/>
      <c r="P159" s="31">
        <v>350</v>
      </c>
      <c r="Q159" s="38">
        <f t="shared" si="11"/>
        <v>96250</v>
      </c>
      <c r="R159" s="28">
        <f t="shared" si="12"/>
        <v>0</v>
      </c>
    </row>
    <row r="160" spans="1:18">
      <c r="A160" s="64" t="s">
        <v>86</v>
      </c>
      <c r="B160" s="65"/>
      <c r="C160" s="65"/>
      <c r="D160" s="65"/>
      <c r="E160" s="66"/>
      <c r="F160" s="21" t="s">
        <v>60</v>
      </c>
      <c r="G160" s="67">
        <v>1</v>
      </c>
      <c r="H160" s="68"/>
      <c r="I160" s="86"/>
      <c r="J160" s="87"/>
      <c r="K160" s="88"/>
      <c r="L160" s="69">
        <f t="shared" si="13"/>
        <v>0</v>
      </c>
      <c r="M160" s="70"/>
      <c r="N160" s="8"/>
      <c r="O160" s="2"/>
      <c r="P160" s="30">
        <v>40000</v>
      </c>
      <c r="Q160" s="38">
        <f t="shared" si="11"/>
        <v>40000</v>
      </c>
      <c r="R160" s="28">
        <f t="shared" si="12"/>
        <v>0</v>
      </c>
    </row>
    <row r="161" spans="1:19">
      <c r="A161" s="83" t="s">
        <v>87</v>
      </c>
      <c r="B161" s="84"/>
      <c r="C161" s="84"/>
      <c r="D161" s="84"/>
      <c r="E161" s="85"/>
      <c r="F161" s="20" t="s">
        <v>60</v>
      </c>
      <c r="G161" s="67">
        <v>1</v>
      </c>
      <c r="H161" s="68"/>
      <c r="I161" s="86"/>
      <c r="J161" s="87"/>
      <c r="K161" s="88"/>
      <c r="L161" s="69">
        <f t="shared" si="13"/>
        <v>0</v>
      </c>
      <c r="M161" s="70"/>
      <c r="N161" s="8"/>
      <c r="O161" s="1"/>
      <c r="P161" s="31">
        <v>276970</v>
      </c>
      <c r="Q161" s="38">
        <f t="shared" si="11"/>
        <v>276970</v>
      </c>
      <c r="R161" s="28">
        <f t="shared" si="12"/>
        <v>0</v>
      </c>
    </row>
    <row r="162" spans="1:19">
      <c r="A162" s="83" t="s">
        <v>88</v>
      </c>
      <c r="B162" s="84"/>
      <c r="C162" s="84"/>
      <c r="D162" s="84"/>
      <c r="E162" s="85"/>
      <c r="F162" s="20" t="s">
        <v>60</v>
      </c>
      <c r="G162" s="67">
        <v>1</v>
      </c>
      <c r="H162" s="68"/>
      <c r="I162" s="26"/>
      <c r="J162" s="23"/>
      <c r="K162" s="24"/>
      <c r="L162" s="69">
        <f t="shared" si="13"/>
        <v>0</v>
      </c>
      <c r="M162" s="70"/>
      <c r="N162" s="25"/>
      <c r="O162" s="1"/>
      <c r="P162" s="32">
        <v>60873</v>
      </c>
      <c r="Q162" s="38">
        <f t="shared" si="11"/>
        <v>60873</v>
      </c>
      <c r="R162" s="28">
        <f t="shared" si="12"/>
        <v>0</v>
      </c>
    </row>
    <row r="163" spans="1:19">
      <c r="A163" s="83" t="s">
        <v>89</v>
      </c>
      <c r="B163" s="84"/>
      <c r="C163" s="84"/>
      <c r="D163" s="84"/>
      <c r="E163" s="85"/>
      <c r="F163" s="20" t="s">
        <v>60</v>
      </c>
      <c r="G163" s="67">
        <v>1</v>
      </c>
      <c r="H163" s="68"/>
      <c r="I163" s="26"/>
      <c r="J163" s="23"/>
      <c r="K163" s="24"/>
      <c r="L163" s="69">
        <f t="shared" si="13"/>
        <v>0</v>
      </c>
      <c r="M163" s="70"/>
      <c r="N163" s="25"/>
      <c r="O163" s="1"/>
      <c r="P163" s="32">
        <v>60873</v>
      </c>
      <c r="Q163" s="38">
        <f t="shared" si="11"/>
        <v>60873</v>
      </c>
      <c r="R163" s="28">
        <f t="shared" si="12"/>
        <v>0</v>
      </c>
    </row>
    <row r="164" spans="1:19">
      <c r="A164" s="83" t="s">
        <v>90</v>
      </c>
      <c r="B164" s="84"/>
      <c r="C164" s="84"/>
      <c r="D164" s="84"/>
      <c r="E164" s="85"/>
      <c r="F164" s="20" t="s">
        <v>60</v>
      </c>
      <c r="G164" s="67">
        <v>1</v>
      </c>
      <c r="H164" s="68"/>
      <c r="I164" s="26"/>
      <c r="J164" s="23"/>
      <c r="K164" s="24"/>
      <c r="L164" s="69">
        <f t="shared" si="13"/>
        <v>0</v>
      </c>
      <c r="M164" s="70"/>
      <c r="N164" s="25"/>
      <c r="O164" s="1"/>
      <c r="P164" s="34">
        <v>266321</v>
      </c>
      <c r="Q164" s="38">
        <f t="shared" si="11"/>
        <v>266321</v>
      </c>
      <c r="R164" s="28">
        <f t="shared" si="12"/>
        <v>0</v>
      </c>
    </row>
    <row r="165" spans="1:19">
      <c r="A165" s="83" t="s">
        <v>91</v>
      </c>
      <c r="B165" s="84"/>
      <c r="C165" s="84"/>
      <c r="D165" s="84"/>
      <c r="E165" s="85"/>
      <c r="F165" s="2" t="s">
        <v>60</v>
      </c>
      <c r="G165" s="67">
        <v>1</v>
      </c>
      <c r="H165" s="68"/>
      <c r="I165" s="26"/>
      <c r="J165" s="23"/>
      <c r="K165" s="24"/>
      <c r="L165" s="69">
        <f t="shared" si="13"/>
        <v>1</v>
      </c>
      <c r="M165" s="70"/>
      <c r="N165" s="25"/>
      <c r="O165" s="1"/>
      <c r="P165" s="32">
        <v>13316</v>
      </c>
      <c r="Q165" s="38">
        <f t="shared" si="11"/>
        <v>13316</v>
      </c>
      <c r="R165" s="28">
        <f t="shared" si="12"/>
        <v>13316</v>
      </c>
    </row>
    <row r="166" spans="1:19">
      <c r="A166" s="83" t="s">
        <v>92</v>
      </c>
      <c r="B166" s="84"/>
      <c r="C166" s="84"/>
      <c r="D166" s="84"/>
      <c r="E166" s="85"/>
      <c r="F166" s="20" t="s">
        <v>60</v>
      </c>
      <c r="G166" s="67">
        <v>1</v>
      </c>
      <c r="H166" s="68"/>
      <c r="I166" s="26"/>
      <c r="J166" s="23"/>
      <c r="K166" s="24"/>
      <c r="L166" s="69">
        <f t="shared" si="13"/>
        <v>0</v>
      </c>
      <c r="M166" s="70"/>
      <c r="N166" s="25"/>
      <c r="O166" s="1"/>
      <c r="P166" s="32">
        <v>210299</v>
      </c>
      <c r="Q166" s="38">
        <f t="shared" si="11"/>
        <v>210299</v>
      </c>
      <c r="R166" s="28">
        <f t="shared" si="12"/>
        <v>0</v>
      </c>
    </row>
    <row r="167" spans="1:19">
      <c r="A167" s="64"/>
      <c r="B167" s="65"/>
      <c r="C167" s="65"/>
      <c r="D167" s="65"/>
      <c r="E167" s="66"/>
      <c r="F167" s="22"/>
      <c r="G167" s="67"/>
      <c r="H167" s="68"/>
      <c r="I167" s="26"/>
      <c r="J167" s="23"/>
      <c r="K167" s="24"/>
      <c r="L167" s="69"/>
      <c r="M167" s="70"/>
      <c r="N167" s="25"/>
      <c r="O167" s="3"/>
      <c r="P167" s="32"/>
      <c r="Q167" s="33">
        <f>SUM(Q141:Q166)</f>
        <v>4416270</v>
      </c>
      <c r="R167" s="29">
        <f>SUM(R141:R166)</f>
        <v>208316</v>
      </c>
    </row>
    <row r="168" spans="1:19">
      <c r="A168" s="64"/>
      <c r="B168" s="65"/>
      <c r="C168" s="65"/>
      <c r="D168" s="65"/>
      <c r="E168" s="66"/>
      <c r="F168" s="22"/>
      <c r="G168" s="67"/>
      <c r="H168" s="68"/>
      <c r="I168" s="26"/>
      <c r="J168" s="23"/>
      <c r="K168" s="24"/>
      <c r="L168" s="69"/>
      <c r="M168" s="70"/>
      <c r="N168" s="25"/>
      <c r="O168" s="3"/>
      <c r="P168" s="32"/>
      <c r="Q168" s="33"/>
      <c r="R168" s="37">
        <f>R167/Q167</f>
        <v>4.7170123203517898E-2</v>
      </c>
    </row>
    <row r="169" spans="1:19">
      <c r="A169" s="62" t="s">
        <v>14</v>
      </c>
      <c r="B169" s="62"/>
      <c r="C169" s="62"/>
      <c r="D169" s="62"/>
      <c r="E169" s="62"/>
      <c r="F169" s="62"/>
      <c r="G169" s="62"/>
      <c r="H169" s="62"/>
      <c r="I169" s="62"/>
      <c r="J169" s="62"/>
      <c r="K169" s="62"/>
      <c r="L169" s="62"/>
      <c r="M169" s="62"/>
      <c r="N169" s="62"/>
      <c r="O169" s="1"/>
      <c r="P169" s="32"/>
      <c r="Q169" s="33"/>
      <c r="R169" s="29"/>
      <c r="S169" s="16"/>
    </row>
    <row r="170" spans="1:19">
      <c r="A170" s="71" t="s">
        <v>15</v>
      </c>
      <c r="B170" s="72"/>
      <c r="C170" s="72"/>
      <c r="D170" s="72"/>
      <c r="E170" s="73"/>
      <c r="F170" s="9" t="s">
        <v>37</v>
      </c>
      <c r="G170" s="71" t="s">
        <v>38</v>
      </c>
      <c r="H170" s="73"/>
      <c r="I170" s="71" t="s">
        <v>42</v>
      </c>
      <c r="J170" s="72"/>
      <c r="K170" s="73"/>
      <c r="L170" s="74" t="s">
        <v>17</v>
      </c>
      <c r="M170" s="75"/>
      <c r="N170" s="9" t="s">
        <v>13</v>
      </c>
      <c r="O170" s="1"/>
      <c r="P170" s="32"/>
      <c r="Q170" s="33"/>
      <c r="R170" s="29"/>
      <c r="S170" s="16"/>
    </row>
    <row r="171" spans="1:19">
      <c r="A171" s="71"/>
      <c r="B171" s="72"/>
      <c r="C171" s="72"/>
      <c r="D171" s="72"/>
      <c r="E171" s="73"/>
      <c r="F171" s="13"/>
      <c r="G171" s="76"/>
      <c r="H171" s="77"/>
      <c r="I171" s="78"/>
      <c r="J171" s="79"/>
      <c r="K171" s="80"/>
      <c r="L171" s="81"/>
      <c r="M171" s="82"/>
      <c r="N171" s="8"/>
      <c r="O171" s="1"/>
      <c r="P171" s="32"/>
      <c r="Q171" s="33"/>
      <c r="R171" s="29"/>
      <c r="S171" s="16"/>
    </row>
    <row r="172" spans="1:19">
      <c r="A172" s="62" t="s">
        <v>19</v>
      </c>
      <c r="B172" s="62"/>
      <c r="C172" s="62"/>
      <c r="D172" s="62"/>
      <c r="E172" s="62"/>
      <c r="F172" s="62"/>
      <c r="G172" s="62"/>
      <c r="H172" s="62"/>
      <c r="I172" s="62"/>
      <c r="J172" s="62"/>
      <c r="K172" s="62"/>
      <c r="L172" s="62"/>
      <c r="M172" s="62"/>
      <c r="N172" s="62"/>
      <c r="O172" s="1"/>
      <c r="P172" s="32"/>
      <c r="Q172" s="33"/>
      <c r="R172" s="29"/>
      <c r="S172" s="16"/>
    </row>
    <row r="173" spans="1:19">
      <c r="A173" s="63" t="s">
        <v>20</v>
      </c>
      <c r="B173" s="63"/>
      <c r="C173" s="63" t="s">
        <v>21</v>
      </c>
      <c r="D173" s="63"/>
      <c r="E173" s="63" t="s">
        <v>22</v>
      </c>
      <c r="F173" s="63"/>
      <c r="G173" s="63" t="s">
        <v>23</v>
      </c>
      <c r="H173" s="63"/>
      <c r="I173" s="63"/>
      <c r="J173" s="63" t="s">
        <v>16</v>
      </c>
      <c r="K173" s="63"/>
      <c r="L173" s="63"/>
      <c r="M173" s="63" t="s">
        <v>17</v>
      </c>
      <c r="N173" s="63"/>
      <c r="O173" s="1"/>
      <c r="Q173" s="32"/>
      <c r="R173" s="33"/>
      <c r="S173" s="16"/>
    </row>
    <row r="174" spans="1:19">
      <c r="A174" s="60" t="s">
        <v>24</v>
      </c>
      <c r="B174" s="52"/>
      <c r="C174" s="61"/>
      <c r="D174" s="61"/>
      <c r="E174" s="61">
        <f>C174+E113</f>
        <v>5</v>
      </c>
      <c r="F174" s="61"/>
      <c r="G174" s="60" t="s">
        <v>51</v>
      </c>
      <c r="H174" s="51"/>
      <c r="I174" s="52"/>
      <c r="J174" s="61"/>
      <c r="K174" s="61"/>
      <c r="L174" s="61"/>
      <c r="M174" s="61">
        <f>J174+M113</f>
        <v>1</v>
      </c>
      <c r="N174" s="61"/>
      <c r="O174" s="1"/>
      <c r="Q174" s="32"/>
      <c r="R174" s="33"/>
      <c r="S174" s="16"/>
    </row>
    <row r="175" spans="1:19">
      <c r="A175" s="60" t="s">
        <v>25</v>
      </c>
      <c r="B175" s="52"/>
      <c r="C175" s="61"/>
      <c r="D175" s="61"/>
      <c r="E175" s="61">
        <f>C175+E114</f>
        <v>4</v>
      </c>
      <c r="F175" s="61"/>
      <c r="G175" s="60" t="s">
        <v>50</v>
      </c>
      <c r="H175" s="51"/>
      <c r="I175" s="52"/>
      <c r="J175" s="61"/>
      <c r="K175" s="61"/>
      <c r="L175" s="61"/>
      <c r="M175" s="61">
        <f>J175+M114</f>
        <v>1</v>
      </c>
      <c r="N175" s="61"/>
      <c r="O175" s="1"/>
      <c r="Q175" s="32"/>
      <c r="R175" s="33"/>
      <c r="S175" s="16"/>
    </row>
    <row r="176" spans="1:19">
      <c r="A176" s="60"/>
      <c r="B176" s="52"/>
      <c r="C176" s="61"/>
      <c r="D176" s="61"/>
      <c r="E176" s="61"/>
      <c r="F176" s="61"/>
      <c r="G176" s="60" t="s">
        <v>55</v>
      </c>
      <c r="H176" s="51"/>
      <c r="I176" s="52"/>
      <c r="J176" s="61"/>
      <c r="K176" s="61"/>
      <c r="L176" s="61"/>
      <c r="M176" s="61">
        <f>K176+M115</f>
        <v>0</v>
      </c>
      <c r="N176" s="61"/>
      <c r="O176" s="2"/>
      <c r="P176" s="29"/>
      <c r="Q176" s="32"/>
      <c r="R176" s="33"/>
      <c r="S176" s="16"/>
    </row>
    <row r="177" spans="1:19">
      <c r="A177" s="53" t="s">
        <v>53</v>
      </c>
      <c r="B177" s="47"/>
      <c r="C177" s="53"/>
      <c r="D177" s="53"/>
      <c r="E177" s="53"/>
      <c r="F177" s="53"/>
      <c r="G177" s="53"/>
      <c r="H177" s="53"/>
      <c r="I177" s="53"/>
      <c r="J177" s="53"/>
      <c r="K177" s="53"/>
      <c r="L177" s="53"/>
      <c r="M177" s="53"/>
      <c r="N177" s="53"/>
      <c r="O177" s="1"/>
      <c r="P177" s="32"/>
      <c r="Q177" s="32"/>
      <c r="R177" s="33"/>
      <c r="S177" s="16"/>
    </row>
    <row r="178" spans="1:19">
      <c r="A178" s="45" t="s">
        <v>56</v>
      </c>
      <c r="B178" s="46"/>
      <c r="C178" s="46"/>
      <c r="D178" s="46"/>
      <c r="E178" s="46"/>
      <c r="F178" s="46"/>
      <c r="G178" s="46"/>
      <c r="H178" s="46"/>
      <c r="I178" s="46"/>
      <c r="J178" s="46"/>
      <c r="K178" s="46"/>
      <c r="L178" s="46"/>
      <c r="M178" s="46"/>
      <c r="N178" s="47"/>
      <c r="O178" s="1"/>
      <c r="P178" s="32"/>
      <c r="Q178" s="34"/>
      <c r="R178" s="33"/>
      <c r="S178" s="16"/>
    </row>
    <row r="179" spans="1:19">
      <c r="A179" s="54" t="s">
        <v>54</v>
      </c>
      <c r="B179" s="55"/>
      <c r="C179" s="55"/>
      <c r="D179" s="55"/>
      <c r="E179" s="55"/>
      <c r="F179" s="55"/>
      <c r="G179" s="55"/>
      <c r="H179" s="55"/>
      <c r="I179" s="55"/>
      <c r="J179" s="55"/>
      <c r="K179" s="55"/>
      <c r="L179" s="55"/>
      <c r="M179" s="55"/>
      <c r="N179" s="56"/>
      <c r="O179" s="1"/>
      <c r="P179" s="32"/>
      <c r="Q179" s="32"/>
      <c r="R179" s="33"/>
      <c r="S179" s="16"/>
    </row>
    <row r="180" spans="1:19">
      <c r="A180" s="40" t="s">
        <v>26</v>
      </c>
      <c r="B180" s="41"/>
      <c r="C180" s="40"/>
      <c r="D180" s="40"/>
      <c r="E180" s="40"/>
      <c r="F180" s="40"/>
      <c r="G180" s="40"/>
      <c r="H180" s="40"/>
      <c r="I180" s="40"/>
      <c r="J180" s="40"/>
      <c r="K180" s="40"/>
      <c r="L180" s="40"/>
      <c r="M180" s="40"/>
      <c r="N180" s="40"/>
      <c r="O180" s="1"/>
      <c r="P180" s="32"/>
      <c r="Q180" s="32"/>
      <c r="R180" s="33"/>
      <c r="S180" s="16"/>
    </row>
    <row r="181" spans="1:19">
      <c r="A181" s="57" t="s">
        <v>27</v>
      </c>
      <c r="B181" s="58"/>
      <c r="C181" s="58"/>
      <c r="D181" s="58"/>
      <c r="E181" s="58"/>
      <c r="F181" s="58"/>
      <c r="G181" s="58"/>
      <c r="H181" s="58"/>
      <c r="I181" s="58"/>
      <c r="J181" s="58"/>
      <c r="K181" s="58"/>
      <c r="L181" s="58"/>
      <c r="M181" s="58"/>
      <c r="N181" s="59"/>
      <c r="O181" s="1"/>
      <c r="P181" s="34"/>
      <c r="Q181" s="34"/>
      <c r="R181" s="33"/>
      <c r="S181" s="16"/>
    </row>
    <row r="182" spans="1:19">
      <c r="A182" s="57" t="s">
        <v>57</v>
      </c>
      <c r="B182" s="58"/>
      <c r="C182" s="58"/>
      <c r="D182" s="58"/>
      <c r="E182" s="58"/>
      <c r="F182" s="58"/>
      <c r="G182" s="58"/>
      <c r="H182" s="58"/>
      <c r="I182" s="58"/>
      <c r="J182" s="58"/>
      <c r="K182" s="58"/>
      <c r="L182" s="58"/>
      <c r="M182" s="58"/>
      <c r="N182" s="59"/>
      <c r="O182" s="1"/>
      <c r="P182" s="32"/>
      <c r="Q182" s="32"/>
      <c r="R182" s="33"/>
      <c r="S182" s="16"/>
    </row>
    <row r="183" spans="1:19">
      <c r="A183" s="57" t="s">
        <v>58</v>
      </c>
      <c r="B183" s="58"/>
      <c r="C183" s="58"/>
      <c r="D183" s="58"/>
      <c r="E183" s="58"/>
      <c r="F183" s="58"/>
      <c r="G183" s="58"/>
      <c r="H183" s="58"/>
      <c r="I183" s="58"/>
      <c r="J183" s="58"/>
      <c r="K183" s="58"/>
      <c r="L183" s="58"/>
      <c r="M183" s="58"/>
      <c r="N183" s="59"/>
      <c r="O183" s="1"/>
      <c r="P183" s="32"/>
      <c r="Q183" s="32"/>
      <c r="R183" s="33"/>
      <c r="S183" s="16"/>
    </row>
    <row r="184" spans="1:19">
      <c r="A184" s="57" t="s">
        <v>59</v>
      </c>
      <c r="B184" s="58"/>
      <c r="C184" s="58"/>
      <c r="D184" s="58"/>
      <c r="E184" s="58"/>
      <c r="F184" s="58"/>
      <c r="G184" s="58"/>
      <c r="H184" s="58"/>
      <c r="I184" s="58"/>
      <c r="J184" s="58"/>
      <c r="K184" s="58"/>
      <c r="L184" s="58"/>
      <c r="M184" s="58"/>
      <c r="N184" s="59"/>
      <c r="O184" s="1"/>
      <c r="P184" s="32"/>
      <c r="Q184" s="34"/>
      <c r="R184" s="33"/>
      <c r="S184" s="16"/>
    </row>
    <row r="185" spans="1:19">
      <c r="A185" s="57" t="s">
        <v>28</v>
      </c>
      <c r="B185" s="58"/>
      <c r="C185" s="58"/>
      <c r="D185" s="58"/>
      <c r="E185" s="58"/>
      <c r="F185" s="58"/>
      <c r="G185" s="58"/>
      <c r="H185" s="58"/>
      <c r="I185" s="58"/>
      <c r="J185" s="58"/>
      <c r="K185" s="58"/>
      <c r="L185" s="58"/>
      <c r="M185" s="58"/>
      <c r="N185" s="59"/>
      <c r="O185" s="1"/>
      <c r="P185" s="34"/>
      <c r="Q185" s="32"/>
      <c r="R185" s="33"/>
      <c r="S185" s="16"/>
    </row>
    <row r="186" spans="1:19">
      <c r="A186" s="40" t="s">
        <v>29</v>
      </c>
      <c r="B186" s="41"/>
      <c r="C186" s="40"/>
      <c r="D186" s="40"/>
      <c r="E186" s="40"/>
      <c r="F186" s="40"/>
      <c r="G186" s="40"/>
      <c r="H186" s="40"/>
      <c r="I186" s="40"/>
      <c r="J186" s="40"/>
      <c r="K186" s="40"/>
      <c r="L186" s="40"/>
      <c r="M186" s="40"/>
      <c r="N186" s="40"/>
      <c r="O186" s="1"/>
      <c r="P186" s="32"/>
      <c r="Q186" s="32"/>
      <c r="R186" s="33"/>
      <c r="S186" s="16"/>
    </row>
    <row r="187" spans="1:19">
      <c r="A187" s="42"/>
      <c r="B187" s="43"/>
      <c r="C187" s="43"/>
      <c r="D187" s="43"/>
      <c r="E187" s="43"/>
      <c r="F187" s="43"/>
      <c r="G187" s="43"/>
      <c r="H187" s="43"/>
      <c r="I187" s="43"/>
      <c r="J187" s="43"/>
      <c r="K187" s="43"/>
      <c r="L187" s="43"/>
      <c r="M187" s="43"/>
      <c r="N187" s="44"/>
      <c r="O187" s="1"/>
      <c r="P187" s="32"/>
      <c r="Q187" s="32"/>
      <c r="R187" s="33"/>
      <c r="S187" s="16"/>
    </row>
    <row r="188" spans="1:19">
      <c r="A188" s="40" t="s">
        <v>30</v>
      </c>
      <c r="B188" s="41"/>
      <c r="C188" s="40"/>
      <c r="D188" s="40"/>
      <c r="E188" s="40"/>
      <c r="F188" s="40"/>
      <c r="G188" s="40"/>
      <c r="H188" s="40"/>
      <c r="I188" s="40"/>
      <c r="J188" s="40"/>
      <c r="K188" s="40"/>
      <c r="L188" s="40"/>
      <c r="M188" s="40"/>
      <c r="N188" s="40"/>
      <c r="O188" s="1"/>
      <c r="P188" s="32"/>
      <c r="Q188" s="32"/>
      <c r="R188" s="33"/>
      <c r="S188" s="16"/>
    </row>
    <row r="189" spans="1:19">
      <c r="A189" s="42"/>
      <c r="B189" s="43"/>
      <c r="C189" s="43"/>
      <c r="D189" s="43"/>
      <c r="E189" s="43"/>
      <c r="F189" s="43"/>
      <c r="G189" s="43"/>
      <c r="H189" s="43"/>
      <c r="I189" s="43"/>
      <c r="J189" s="43"/>
      <c r="K189" s="43"/>
      <c r="L189" s="43"/>
      <c r="M189" s="43"/>
      <c r="N189" s="44"/>
      <c r="O189" s="1"/>
      <c r="P189" s="32"/>
      <c r="Q189" s="32"/>
      <c r="R189" s="33"/>
      <c r="S189" s="16"/>
    </row>
    <row r="190" spans="1:19">
      <c r="A190" s="40" t="s">
        <v>107</v>
      </c>
      <c r="B190" s="41"/>
      <c r="C190" s="40"/>
      <c r="D190" s="40"/>
      <c r="E190" s="40"/>
      <c r="F190" s="40"/>
      <c r="G190" s="40"/>
      <c r="H190" s="40"/>
      <c r="I190" s="40"/>
      <c r="J190" s="40"/>
      <c r="K190" s="40"/>
      <c r="L190" s="40"/>
      <c r="M190" s="40"/>
      <c r="N190" s="40"/>
      <c r="O190" s="1"/>
      <c r="P190" s="32"/>
      <c r="Q190" s="32"/>
      <c r="R190" s="33"/>
      <c r="S190" s="17"/>
    </row>
    <row r="191" spans="1:19">
      <c r="A191" s="45"/>
      <c r="B191" s="46"/>
      <c r="C191" s="46"/>
      <c r="D191" s="46"/>
      <c r="E191" s="46"/>
      <c r="F191" s="46"/>
      <c r="G191" s="46"/>
      <c r="H191" s="46"/>
      <c r="I191" s="46"/>
      <c r="J191" s="46"/>
      <c r="K191" s="46"/>
      <c r="L191" s="46"/>
      <c r="M191" s="46"/>
      <c r="N191" s="47"/>
      <c r="O191" s="1"/>
      <c r="P191" s="32"/>
      <c r="Q191" s="32"/>
      <c r="R191" s="33"/>
      <c r="S191" s="1"/>
    </row>
    <row r="192" spans="1:19">
      <c r="A192" s="48" t="s">
        <v>41</v>
      </c>
      <c r="B192" s="49"/>
      <c r="C192" s="50"/>
      <c r="D192" s="50"/>
      <c r="E192" s="50"/>
      <c r="F192" s="50"/>
      <c r="G192" s="50"/>
      <c r="H192" s="51"/>
      <c r="I192" s="51"/>
      <c r="J192" s="51"/>
      <c r="K192" s="51"/>
      <c r="L192" s="51"/>
      <c r="M192" s="51"/>
      <c r="N192" s="52"/>
      <c r="O192" s="1"/>
      <c r="P192" s="32"/>
      <c r="Q192" s="32"/>
      <c r="R192" s="33"/>
      <c r="S192" s="1"/>
    </row>
    <row r="193" spans="1:18" ht="28.2">
      <c r="A193" s="1" t="s">
        <v>45</v>
      </c>
      <c r="B193" s="7">
        <f>B132+1</f>
        <v>4</v>
      </c>
      <c r="C193" s="5"/>
      <c r="D193" s="5"/>
      <c r="E193" s="5"/>
      <c r="F193" s="5"/>
      <c r="G193" s="5"/>
      <c r="H193" s="5"/>
      <c r="I193" s="5"/>
      <c r="J193" s="5"/>
      <c r="K193" s="5"/>
      <c r="L193" s="5"/>
      <c r="M193" s="5"/>
      <c r="N193" s="5"/>
      <c r="O193" s="1"/>
      <c r="P193" s="32"/>
      <c r="Q193" s="33"/>
      <c r="R193" s="29"/>
    </row>
    <row r="194" spans="1:18">
      <c r="A194" s="1" t="s">
        <v>46</v>
      </c>
      <c r="B194" s="1" t="s">
        <v>1</v>
      </c>
      <c r="C194" s="1" t="s">
        <v>2</v>
      </c>
      <c r="D194" s="1" t="s">
        <v>3</v>
      </c>
      <c r="E194" s="1" t="s">
        <v>2</v>
      </c>
      <c r="F194" s="1"/>
      <c r="G194" s="1"/>
      <c r="H194" s="112" t="s">
        <v>4</v>
      </c>
      <c r="I194" s="112"/>
      <c r="J194" s="113">
        <f>J133+1</f>
        <v>46215</v>
      </c>
      <c r="K194" s="113"/>
      <c r="L194" s="113"/>
      <c r="M194" s="114">
        <f>J194</f>
        <v>46215</v>
      </c>
      <c r="N194" s="114"/>
      <c r="O194" s="1"/>
      <c r="P194" s="32"/>
      <c r="Q194" s="33"/>
      <c r="R194" s="29"/>
    </row>
    <row r="195" spans="1:18">
      <c r="A195" s="8" t="s">
        <v>5</v>
      </c>
      <c r="B195" s="115">
        <f>B126</f>
        <v>0</v>
      </c>
      <c r="C195" s="116"/>
      <c r="D195" s="116"/>
      <c r="E195" s="116"/>
      <c r="F195" s="116"/>
      <c r="G195" s="117"/>
      <c r="H195" s="63" t="s">
        <v>6</v>
      </c>
      <c r="I195" s="63"/>
      <c r="J195" s="63"/>
      <c r="K195" s="63" t="s">
        <v>52</v>
      </c>
      <c r="L195" s="63"/>
      <c r="M195" s="63"/>
      <c r="N195" s="63"/>
      <c r="O195" s="1"/>
      <c r="P195" s="32"/>
      <c r="Q195" s="33"/>
      <c r="R195" s="29"/>
    </row>
    <row r="196" spans="1:18">
      <c r="A196" s="8" t="s">
        <v>32</v>
      </c>
      <c r="B196" s="10">
        <v>60</v>
      </c>
      <c r="C196" s="11" t="s">
        <v>43</v>
      </c>
      <c r="D196" s="71" t="s">
        <v>7</v>
      </c>
      <c r="E196" s="73"/>
      <c r="F196" s="10">
        <f>F135+1</f>
        <v>4</v>
      </c>
      <c r="G196" s="11" t="s">
        <v>8</v>
      </c>
      <c r="H196" s="9" t="s">
        <v>9</v>
      </c>
      <c r="I196" s="10">
        <f>B196-F196</f>
        <v>56</v>
      </c>
      <c r="J196" s="11" t="s">
        <v>8</v>
      </c>
      <c r="K196" s="118" t="s">
        <v>33</v>
      </c>
      <c r="L196" s="119"/>
      <c r="M196" s="12"/>
      <c r="N196" s="11" t="s">
        <v>8</v>
      </c>
      <c r="O196" s="1"/>
      <c r="P196" s="34"/>
      <c r="Q196" s="33"/>
      <c r="R196" s="29"/>
    </row>
    <row r="197" spans="1:18">
      <c r="A197" s="71" t="s">
        <v>34</v>
      </c>
      <c r="B197" s="72"/>
      <c r="C197" s="73"/>
      <c r="D197" s="120">
        <v>46212</v>
      </c>
      <c r="E197" s="121"/>
      <c r="F197" s="121"/>
      <c r="G197" s="122"/>
      <c r="H197" s="71" t="s">
        <v>35</v>
      </c>
      <c r="I197" s="72"/>
      <c r="J197" s="73"/>
      <c r="K197" s="120">
        <f>D197+59</f>
        <v>46271</v>
      </c>
      <c r="L197" s="121"/>
      <c r="M197" s="121"/>
      <c r="N197" s="122"/>
      <c r="O197" s="1"/>
      <c r="P197" s="32"/>
      <c r="Q197" s="33"/>
      <c r="R197" s="29"/>
    </row>
    <row r="198" spans="1:18">
      <c r="A198" s="92" t="s">
        <v>10</v>
      </c>
      <c r="B198" s="93"/>
      <c r="C198" s="94"/>
      <c r="D198" s="98">
        <f>D137+0.0005/5</f>
        <v>4.0000000000000002E-4</v>
      </c>
      <c r="E198" s="99"/>
      <c r="F198" s="99"/>
      <c r="G198" s="100"/>
      <c r="H198" s="104" t="s">
        <v>36</v>
      </c>
      <c r="I198" s="105"/>
      <c r="J198" s="106"/>
      <c r="K198" s="110">
        <f>R229</f>
        <v>4.7170123203517898E-2</v>
      </c>
      <c r="L198" s="105"/>
      <c r="M198" s="105"/>
      <c r="N198" s="106"/>
      <c r="O198" s="1"/>
      <c r="P198" s="32"/>
      <c r="Q198" s="33"/>
      <c r="R198" s="29"/>
    </row>
    <row r="199" spans="1:18">
      <c r="A199" s="95"/>
      <c r="B199" s="96"/>
      <c r="C199" s="97"/>
      <c r="D199" s="101"/>
      <c r="E199" s="102"/>
      <c r="F199" s="102"/>
      <c r="G199" s="103"/>
      <c r="H199" s="107"/>
      <c r="I199" s="108"/>
      <c r="J199" s="109"/>
      <c r="K199" s="107"/>
      <c r="L199" s="108"/>
      <c r="M199" s="108"/>
      <c r="N199" s="109"/>
      <c r="O199" s="1"/>
      <c r="P199" s="32"/>
      <c r="Q199" s="33"/>
      <c r="R199" s="29"/>
    </row>
    <row r="200" spans="1:18">
      <c r="A200" s="62" t="s">
        <v>11</v>
      </c>
      <c r="B200" s="62"/>
      <c r="C200" s="62"/>
      <c r="D200" s="62"/>
      <c r="E200" s="62"/>
      <c r="F200" s="62"/>
      <c r="G200" s="62"/>
      <c r="H200" s="62"/>
      <c r="I200" s="62"/>
      <c r="J200" s="62"/>
      <c r="K200" s="62"/>
      <c r="L200" s="62"/>
      <c r="M200" s="62"/>
      <c r="N200" s="62"/>
      <c r="O200" s="1"/>
      <c r="P200" s="32"/>
      <c r="Q200" s="33"/>
      <c r="R200" s="29"/>
    </row>
    <row r="201" spans="1:18">
      <c r="A201" s="111" t="s">
        <v>12</v>
      </c>
      <c r="B201" s="111"/>
      <c r="C201" s="111"/>
      <c r="D201" s="111"/>
      <c r="E201" s="111"/>
      <c r="F201" s="14" t="s">
        <v>37</v>
      </c>
      <c r="G201" s="111" t="s">
        <v>38</v>
      </c>
      <c r="H201" s="111"/>
      <c r="I201" s="63" t="s">
        <v>39</v>
      </c>
      <c r="J201" s="63"/>
      <c r="K201" s="63"/>
      <c r="L201" s="63" t="s">
        <v>40</v>
      </c>
      <c r="M201" s="63"/>
      <c r="N201" s="9" t="s">
        <v>13</v>
      </c>
      <c r="O201" s="1"/>
      <c r="P201" s="28" t="s">
        <v>47</v>
      </c>
      <c r="Q201" s="29" t="s">
        <v>48</v>
      </c>
      <c r="R201" s="29" t="s">
        <v>49</v>
      </c>
    </row>
    <row r="202" spans="1:18">
      <c r="A202" s="83" t="s">
        <v>67</v>
      </c>
      <c r="B202" s="84"/>
      <c r="C202" s="84"/>
      <c r="D202" s="84"/>
      <c r="E202" s="85"/>
      <c r="F202" s="27" t="s">
        <v>60</v>
      </c>
      <c r="G202" s="67">
        <v>1</v>
      </c>
      <c r="H202" s="68"/>
      <c r="I202" s="86"/>
      <c r="J202" s="87"/>
      <c r="K202" s="88"/>
      <c r="L202" s="69">
        <f>I202+L141</f>
        <v>1</v>
      </c>
      <c r="M202" s="70"/>
      <c r="N202" s="8"/>
      <c r="O202" s="1"/>
      <c r="P202" s="30">
        <v>6000</v>
      </c>
      <c r="Q202" s="38">
        <f>P202*G202</f>
        <v>6000</v>
      </c>
      <c r="R202" s="28">
        <f>L202*P202</f>
        <v>6000</v>
      </c>
    </row>
    <row r="203" spans="1:18">
      <c r="A203" s="83" t="s">
        <v>68</v>
      </c>
      <c r="B203" s="84"/>
      <c r="C203" s="84"/>
      <c r="D203" s="84"/>
      <c r="E203" s="85"/>
      <c r="F203" s="20" t="s">
        <v>60</v>
      </c>
      <c r="G203" s="67">
        <v>1</v>
      </c>
      <c r="H203" s="68"/>
      <c r="I203" s="87"/>
      <c r="J203" s="87"/>
      <c r="K203" s="88"/>
      <c r="L203" s="69">
        <f t="shared" ref="L203:L227" si="14">I203+L142</f>
        <v>0</v>
      </c>
      <c r="M203" s="70"/>
      <c r="N203" s="8"/>
      <c r="O203" s="1"/>
      <c r="P203" s="30">
        <v>193300</v>
      </c>
      <c r="Q203" s="38">
        <f t="shared" ref="Q203:Q227" si="15">P203*G203</f>
        <v>193300</v>
      </c>
      <c r="R203" s="28">
        <f>L203*P203</f>
        <v>0</v>
      </c>
    </row>
    <row r="204" spans="1:18">
      <c r="A204" s="89" t="s">
        <v>69</v>
      </c>
      <c r="B204" s="90"/>
      <c r="C204" s="90"/>
      <c r="D204" s="90"/>
      <c r="E204" s="91"/>
      <c r="F204" s="20" t="s">
        <v>60</v>
      </c>
      <c r="G204" s="67">
        <v>1</v>
      </c>
      <c r="H204" s="68"/>
      <c r="I204" s="87"/>
      <c r="J204" s="87"/>
      <c r="K204" s="88"/>
      <c r="L204" s="69">
        <f t="shared" si="14"/>
        <v>0</v>
      </c>
      <c r="M204" s="70"/>
      <c r="N204" s="8"/>
      <c r="O204" s="1"/>
      <c r="P204" s="30">
        <v>30000</v>
      </c>
      <c r="Q204" s="38">
        <f t="shared" si="15"/>
        <v>30000</v>
      </c>
      <c r="R204" s="28">
        <f>L204*P204</f>
        <v>0</v>
      </c>
    </row>
    <row r="205" spans="1:18">
      <c r="A205" s="64" t="s">
        <v>70</v>
      </c>
      <c r="B205" s="65"/>
      <c r="C205" s="65"/>
      <c r="D205" s="65"/>
      <c r="E205" s="66"/>
      <c r="F205" s="20" t="s">
        <v>60</v>
      </c>
      <c r="G205" s="67">
        <v>1</v>
      </c>
      <c r="H205" s="68"/>
      <c r="I205" s="87"/>
      <c r="J205" s="87"/>
      <c r="K205" s="88"/>
      <c r="L205" s="69">
        <f t="shared" si="14"/>
        <v>0</v>
      </c>
      <c r="M205" s="70"/>
      <c r="N205" s="8"/>
      <c r="O205" s="1"/>
      <c r="P205" s="31">
        <v>10000</v>
      </c>
      <c r="Q205" s="38">
        <f t="shared" si="15"/>
        <v>10000</v>
      </c>
      <c r="R205" s="28">
        <f t="shared" ref="R205:R227" si="16">L205*P205</f>
        <v>0</v>
      </c>
    </row>
    <row r="206" spans="1:18">
      <c r="A206" s="64" t="s">
        <v>71</v>
      </c>
      <c r="B206" s="65"/>
      <c r="C206" s="65"/>
      <c r="D206" s="65"/>
      <c r="E206" s="66"/>
      <c r="F206" s="20" t="s">
        <v>61</v>
      </c>
      <c r="G206" s="67">
        <v>9</v>
      </c>
      <c r="H206" s="68"/>
      <c r="I206" s="87"/>
      <c r="J206" s="87"/>
      <c r="K206" s="88"/>
      <c r="L206" s="69">
        <f t="shared" si="14"/>
        <v>9</v>
      </c>
      <c r="M206" s="70"/>
      <c r="N206" s="8"/>
      <c r="O206" s="1"/>
      <c r="P206" s="30">
        <v>21000</v>
      </c>
      <c r="Q206" s="38">
        <f t="shared" si="15"/>
        <v>189000</v>
      </c>
      <c r="R206" s="28">
        <f t="shared" si="16"/>
        <v>189000</v>
      </c>
    </row>
    <row r="207" spans="1:18">
      <c r="A207" s="64" t="s">
        <v>72</v>
      </c>
      <c r="B207" s="65"/>
      <c r="C207" s="65"/>
      <c r="D207" s="65"/>
      <c r="E207" s="66"/>
      <c r="F207" s="2" t="s">
        <v>60</v>
      </c>
      <c r="G207" s="67">
        <v>1</v>
      </c>
      <c r="H207" s="68"/>
      <c r="I207" s="87"/>
      <c r="J207" s="87"/>
      <c r="K207" s="88"/>
      <c r="L207" s="69">
        <f t="shared" si="14"/>
        <v>0</v>
      </c>
      <c r="M207" s="70"/>
      <c r="N207" s="8"/>
      <c r="O207" s="1"/>
      <c r="P207" s="30">
        <v>184468</v>
      </c>
      <c r="Q207" s="38">
        <f t="shared" si="15"/>
        <v>184468</v>
      </c>
      <c r="R207" s="28">
        <f t="shared" si="16"/>
        <v>0</v>
      </c>
    </row>
    <row r="208" spans="1:18">
      <c r="A208" s="83" t="s">
        <v>73</v>
      </c>
      <c r="B208" s="84"/>
      <c r="C208" s="84"/>
      <c r="D208" s="84"/>
      <c r="E208" s="85"/>
      <c r="F208" s="20" t="s">
        <v>62</v>
      </c>
      <c r="G208" s="67">
        <v>9</v>
      </c>
      <c r="H208" s="68"/>
      <c r="I208" s="87"/>
      <c r="J208" s="87"/>
      <c r="K208" s="88"/>
      <c r="L208" s="69">
        <f t="shared" si="14"/>
        <v>0</v>
      </c>
      <c r="M208" s="70"/>
      <c r="N208" s="8"/>
      <c r="O208" s="1"/>
      <c r="P208" s="30">
        <v>20000</v>
      </c>
      <c r="Q208" s="38">
        <f t="shared" si="15"/>
        <v>180000</v>
      </c>
      <c r="R208" s="28">
        <f t="shared" si="16"/>
        <v>0</v>
      </c>
    </row>
    <row r="209" spans="1:18">
      <c r="A209" s="83" t="s">
        <v>74</v>
      </c>
      <c r="B209" s="84"/>
      <c r="C209" s="84"/>
      <c r="D209" s="84"/>
      <c r="E209" s="85"/>
      <c r="F209" s="20" t="s">
        <v>63</v>
      </c>
      <c r="G209" s="67">
        <v>52</v>
      </c>
      <c r="H209" s="68"/>
      <c r="I209" s="87"/>
      <c r="J209" s="87"/>
      <c r="K209" s="88"/>
      <c r="L209" s="69">
        <f t="shared" si="14"/>
        <v>0</v>
      </c>
      <c r="M209" s="70"/>
      <c r="N209" s="8"/>
      <c r="O209" s="1"/>
      <c r="P209" s="31">
        <v>2500</v>
      </c>
      <c r="Q209" s="38">
        <f t="shared" si="15"/>
        <v>130000</v>
      </c>
      <c r="R209" s="28">
        <f t="shared" si="16"/>
        <v>0</v>
      </c>
    </row>
    <row r="210" spans="1:18">
      <c r="A210" s="83" t="s">
        <v>75</v>
      </c>
      <c r="B210" s="84"/>
      <c r="C210" s="84"/>
      <c r="D210" s="84"/>
      <c r="E210" s="85"/>
      <c r="F210" s="20" t="s">
        <v>64</v>
      </c>
      <c r="G210" s="67">
        <v>1</v>
      </c>
      <c r="H210" s="68"/>
      <c r="I210" s="87"/>
      <c r="J210" s="87"/>
      <c r="K210" s="88"/>
      <c r="L210" s="69">
        <f t="shared" si="14"/>
        <v>0</v>
      </c>
      <c r="M210" s="70"/>
      <c r="N210" s="8"/>
      <c r="O210" s="1"/>
      <c r="P210" s="30">
        <v>80000</v>
      </c>
      <c r="Q210" s="38">
        <f t="shared" si="15"/>
        <v>80000</v>
      </c>
      <c r="R210" s="28">
        <f t="shared" si="16"/>
        <v>0</v>
      </c>
    </row>
    <row r="211" spans="1:18">
      <c r="A211" s="89" t="s">
        <v>76</v>
      </c>
      <c r="B211" s="90"/>
      <c r="C211" s="90"/>
      <c r="D211" s="90"/>
      <c r="E211" s="91"/>
      <c r="F211" s="20" t="s">
        <v>65</v>
      </c>
      <c r="G211" s="67">
        <v>31</v>
      </c>
      <c r="H211" s="68"/>
      <c r="I211" s="87"/>
      <c r="J211" s="87"/>
      <c r="K211" s="88"/>
      <c r="L211" s="69">
        <f t="shared" si="14"/>
        <v>0</v>
      </c>
      <c r="M211" s="70"/>
      <c r="N211" s="8"/>
      <c r="O211" s="1"/>
      <c r="P211" s="30">
        <v>400</v>
      </c>
      <c r="Q211" s="38">
        <f t="shared" si="15"/>
        <v>12400</v>
      </c>
      <c r="R211" s="28">
        <f t="shared" si="16"/>
        <v>0</v>
      </c>
    </row>
    <row r="212" spans="1:18">
      <c r="A212" s="64" t="s">
        <v>77</v>
      </c>
      <c r="B212" s="65"/>
      <c r="C212" s="65"/>
      <c r="D212" s="65"/>
      <c r="E212" s="66"/>
      <c r="F212" s="20" t="s">
        <v>65</v>
      </c>
      <c r="G212" s="67">
        <v>100</v>
      </c>
      <c r="H212" s="68"/>
      <c r="I212" s="87"/>
      <c r="J212" s="87"/>
      <c r="K212" s="88"/>
      <c r="L212" s="69">
        <f t="shared" si="14"/>
        <v>0</v>
      </c>
      <c r="M212" s="70"/>
      <c r="N212" s="8"/>
      <c r="O212" s="1"/>
      <c r="P212" s="30">
        <v>350</v>
      </c>
      <c r="Q212" s="38">
        <f t="shared" si="15"/>
        <v>35000</v>
      </c>
      <c r="R212" s="28">
        <f t="shared" si="16"/>
        <v>0</v>
      </c>
    </row>
    <row r="213" spans="1:18">
      <c r="A213" s="64" t="s">
        <v>78</v>
      </c>
      <c r="B213" s="65"/>
      <c r="C213" s="65"/>
      <c r="D213" s="65"/>
      <c r="E213" s="66"/>
      <c r="F213" s="20" t="s">
        <v>63</v>
      </c>
      <c r="G213" s="67">
        <v>35</v>
      </c>
      <c r="H213" s="68"/>
      <c r="I213" s="87"/>
      <c r="J213" s="87"/>
      <c r="K213" s="88"/>
      <c r="L213" s="69">
        <f t="shared" si="14"/>
        <v>0</v>
      </c>
      <c r="M213" s="70"/>
      <c r="N213" s="8"/>
      <c r="O213" s="1"/>
      <c r="P213" s="30">
        <v>1200</v>
      </c>
      <c r="Q213" s="38">
        <f t="shared" si="15"/>
        <v>42000</v>
      </c>
      <c r="R213" s="28">
        <f t="shared" si="16"/>
        <v>0</v>
      </c>
    </row>
    <row r="214" spans="1:18">
      <c r="A214" s="64" t="s">
        <v>79</v>
      </c>
      <c r="B214" s="65"/>
      <c r="C214" s="65"/>
      <c r="D214" s="65"/>
      <c r="E214" s="66"/>
      <c r="F214" s="20" t="s">
        <v>63</v>
      </c>
      <c r="G214" s="67">
        <v>282</v>
      </c>
      <c r="H214" s="68"/>
      <c r="I214" s="86"/>
      <c r="J214" s="87"/>
      <c r="K214" s="88"/>
      <c r="L214" s="69">
        <f t="shared" si="14"/>
        <v>0</v>
      </c>
      <c r="M214" s="70"/>
      <c r="N214" s="8"/>
      <c r="O214" s="1"/>
      <c r="P214" s="30">
        <v>1400</v>
      </c>
      <c r="Q214" s="38">
        <f t="shared" si="15"/>
        <v>394800</v>
      </c>
      <c r="R214" s="28">
        <f t="shared" si="16"/>
        <v>0</v>
      </c>
    </row>
    <row r="215" spans="1:18">
      <c r="A215" s="83" t="s">
        <v>80</v>
      </c>
      <c r="B215" s="84"/>
      <c r="C215" s="84"/>
      <c r="D215" s="84"/>
      <c r="E215" s="85"/>
      <c r="F215" s="21" t="s">
        <v>65</v>
      </c>
      <c r="G215" s="67">
        <v>58</v>
      </c>
      <c r="H215" s="68"/>
      <c r="I215" s="86"/>
      <c r="J215" s="87"/>
      <c r="K215" s="88"/>
      <c r="L215" s="69">
        <f t="shared" si="14"/>
        <v>0</v>
      </c>
      <c r="M215" s="70"/>
      <c r="N215" s="8"/>
      <c r="O215" s="1"/>
      <c r="P215" s="30">
        <v>3600</v>
      </c>
      <c r="Q215" s="38">
        <f t="shared" si="15"/>
        <v>208800</v>
      </c>
      <c r="R215" s="28">
        <f t="shared" si="16"/>
        <v>0</v>
      </c>
    </row>
    <row r="216" spans="1:18">
      <c r="A216" s="83" t="s">
        <v>81</v>
      </c>
      <c r="B216" s="84"/>
      <c r="C216" s="84"/>
      <c r="D216" s="84"/>
      <c r="E216" s="85"/>
      <c r="F216" s="21" t="s">
        <v>65</v>
      </c>
      <c r="G216" s="67">
        <v>360</v>
      </c>
      <c r="H216" s="68"/>
      <c r="I216" s="86"/>
      <c r="J216" s="87"/>
      <c r="K216" s="88"/>
      <c r="L216" s="69">
        <f t="shared" si="14"/>
        <v>0</v>
      </c>
      <c r="M216" s="70"/>
      <c r="N216" s="8"/>
      <c r="O216" s="1"/>
      <c r="P216" s="30">
        <v>230</v>
      </c>
      <c r="Q216" s="38">
        <f t="shared" si="15"/>
        <v>82800</v>
      </c>
      <c r="R216" s="28">
        <f t="shared" si="16"/>
        <v>0</v>
      </c>
    </row>
    <row r="217" spans="1:18">
      <c r="A217" s="83" t="s">
        <v>82</v>
      </c>
      <c r="B217" s="84"/>
      <c r="C217" s="84"/>
      <c r="D217" s="84"/>
      <c r="E217" s="85"/>
      <c r="F217" s="21" t="s">
        <v>65</v>
      </c>
      <c r="G217" s="67">
        <v>2400</v>
      </c>
      <c r="H217" s="68"/>
      <c r="I217" s="86"/>
      <c r="J217" s="87"/>
      <c r="K217" s="88"/>
      <c r="L217" s="69">
        <f t="shared" si="14"/>
        <v>0</v>
      </c>
      <c r="M217" s="70"/>
      <c r="N217" s="8"/>
      <c r="O217" s="1"/>
      <c r="P217" s="30">
        <v>80</v>
      </c>
      <c r="Q217" s="38">
        <f t="shared" si="15"/>
        <v>192000</v>
      </c>
      <c r="R217" s="28">
        <f t="shared" si="16"/>
        <v>0</v>
      </c>
    </row>
    <row r="218" spans="1:18">
      <c r="A218" s="89" t="s">
        <v>83</v>
      </c>
      <c r="B218" s="90"/>
      <c r="C218" s="90"/>
      <c r="D218" s="90"/>
      <c r="E218" s="91"/>
      <c r="F218" s="21" t="s">
        <v>65</v>
      </c>
      <c r="G218" s="67">
        <v>360</v>
      </c>
      <c r="H218" s="68"/>
      <c r="I218" s="86"/>
      <c r="J218" s="87"/>
      <c r="K218" s="88"/>
      <c r="L218" s="69">
        <f t="shared" si="14"/>
        <v>0</v>
      </c>
      <c r="M218" s="70"/>
      <c r="N218" s="8"/>
      <c r="O218" s="1"/>
      <c r="P218" s="30">
        <v>420</v>
      </c>
      <c r="Q218" s="38">
        <f t="shared" si="15"/>
        <v>151200</v>
      </c>
      <c r="R218" s="28">
        <f t="shared" si="16"/>
        <v>0</v>
      </c>
    </row>
    <row r="219" spans="1:18">
      <c r="A219" s="64" t="s">
        <v>84</v>
      </c>
      <c r="B219" s="65"/>
      <c r="C219" s="65"/>
      <c r="D219" s="65"/>
      <c r="E219" s="66"/>
      <c r="F219" s="21" t="s">
        <v>65</v>
      </c>
      <c r="G219" s="67">
        <v>2760</v>
      </c>
      <c r="H219" s="68"/>
      <c r="I219" s="86"/>
      <c r="J219" s="87"/>
      <c r="K219" s="88"/>
      <c r="L219" s="69">
        <f t="shared" si="14"/>
        <v>0</v>
      </c>
      <c r="M219" s="70"/>
      <c r="N219" s="8"/>
      <c r="O219" s="1"/>
      <c r="P219" s="30">
        <v>460</v>
      </c>
      <c r="Q219" s="38">
        <f t="shared" si="15"/>
        <v>1269600</v>
      </c>
      <c r="R219" s="28">
        <f t="shared" si="16"/>
        <v>0</v>
      </c>
    </row>
    <row r="220" spans="1:18">
      <c r="A220" s="64" t="s">
        <v>85</v>
      </c>
      <c r="B220" s="65"/>
      <c r="C220" s="65"/>
      <c r="D220" s="65"/>
      <c r="E220" s="66"/>
      <c r="F220" s="21" t="s">
        <v>65</v>
      </c>
      <c r="G220" s="67">
        <v>275</v>
      </c>
      <c r="H220" s="68"/>
      <c r="I220" s="86"/>
      <c r="J220" s="87"/>
      <c r="K220" s="88"/>
      <c r="L220" s="69">
        <f t="shared" si="14"/>
        <v>0</v>
      </c>
      <c r="M220" s="70"/>
      <c r="N220" s="8"/>
      <c r="O220" s="1"/>
      <c r="P220" s="31">
        <v>350</v>
      </c>
      <c r="Q220" s="38">
        <f t="shared" si="15"/>
        <v>96250</v>
      </c>
      <c r="R220" s="28">
        <f t="shared" si="16"/>
        <v>0</v>
      </c>
    </row>
    <row r="221" spans="1:18">
      <c r="A221" s="64" t="s">
        <v>86</v>
      </c>
      <c r="B221" s="65"/>
      <c r="C221" s="65"/>
      <c r="D221" s="65"/>
      <c r="E221" s="66"/>
      <c r="F221" s="21" t="s">
        <v>60</v>
      </c>
      <c r="G221" s="67">
        <v>1</v>
      </c>
      <c r="H221" s="68"/>
      <c r="I221" s="86"/>
      <c r="J221" s="87"/>
      <c r="K221" s="88"/>
      <c r="L221" s="69">
        <f t="shared" si="14"/>
        <v>0</v>
      </c>
      <c r="M221" s="70"/>
      <c r="N221" s="8"/>
      <c r="O221" s="2"/>
      <c r="P221" s="30">
        <v>40000</v>
      </c>
      <c r="Q221" s="38">
        <f t="shared" si="15"/>
        <v>40000</v>
      </c>
      <c r="R221" s="28">
        <f t="shared" si="16"/>
        <v>0</v>
      </c>
    </row>
    <row r="222" spans="1:18">
      <c r="A222" s="83" t="s">
        <v>87</v>
      </c>
      <c r="B222" s="84"/>
      <c r="C222" s="84"/>
      <c r="D222" s="84"/>
      <c r="E222" s="85"/>
      <c r="F222" s="20" t="s">
        <v>60</v>
      </c>
      <c r="G222" s="67">
        <v>1</v>
      </c>
      <c r="H222" s="68"/>
      <c r="I222" s="86"/>
      <c r="J222" s="87"/>
      <c r="K222" s="88"/>
      <c r="L222" s="69">
        <f t="shared" si="14"/>
        <v>0</v>
      </c>
      <c r="M222" s="70"/>
      <c r="N222" s="8"/>
      <c r="O222" s="1"/>
      <c r="P222" s="31">
        <v>276970</v>
      </c>
      <c r="Q222" s="38">
        <f t="shared" si="15"/>
        <v>276970</v>
      </c>
      <c r="R222" s="28">
        <f t="shared" si="16"/>
        <v>0</v>
      </c>
    </row>
    <row r="223" spans="1:18">
      <c r="A223" s="83" t="s">
        <v>88</v>
      </c>
      <c r="B223" s="84"/>
      <c r="C223" s="84"/>
      <c r="D223" s="84"/>
      <c r="E223" s="85"/>
      <c r="F223" s="20" t="s">
        <v>60</v>
      </c>
      <c r="G223" s="67">
        <v>1</v>
      </c>
      <c r="H223" s="68"/>
      <c r="I223" s="26"/>
      <c r="J223" s="23"/>
      <c r="K223" s="24"/>
      <c r="L223" s="69">
        <f t="shared" si="14"/>
        <v>0</v>
      </c>
      <c r="M223" s="70"/>
      <c r="N223" s="25"/>
      <c r="O223" s="1"/>
      <c r="P223" s="32">
        <v>60873</v>
      </c>
      <c r="Q223" s="38">
        <f t="shared" si="15"/>
        <v>60873</v>
      </c>
      <c r="R223" s="28">
        <f t="shared" si="16"/>
        <v>0</v>
      </c>
    </row>
    <row r="224" spans="1:18">
      <c r="A224" s="83" t="s">
        <v>89</v>
      </c>
      <c r="B224" s="84"/>
      <c r="C224" s="84"/>
      <c r="D224" s="84"/>
      <c r="E224" s="85"/>
      <c r="F224" s="20" t="s">
        <v>60</v>
      </c>
      <c r="G224" s="67">
        <v>1</v>
      </c>
      <c r="H224" s="68"/>
      <c r="I224" s="26"/>
      <c r="J224" s="23"/>
      <c r="K224" s="24"/>
      <c r="L224" s="69">
        <f t="shared" si="14"/>
        <v>0</v>
      </c>
      <c r="M224" s="70"/>
      <c r="N224" s="25"/>
      <c r="O224" s="1"/>
      <c r="P224" s="32">
        <v>60873</v>
      </c>
      <c r="Q224" s="38">
        <f t="shared" si="15"/>
        <v>60873</v>
      </c>
      <c r="R224" s="28">
        <f t="shared" si="16"/>
        <v>0</v>
      </c>
    </row>
    <row r="225" spans="1:19">
      <c r="A225" s="83" t="s">
        <v>90</v>
      </c>
      <c r="B225" s="84"/>
      <c r="C225" s="84"/>
      <c r="D225" s="84"/>
      <c r="E225" s="85"/>
      <c r="F225" s="20" t="s">
        <v>60</v>
      </c>
      <c r="G225" s="67">
        <v>1</v>
      </c>
      <c r="H225" s="68"/>
      <c r="I225" s="26"/>
      <c r="J225" s="23"/>
      <c r="K225" s="24"/>
      <c r="L225" s="69">
        <f t="shared" si="14"/>
        <v>0</v>
      </c>
      <c r="M225" s="70"/>
      <c r="N225" s="25"/>
      <c r="O225" s="1"/>
      <c r="P225" s="34">
        <v>266321</v>
      </c>
      <c r="Q225" s="38">
        <f t="shared" si="15"/>
        <v>266321</v>
      </c>
      <c r="R225" s="28">
        <f t="shared" si="16"/>
        <v>0</v>
      </c>
    </row>
    <row r="226" spans="1:19">
      <c r="A226" s="83" t="s">
        <v>91</v>
      </c>
      <c r="B226" s="84"/>
      <c r="C226" s="84"/>
      <c r="D226" s="84"/>
      <c r="E226" s="85"/>
      <c r="F226" s="2" t="s">
        <v>60</v>
      </c>
      <c r="G226" s="67">
        <v>1</v>
      </c>
      <c r="H226" s="68"/>
      <c r="I226" s="26"/>
      <c r="J226" s="23"/>
      <c r="K226" s="24"/>
      <c r="L226" s="69">
        <f t="shared" si="14"/>
        <v>1</v>
      </c>
      <c r="M226" s="70"/>
      <c r="N226" s="25"/>
      <c r="O226" s="1"/>
      <c r="P226" s="32">
        <v>13316</v>
      </c>
      <c r="Q226" s="38">
        <f t="shared" si="15"/>
        <v>13316</v>
      </c>
      <c r="R226" s="28">
        <f t="shared" si="16"/>
        <v>13316</v>
      </c>
    </row>
    <row r="227" spans="1:19">
      <c r="A227" s="83" t="s">
        <v>92</v>
      </c>
      <c r="B227" s="84"/>
      <c r="C227" s="84"/>
      <c r="D227" s="84"/>
      <c r="E227" s="85"/>
      <c r="F227" s="20" t="s">
        <v>60</v>
      </c>
      <c r="G227" s="67">
        <v>1</v>
      </c>
      <c r="H227" s="68"/>
      <c r="I227" s="26"/>
      <c r="J227" s="23"/>
      <c r="K227" s="24"/>
      <c r="L227" s="69">
        <f t="shared" si="14"/>
        <v>0</v>
      </c>
      <c r="M227" s="70"/>
      <c r="N227" s="25"/>
      <c r="O227" s="1"/>
      <c r="P227" s="32">
        <v>210299</v>
      </c>
      <c r="Q227" s="38">
        <f t="shared" si="15"/>
        <v>210299</v>
      </c>
      <c r="R227" s="28">
        <f t="shared" si="16"/>
        <v>0</v>
      </c>
    </row>
    <row r="228" spans="1:19">
      <c r="A228" s="64"/>
      <c r="B228" s="65"/>
      <c r="C228" s="65"/>
      <c r="D228" s="65"/>
      <c r="E228" s="66"/>
      <c r="F228" s="22"/>
      <c r="G228" s="67"/>
      <c r="H228" s="68"/>
      <c r="I228" s="26"/>
      <c r="J228" s="23"/>
      <c r="K228" s="24"/>
      <c r="L228" s="69"/>
      <c r="M228" s="70"/>
      <c r="N228" s="25"/>
      <c r="O228" s="3"/>
      <c r="P228" s="32"/>
      <c r="Q228" s="33">
        <f>SUM(Q202:Q227)</f>
        <v>4416270</v>
      </c>
      <c r="R228" s="29">
        <f>SUM(R202:R227)</f>
        <v>208316</v>
      </c>
    </row>
    <row r="229" spans="1:19">
      <c r="A229" s="64"/>
      <c r="B229" s="65"/>
      <c r="C229" s="65"/>
      <c r="D229" s="65"/>
      <c r="E229" s="66"/>
      <c r="F229" s="22"/>
      <c r="G229" s="67"/>
      <c r="H229" s="68"/>
      <c r="I229" s="26"/>
      <c r="J229" s="23"/>
      <c r="K229" s="24"/>
      <c r="L229" s="69"/>
      <c r="M229" s="70"/>
      <c r="N229" s="25"/>
      <c r="O229" s="3"/>
      <c r="P229" s="32"/>
      <c r="Q229" s="33"/>
      <c r="R229" s="37">
        <f>R228/Q228</f>
        <v>4.7170123203517898E-2</v>
      </c>
    </row>
    <row r="230" spans="1:19">
      <c r="A230" s="62" t="s">
        <v>14</v>
      </c>
      <c r="B230" s="62"/>
      <c r="C230" s="62"/>
      <c r="D230" s="62"/>
      <c r="E230" s="62"/>
      <c r="F230" s="62"/>
      <c r="G230" s="62"/>
      <c r="H230" s="62"/>
      <c r="I230" s="62"/>
      <c r="J230" s="62"/>
      <c r="K230" s="62"/>
      <c r="L230" s="62"/>
      <c r="M230" s="62"/>
      <c r="N230" s="62"/>
      <c r="O230" s="1"/>
      <c r="P230" s="32"/>
      <c r="Q230" s="33"/>
      <c r="R230" s="29"/>
      <c r="S230" s="16"/>
    </row>
    <row r="231" spans="1:19">
      <c r="A231" s="71" t="s">
        <v>15</v>
      </c>
      <c r="B231" s="72"/>
      <c r="C231" s="72"/>
      <c r="D231" s="72"/>
      <c r="E231" s="73"/>
      <c r="F231" s="9" t="s">
        <v>37</v>
      </c>
      <c r="G231" s="71" t="s">
        <v>38</v>
      </c>
      <c r="H231" s="73"/>
      <c r="I231" s="71" t="s">
        <v>42</v>
      </c>
      <c r="J231" s="72"/>
      <c r="K231" s="73"/>
      <c r="L231" s="74" t="s">
        <v>17</v>
      </c>
      <c r="M231" s="75"/>
      <c r="N231" s="9" t="s">
        <v>13</v>
      </c>
      <c r="O231" s="1"/>
      <c r="P231" s="32"/>
      <c r="Q231" s="33"/>
      <c r="R231" s="29"/>
      <c r="S231" s="16"/>
    </row>
    <row r="232" spans="1:19">
      <c r="A232" s="71"/>
      <c r="B232" s="72"/>
      <c r="C232" s="72"/>
      <c r="D232" s="72"/>
      <c r="E232" s="73"/>
      <c r="F232" s="13"/>
      <c r="G232" s="76"/>
      <c r="H232" s="77"/>
      <c r="I232" s="78"/>
      <c r="J232" s="79"/>
      <c r="K232" s="80"/>
      <c r="L232" s="81"/>
      <c r="M232" s="82"/>
      <c r="N232" s="8"/>
      <c r="O232" s="1"/>
      <c r="P232" s="32"/>
      <c r="Q232" s="33"/>
      <c r="R232" s="29"/>
      <c r="S232" s="16"/>
    </row>
    <row r="233" spans="1:19">
      <c r="A233" s="62" t="s">
        <v>19</v>
      </c>
      <c r="B233" s="62"/>
      <c r="C233" s="62"/>
      <c r="D233" s="62"/>
      <c r="E233" s="62"/>
      <c r="F233" s="62"/>
      <c r="G233" s="62"/>
      <c r="H233" s="62"/>
      <c r="I233" s="62"/>
      <c r="J233" s="62"/>
      <c r="K233" s="62"/>
      <c r="L233" s="62"/>
      <c r="M233" s="62"/>
      <c r="N233" s="62"/>
      <c r="O233" s="1"/>
      <c r="P233" s="32"/>
      <c r="Q233" s="33"/>
      <c r="R233" s="29"/>
      <c r="S233" s="16"/>
    </row>
    <row r="234" spans="1:19">
      <c r="A234" s="63" t="s">
        <v>20</v>
      </c>
      <c r="B234" s="63"/>
      <c r="C234" s="63" t="s">
        <v>21</v>
      </c>
      <c r="D234" s="63"/>
      <c r="E234" s="63" t="s">
        <v>22</v>
      </c>
      <c r="F234" s="63"/>
      <c r="G234" s="63" t="s">
        <v>23</v>
      </c>
      <c r="H234" s="63"/>
      <c r="I234" s="63"/>
      <c r="J234" s="63" t="s">
        <v>16</v>
      </c>
      <c r="K234" s="63"/>
      <c r="L234" s="63"/>
      <c r="M234" s="63" t="s">
        <v>17</v>
      </c>
      <c r="N234" s="63"/>
      <c r="O234" s="1"/>
      <c r="Q234" s="32"/>
      <c r="R234" s="33"/>
      <c r="S234" s="16"/>
    </row>
    <row r="235" spans="1:19">
      <c r="A235" s="60" t="s">
        <v>24</v>
      </c>
      <c r="B235" s="52"/>
      <c r="C235" s="61"/>
      <c r="D235" s="61"/>
      <c r="E235" s="61">
        <f>C235+E174</f>
        <v>5</v>
      </c>
      <c r="F235" s="61"/>
      <c r="G235" s="60" t="s">
        <v>51</v>
      </c>
      <c r="H235" s="51"/>
      <c r="I235" s="52"/>
      <c r="J235" s="61"/>
      <c r="K235" s="61"/>
      <c r="L235" s="61"/>
      <c r="M235" s="61">
        <f>K235+M174</f>
        <v>1</v>
      </c>
      <c r="N235" s="61"/>
      <c r="O235" s="1"/>
      <c r="Q235" s="32"/>
      <c r="R235" s="33"/>
      <c r="S235" s="16"/>
    </row>
    <row r="236" spans="1:19">
      <c r="A236" s="60" t="s">
        <v>25</v>
      </c>
      <c r="B236" s="52"/>
      <c r="C236" s="61"/>
      <c r="D236" s="61"/>
      <c r="E236" s="61">
        <f>C236+E175</f>
        <v>4</v>
      </c>
      <c r="F236" s="61"/>
      <c r="G236" s="60" t="s">
        <v>50</v>
      </c>
      <c r="H236" s="51"/>
      <c r="I236" s="52"/>
      <c r="J236" s="61"/>
      <c r="K236" s="61"/>
      <c r="L236" s="61"/>
      <c r="M236" s="61">
        <f>K236+M175</f>
        <v>1</v>
      </c>
      <c r="N236" s="61"/>
      <c r="O236" s="1"/>
      <c r="Q236" s="32"/>
      <c r="R236" s="33"/>
      <c r="S236" s="16"/>
    </row>
    <row r="237" spans="1:19">
      <c r="A237" s="60"/>
      <c r="B237" s="52"/>
      <c r="C237" s="61"/>
      <c r="D237" s="61"/>
      <c r="E237" s="61"/>
      <c r="F237" s="61"/>
      <c r="G237" s="60" t="s">
        <v>55</v>
      </c>
      <c r="H237" s="51"/>
      <c r="I237" s="52"/>
      <c r="J237" s="61"/>
      <c r="K237" s="61"/>
      <c r="L237" s="61"/>
      <c r="M237" s="61">
        <f>K237+M176</f>
        <v>0</v>
      </c>
      <c r="N237" s="61"/>
      <c r="O237" s="2"/>
      <c r="P237" s="29"/>
      <c r="Q237" s="32"/>
      <c r="R237" s="33"/>
      <c r="S237" s="16"/>
    </row>
    <row r="238" spans="1:19">
      <c r="A238" s="53" t="s">
        <v>53</v>
      </c>
      <c r="B238" s="47"/>
      <c r="C238" s="53"/>
      <c r="D238" s="53"/>
      <c r="E238" s="53"/>
      <c r="F238" s="53"/>
      <c r="G238" s="53"/>
      <c r="H238" s="53"/>
      <c r="I238" s="53"/>
      <c r="J238" s="53"/>
      <c r="K238" s="53"/>
      <c r="L238" s="53"/>
      <c r="M238" s="53"/>
      <c r="N238" s="53"/>
      <c r="O238" s="1"/>
      <c r="P238" s="32"/>
      <c r="Q238" s="32"/>
      <c r="R238" s="33"/>
      <c r="S238" s="16"/>
    </row>
    <row r="239" spans="1:19">
      <c r="A239" s="45" t="s">
        <v>56</v>
      </c>
      <c r="B239" s="46"/>
      <c r="C239" s="46"/>
      <c r="D239" s="46"/>
      <c r="E239" s="46"/>
      <c r="F239" s="46"/>
      <c r="G239" s="46"/>
      <c r="H239" s="46"/>
      <c r="I239" s="46"/>
      <c r="J239" s="46"/>
      <c r="K239" s="46"/>
      <c r="L239" s="46"/>
      <c r="M239" s="46"/>
      <c r="N239" s="47"/>
      <c r="O239" s="1"/>
      <c r="P239" s="32"/>
      <c r="Q239" s="34"/>
      <c r="R239" s="33"/>
      <c r="S239" s="16"/>
    </row>
    <row r="240" spans="1:19">
      <c r="A240" s="54" t="s">
        <v>54</v>
      </c>
      <c r="B240" s="55"/>
      <c r="C240" s="55"/>
      <c r="D240" s="55"/>
      <c r="E240" s="55"/>
      <c r="F240" s="55"/>
      <c r="G240" s="55"/>
      <c r="H240" s="55"/>
      <c r="I240" s="55"/>
      <c r="J240" s="55"/>
      <c r="K240" s="55"/>
      <c r="L240" s="55"/>
      <c r="M240" s="55"/>
      <c r="N240" s="56"/>
      <c r="O240" s="1"/>
      <c r="P240" s="32"/>
      <c r="Q240" s="32"/>
      <c r="R240" s="33"/>
      <c r="S240" s="16"/>
    </row>
    <row r="241" spans="1:19">
      <c r="A241" s="40" t="s">
        <v>26</v>
      </c>
      <c r="B241" s="41"/>
      <c r="C241" s="40"/>
      <c r="D241" s="40"/>
      <c r="E241" s="40"/>
      <c r="F241" s="40"/>
      <c r="G241" s="40"/>
      <c r="H241" s="40"/>
      <c r="I241" s="40"/>
      <c r="J241" s="40"/>
      <c r="K241" s="40"/>
      <c r="L241" s="40"/>
      <c r="M241" s="40"/>
      <c r="N241" s="40"/>
      <c r="O241" s="1"/>
      <c r="P241" s="32"/>
      <c r="Q241" s="32"/>
      <c r="R241" s="33"/>
      <c r="S241" s="16"/>
    </row>
    <row r="242" spans="1:19">
      <c r="A242" s="57" t="s">
        <v>27</v>
      </c>
      <c r="B242" s="58"/>
      <c r="C242" s="58"/>
      <c r="D242" s="58"/>
      <c r="E242" s="58"/>
      <c r="F242" s="58"/>
      <c r="G242" s="58"/>
      <c r="H242" s="58"/>
      <c r="I242" s="58"/>
      <c r="J242" s="58"/>
      <c r="K242" s="58"/>
      <c r="L242" s="58"/>
      <c r="M242" s="58"/>
      <c r="N242" s="59"/>
      <c r="O242" s="1"/>
      <c r="P242" s="34"/>
      <c r="Q242" s="34"/>
      <c r="R242" s="33"/>
      <c r="S242" s="16"/>
    </row>
    <row r="243" spans="1:19">
      <c r="A243" s="57" t="s">
        <v>57</v>
      </c>
      <c r="B243" s="58"/>
      <c r="C243" s="58"/>
      <c r="D243" s="58"/>
      <c r="E243" s="58"/>
      <c r="F243" s="58"/>
      <c r="G243" s="58"/>
      <c r="H243" s="58"/>
      <c r="I243" s="58"/>
      <c r="J243" s="58"/>
      <c r="K243" s="58"/>
      <c r="L243" s="58"/>
      <c r="M243" s="58"/>
      <c r="N243" s="59"/>
      <c r="O243" s="1"/>
      <c r="P243" s="32"/>
      <c r="Q243" s="32"/>
      <c r="R243" s="33"/>
      <c r="S243" s="16"/>
    </row>
    <row r="244" spans="1:19">
      <c r="A244" s="57" t="s">
        <v>58</v>
      </c>
      <c r="B244" s="58"/>
      <c r="C244" s="58"/>
      <c r="D244" s="58"/>
      <c r="E244" s="58"/>
      <c r="F244" s="58"/>
      <c r="G244" s="58"/>
      <c r="H244" s="58"/>
      <c r="I244" s="58"/>
      <c r="J244" s="58"/>
      <c r="K244" s="58"/>
      <c r="L244" s="58"/>
      <c r="M244" s="58"/>
      <c r="N244" s="59"/>
      <c r="O244" s="1"/>
      <c r="P244" s="32"/>
      <c r="Q244" s="32"/>
      <c r="R244" s="33"/>
      <c r="S244" s="16"/>
    </row>
    <row r="245" spans="1:19">
      <c r="A245" s="57" t="s">
        <v>59</v>
      </c>
      <c r="B245" s="58"/>
      <c r="C245" s="58"/>
      <c r="D245" s="58"/>
      <c r="E245" s="58"/>
      <c r="F245" s="58"/>
      <c r="G245" s="58"/>
      <c r="H245" s="58"/>
      <c r="I245" s="58"/>
      <c r="J245" s="58"/>
      <c r="K245" s="58"/>
      <c r="L245" s="58"/>
      <c r="M245" s="58"/>
      <c r="N245" s="59"/>
      <c r="O245" s="1"/>
      <c r="P245" s="32"/>
      <c r="Q245" s="34"/>
      <c r="R245" s="33"/>
      <c r="S245" s="16"/>
    </row>
    <row r="246" spans="1:19">
      <c r="A246" s="57" t="s">
        <v>28</v>
      </c>
      <c r="B246" s="58"/>
      <c r="C246" s="58"/>
      <c r="D246" s="58"/>
      <c r="E246" s="58"/>
      <c r="F246" s="58"/>
      <c r="G246" s="58"/>
      <c r="H246" s="58"/>
      <c r="I246" s="58"/>
      <c r="J246" s="58"/>
      <c r="K246" s="58"/>
      <c r="L246" s="58"/>
      <c r="M246" s="58"/>
      <c r="N246" s="59"/>
      <c r="O246" s="1"/>
      <c r="P246" s="34"/>
      <c r="Q246" s="32"/>
      <c r="R246" s="33"/>
      <c r="S246" s="16"/>
    </row>
    <row r="247" spans="1:19">
      <c r="A247" s="40" t="s">
        <v>29</v>
      </c>
      <c r="B247" s="41"/>
      <c r="C247" s="40"/>
      <c r="D247" s="40"/>
      <c r="E247" s="40"/>
      <c r="F247" s="40"/>
      <c r="G247" s="40"/>
      <c r="H247" s="40"/>
      <c r="I247" s="40"/>
      <c r="J247" s="40"/>
      <c r="K247" s="40"/>
      <c r="L247" s="40"/>
      <c r="M247" s="40"/>
      <c r="N247" s="40"/>
      <c r="O247" s="1"/>
      <c r="P247" s="32"/>
      <c r="Q247" s="32"/>
      <c r="R247" s="33"/>
      <c r="S247" s="16"/>
    </row>
    <row r="248" spans="1:19">
      <c r="A248" s="42"/>
      <c r="B248" s="43"/>
      <c r="C248" s="43"/>
      <c r="D248" s="43"/>
      <c r="E248" s="43"/>
      <c r="F248" s="43"/>
      <c r="G248" s="43"/>
      <c r="H248" s="43"/>
      <c r="I248" s="43"/>
      <c r="J248" s="43"/>
      <c r="K248" s="43"/>
      <c r="L248" s="43"/>
      <c r="M248" s="43"/>
      <c r="N248" s="44"/>
      <c r="O248" s="1"/>
      <c r="P248" s="32"/>
      <c r="Q248" s="32"/>
      <c r="R248" s="33"/>
      <c r="S248" s="16"/>
    </row>
    <row r="249" spans="1:19">
      <c r="A249" s="40" t="s">
        <v>30</v>
      </c>
      <c r="B249" s="41"/>
      <c r="C249" s="40"/>
      <c r="D249" s="40"/>
      <c r="E249" s="40"/>
      <c r="F249" s="40"/>
      <c r="G249" s="40"/>
      <c r="H249" s="40"/>
      <c r="I249" s="40"/>
      <c r="J249" s="40"/>
      <c r="K249" s="40"/>
      <c r="L249" s="40"/>
      <c r="M249" s="40"/>
      <c r="N249" s="40"/>
      <c r="O249" s="1"/>
      <c r="P249" s="32"/>
      <c r="Q249" s="32"/>
      <c r="R249" s="33"/>
      <c r="S249" s="16"/>
    </row>
    <row r="250" spans="1:19">
      <c r="A250" s="42"/>
      <c r="B250" s="43"/>
      <c r="C250" s="43"/>
      <c r="D250" s="43"/>
      <c r="E250" s="43"/>
      <c r="F250" s="43"/>
      <c r="G250" s="43"/>
      <c r="H250" s="43"/>
      <c r="I250" s="43"/>
      <c r="J250" s="43"/>
      <c r="K250" s="43"/>
      <c r="L250" s="43"/>
      <c r="M250" s="43"/>
      <c r="N250" s="44"/>
      <c r="O250" s="1"/>
      <c r="P250" s="32"/>
      <c r="Q250" s="32"/>
      <c r="R250" s="33"/>
      <c r="S250" s="16"/>
    </row>
    <row r="251" spans="1:19">
      <c r="A251" s="40" t="s">
        <v>97</v>
      </c>
      <c r="B251" s="41"/>
      <c r="C251" s="40"/>
      <c r="D251" s="40"/>
      <c r="E251" s="40"/>
      <c r="F251" s="40"/>
      <c r="G251" s="40"/>
      <c r="H251" s="40"/>
      <c r="I251" s="40"/>
      <c r="J251" s="40"/>
      <c r="K251" s="40"/>
      <c r="L251" s="40"/>
      <c r="M251" s="40"/>
      <c r="N251" s="40"/>
      <c r="O251" s="1"/>
      <c r="P251" s="32"/>
      <c r="Q251" s="32"/>
      <c r="R251" s="33"/>
      <c r="S251" s="17"/>
    </row>
    <row r="252" spans="1:19">
      <c r="A252" s="45"/>
      <c r="B252" s="46"/>
      <c r="C252" s="46"/>
      <c r="D252" s="46"/>
      <c r="E252" s="46"/>
      <c r="F252" s="46"/>
      <c r="G252" s="46"/>
      <c r="H252" s="46"/>
      <c r="I252" s="46"/>
      <c r="J252" s="46"/>
      <c r="K252" s="46"/>
      <c r="L252" s="46"/>
      <c r="M252" s="46"/>
      <c r="N252" s="47"/>
      <c r="O252" s="1"/>
      <c r="P252" s="32"/>
      <c r="Q252" s="32"/>
      <c r="R252" s="33"/>
      <c r="S252" s="1"/>
    </row>
    <row r="253" spans="1:19">
      <c r="A253" s="48" t="s">
        <v>41</v>
      </c>
      <c r="B253" s="49"/>
      <c r="C253" s="50"/>
      <c r="D253" s="50"/>
      <c r="E253" s="50"/>
      <c r="F253" s="50"/>
      <c r="G253" s="50"/>
      <c r="H253" s="51"/>
      <c r="I253" s="51"/>
      <c r="J253" s="51"/>
      <c r="K253" s="51"/>
      <c r="L253" s="51"/>
      <c r="M253" s="51"/>
      <c r="N253" s="52"/>
      <c r="O253" s="1"/>
      <c r="P253" s="32"/>
      <c r="Q253" s="32"/>
      <c r="R253" s="33"/>
      <c r="S253" s="1"/>
    </row>
    <row r="254" spans="1:19" ht="28.2">
      <c r="A254" s="1" t="s">
        <v>45</v>
      </c>
      <c r="B254" s="7">
        <f>B193+1</f>
        <v>5</v>
      </c>
      <c r="C254" s="5"/>
      <c r="D254" s="5"/>
      <c r="E254" s="5"/>
      <c r="F254" s="5"/>
      <c r="G254" s="5"/>
      <c r="H254" s="5"/>
      <c r="I254" s="5"/>
      <c r="J254" s="5"/>
      <c r="K254" s="5"/>
      <c r="L254" s="5"/>
      <c r="M254" s="5"/>
      <c r="N254" s="5"/>
      <c r="O254" s="1"/>
      <c r="P254" s="32"/>
      <c r="Q254" s="33"/>
      <c r="R254" s="29"/>
    </row>
    <row r="255" spans="1:19">
      <c r="A255" s="1" t="s">
        <v>46</v>
      </c>
      <c r="B255" s="1" t="s">
        <v>1</v>
      </c>
      <c r="C255" s="1" t="s">
        <v>2</v>
      </c>
      <c r="D255" s="1" t="s">
        <v>3</v>
      </c>
      <c r="E255" s="1" t="s">
        <v>2</v>
      </c>
      <c r="F255" s="1"/>
      <c r="G255" s="1"/>
      <c r="H255" s="112" t="s">
        <v>4</v>
      </c>
      <c r="I255" s="112"/>
      <c r="J255" s="113">
        <f>J194+1</f>
        <v>46216</v>
      </c>
      <c r="K255" s="113"/>
      <c r="L255" s="113"/>
      <c r="M255" s="114">
        <f>J255</f>
        <v>46216</v>
      </c>
      <c r="N255" s="114"/>
      <c r="O255" s="1"/>
      <c r="P255" s="32"/>
      <c r="Q255" s="33"/>
      <c r="R255" s="29"/>
    </row>
    <row r="256" spans="1:19">
      <c r="A256" s="8" t="s">
        <v>5</v>
      </c>
      <c r="B256" s="115">
        <f>B187</f>
        <v>0</v>
      </c>
      <c r="C256" s="116"/>
      <c r="D256" s="116"/>
      <c r="E256" s="116"/>
      <c r="F256" s="116"/>
      <c r="G256" s="117"/>
      <c r="H256" s="63" t="s">
        <v>6</v>
      </c>
      <c r="I256" s="63"/>
      <c r="J256" s="63"/>
      <c r="K256" s="63" t="s">
        <v>52</v>
      </c>
      <c r="L256" s="63"/>
      <c r="M256" s="63"/>
      <c r="N256" s="63"/>
      <c r="O256" s="1"/>
      <c r="P256" s="32"/>
      <c r="Q256" s="33"/>
      <c r="R256" s="29"/>
    </row>
    <row r="257" spans="1:18">
      <c r="A257" s="8" t="s">
        <v>32</v>
      </c>
      <c r="B257" s="10">
        <v>60</v>
      </c>
      <c r="C257" s="11" t="s">
        <v>43</v>
      </c>
      <c r="D257" s="71" t="s">
        <v>7</v>
      </c>
      <c r="E257" s="73"/>
      <c r="F257" s="10">
        <f>F196+1</f>
        <v>5</v>
      </c>
      <c r="G257" s="11" t="s">
        <v>8</v>
      </c>
      <c r="H257" s="9" t="s">
        <v>9</v>
      </c>
      <c r="I257" s="10">
        <f>B257-F257</f>
        <v>55</v>
      </c>
      <c r="J257" s="11" t="s">
        <v>8</v>
      </c>
      <c r="K257" s="118" t="s">
        <v>33</v>
      </c>
      <c r="L257" s="119"/>
      <c r="M257" s="12"/>
      <c r="N257" s="11" t="s">
        <v>8</v>
      </c>
      <c r="O257" s="1"/>
      <c r="P257" s="34"/>
      <c r="Q257" s="33"/>
      <c r="R257" s="29"/>
    </row>
    <row r="258" spans="1:18">
      <c r="A258" s="71" t="s">
        <v>34</v>
      </c>
      <c r="B258" s="72"/>
      <c r="C258" s="73"/>
      <c r="D258" s="120">
        <v>46212</v>
      </c>
      <c r="E258" s="121"/>
      <c r="F258" s="121"/>
      <c r="G258" s="122"/>
      <c r="H258" s="71" t="s">
        <v>35</v>
      </c>
      <c r="I258" s="72"/>
      <c r="J258" s="73"/>
      <c r="K258" s="120">
        <f>D258+59</f>
        <v>46271</v>
      </c>
      <c r="L258" s="121"/>
      <c r="M258" s="121"/>
      <c r="N258" s="122"/>
      <c r="O258" s="1"/>
      <c r="P258" s="32"/>
      <c r="Q258" s="33"/>
      <c r="R258" s="29"/>
    </row>
    <row r="259" spans="1:18">
      <c r="A259" s="92" t="s">
        <v>10</v>
      </c>
      <c r="B259" s="93"/>
      <c r="C259" s="94"/>
      <c r="D259" s="98">
        <f>D198+0.0005/5</f>
        <v>5.0000000000000001E-4</v>
      </c>
      <c r="E259" s="99"/>
      <c r="F259" s="99"/>
      <c r="G259" s="100"/>
      <c r="H259" s="104" t="s">
        <v>36</v>
      </c>
      <c r="I259" s="105"/>
      <c r="J259" s="106"/>
      <c r="K259" s="110">
        <f>R290</f>
        <v>4.943447751156519E-2</v>
      </c>
      <c r="L259" s="105"/>
      <c r="M259" s="105"/>
      <c r="N259" s="106"/>
      <c r="O259" s="1"/>
      <c r="P259" s="32"/>
      <c r="Q259" s="33"/>
      <c r="R259" s="29"/>
    </row>
    <row r="260" spans="1:18">
      <c r="A260" s="95"/>
      <c r="B260" s="96"/>
      <c r="C260" s="97"/>
      <c r="D260" s="101"/>
      <c r="E260" s="102"/>
      <c r="F260" s="102"/>
      <c r="G260" s="103"/>
      <c r="H260" s="107"/>
      <c r="I260" s="108"/>
      <c r="J260" s="109"/>
      <c r="K260" s="107"/>
      <c r="L260" s="108"/>
      <c r="M260" s="108"/>
      <c r="N260" s="109"/>
      <c r="O260" s="1"/>
      <c r="P260" s="32"/>
      <c r="Q260" s="33"/>
      <c r="R260" s="29"/>
    </row>
    <row r="261" spans="1:18">
      <c r="A261" s="62" t="s">
        <v>11</v>
      </c>
      <c r="B261" s="62"/>
      <c r="C261" s="62"/>
      <c r="D261" s="62"/>
      <c r="E261" s="62"/>
      <c r="F261" s="62"/>
      <c r="G261" s="62"/>
      <c r="H261" s="62"/>
      <c r="I261" s="62"/>
      <c r="J261" s="62"/>
      <c r="K261" s="62"/>
      <c r="L261" s="62"/>
      <c r="M261" s="62"/>
      <c r="N261" s="62"/>
      <c r="O261" s="1"/>
      <c r="P261" s="32"/>
      <c r="Q261" s="33"/>
      <c r="R261" s="29"/>
    </row>
    <row r="262" spans="1:18">
      <c r="A262" s="111" t="s">
        <v>12</v>
      </c>
      <c r="B262" s="111"/>
      <c r="C262" s="111"/>
      <c r="D262" s="111"/>
      <c r="E262" s="111"/>
      <c r="F262" s="14" t="s">
        <v>37</v>
      </c>
      <c r="G262" s="111" t="s">
        <v>38</v>
      </c>
      <c r="H262" s="111"/>
      <c r="I262" s="63" t="s">
        <v>39</v>
      </c>
      <c r="J262" s="63"/>
      <c r="K262" s="63"/>
      <c r="L262" s="63" t="s">
        <v>40</v>
      </c>
      <c r="M262" s="63"/>
      <c r="N262" s="9" t="s">
        <v>13</v>
      </c>
      <c r="O262" s="1"/>
      <c r="P262" s="28" t="s">
        <v>47</v>
      </c>
      <c r="Q262" s="29" t="s">
        <v>48</v>
      </c>
      <c r="R262" s="29" t="s">
        <v>49</v>
      </c>
    </row>
    <row r="263" spans="1:18">
      <c r="A263" s="83" t="s">
        <v>67</v>
      </c>
      <c r="B263" s="84"/>
      <c r="C263" s="84"/>
      <c r="D263" s="84"/>
      <c r="E263" s="85"/>
      <c r="F263" s="27" t="s">
        <v>60</v>
      </c>
      <c r="G263" s="67">
        <v>1</v>
      </c>
      <c r="H263" s="68"/>
      <c r="I263" s="86"/>
      <c r="J263" s="87"/>
      <c r="K263" s="88"/>
      <c r="L263" s="69">
        <f>I263+L202</f>
        <v>1</v>
      </c>
      <c r="M263" s="70"/>
      <c r="N263" s="8"/>
      <c r="O263" s="1"/>
      <c r="P263" s="30">
        <v>6000</v>
      </c>
      <c r="Q263" s="38">
        <f>P263*G263</f>
        <v>6000</v>
      </c>
      <c r="R263" s="28">
        <f>L263*P263</f>
        <v>6000</v>
      </c>
    </row>
    <row r="264" spans="1:18">
      <c r="A264" s="83" t="s">
        <v>68</v>
      </c>
      <c r="B264" s="84"/>
      <c r="C264" s="84"/>
      <c r="D264" s="84"/>
      <c r="E264" s="85"/>
      <c r="F264" s="20" t="s">
        <v>60</v>
      </c>
      <c r="G264" s="67">
        <v>1</v>
      </c>
      <c r="H264" s="68"/>
      <c r="I264" s="87"/>
      <c r="J264" s="87"/>
      <c r="K264" s="88"/>
      <c r="L264" s="69">
        <f t="shared" ref="L264:L288" si="17">I264+L203</f>
        <v>0</v>
      </c>
      <c r="M264" s="70"/>
      <c r="N264" s="8"/>
      <c r="O264" s="1"/>
      <c r="P264" s="30">
        <v>193300</v>
      </c>
      <c r="Q264" s="38">
        <f t="shared" ref="Q264:Q288" si="18">P264*G264</f>
        <v>193300</v>
      </c>
      <c r="R264" s="28">
        <f>L264*P264</f>
        <v>0</v>
      </c>
    </row>
    <row r="265" spans="1:18">
      <c r="A265" s="89" t="s">
        <v>69</v>
      </c>
      <c r="B265" s="90"/>
      <c r="C265" s="90"/>
      <c r="D265" s="90"/>
      <c r="E265" s="91"/>
      <c r="F265" s="20" t="s">
        <v>60</v>
      </c>
      <c r="G265" s="67">
        <v>1</v>
      </c>
      <c r="H265" s="68"/>
      <c r="I265" s="87"/>
      <c r="J265" s="87"/>
      <c r="K265" s="88"/>
      <c r="L265" s="69">
        <f t="shared" si="17"/>
        <v>0</v>
      </c>
      <c r="M265" s="70"/>
      <c r="N265" s="8"/>
      <c r="O265" s="1"/>
      <c r="P265" s="30">
        <v>30000</v>
      </c>
      <c r="Q265" s="38">
        <f t="shared" si="18"/>
        <v>30000</v>
      </c>
      <c r="R265" s="28">
        <f>L265*P265</f>
        <v>0</v>
      </c>
    </row>
    <row r="266" spans="1:18">
      <c r="A266" s="64" t="s">
        <v>98</v>
      </c>
      <c r="B266" s="65"/>
      <c r="C266" s="65"/>
      <c r="D266" s="65"/>
      <c r="E266" s="66"/>
      <c r="F266" s="20" t="s">
        <v>60</v>
      </c>
      <c r="G266" s="67">
        <v>1</v>
      </c>
      <c r="H266" s="68"/>
      <c r="I266" s="87">
        <v>1</v>
      </c>
      <c r="J266" s="87"/>
      <c r="K266" s="88"/>
      <c r="L266" s="69">
        <f t="shared" si="17"/>
        <v>1</v>
      </c>
      <c r="M266" s="70"/>
      <c r="N266" s="8"/>
      <c r="O266" s="1"/>
      <c r="P266" s="31">
        <v>10000</v>
      </c>
      <c r="Q266" s="38">
        <f t="shared" si="18"/>
        <v>10000</v>
      </c>
      <c r="R266" s="28">
        <f t="shared" ref="R266:R288" si="19">L266*P266</f>
        <v>10000</v>
      </c>
    </row>
    <row r="267" spans="1:18">
      <c r="A267" s="64" t="s">
        <v>71</v>
      </c>
      <c r="B267" s="65"/>
      <c r="C267" s="65"/>
      <c r="D267" s="65"/>
      <c r="E267" s="66"/>
      <c r="F267" s="20" t="s">
        <v>61</v>
      </c>
      <c r="G267" s="67">
        <v>9</v>
      </c>
      <c r="H267" s="68"/>
      <c r="I267" s="87"/>
      <c r="J267" s="87"/>
      <c r="K267" s="88"/>
      <c r="L267" s="69">
        <f t="shared" si="17"/>
        <v>9</v>
      </c>
      <c r="M267" s="70"/>
      <c r="N267" s="8"/>
      <c r="O267" s="1"/>
      <c r="P267" s="30">
        <v>21000</v>
      </c>
      <c r="Q267" s="38">
        <f t="shared" si="18"/>
        <v>189000</v>
      </c>
      <c r="R267" s="28">
        <f t="shared" si="19"/>
        <v>189000</v>
      </c>
    </row>
    <row r="268" spans="1:18">
      <c r="A268" s="64" t="s">
        <v>72</v>
      </c>
      <c r="B268" s="65"/>
      <c r="C268" s="65"/>
      <c r="D268" s="65"/>
      <c r="E268" s="66"/>
      <c r="F268" s="2" t="s">
        <v>60</v>
      </c>
      <c r="G268" s="67">
        <v>1</v>
      </c>
      <c r="H268" s="68"/>
      <c r="I268" s="87"/>
      <c r="J268" s="87"/>
      <c r="K268" s="88"/>
      <c r="L268" s="69">
        <f t="shared" si="17"/>
        <v>0</v>
      </c>
      <c r="M268" s="70"/>
      <c r="N268" s="8"/>
      <c r="O268" s="1"/>
      <c r="P268" s="30">
        <v>184468</v>
      </c>
      <c r="Q268" s="38">
        <f t="shared" si="18"/>
        <v>184468</v>
      </c>
      <c r="R268" s="28">
        <f t="shared" si="19"/>
        <v>0</v>
      </c>
    </row>
    <row r="269" spans="1:18">
      <c r="A269" s="83" t="s">
        <v>73</v>
      </c>
      <c r="B269" s="84"/>
      <c r="C269" s="84"/>
      <c r="D269" s="84"/>
      <c r="E269" s="85"/>
      <c r="F269" s="20" t="s">
        <v>62</v>
      </c>
      <c r="G269" s="67">
        <v>9</v>
      </c>
      <c r="H269" s="68"/>
      <c r="I269" s="87"/>
      <c r="J269" s="87"/>
      <c r="K269" s="88"/>
      <c r="L269" s="69">
        <f t="shared" si="17"/>
        <v>0</v>
      </c>
      <c r="M269" s="70"/>
      <c r="N269" s="8"/>
      <c r="O269" s="1"/>
      <c r="P269" s="30">
        <v>20000</v>
      </c>
      <c r="Q269" s="38">
        <f t="shared" si="18"/>
        <v>180000</v>
      </c>
      <c r="R269" s="28">
        <f t="shared" si="19"/>
        <v>0</v>
      </c>
    </row>
    <row r="270" spans="1:18">
      <c r="A270" s="83" t="s">
        <v>74</v>
      </c>
      <c r="B270" s="84"/>
      <c r="C270" s="84"/>
      <c r="D270" s="84"/>
      <c r="E270" s="85"/>
      <c r="F270" s="20" t="s">
        <v>63</v>
      </c>
      <c r="G270" s="67">
        <v>52</v>
      </c>
      <c r="H270" s="68"/>
      <c r="I270" s="87"/>
      <c r="J270" s="87"/>
      <c r="K270" s="88"/>
      <c r="L270" s="69">
        <f t="shared" si="17"/>
        <v>0</v>
      </c>
      <c r="M270" s="70"/>
      <c r="N270" s="8"/>
      <c r="O270" s="1"/>
      <c r="P270" s="31">
        <v>2500</v>
      </c>
      <c r="Q270" s="38">
        <f t="shared" si="18"/>
        <v>130000</v>
      </c>
      <c r="R270" s="28">
        <f t="shared" si="19"/>
        <v>0</v>
      </c>
    </row>
    <row r="271" spans="1:18">
      <c r="A271" s="83" t="s">
        <v>75</v>
      </c>
      <c r="B271" s="84"/>
      <c r="C271" s="84"/>
      <c r="D271" s="84"/>
      <c r="E271" s="85"/>
      <c r="F271" s="20" t="s">
        <v>64</v>
      </c>
      <c r="G271" s="67">
        <v>1</v>
      </c>
      <c r="H271" s="68"/>
      <c r="I271" s="87"/>
      <c r="J271" s="87"/>
      <c r="K271" s="88"/>
      <c r="L271" s="69">
        <f t="shared" si="17"/>
        <v>0</v>
      </c>
      <c r="M271" s="70"/>
      <c r="N271" s="8"/>
      <c r="O271" s="1"/>
      <c r="P271" s="30">
        <v>80000</v>
      </c>
      <c r="Q271" s="38">
        <f t="shared" si="18"/>
        <v>80000</v>
      </c>
      <c r="R271" s="28">
        <f t="shared" si="19"/>
        <v>0</v>
      </c>
    </row>
    <row r="272" spans="1:18">
      <c r="A272" s="89" t="s">
        <v>76</v>
      </c>
      <c r="B272" s="90"/>
      <c r="C272" s="90"/>
      <c r="D272" s="90"/>
      <c r="E272" s="91"/>
      <c r="F272" s="20" t="s">
        <v>65</v>
      </c>
      <c r="G272" s="67">
        <v>31</v>
      </c>
      <c r="H272" s="68"/>
      <c r="I272" s="87"/>
      <c r="J272" s="87"/>
      <c r="K272" s="88"/>
      <c r="L272" s="69">
        <f t="shared" si="17"/>
        <v>0</v>
      </c>
      <c r="M272" s="70"/>
      <c r="N272" s="8"/>
      <c r="O272" s="1"/>
      <c r="P272" s="30">
        <v>400</v>
      </c>
      <c r="Q272" s="38">
        <f t="shared" si="18"/>
        <v>12400</v>
      </c>
      <c r="R272" s="28">
        <f t="shared" si="19"/>
        <v>0</v>
      </c>
    </row>
    <row r="273" spans="1:18">
      <c r="A273" s="64" t="s">
        <v>77</v>
      </c>
      <c r="B273" s="65"/>
      <c r="C273" s="65"/>
      <c r="D273" s="65"/>
      <c r="E273" s="66"/>
      <c r="F273" s="20" t="s">
        <v>65</v>
      </c>
      <c r="G273" s="67">
        <v>100</v>
      </c>
      <c r="H273" s="68"/>
      <c r="I273" s="87"/>
      <c r="J273" s="87"/>
      <c r="K273" s="88"/>
      <c r="L273" s="69">
        <f t="shared" si="17"/>
        <v>0</v>
      </c>
      <c r="M273" s="70"/>
      <c r="N273" s="8"/>
      <c r="O273" s="1"/>
      <c r="P273" s="30">
        <v>350</v>
      </c>
      <c r="Q273" s="38">
        <f t="shared" si="18"/>
        <v>35000</v>
      </c>
      <c r="R273" s="28">
        <f t="shared" si="19"/>
        <v>0</v>
      </c>
    </row>
    <row r="274" spans="1:18">
      <c r="A274" s="64" t="s">
        <v>78</v>
      </c>
      <c r="B274" s="65"/>
      <c r="C274" s="65"/>
      <c r="D274" s="65"/>
      <c r="E274" s="66"/>
      <c r="F274" s="20" t="s">
        <v>63</v>
      </c>
      <c r="G274" s="67">
        <v>35</v>
      </c>
      <c r="H274" s="68"/>
      <c r="I274" s="87"/>
      <c r="J274" s="87"/>
      <c r="K274" s="88"/>
      <c r="L274" s="69">
        <f t="shared" si="17"/>
        <v>0</v>
      </c>
      <c r="M274" s="70"/>
      <c r="N274" s="8"/>
      <c r="O274" s="1"/>
      <c r="P274" s="30">
        <v>1200</v>
      </c>
      <c r="Q274" s="38">
        <f t="shared" si="18"/>
        <v>42000</v>
      </c>
      <c r="R274" s="28">
        <f t="shared" si="19"/>
        <v>0</v>
      </c>
    </row>
    <row r="275" spans="1:18">
      <c r="A275" s="64" t="s">
        <v>79</v>
      </c>
      <c r="B275" s="65"/>
      <c r="C275" s="65"/>
      <c r="D275" s="65"/>
      <c r="E275" s="66"/>
      <c r="F275" s="20" t="s">
        <v>63</v>
      </c>
      <c r="G275" s="67">
        <v>282</v>
      </c>
      <c r="H275" s="68"/>
      <c r="I275" s="86"/>
      <c r="J275" s="87"/>
      <c r="K275" s="88"/>
      <c r="L275" s="69">
        <f t="shared" si="17"/>
        <v>0</v>
      </c>
      <c r="M275" s="70"/>
      <c r="N275" s="8"/>
      <c r="O275" s="1"/>
      <c r="P275" s="30">
        <v>1400</v>
      </c>
      <c r="Q275" s="38">
        <f t="shared" si="18"/>
        <v>394800</v>
      </c>
      <c r="R275" s="28">
        <f t="shared" si="19"/>
        <v>0</v>
      </c>
    </row>
    <row r="276" spans="1:18">
      <c r="A276" s="83" t="s">
        <v>80</v>
      </c>
      <c r="B276" s="84"/>
      <c r="C276" s="84"/>
      <c r="D276" s="84"/>
      <c r="E276" s="85"/>
      <c r="F276" s="21" t="s">
        <v>65</v>
      </c>
      <c r="G276" s="67">
        <v>58</v>
      </c>
      <c r="H276" s="68"/>
      <c r="I276" s="86"/>
      <c r="J276" s="87"/>
      <c r="K276" s="88"/>
      <c r="L276" s="69">
        <f t="shared" si="17"/>
        <v>0</v>
      </c>
      <c r="M276" s="70"/>
      <c r="N276" s="8"/>
      <c r="O276" s="1"/>
      <c r="P276" s="30">
        <v>3600</v>
      </c>
      <c r="Q276" s="38">
        <f t="shared" si="18"/>
        <v>208800</v>
      </c>
      <c r="R276" s="28">
        <f t="shared" si="19"/>
        <v>0</v>
      </c>
    </row>
    <row r="277" spans="1:18">
      <c r="A277" s="83" t="s">
        <v>81</v>
      </c>
      <c r="B277" s="84"/>
      <c r="C277" s="84"/>
      <c r="D277" s="84"/>
      <c r="E277" s="85"/>
      <c r="F277" s="21" t="s">
        <v>65</v>
      </c>
      <c r="G277" s="67">
        <v>360</v>
      </c>
      <c r="H277" s="68"/>
      <c r="I277" s="86"/>
      <c r="J277" s="87"/>
      <c r="K277" s="88"/>
      <c r="L277" s="69">
        <f t="shared" si="17"/>
        <v>0</v>
      </c>
      <c r="M277" s="70"/>
      <c r="N277" s="8"/>
      <c r="O277" s="1"/>
      <c r="P277" s="30">
        <v>230</v>
      </c>
      <c r="Q277" s="38">
        <f t="shared" si="18"/>
        <v>82800</v>
      </c>
      <c r="R277" s="28">
        <f t="shared" si="19"/>
        <v>0</v>
      </c>
    </row>
    <row r="278" spans="1:18">
      <c r="A278" s="83" t="s">
        <v>82</v>
      </c>
      <c r="B278" s="84"/>
      <c r="C278" s="84"/>
      <c r="D278" s="84"/>
      <c r="E278" s="85"/>
      <c r="F278" s="21" t="s">
        <v>65</v>
      </c>
      <c r="G278" s="67">
        <v>2400</v>
      </c>
      <c r="H278" s="68"/>
      <c r="I278" s="86"/>
      <c r="J278" s="87"/>
      <c r="K278" s="88"/>
      <c r="L278" s="69">
        <f t="shared" si="17"/>
        <v>0</v>
      </c>
      <c r="M278" s="70"/>
      <c r="N278" s="8"/>
      <c r="O278" s="1"/>
      <c r="P278" s="30">
        <v>80</v>
      </c>
      <c r="Q278" s="38">
        <f t="shared" si="18"/>
        <v>192000</v>
      </c>
      <c r="R278" s="28">
        <f t="shared" si="19"/>
        <v>0</v>
      </c>
    </row>
    <row r="279" spans="1:18">
      <c r="A279" s="89" t="s">
        <v>83</v>
      </c>
      <c r="B279" s="90"/>
      <c r="C279" s="90"/>
      <c r="D279" s="90"/>
      <c r="E279" s="91"/>
      <c r="F279" s="21" t="s">
        <v>65</v>
      </c>
      <c r="G279" s="67">
        <v>360</v>
      </c>
      <c r="H279" s="68"/>
      <c r="I279" s="86"/>
      <c r="J279" s="87"/>
      <c r="K279" s="88"/>
      <c r="L279" s="69">
        <f t="shared" si="17"/>
        <v>0</v>
      </c>
      <c r="M279" s="70"/>
      <c r="N279" s="8"/>
      <c r="O279" s="1"/>
      <c r="P279" s="30">
        <v>420</v>
      </c>
      <c r="Q279" s="38">
        <f t="shared" si="18"/>
        <v>151200</v>
      </c>
      <c r="R279" s="28">
        <f t="shared" si="19"/>
        <v>0</v>
      </c>
    </row>
    <row r="280" spans="1:18">
      <c r="A280" s="64" t="s">
        <v>84</v>
      </c>
      <c r="B280" s="65"/>
      <c r="C280" s="65"/>
      <c r="D280" s="65"/>
      <c r="E280" s="66"/>
      <c r="F280" s="21" t="s">
        <v>65</v>
      </c>
      <c r="G280" s="67">
        <v>2760</v>
      </c>
      <c r="H280" s="68"/>
      <c r="I280" s="86"/>
      <c r="J280" s="87"/>
      <c r="K280" s="88"/>
      <c r="L280" s="69">
        <f t="shared" si="17"/>
        <v>0</v>
      </c>
      <c r="M280" s="70"/>
      <c r="N280" s="8"/>
      <c r="O280" s="1"/>
      <c r="P280" s="30">
        <v>460</v>
      </c>
      <c r="Q280" s="38">
        <f t="shared" si="18"/>
        <v>1269600</v>
      </c>
      <c r="R280" s="28">
        <f t="shared" si="19"/>
        <v>0</v>
      </c>
    </row>
    <row r="281" spans="1:18">
      <c r="A281" s="64" t="s">
        <v>85</v>
      </c>
      <c r="B281" s="65"/>
      <c r="C281" s="65"/>
      <c r="D281" s="65"/>
      <c r="E281" s="66"/>
      <c r="F281" s="21" t="s">
        <v>65</v>
      </c>
      <c r="G281" s="67">
        <v>275</v>
      </c>
      <c r="H281" s="68"/>
      <c r="I281" s="86"/>
      <c r="J281" s="87"/>
      <c r="K281" s="88"/>
      <c r="L281" s="69">
        <f t="shared" si="17"/>
        <v>0</v>
      </c>
      <c r="M281" s="70"/>
      <c r="N281" s="8"/>
      <c r="O281" s="1"/>
      <c r="P281" s="31">
        <v>350</v>
      </c>
      <c r="Q281" s="38">
        <f t="shared" si="18"/>
        <v>96250</v>
      </c>
      <c r="R281" s="28">
        <f t="shared" si="19"/>
        <v>0</v>
      </c>
    </row>
    <row r="282" spans="1:18">
      <c r="A282" s="64" t="s">
        <v>86</v>
      </c>
      <c r="B282" s="65"/>
      <c r="C282" s="65"/>
      <c r="D282" s="65"/>
      <c r="E282" s="66"/>
      <c r="F282" s="21" t="s">
        <v>60</v>
      </c>
      <c r="G282" s="67">
        <v>1</v>
      </c>
      <c r="H282" s="68"/>
      <c r="I282" s="86"/>
      <c r="J282" s="87"/>
      <c r="K282" s="88"/>
      <c r="L282" s="69">
        <f t="shared" si="17"/>
        <v>0</v>
      </c>
      <c r="M282" s="70"/>
      <c r="N282" s="8"/>
      <c r="O282" s="2"/>
      <c r="P282" s="30">
        <v>40000</v>
      </c>
      <c r="Q282" s="38">
        <f t="shared" si="18"/>
        <v>40000</v>
      </c>
      <c r="R282" s="28">
        <f t="shared" si="19"/>
        <v>0</v>
      </c>
    </row>
    <row r="283" spans="1:18">
      <c r="A283" s="83" t="s">
        <v>87</v>
      </c>
      <c r="B283" s="84"/>
      <c r="C283" s="84"/>
      <c r="D283" s="84"/>
      <c r="E283" s="85"/>
      <c r="F283" s="20" t="s">
        <v>60</v>
      </c>
      <c r="G283" s="67">
        <v>1</v>
      </c>
      <c r="H283" s="68"/>
      <c r="I283" s="86"/>
      <c r="J283" s="87"/>
      <c r="K283" s="88"/>
      <c r="L283" s="69">
        <f t="shared" si="17"/>
        <v>0</v>
      </c>
      <c r="M283" s="70"/>
      <c r="N283" s="8"/>
      <c r="O283" s="1"/>
      <c r="P283" s="31">
        <v>276970</v>
      </c>
      <c r="Q283" s="38">
        <f t="shared" si="18"/>
        <v>276970</v>
      </c>
      <c r="R283" s="28">
        <f t="shared" si="19"/>
        <v>0</v>
      </c>
    </row>
    <row r="284" spans="1:18">
      <c r="A284" s="83" t="s">
        <v>88</v>
      </c>
      <c r="B284" s="84"/>
      <c r="C284" s="84"/>
      <c r="D284" s="84"/>
      <c r="E284" s="85"/>
      <c r="F284" s="20" t="s">
        <v>60</v>
      </c>
      <c r="G284" s="67">
        <v>1</v>
      </c>
      <c r="H284" s="68"/>
      <c r="I284" s="26"/>
      <c r="J284" s="23"/>
      <c r="K284" s="24"/>
      <c r="L284" s="69">
        <f t="shared" si="17"/>
        <v>0</v>
      </c>
      <c r="M284" s="70"/>
      <c r="N284" s="25"/>
      <c r="O284" s="1"/>
      <c r="P284" s="32">
        <v>60873</v>
      </c>
      <c r="Q284" s="38">
        <f t="shared" si="18"/>
        <v>60873</v>
      </c>
      <c r="R284" s="28">
        <f t="shared" si="19"/>
        <v>0</v>
      </c>
    </row>
    <row r="285" spans="1:18">
      <c r="A285" s="83" t="s">
        <v>89</v>
      </c>
      <c r="B285" s="84"/>
      <c r="C285" s="84"/>
      <c r="D285" s="84"/>
      <c r="E285" s="85"/>
      <c r="F285" s="20" t="s">
        <v>60</v>
      </c>
      <c r="G285" s="67">
        <v>1</v>
      </c>
      <c r="H285" s="68"/>
      <c r="I285" s="26"/>
      <c r="J285" s="23"/>
      <c r="K285" s="24"/>
      <c r="L285" s="69">
        <f t="shared" si="17"/>
        <v>0</v>
      </c>
      <c r="M285" s="70"/>
      <c r="N285" s="25"/>
      <c r="O285" s="1"/>
      <c r="P285" s="32">
        <v>60873</v>
      </c>
      <c r="Q285" s="38">
        <f t="shared" si="18"/>
        <v>60873</v>
      </c>
      <c r="R285" s="28">
        <f t="shared" si="19"/>
        <v>0</v>
      </c>
    </row>
    <row r="286" spans="1:18">
      <c r="A286" s="83" t="s">
        <v>90</v>
      </c>
      <c r="B286" s="84"/>
      <c r="C286" s="84"/>
      <c r="D286" s="84"/>
      <c r="E286" s="85"/>
      <c r="F286" s="20" t="s">
        <v>60</v>
      </c>
      <c r="G286" s="67">
        <v>1</v>
      </c>
      <c r="H286" s="68"/>
      <c r="I286" s="26"/>
      <c r="J286" s="23"/>
      <c r="K286" s="24"/>
      <c r="L286" s="69">
        <f t="shared" si="17"/>
        <v>0</v>
      </c>
      <c r="M286" s="70"/>
      <c r="N286" s="25"/>
      <c r="O286" s="1"/>
      <c r="P286" s="34">
        <v>266321</v>
      </c>
      <c r="Q286" s="38">
        <f t="shared" si="18"/>
        <v>266321</v>
      </c>
      <c r="R286" s="28">
        <f t="shared" si="19"/>
        <v>0</v>
      </c>
    </row>
    <row r="287" spans="1:18">
      <c r="A287" s="83" t="s">
        <v>91</v>
      </c>
      <c r="B287" s="84"/>
      <c r="C287" s="84"/>
      <c r="D287" s="84"/>
      <c r="E287" s="85"/>
      <c r="F287" s="2" t="s">
        <v>60</v>
      </c>
      <c r="G287" s="67">
        <v>1</v>
      </c>
      <c r="H287" s="68"/>
      <c r="I287" s="26"/>
      <c r="J287" s="23"/>
      <c r="K287" s="24"/>
      <c r="L287" s="69">
        <f t="shared" si="17"/>
        <v>1</v>
      </c>
      <c r="M287" s="70"/>
      <c r="N287" s="25"/>
      <c r="O287" s="1"/>
      <c r="P287" s="32">
        <v>13316</v>
      </c>
      <c r="Q287" s="38">
        <f t="shared" si="18"/>
        <v>13316</v>
      </c>
      <c r="R287" s="28">
        <f t="shared" si="19"/>
        <v>13316</v>
      </c>
    </row>
    <row r="288" spans="1:18">
      <c r="A288" s="83" t="s">
        <v>92</v>
      </c>
      <c r="B288" s="84"/>
      <c r="C288" s="84"/>
      <c r="D288" s="84"/>
      <c r="E288" s="85"/>
      <c r="F288" s="20" t="s">
        <v>60</v>
      </c>
      <c r="G288" s="67">
        <v>1</v>
      </c>
      <c r="H288" s="68"/>
      <c r="I288" s="26"/>
      <c r="J288" s="23"/>
      <c r="K288" s="24"/>
      <c r="L288" s="69">
        <f t="shared" si="17"/>
        <v>0</v>
      </c>
      <c r="M288" s="70"/>
      <c r="N288" s="25"/>
      <c r="O288" s="1"/>
      <c r="P288" s="32">
        <v>210299</v>
      </c>
      <c r="Q288" s="38">
        <f t="shared" si="18"/>
        <v>210299</v>
      </c>
      <c r="R288" s="28">
        <f t="shared" si="19"/>
        <v>0</v>
      </c>
    </row>
    <row r="289" spans="1:19">
      <c r="A289" s="64"/>
      <c r="B289" s="65"/>
      <c r="C289" s="65"/>
      <c r="D289" s="65"/>
      <c r="E289" s="66"/>
      <c r="F289" s="22"/>
      <c r="G289" s="67"/>
      <c r="H289" s="68"/>
      <c r="I289" s="26"/>
      <c r="J289" s="23"/>
      <c r="K289" s="24"/>
      <c r="L289" s="69"/>
      <c r="M289" s="70"/>
      <c r="N289" s="25"/>
      <c r="O289" s="3"/>
      <c r="P289" s="32"/>
      <c r="Q289" s="33">
        <f>SUM(Q263:Q288)</f>
        <v>4416270</v>
      </c>
      <c r="R289" s="29">
        <f>SUM(R263:R288)</f>
        <v>218316</v>
      </c>
    </row>
    <row r="290" spans="1:19">
      <c r="A290" s="64"/>
      <c r="B290" s="65"/>
      <c r="C290" s="65"/>
      <c r="D290" s="65"/>
      <c r="E290" s="66"/>
      <c r="F290" s="22"/>
      <c r="G290" s="67"/>
      <c r="H290" s="68"/>
      <c r="I290" s="26"/>
      <c r="J290" s="23"/>
      <c r="K290" s="24"/>
      <c r="L290" s="69"/>
      <c r="M290" s="70"/>
      <c r="N290" s="25"/>
      <c r="O290" s="3"/>
      <c r="P290" s="32"/>
      <c r="Q290" s="33"/>
      <c r="R290" s="37">
        <f>R289/Q289</f>
        <v>4.943447751156519E-2</v>
      </c>
    </row>
    <row r="291" spans="1:19">
      <c r="A291" s="62" t="s">
        <v>14</v>
      </c>
      <c r="B291" s="62"/>
      <c r="C291" s="62"/>
      <c r="D291" s="62"/>
      <c r="E291" s="62"/>
      <c r="F291" s="62"/>
      <c r="G291" s="62"/>
      <c r="H291" s="62"/>
      <c r="I291" s="62"/>
      <c r="J291" s="62"/>
      <c r="K291" s="62"/>
      <c r="L291" s="62"/>
      <c r="M291" s="62"/>
      <c r="N291" s="62"/>
      <c r="O291" s="1"/>
      <c r="P291" s="32"/>
      <c r="Q291" s="33"/>
      <c r="R291" s="29"/>
      <c r="S291" s="16"/>
    </row>
    <row r="292" spans="1:19">
      <c r="A292" s="71" t="s">
        <v>15</v>
      </c>
      <c r="B292" s="72"/>
      <c r="C292" s="72"/>
      <c r="D292" s="72"/>
      <c r="E292" s="73"/>
      <c r="F292" s="9" t="s">
        <v>37</v>
      </c>
      <c r="G292" s="71" t="s">
        <v>38</v>
      </c>
      <c r="H292" s="73"/>
      <c r="I292" s="71" t="s">
        <v>42</v>
      </c>
      <c r="J292" s="72"/>
      <c r="K292" s="73"/>
      <c r="L292" s="74" t="s">
        <v>17</v>
      </c>
      <c r="M292" s="75"/>
      <c r="N292" s="9" t="s">
        <v>13</v>
      </c>
      <c r="O292" s="1"/>
      <c r="P292" s="32"/>
      <c r="Q292" s="33"/>
      <c r="R292" s="29"/>
      <c r="S292" s="16"/>
    </row>
    <row r="293" spans="1:19">
      <c r="A293" s="71"/>
      <c r="B293" s="72"/>
      <c r="C293" s="72"/>
      <c r="D293" s="72"/>
      <c r="E293" s="73"/>
      <c r="F293" s="13"/>
      <c r="G293" s="76"/>
      <c r="H293" s="77"/>
      <c r="I293" s="78"/>
      <c r="J293" s="79"/>
      <c r="K293" s="80"/>
      <c r="L293" s="81"/>
      <c r="M293" s="82"/>
      <c r="N293" s="8"/>
      <c r="O293" s="1"/>
      <c r="P293" s="32"/>
      <c r="Q293" s="33"/>
      <c r="R293" s="29"/>
      <c r="S293" s="16"/>
    </row>
    <row r="294" spans="1:19">
      <c r="A294" s="62" t="s">
        <v>19</v>
      </c>
      <c r="B294" s="62"/>
      <c r="C294" s="62"/>
      <c r="D294" s="62"/>
      <c r="E294" s="62"/>
      <c r="F294" s="62"/>
      <c r="G294" s="62"/>
      <c r="H294" s="62"/>
      <c r="I294" s="62"/>
      <c r="J294" s="62"/>
      <c r="K294" s="62"/>
      <c r="L294" s="62"/>
      <c r="M294" s="62"/>
      <c r="N294" s="62"/>
      <c r="O294" s="1"/>
      <c r="P294" s="32"/>
      <c r="Q294" s="33"/>
      <c r="R294" s="29"/>
      <c r="S294" s="16"/>
    </row>
    <row r="295" spans="1:19">
      <c r="A295" s="63" t="s">
        <v>20</v>
      </c>
      <c r="B295" s="63"/>
      <c r="C295" s="63" t="s">
        <v>21</v>
      </c>
      <c r="D295" s="63"/>
      <c r="E295" s="63" t="s">
        <v>22</v>
      </c>
      <c r="F295" s="63"/>
      <c r="G295" s="63" t="s">
        <v>23</v>
      </c>
      <c r="H295" s="63"/>
      <c r="I295" s="63"/>
      <c r="J295" s="63" t="s">
        <v>16</v>
      </c>
      <c r="K295" s="63"/>
      <c r="L295" s="63"/>
      <c r="M295" s="63" t="s">
        <v>17</v>
      </c>
      <c r="N295" s="63"/>
      <c r="O295" s="1"/>
      <c r="Q295" s="32"/>
      <c r="R295" s="33"/>
      <c r="S295" s="16"/>
    </row>
    <row r="296" spans="1:19">
      <c r="A296" s="60" t="s">
        <v>24</v>
      </c>
      <c r="B296" s="52"/>
      <c r="C296" s="61">
        <v>1</v>
      </c>
      <c r="D296" s="61"/>
      <c r="E296" s="61">
        <f>C296+E235</f>
        <v>6</v>
      </c>
      <c r="F296" s="61"/>
      <c r="G296" s="60" t="s">
        <v>51</v>
      </c>
      <c r="H296" s="51"/>
      <c r="I296" s="52"/>
      <c r="J296" s="61"/>
      <c r="K296" s="61"/>
      <c r="L296" s="61"/>
      <c r="M296" s="61">
        <f>K296+M235</f>
        <v>1</v>
      </c>
      <c r="N296" s="61"/>
      <c r="O296" s="1"/>
      <c r="Q296" s="32"/>
      <c r="R296" s="33"/>
      <c r="S296" s="16"/>
    </row>
    <row r="297" spans="1:19">
      <c r="A297" s="60" t="s">
        <v>25</v>
      </c>
      <c r="B297" s="52"/>
      <c r="C297" s="61">
        <v>1</v>
      </c>
      <c r="D297" s="61"/>
      <c r="E297" s="61">
        <f>C297+E236</f>
        <v>5</v>
      </c>
      <c r="F297" s="61"/>
      <c r="G297" s="60" t="s">
        <v>50</v>
      </c>
      <c r="H297" s="51"/>
      <c r="I297" s="52"/>
      <c r="J297" s="61"/>
      <c r="K297" s="61"/>
      <c r="L297" s="61"/>
      <c r="M297" s="61">
        <f>K297+M236</f>
        <v>1</v>
      </c>
      <c r="N297" s="61"/>
      <c r="O297" s="1"/>
      <c r="Q297" s="32"/>
      <c r="R297" s="33"/>
      <c r="S297" s="16"/>
    </row>
    <row r="298" spans="1:19">
      <c r="A298" s="60"/>
      <c r="B298" s="52"/>
      <c r="C298" s="61"/>
      <c r="D298" s="61"/>
      <c r="E298" s="61"/>
      <c r="F298" s="61"/>
      <c r="G298" s="60" t="s">
        <v>55</v>
      </c>
      <c r="H298" s="51"/>
      <c r="I298" s="52"/>
      <c r="J298" s="61"/>
      <c r="K298" s="61"/>
      <c r="L298" s="61"/>
      <c r="M298" s="61">
        <f>K298+M237</f>
        <v>0</v>
      </c>
      <c r="N298" s="61"/>
      <c r="O298" s="2"/>
      <c r="P298" s="29"/>
      <c r="Q298" s="32"/>
      <c r="R298" s="33"/>
      <c r="S298" s="16"/>
    </row>
    <row r="299" spans="1:19">
      <c r="A299" s="53" t="s">
        <v>53</v>
      </c>
      <c r="B299" s="47"/>
      <c r="C299" s="53"/>
      <c r="D299" s="53"/>
      <c r="E299" s="53"/>
      <c r="F299" s="53"/>
      <c r="G299" s="53"/>
      <c r="H299" s="53"/>
      <c r="I299" s="53"/>
      <c r="J299" s="53"/>
      <c r="K299" s="53"/>
      <c r="L299" s="53"/>
      <c r="M299" s="53"/>
      <c r="N299" s="53"/>
      <c r="O299" s="1"/>
      <c r="P299" s="32"/>
      <c r="Q299" s="32"/>
      <c r="R299" s="33"/>
      <c r="S299" s="16"/>
    </row>
    <row r="300" spans="1:19">
      <c r="A300" s="45" t="s">
        <v>56</v>
      </c>
      <c r="B300" s="46"/>
      <c r="C300" s="46"/>
      <c r="D300" s="46"/>
      <c r="E300" s="46"/>
      <c r="F300" s="46"/>
      <c r="G300" s="46"/>
      <c r="H300" s="46"/>
      <c r="I300" s="46"/>
      <c r="J300" s="46"/>
      <c r="K300" s="46"/>
      <c r="L300" s="46"/>
      <c r="M300" s="46"/>
      <c r="N300" s="47"/>
      <c r="O300" s="1"/>
      <c r="P300" s="32"/>
      <c r="Q300" s="34"/>
      <c r="R300" s="33"/>
      <c r="S300" s="16"/>
    </row>
    <row r="301" spans="1:19">
      <c r="A301" s="54" t="s">
        <v>54</v>
      </c>
      <c r="B301" s="55"/>
      <c r="C301" s="55"/>
      <c r="D301" s="55"/>
      <c r="E301" s="55"/>
      <c r="F301" s="55"/>
      <c r="G301" s="55"/>
      <c r="H301" s="55"/>
      <c r="I301" s="55"/>
      <c r="J301" s="55"/>
      <c r="K301" s="55"/>
      <c r="L301" s="55"/>
      <c r="M301" s="55"/>
      <c r="N301" s="56"/>
      <c r="O301" s="1"/>
      <c r="P301" s="32"/>
      <c r="Q301" s="32"/>
      <c r="R301" s="33"/>
      <c r="S301" s="16"/>
    </row>
    <row r="302" spans="1:19">
      <c r="A302" s="40" t="s">
        <v>26</v>
      </c>
      <c r="B302" s="41"/>
      <c r="C302" s="40"/>
      <c r="D302" s="40"/>
      <c r="E302" s="40"/>
      <c r="F302" s="40"/>
      <c r="G302" s="40"/>
      <c r="H302" s="40"/>
      <c r="I302" s="40"/>
      <c r="J302" s="40"/>
      <c r="K302" s="40"/>
      <c r="L302" s="40"/>
      <c r="M302" s="40"/>
      <c r="N302" s="40"/>
      <c r="O302" s="1"/>
      <c r="P302" s="32"/>
      <c r="Q302" s="32"/>
      <c r="R302" s="33"/>
      <c r="S302" s="16"/>
    </row>
    <row r="303" spans="1:19">
      <c r="A303" s="57" t="s">
        <v>27</v>
      </c>
      <c r="B303" s="58"/>
      <c r="C303" s="58"/>
      <c r="D303" s="58"/>
      <c r="E303" s="58"/>
      <c r="F303" s="58"/>
      <c r="G303" s="58"/>
      <c r="H303" s="58"/>
      <c r="I303" s="58"/>
      <c r="J303" s="58"/>
      <c r="K303" s="58"/>
      <c r="L303" s="58"/>
      <c r="M303" s="58"/>
      <c r="N303" s="59"/>
      <c r="O303" s="1"/>
      <c r="P303" s="34"/>
      <c r="Q303" s="34"/>
      <c r="R303" s="33"/>
      <c r="S303" s="16"/>
    </row>
    <row r="304" spans="1:19">
      <c r="A304" s="57" t="s">
        <v>57</v>
      </c>
      <c r="B304" s="58"/>
      <c r="C304" s="58"/>
      <c r="D304" s="58"/>
      <c r="E304" s="58"/>
      <c r="F304" s="58"/>
      <c r="G304" s="58"/>
      <c r="H304" s="58"/>
      <c r="I304" s="58"/>
      <c r="J304" s="58"/>
      <c r="K304" s="58"/>
      <c r="L304" s="58"/>
      <c r="M304" s="58"/>
      <c r="N304" s="59"/>
      <c r="O304" s="1"/>
      <c r="P304" s="32"/>
      <c r="Q304" s="32"/>
      <c r="R304" s="33"/>
      <c r="S304" s="16"/>
    </row>
    <row r="305" spans="1:19">
      <c r="A305" s="57" t="s">
        <v>58</v>
      </c>
      <c r="B305" s="58"/>
      <c r="C305" s="58"/>
      <c r="D305" s="58"/>
      <c r="E305" s="58"/>
      <c r="F305" s="58"/>
      <c r="G305" s="58"/>
      <c r="H305" s="58"/>
      <c r="I305" s="58"/>
      <c r="J305" s="58"/>
      <c r="K305" s="58"/>
      <c r="L305" s="58"/>
      <c r="M305" s="58"/>
      <c r="N305" s="59"/>
      <c r="O305" s="1"/>
      <c r="P305" s="32"/>
      <c r="Q305" s="32"/>
      <c r="R305" s="33"/>
      <c r="S305" s="16"/>
    </row>
    <row r="306" spans="1:19">
      <c r="A306" s="57" t="s">
        <v>59</v>
      </c>
      <c r="B306" s="58"/>
      <c r="C306" s="58"/>
      <c r="D306" s="58"/>
      <c r="E306" s="58"/>
      <c r="F306" s="58"/>
      <c r="G306" s="58"/>
      <c r="H306" s="58"/>
      <c r="I306" s="58"/>
      <c r="J306" s="58"/>
      <c r="K306" s="58"/>
      <c r="L306" s="58"/>
      <c r="M306" s="58"/>
      <c r="N306" s="59"/>
      <c r="O306" s="1"/>
      <c r="P306" s="32"/>
      <c r="Q306" s="34"/>
      <c r="R306" s="33"/>
      <c r="S306" s="16"/>
    </row>
    <row r="307" spans="1:19">
      <c r="A307" s="57" t="s">
        <v>28</v>
      </c>
      <c r="B307" s="58"/>
      <c r="C307" s="58"/>
      <c r="D307" s="58"/>
      <c r="E307" s="58"/>
      <c r="F307" s="58"/>
      <c r="G307" s="58"/>
      <c r="H307" s="58"/>
      <c r="I307" s="58"/>
      <c r="J307" s="58"/>
      <c r="K307" s="58"/>
      <c r="L307" s="58"/>
      <c r="M307" s="58"/>
      <c r="N307" s="59"/>
      <c r="O307" s="1"/>
      <c r="P307" s="34"/>
      <c r="Q307" s="32"/>
      <c r="R307" s="33"/>
      <c r="S307" s="16"/>
    </row>
    <row r="308" spans="1:19">
      <c r="A308" s="40" t="s">
        <v>29</v>
      </c>
      <c r="B308" s="41"/>
      <c r="C308" s="40"/>
      <c r="D308" s="40"/>
      <c r="E308" s="40"/>
      <c r="F308" s="40"/>
      <c r="G308" s="40"/>
      <c r="H308" s="40"/>
      <c r="I308" s="40"/>
      <c r="J308" s="40"/>
      <c r="K308" s="40"/>
      <c r="L308" s="40"/>
      <c r="M308" s="40"/>
      <c r="N308" s="40"/>
      <c r="O308" s="1"/>
      <c r="P308" s="32"/>
      <c r="Q308" s="32"/>
      <c r="R308" s="33"/>
      <c r="S308" s="16"/>
    </row>
    <row r="309" spans="1:19">
      <c r="A309" s="42"/>
      <c r="B309" s="43"/>
      <c r="C309" s="43"/>
      <c r="D309" s="43"/>
      <c r="E309" s="43"/>
      <c r="F309" s="43"/>
      <c r="G309" s="43"/>
      <c r="H309" s="43"/>
      <c r="I309" s="43"/>
      <c r="J309" s="43"/>
      <c r="K309" s="43"/>
      <c r="L309" s="43"/>
      <c r="M309" s="43"/>
      <c r="N309" s="44"/>
      <c r="O309" s="1"/>
      <c r="P309" s="32"/>
      <c r="Q309" s="32"/>
      <c r="R309" s="33"/>
      <c r="S309" s="16"/>
    </row>
    <row r="310" spans="1:19">
      <c r="A310" s="40" t="s">
        <v>30</v>
      </c>
      <c r="B310" s="41"/>
      <c r="C310" s="40"/>
      <c r="D310" s="40"/>
      <c r="E310" s="40"/>
      <c r="F310" s="40"/>
      <c r="G310" s="40"/>
      <c r="H310" s="40"/>
      <c r="I310" s="40"/>
      <c r="J310" s="40"/>
      <c r="K310" s="40"/>
      <c r="L310" s="40"/>
      <c r="M310" s="40"/>
      <c r="N310" s="40"/>
      <c r="O310" s="1"/>
      <c r="P310" s="32"/>
      <c r="Q310" s="32"/>
      <c r="R310" s="33"/>
      <c r="S310" s="16"/>
    </row>
    <row r="311" spans="1:19">
      <c r="A311" s="42"/>
      <c r="B311" s="43"/>
      <c r="C311" s="43"/>
      <c r="D311" s="43"/>
      <c r="E311" s="43"/>
      <c r="F311" s="43"/>
      <c r="G311" s="43"/>
      <c r="H311" s="43"/>
      <c r="I311" s="43"/>
      <c r="J311" s="43"/>
      <c r="K311" s="43"/>
      <c r="L311" s="43"/>
      <c r="M311" s="43"/>
      <c r="N311" s="44"/>
      <c r="O311" s="1"/>
      <c r="P311" s="32"/>
      <c r="Q311" s="32"/>
      <c r="R311" s="33"/>
      <c r="S311" s="16"/>
    </row>
    <row r="312" spans="1:19">
      <c r="A312" s="40" t="s">
        <v>99</v>
      </c>
      <c r="B312" s="41"/>
      <c r="C312" s="40"/>
      <c r="D312" s="40"/>
      <c r="E312" s="40"/>
      <c r="F312" s="40"/>
      <c r="G312" s="40"/>
      <c r="H312" s="40"/>
      <c r="I312" s="40"/>
      <c r="J312" s="40"/>
      <c r="K312" s="40"/>
      <c r="L312" s="40"/>
      <c r="M312" s="40"/>
      <c r="N312" s="40"/>
      <c r="O312" s="1"/>
      <c r="P312" s="32"/>
      <c r="Q312" s="32"/>
      <c r="R312" s="33"/>
      <c r="S312" s="17"/>
    </row>
    <row r="313" spans="1:19">
      <c r="A313" s="45"/>
      <c r="B313" s="46"/>
      <c r="C313" s="46"/>
      <c r="D313" s="46"/>
      <c r="E313" s="46"/>
      <c r="F313" s="46"/>
      <c r="G313" s="46"/>
      <c r="H313" s="46"/>
      <c r="I313" s="46"/>
      <c r="J313" s="46"/>
      <c r="K313" s="46"/>
      <c r="L313" s="46"/>
      <c r="M313" s="46"/>
      <c r="N313" s="47"/>
      <c r="O313" s="1"/>
      <c r="P313" s="32"/>
      <c r="Q313" s="32"/>
      <c r="R313" s="33"/>
      <c r="S313" s="1"/>
    </row>
    <row r="314" spans="1:19">
      <c r="A314" s="48" t="s">
        <v>41</v>
      </c>
      <c r="B314" s="49"/>
      <c r="C314" s="50"/>
      <c r="D314" s="50"/>
      <c r="E314" s="50"/>
      <c r="F314" s="50"/>
      <c r="G314" s="50"/>
      <c r="H314" s="51"/>
      <c r="I314" s="51"/>
      <c r="J314" s="51"/>
      <c r="K314" s="51"/>
      <c r="L314" s="51"/>
      <c r="M314" s="51"/>
      <c r="N314" s="52"/>
      <c r="O314" s="1"/>
      <c r="P314" s="32"/>
      <c r="Q314" s="32"/>
      <c r="R314" s="33"/>
      <c r="S314" s="1"/>
    </row>
    <row r="315" spans="1:19" ht="28.2">
      <c r="A315" s="1" t="s">
        <v>45</v>
      </c>
      <c r="B315" s="7">
        <f>B254+1</f>
        <v>6</v>
      </c>
      <c r="C315" s="5"/>
      <c r="D315" s="5"/>
      <c r="E315" s="5"/>
      <c r="F315" s="5"/>
      <c r="G315" s="5"/>
      <c r="H315" s="5"/>
      <c r="I315" s="5"/>
      <c r="J315" s="5"/>
      <c r="K315" s="5"/>
      <c r="L315" s="5"/>
      <c r="M315" s="5"/>
      <c r="N315" s="5"/>
      <c r="O315" s="1"/>
      <c r="P315" s="32"/>
      <c r="Q315" s="33"/>
      <c r="R315" s="29"/>
    </row>
    <row r="316" spans="1:19">
      <c r="A316" s="1" t="s">
        <v>46</v>
      </c>
      <c r="B316" s="1" t="s">
        <v>1</v>
      </c>
      <c r="C316" s="1" t="s">
        <v>2</v>
      </c>
      <c r="D316" s="1" t="s">
        <v>3</v>
      </c>
      <c r="E316" s="1" t="s">
        <v>2</v>
      </c>
      <c r="F316" s="1"/>
      <c r="G316" s="1"/>
      <c r="H316" s="112" t="s">
        <v>4</v>
      </c>
      <c r="I316" s="112"/>
      <c r="J316" s="113">
        <f>J255+1</f>
        <v>46217</v>
      </c>
      <c r="K316" s="113"/>
      <c r="L316" s="113"/>
      <c r="M316" s="114">
        <f>J316</f>
        <v>46217</v>
      </c>
      <c r="N316" s="114"/>
      <c r="O316" s="1"/>
      <c r="P316" s="32"/>
      <c r="Q316" s="33"/>
      <c r="R316" s="29"/>
    </row>
    <row r="317" spans="1:19">
      <c r="A317" s="8" t="s">
        <v>5</v>
      </c>
      <c r="B317" s="115">
        <f>B248</f>
        <v>0</v>
      </c>
      <c r="C317" s="116"/>
      <c r="D317" s="116"/>
      <c r="E317" s="116"/>
      <c r="F317" s="116"/>
      <c r="G317" s="117"/>
      <c r="H317" s="63" t="s">
        <v>6</v>
      </c>
      <c r="I317" s="63"/>
      <c r="J317" s="63"/>
      <c r="K317" s="63" t="s">
        <v>52</v>
      </c>
      <c r="L317" s="63"/>
      <c r="M317" s="63"/>
      <c r="N317" s="63"/>
      <c r="O317" s="1"/>
      <c r="P317" s="32"/>
      <c r="Q317" s="33"/>
      <c r="R317" s="29"/>
    </row>
    <row r="318" spans="1:19">
      <c r="A318" s="8" t="s">
        <v>32</v>
      </c>
      <c r="B318" s="10">
        <v>60</v>
      </c>
      <c r="C318" s="11" t="s">
        <v>43</v>
      </c>
      <c r="D318" s="71" t="s">
        <v>7</v>
      </c>
      <c r="E318" s="73"/>
      <c r="F318" s="10">
        <f>F257+1</f>
        <v>6</v>
      </c>
      <c r="G318" s="11" t="s">
        <v>8</v>
      </c>
      <c r="H318" s="9" t="s">
        <v>9</v>
      </c>
      <c r="I318" s="10">
        <f>B318-F318</f>
        <v>54</v>
      </c>
      <c r="J318" s="11" t="s">
        <v>8</v>
      </c>
      <c r="K318" s="118" t="s">
        <v>33</v>
      </c>
      <c r="L318" s="119"/>
      <c r="M318" s="12"/>
      <c r="N318" s="11" t="s">
        <v>8</v>
      </c>
      <c r="O318" s="1"/>
      <c r="P318" s="34"/>
      <c r="Q318" s="33"/>
      <c r="R318" s="29"/>
    </row>
    <row r="319" spans="1:19">
      <c r="A319" s="71" t="s">
        <v>34</v>
      </c>
      <c r="B319" s="72"/>
      <c r="C319" s="73"/>
      <c r="D319" s="120">
        <v>46212</v>
      </c>
      <c r="E319" s="121"/>
      <c r="F319" s="121"/>
      <c r="G319" s="122"/>
      <c r="H319" s="71" t="s">
        <v>35</v>
      </c>
      <c r="I319" s="72"/>
      <c r="J319" s="73"/>
      <c r="K319" s="120">
        <f>D319+59</f>
        <v>46271</v>
      </c>
      <c r="L319" s="121"/>
      <c r="M319" s="121"/>
      <c r="N319" s="122"/>
      <c r="O319" s="1"/>
      <c r="P319" s="32"/>
      <c r="Q319" s="33"/>
      <c r="R319" s="29"/>
    </row>
    <row r="320" spans="1:19">
      <c r="A320" s="92" t="s">
        <v>10</v>
      </c>
      <c r="B320" s="93"/>
      <c r="C320" s="94"/>
      <c r="D320" s="98">
        <f>D259+0.005/5</f>
        <v>1.5E-3</v>
      </c>
      <c r="E320" s="99"/>
      <c r="F320" s="99"/>
      <c r="G320" s="100"/>
      <c r="H320" s="104" t="s">
        <v>36</v>
      </c>
      <c r="I320" s="105"/>
      <c r="J320" s="106"/>
      <c r="K320" s="110">
        <f>R351</f>
        <v>4.943447751156519E-2</v>
      </c>
      <c r="L320" s="105"/>
      <c r="M320" s="105"/>
      <c r="N320" s="106"/>
      <c r="O320" s="1"/>
      <c r="P320" s="32"/>
      <c r="Q320" s="33"/>
      <c r="R320" s="29"/>
    </row>
    <row r="321" spans="1:18">
      <c r="A321" s="95"/>
      <c r="B321" s="96"/>
      <c r="C321" s="97"/>
      <c r="D321" s="101"/>
      <c r="E321" s="102"/>
      <c r="F321" s="102"/>
      <c r="G321" s="103"/>
      <c r="H321" s="107"/>
      <c r="I321" s="108"/>
      <c r="J321" s="109"/>
      <c r="K321" s="107"/>
      <c r="L321" s="108"/>
      <c r="M321" s="108"/>
      <c r="N321" s="109"/>
      <c r="O321" s="1"/>
      <c r="P321" s="32"/>
      <c r="Q321" s="33"/>
      <c r="R321" s="29"/>
    </row>
    <row r="322" spans="1:18">
      <c r="A322" s="62" t="s">
        <v>11</v>
      </c>
      <c r="B322" s="62"/>
      <c r="C322" s="62"/>
      <c r="D322" s="62"/>
      <c r="E322" s="62"/>
      <c r="F322" s="62"/>
      <c r="G322" s="62"/>
      <c r="H322" s="62"/>
      <c r="I322" s="62"/>
      <c r="J322" s="62"/>
      <c r="K322" s="62"/>
      <c r="L322" s="62"/>
      <c r="M322" s="62"/>
      <c r="N322" s="62"/>
      <c r="O322" s="1"/>
      <c r="P322" s="32"/>
      <c r="Q322" s="33"/>
      <c r="R322" s="29"/>
    </row>
    <row r="323" spans="1:18">
      <c r="A323" s="111" t="s">
        <v>12</v>
      </c>
      <c r="B323" s="111"/>
      <c r="C323" s="111"/>
      <c r="D323" s="111"/>
      <c r="E323" s="111"/>
      <c r="F323" s="14" t="s">
        <v>37</v>
      </c>
      <c r="G323" s="111" t="s">
        <v>38</v>
      </c>
      <c r="H323" s="111"/>
      <c r="I323" s="63" t="s">
        <v>39</v>
      </c>
      <c r="J323" s="63"/>
      <c r="K323" s="63"/>
      <c r="L323" s="63" t="s">
        <v>40</v>
      </c>
      <c r="M323" s="63"/>
      <c r="N323" s="9" t="s">
        <v>13</v>
      </c>
      <c r="O323" s="1"/>
      <c r="P323" s="28" t="s">
        <v>47</v>
      </c>
      <c r="Q323" s="29" t="s">
        <v>48</v>
      </c>
      <c r="R323" s="29" t="s">
        <v>49</v>
      </c>
    </row>
    <row r="324" spans="1:18">
      <c r="A324" s="83" t="s">
        <v>67</v>
      </c>
      <c r="B324" s="84"/>
      <c r="C324" s="84"/>
      <c r="D324" s="84"/>
      <c r="E324" s="85"/>
      <c r="F324" s="27" t="s">
        <v>60</v>
      </c>
      <c r="G324" s="67">
        <v>1</v>
      </c>
      <c r="H324" s="68"/>
      <c r="I324" s="86"/>
      <c r="J324" s="87"/>
      <c r="K324" s="88"/>
      <c r="L324" s="69">
        <f>I324+L263</f>
        <v>1</v>
      </c>
      <c r="M324" s="70"/>
      <c r="N324" s="8"/>
      <c r="O324" s="1"/>
      <c r="P324" s="30">
        <v>6000</v>
      </c>
      <c r="Q324" s="38">
        <f>P324*G324</f>
        <v>6000</v>
      </c>
      <c r="R324" s="28">
        <f>L324*P324</f>
        <v>6000</v>
      </c>
    </row>
    <row r="325" spans="1:18">
      <c r="A325" s="83" t="s">
        <v>68</v>
      </c>
      <c r="B325" s="84"/>
      <c r="C325" s="84"/>
      <c r="D325" s="84"/>
      <c r="E325" s="85"/>
      <c r="F325" s="20" t="s">
        <v>60</v>
      </c>
      <c r="G325" s="67">
        <v>1</v>
      </c>
      <c r="H325" s="68"/>
      <c r="I325" s="87"/>
      <c r="J325" s="87"/>
      <c r="K325" s="88"/>
      <c r="L325" s="69">
        <f t="shared" ref="L325:L349" si="20">I325+L264</f>
        <v>0</v>
      </c>
      <c r="M325" s="70"/>
      <c r="N325" s="8"/>
      <c r="O325" s="1"/>
      <c r="P325" s="30">
        <v>193300</v>
      </c>
      <c r="Q325" s="38">
        <f t="shared" ref="Q325:Q349" si="21">P325*G325</f>
        <v>193300</v>
      </c>
      <c r="R325" s="28">
        <f>L325*P325</f>
        <v>0</v>
      </c>
    </row>
    <row r="326" spans="1:18">
      <c r="A326" s="89" t="s">
        <v>69</v>
      </c>
      <c r="B326" s="90"/>
      <c r="C326" s="90"/>
      <c r="D326" s="90"/>
      <c r="E326" s="91"/>
      <c r="F326" s="20" t="s">
        <v>60</v>
      </c>
      <c r="G326" s="67">
        <v>1</v>
      </c>
      <c r="H326" s="68"/>
      <c r="I326" s="87"/>
      <c r="J326" s="87"/>
      <c r="K326" s="88"/>
      <c r="L326" s="69">
        <f t="shared" si="20"/>
        <v>0</v>
      </c>
      <c r="M326" s="70"/>
      <c r="N326" s="8"/>
      <c r="O326" s="1"/>
      <c r="P326" s="30">
        <v>30000</v>
      </c>
      <c r="Q326" s="38">
        <f t="shared" si="21"/>
        <v>30000</v>
      </c>
      <c r="R326" s="28">
        <f>L326*P326</f>
        <v>0</v>
      </c>
    </row>
    <row r="327" spans="1:18">
      <c r="A327" s="64" t="s">
        <v>70</v>
      </c>
      <c r="B327" s="65"/>
      <c r="C327" s="65"/>
      <c r="D327" s="65"/>
      <c r="E327" s="66"/>
      <c r="F327" s="20" t="s">
        <v>60</v>
      </c>
      <c r="G327" s="67">
        <v>1</v>
      </c>
      <c r="H327" s="68"/>
      <c r="I327" s="87"/>
      <c r="J327" s="87"/>
      <c r="K327" s="88"/>
      <c r="L327" s="69">
        <f t="shared" si="20"/>
        <v>1</v>
      </c>
      <c r="M327" s="70"/>
      <c r="N327" s="8"/>
      <c r="O327" s="1"/>
      <c r="P327" s="31">
        <v>10000</v>
      </c>
      <c r="Q327" s="38">
        <f t="shared" si="21"/>
        <v>10000</v>
      </c>
      <c r="R327" s="28">
        <f t="shared" ref="R327:R349" si="22">L327*P327</f>
        <v>10000</v>
      </c>
    </row>
    <row r="328" spans="1:18">
      <c r="A328" s="64" t="s">
        <v>71</v>
      </c>
      <c r="B328" s="65"/>
      <c r="C328" s="65"/>
      <c r="D328" s="65"/>
      <c r="E328" s="66"/>
      <c r="F328" s="20" t="s">
        <v>61</v>
      </c>
      <c r="G328" s="67">
        <v>9</v>
      </c>
      <c r="H328" s="68"/>
      <c r="I328" s="87"/>
      <c r="J328" s="87"/>
      <c r="K328" s="88"/>
      <c r="L328" s="69">
        <f t="shared" si="20"/>
        <v>9</v>
      </c>
      <c r="M328" s="70"/>
      <c r="N328" s="8"/>
      <c r="O328" s="1"/>
      <c r="P328" s="30">
        <v>21000</v>
      </c>
      <c r="Q328" s="38">
        <f t="shared" si="21"/>
        <v>189000</v>
      </c>
      <c r="R328" s="28">
        <f t="shared" si="22"/>
        <v>189000</v>
      </c>
    </row>
    <row r="329" spans="1:18">
      <c r="A329" s="64" t="s">
        <v>72</v>
      </c>
      <c r="B329" s="65"/>
      <c r="C329" s="65"/>
      <c r="D329" s="65"/>
      <c r="E329" s="66"/>
      <c r="F329" s="2" t="s">
        <v>60</v>
      </c>
      <c r="G329" s="67">
        <v>1</v>
      </c>
      <c r="H329" s="68"/>
      <c r="I329" s="87"/>
      <c r="J329" s="87"/>
      <c r="K329" s="88"/>
      <c r="L329" s="69">
        <f t="shared" si="20"/>
        <v>0</v>
      </c>
      <c r="M329" s="70"/>
      <c r="N329" s="8"/>
      <c r="O329" s="1"/>
      <c r="P329" s="30">
        <v>184468</v>
      </c>
      <c r="Q329" s="38">
        <f t="shared" si="21"/>
        <v>184468</v>
      </c>
      <c r="R329" s="28">
        <f t="shared" si="22"/>
        <v>0</v>
      </c>
    </row>
    <row r="330" spans="1:18">
      <c r="A330" s="83" t="s">
        <v>73</v>
      </c>
      <c r="B330" s="84"/>
      <c r="C330" s="84"/>
      <c r="D330" s="84"/>
      <c r="E330" s="85"/>
      <c r="F330" s="20" t="s">
        <v>62</v>
      </c>
      <c r="G330" s="67">
        <v>9</v>
      </c>
      <c r="H330" s="68"/>
      <c r="I330" s="87"/>
      <c r="J330" s="87"/>
      <c r="K330" s="88"/>
      <c r="L330" s="69">
        <f t="shared" si="20"/>
        <v>0</v>
      </c>
      <c r="M330" s="70"/>
      <c r="N330" s="8"/>
      <c r="O330" s="1"/>
      <c r="P330" s="30">
        <v>20000</v>
      </c>
      <c r="Q330" s="38">
        <f t="shared" si="21"/>
        <v>180000</v>
      </c>
      <c r="R330" s="28">
        <f t="shared" si="22"/>
        <v>0</v>
      </c>
    </row>
    <row r="331" spans="1:18">
      <c r="A331" s="83" t="s">
        <v>74</v>
      </c>
      <c r="B331" s="84"/>
      <c r="C331" s="84"/>
      <c r="D331" s="84"/>
      <c r="E331" s="85"/>
      <c r="F331" s="20" t="s">
        <v>63</v>
      </c>
      <c r="G331" s="67">
        <v>52</v>
      </c>
      <c r="H331" s="68"/>
      <c r="I331" s="87"/>
      <c r="J331" s="87"/>
      <c r="K331" s="88"/>
      <c r="L331" s="69">
        <f t="shared" si="20"/>
        <v>0</v>
      </c>
      <c r="M331" s="70"/>
      <c r="N331" s="8"/>
      <c r="O331" s="1"/>
      <c r="P331" s="31">
        <v>2500</v>
      </c>
      <c r="Q331" s="38">
        <f t="shared" si="21"/>
        <v>130000</v>
      </c>
      <c r="R331" s="28">
        <f t="shared" si="22"/>
        <v>0</v>
      </c>
    </row>
    <row r="332" spans="1:18">
      <c r="A332" s="83" t="s">
        <v>75</v>
      </c>
      <c r="B332" s="84"/>
      <c r="C332" s="84"/>
      <c r="D332" s="84"/>
      <c r="E332" s="85"/>
      <c r="F332" s="20" t="s">
        <v>64</v>
      </c>
      <c r="G332" s="67">
        <v>1</v>
      </c>
      <c r="H332" s="68"/>
      <c r="I332" s="87"/>
      <c r="J332" s="87"/>
      <c r="K332" s="88"/>
      <c r="L332" s="69">
        <f t="shared" si="20"/>
        <v>0</v>
      </c>
      <c r="M332" s="70"/>
      <c r="N332" s="8"/>
      <c r="O332" s="1"/>
      <c r="P332" s="30">
        <v>80000</v>
      </c>
      <c r="Q332" s="38">
        <f t="shared" si="21"/>
        <v>80000</v>
      </c>
      <c r="R332" s="28">
        <f t="shared" si="22"/>
        <v>0</v>
      </c>
    </row>
    <row r="333" spans="1:18">
      <c r="A333" s="89" t="s">
        <v>76</v>
      </c>
      <c r="B333" s="90"/>
      <c r="C333" s="90"/>
      <c r="D333" s="90"/>
      <c r="E333" s="91"/>
      <c r="F333" s="20" t="s">
        <v>65</v>
      </c>
      <c r="G333" s="67">
        <v>31</v>
      </c>
      <c r="H333" s="68"/>
      <c r="I333" s="87"/>
      <c r="J333" s="87"/>
      <c r="K333" s="88"/>
      <c r="L333" s="69">
        <f t="shared" si="20"/>
        <v>0</v>
      </c>
      <c r="M333" s="70"/>
      <c r="N333" s="8"/>
      <c r="O333" s="1"/>
      <c r="P333" s="30">
        <v>400</v>
      </c>
      <c r="Q333" s="38">
        <f t="shared" si="21"/>
        <v>12400</v>
      </c>
      <c r="R333" s="28">
        <f t="shared" si="22"/>
        <v>0</v>
      </c>
    </row>
    <row r="334" spans="1:18">
      <c r="A334" s="64" t="s">
        <v>77</v>
      </c>
      <c r="B334" s="65"/>
      <c r="C334" s="65"/>
      <c r="D334" s="65"/>
      <c r="E334" s="66"/>
      <c r="F334" s="20" t="s">
        <v>65</v>
      </c>
      <c r="G334" s="67">
        <v>100</v>
      </c>
      <c r="H334" s="68"/>
      <c r="I334" s="87"/>
      <c r="J334" s="87"/>
      <c r="K334" s="88"/>
      <c r="L334" s="69">
        <f t="shared" si="20"/>
        <v>0</v>
      </c>
      <c r="M334" s="70"/>
      <c r="N334" s="8"/>
      <c r="O334" s="1"/>
      <c r="P334" s="30">
        <v>350</v>
      </c>
      <c r="Q334" s="38">
        <f t="shared" si="21"/>
        <v>35000</v>
      </c>
      <c r="R334" s="28">
        <f t="shared" si="22"/>
        <v>0</v>
      </c>
    </row>
    <row r="335" spans="1:18">
      <c r="A335" s="64" t="s">
        <v>78</v>
      </c>
      <c r="B335" s="65"/>
      <c r="C335" s="65"/>
      <c r="D335" s="65"/>
      <c r="E335" s="66"/>
      <c r="F335" s="20" t="s">
        <v>63</v>
      </c>
      <c r="G335" s="67">
        <v>35</v>
      </c>
      <c r="H335" s="68"/>
      <c r="I335" s="87"/>
      <c r="J335" s="87"/>
      <c r="K335" s="88"/>
      <c r="L335" s="69">
        <f t="shared" si="20"/>
        <v>0</v>
      </c>
      <c r="M335" s="70"/>
      <c r="N335" s="8"/>
      <c r="O335" s="1"/>
      <c r="P335" s="30">
        <v>1200</v>
      </c>
      <c r="Q335" s="38">
        <f t="shared" si="21"/>
        <v>42000</v>
      </c>
      <c r="R335" s="28">
        <f t="shared" si="22"/>
        <v>0</v>
      </c>
    </row>
    <row r="336" spans="1:18">
      <c r="A336" s="64" t="s">
        <v>79</v>
      </c>
      <c r="B336" s="65"/>
      <c r="C336" s="65"/>
      <c r="D336" s="65"/>
      <c r="E336" s="66"/>
      <c r="F336" s="20" t="s">
        <v>63</v>
      </c>
      <c r="G336" s="67">
        <v>282</v>
      </c>
      <c r="H336" s="68"/>
      <c r="I336" s="86"/>
      <c r="J336" s="87"/>
      <c r="K336" s="88"/>
      <c r="L336" s="69">
        <f t="shared" si="20"/>
        <v>0</v>
      </c>
      <c r="M336" s="70"/>
      <c r="N336" s="8"/>
      <c r="O336" s="1"/>
      <c r="P336" s="30">
        <v>1400</v>
      </c>
      <c r="Q336" s="38">
        <f t="shared" si="21"/>
        <v>394800</v>
      </c>
      <c r="R336" s="28">
        <f t="shared" si="22"/>
        <v>0</v>
      </c>
    </row>
    <row r="337" spans="1:19">
      <c r="A337" s="83" t="s">
        <v>80</v>
      </c>
      <c r="B337" s="84"/>
      <c r="C337" s="84"/>
      <c r="D337" s="84"/>
      <c r="E337" s="85"/>
      <c r="F337" s="21" t="s">
        <v>65</v>
      </c>
      <c r="G337" s="67">
        <v>58</v>
      </c>
      <c r="H337" s="68"/>
      <c r="I337" s="86"/>
      <c r="J337" s="87"/>
      <c r="K337" s="88"/>
      <c r="L337" s="69">
        <f t="shared" si="20"/>
        <v>0</v>
      </c>
      <c r="M337" s="70"/>
      <c r="N337" s="8"/>
      <c r="O337" s="1"/>
      <c r="P337" s="30">
        <v>3600</v>
      </c>
      <c r="Q337" s="38">
        <f t="shared" si="21"/>
        <v>208800</v>
      </c>
      <c r="R337" s="28">
        <f t="shared" si="22"/>
        <v>0</v>
      </c>
    </row>
    <row r="338" spans="1:19">
      <c r="A338" s="83" t="s">
        <v>81</v>
      </c>
      <c r="B338" s="84"/>
      <c r="C338" s="84"/>
      <c r="D338" s="84"/>
      <c r="E338" s="85"/>
      <c r="F338" s="21" t="s">
        <v>65</v>
      </c>
      <c r="G338" s="67">
        <v>360</v>
      </c>
      <c r="H338" s="68"/>
      <c r="I338" s="86"/>
      <c r="J338" s="87"/>
      <c r="K338" s="88"/>
      <c r="L338" s="69">
        <f t="shared" si="20"/>
        <v>0</v>
      </c>
      <c r="M338" s="70"/>
      <c r="N338" s="8"/>
      <c r="O338" s="1"/>
      <c r="P338" s="30">
        <v>230</v>
      </c>
      <c r="Q338" s="38">
        <f t="shared" si="21"/>
        <v>82800</v>
      </c>
      <c r="R338" s="28">
        <f t="shared" si="22"/>
        <v>0</v>
      </c>
    </row>
    <row r="339" spans="1:19">
      <c r="A339" s="83" t="s">
        <v>82</v>
      </c>
      <c r="B339" s="84"/>
      <c r="C339" s="84"/>
      <c r="D339" s="84"/>
      <c r="E339" s="85"/>
      <c r="F339" s="21" t="s">
        <v>65</v>
      </c>
      <c r="G339" s="67">
        <v>2400</v>
      </c>
      <c r="H339" s="68"/>
      <c r="I339" s="86"/>
      <c r="J339" s="87"/>
      <c r="K339" s="88"/>
      <c r="L339" s="69">
        <f t="shared" si="20"/>
        <v>0</v>
      </c>
      <c r="M339" s="70"/>
      <c r="N339" s="8"/>
      <c r="O339" s="1"/>
      <c r="P339" s="30">
        <v>80</v>
      </c>
      <c r="Q339" s="38">
        <f t="shared" si="21"/>
        <v>192000</v>
      </c>
      <c r="R339" s="28">
        <f t="shared" si="22"/>
        <v>0</v>
      </c>
    </row>
    <row r="340" spans="1:19">
      <c r="A340" s="89" t="s">
        <v>83</v>
      </c>
      <c r="B340" s="90"/>
      <c r="C340" s="90"/>
      <c r="D340" s="90"/>
      <c r="E340" s="91"/>
      <c r="F340" s="21" t="s">
        <v>65</v>
      </c>
      <c r="G340" s="67">
        <v>360</v>
      </c>
      <c r="H340" s="68"/>
      <c r="I340" s="86"/>
      <c r="J340" s="87"/>
      <c r="K340" s="88"/>
      <c r="L340" s="69">
        <f t="shared" si="20"/>
        <v>0</v>
      </c>
      <c r="M340" s="70"/>
      <c r="N340" s="8"/>
      <c r="O340" s="1"/>
      <c r="P340" s="30">
        <v>420</v>
      </c>
      <c r="Q340" s="38">
        <f t="shared" si="21"/>
        <v>151200</v>
      </c>
      <c r="R340" s="28">
        <f t="shared" si="22"/>
        <v>0</v>
      </c>
    </row>
    <row r="341" spans="1:19">
      <c r="A341" s="64" t="s">
        <v>84</v>
      </c>
      <c r="B341" s="65"/>
      <c r="C341" s="65"/>
      <c r="D341" s="65"/>
      <c r="E341" s="66"/>
      <c r="F341" s="21" t="s">
        <v>65</v>
      </c>
      <c r="G341" s="67">
        <v>2760</v>
      </c>
      <c r="H341" s="68"/>
      <c r="I341" s="86"/>
      <c r="J341" s="87"/>
      <c r="K341" s="88"/>
      <c r="L341" s="69">
        <f t="shared" si="20"/>
        <v>0</v>
      </c>
      <c r="M341" s="70"/>
      <c r="N341" s="8"/>
      <c r="O341" s="1"/>
      <c r="P341" s="30">
        <v>460</v>
      </c>
      <c r="Q341" s="38">
        <f t="shared" si="21"/>
        <v>1269600</v>
      </c>
      <c r="R341" s="28">
        <f t="shared" si="22"/>
        <v>0</v>
      </c>
    </row>
    <row r="342" spans="1:19">
      <c r="A342" s="64" t="s">
        <v>85</v>
      </c>
      <c r="B342" s="65"/>
      <c r="C342" s="65"/>
      <c r="D342" s="65"/>
      <c r="E342" s="66"/>
      <c r="F342" s="21" t="s">
        <v>65</v>
      </c>
      <c r="G342" s="67">
        <v>275</v>
      </c>
      <c r="H342" s="68"/>
      <c r="I342" s="86"/>
      <c r="J342" s="87"/>
      <c r="K342" s="88"/>
      <c r="L342" s="69">
        <f t="shared" si="20"/>
        <v>0</v>
      </c>
      <c r="M342" s="70"/>
      <c r="N342" s="8"/>
      <c r="O342" s="1"/>
      <c r="P342" s="31">
        <v>350</v>
      </c>
      <c r="Q342" s="38">
        <f t="shared" si="21"/>
        <v>96250</v>
      </c>
      <c r="R342" s="28">
        <f t="shared" si="22"/>
        <v>0</v>
      </c>
    </row>
    <row r="343" spans="1:19">
      <c r="A343" s="64" t="s">
        <v>86</v>
      </c>
      <c r="B343" s="65"/>
      <c r="C343" s="65"/>
      <c r="D343" s="65"/>
      <c r="E343" s="66"/>
      <c r="F343" s="21" t="s">
        <v>60</v>
      </c>
      <c r="G343" s="67">
        <v>1</v>
      </c>
      <c r="H343" s="68"/>
      <c r="I343" s="86"/>
      <c r="J343" s="87"/>
      <c r="K343" s="88"/>
      <c r="L343" s="69">
        <f t="shared" si="20"/>
        <v>0</v>
      </c>
      <c r="M343" s="70"/>
      <c r="N343" s="8"/>
      <c r="O343" s="2"/>
      <c r="P343" s="30">
        <v>40000</v>
      </c>
      <c r="Q343" s="38">
        <f t="shared" si="21"/>
        <v>40000</v>
      </c>
      <c r="R343" s="28">
        <f t="shared" si="22"/>
        <v>0</v>
      </c>
    </row>
    <row r="344" spans="1:19">
      <c r="A344" s="83" t="s">
        <v>87</v>
      </c>
      <c r="B344" s="84"/>
      <c r="C344" s="84"/>
      <c r="D344" s="84"/>
      <c r="E344" s="85"/>
      <c r="F344" s="20" t="s">
        <v>60</v>
      </c>
      <c r="G344" s="67">
        <v>1</v>
      </c>
      <c r="H344" s="68"/>
      <c r="I344" s="86"/>
      <c r="J344" s="87"/>
      <c r="K344" s="88"/>
      <c r="L344" s="69">
        <f t="shared" si="20"/>
        <v>0</v>
      </c>
      <c r="M344" s="70"/>
      <c r="N344" s="8"/>
      <c r="O344" s="1"/>
      <c r="P344" s="31">
        <v>276970</v>
      </c>
      <c r="Q344" s="38">
        <f t="shared" si="21"/>
        <v>276970</v>
      </c>
      <c r="R344" s="28">
        <f t="shared" si="22"/>
        <v>0</v>
      </c>
    </row>
    <row r="345" spans="1:19">
      <c r="A345" s="83" t="s">
        <v>88</v>
      </c>
      <c r="B345" s="84"/>
      <c r="C345" s="84"/>
      <c r="D345" s="84"/>
      <c r="E345" s="85"/>
      <c r="F345" s="20" t="s">
        <v>60</v>
      </c>
      <c r="G345" s="67">
        <v>1</v>
      </c>
      <c r="H345" s="68"/>
      <c r="I345" s="26"/>
      <c r="J345" s="23"/>
      <c r="K345" s="24"/>
      <c r="L345" s="69">
        <f t="shared" si="20"/>
        <v>0</v>
      </c>
      <c r="M345" s="70"/>
      <c r="N345" s="25"/>
      <c r="O345" s="1"/>
      <c r="P345" s="32">
        <v>60873</v>
      </c>
      <c r="Q345" s="38">
        <f t="shared" si="21"/>
        <v>60873</v>
      </c>
      <c r="R345" s="28">
        <f t="shared" si="22"/>
        <v>0</v>
      </c>
    </row>
    <row r="346" spans="1:19">
      <c r="A346" s="83" t="s">
        <v>89</v>
      </c>
      <c r="B346" s="84"/>
      <c r="C346" s="84"/>
      <c r="D346" s="84"/>
      <c r="E346" s="85"/>
      <c r="F346" s="20" t="s">
        <v>60</v>
      </c>
      <c r="G346" s="67">
        <v>1</v>
      </c>
      <c r="H346" s="68"/>
      <c r="I346" s="26"/>
      <c r="J346" s="23"/>
      <c r="K346" s="24"/>
      <c r="L346" s="69">
        <f t="shared" si="20"/>
        <v>0</v>
      </c>
      <c r="M346" s="70"/>
      <c r="N346" s="25"/>
      <c r="O346" s="1"/>
      <c r="P346" s="32">
        <v>60873</v>
      </c>
      <c r="Q346" s="38">
        <f t="shared" si="21"/>
        <v>60873</v>
      </c>
      <c r="R346" s="28">
        <f t="shared" si="22"/>
        <v>0</v>
      </c>
    </row>
    <row r="347" spans="1:19">
      <c r="A347" s="83" t="s">
        <v>90</v>
      </c>
      <c r="B347" s="84"/>
      <c r="C347" s="84"/>
      <c r="D347" s="84"/>
      <c r="E347" s="85"/>
      <c r="F347" s="20" t="s">
        <v>60</v>
      </c>
      <c r="G347" s="67">
        <v>1</v>
      </c>
      <c r="H347" s="68"/>
      <c r="I347" s="26"/>
      <c r="J347" s="23"/>
      <c r="K347" s="24"/>
      <c r="L347" s="69">
        <f t="shared" si="20"/>
        <v>0</v>
      </c>
      <c r="M347" s="70"/>
      <c r="N347" s="25"/>
      <c r="O347" s="1"/>
      <c r="P347" s="34">
        <v>266321</v>
      </c>
      <c r="Q347" s="38">
        <f t="shared" si="21"/>
        <v>266321</v>
      </c>
      <c r="R347" s="28">
        <f t="shared" si="22"/>
        <v>0</v>
      </c>
    </row>
    <row r="348" spans="1:19">
      <c r="A348" s="83" t="s">
        <v>91</v>
      </c>
      <c r="B348" s="84"/>
      <c r="C348" s="84"/>
      <c r="D348" s="84"/>
      <c r="E348" s="85"/>
      <c r="F348" s="2" t="s">
        <v>60</v>
      </c>
      <c r="G348" s="67">
        <v>1</v>
      </c>
      <c r="H348" s="68"/>
      <c r="I348" s="26"/>
      <c r="J348" s="23"/>
      <c r="K348" s="24"/>
      <c r="L348" s="69">
        <f t="shared" si="20"/>
        <v>1</v>
      </c>
      <c r="M348" s="70"/>
      <c r="N348" s="25"/>
      <c r="O348" s="1"/>
      <c r="P348" s="32">
        <v>13316</v>
      </c>
      <c r="Q348" s="38">
        <f t="shared" si="21"/>
        <v>13316</v>
      </c>
      <c r="R348" s="28">
        <f t="shared" si="22"/>
        <v>13316</v>
      </c>
    </row>
    <row r="349" spans="1:19">
      <c r="A349" s="83" t="s">
        <v>92</v>
      </c>
      <c r="B349" s="84"/>
      <c r="C349" s="84"/>
      <c r="D349" s="84"/>
      <c r="E349" s="85"/>
      <c r="F349" s="20" t="s">
        <v>60</v>
      </c>
      <c r="G349" s="67">
        <v>1</v>
      </c>
      <c r="H349" s="68"/>
      <c r="I349" s="26"/>
      <c r="J349" s="23"/>
      <c r="K349" s="24"/>
      <c r="L349" s="69">
        <f t="shared" si="20"/>
        <v>0</v>
      </c>
      <c r="M349" s="70"/>
      <c r="N349" s="25"/>
      <c r="O349" s="1"/>
      <c r="P349" s="32">
        <v>210299</v>
      </c>
      <c r="Q349" s="38">
        <f t="shared" si="21"/>
        <v>210299</v>
      </c>
      <c r="R349" s="28">
        <f t="shared" si="22"/>
        <v>0</v>
      </c>
    </row>
    <row r="350" spans="1:19">
      <c r="A350" s="64"/>
      <c r="B350" s="65"/>
      <c r="C350" s="65"/>
      <c r="D350" s="65"/>
      <c r="E350" s="66"/>
      <c r="F350" s="22"/>
      <c r="G350" s="67"/>
      <c r="H350" s="68"/>
      <c r="I350" s="26"/>
      <c r="J350" s="23"/>
      <c r="K350" s="24"/>
      <c r="L350" s="69"/>
      <c r="M350" s="70"/>
      <c r="N350" s="25"/>
      <c r="O350" s="3"/>
      <c r="P350" s="32"/>
      <c r="Q350" s="33">
        <f>SUM(Q324:Q349)</f>
        <v>4416270</v>
      </c>
      <c r="R350" s="29">
        <f>SUM(R324:R349)</f>
        <v>218316</v>
      </c>
    </row>
    <row r="351" spans="1:19">
      <c r="A351" s="64"/>
      <c r="B351" s="65"/>
      <c r="C351" s="65"/>
      <c r="D351" s="65"/>
      <c r="E351" s="66"/>
      <c r="F351" s="22"/>
      <c r="G351" s="67"/>
      <c r="H351" s="68"/>
      <c r="I351" s="26"/>
      <c r="J351" s="23"/>
      <c r="K351" s="24"/>
      <c r="L351" s="69"/>
      <c r="M351" s="70"/>
      <c r="N351" s="25"/>
      <c r="O351" s="3"/>
      <c r="P351" s="32"/>
      <c r="Q351" s="33"/>
      <c r="R351" s="37">
        <f>R350/Q350</f>
        <v>4.943447751156519E-2</v>
      </c>
    </row>
    <row r="352" spans="1:19">
      <c r="A352" s="62" t="s">
        <v>14</v>
      </c>
      <c r="B352" s="62"/>
      <c r="C352" s="62"/>
      <c r="D352" s="62"/>
      <c r="E352" s="62"/>
      <c r="F352" s="62"/>
      <c r="G352" s="62"/>
      <c r="H352" s="62"/>
      <c r="I352" s="62"/>
      <c r="J352" s="62"/>
      <c r="K352" s="62"/>
      <c r="L352" s="62"/>
      <c r="M352" s="62"/>
      <c r="N352" s="62"/>
      <c r="O352" s="1"/>
      <c r="P352" s="32"/>
      <c r="Q352" s="33"/>
      <c r="R352" s="29"/>
      <c r="S352" s="16"/>
    </row>
    <row r="353" spans="1:19">
      <c r="A353" s="71" t="s">
        <v>15</v>
      </c>
      <c r="B353" s="72"/>
      <c r="C353" s="72"/>
      <c r="D353" s="72"/>
      <c r="E353" s="73"/>
      <c r="F353" s="9" t="s">
        <v>37</v>
      </c>
      <c r="G353" s="71" t="s">
        <v>38</v>
      </c>
      <c r="H353" s="73"/>
      <c r="I353" s="71" t="s">
        <v>42</v>
      </c>
      <c r="J353" s="72"/>
      <c r="K353" s="73"/>
      <c r="L353" s="74" t="s">
        <v>17</v>
      </c>
      <c r="M353" s="75"/>
      <c r="N353" s="9" t="s">
        <v>13</v>
      </c>
      <c r="O353" s="1"/>
      <c r="P353" s="32"/>
      <c r="Q353" s="33"/>
      <c r="R353" s="29"/>
      <c r="S353" s="16"/>
    </row>
    <row r="354" spans="1:19">
      <c r="A354" s="71"/>
      <c r="B354" s="72"/>
      <c r="C354" s="72"/>
      <c r="D354" s="72"/>
      <c r="E354" s="73"/>
      <c r="F354" s="13"/>
      <c r="G354" s="76"/>
      <c r="H354" s="77"/>
      <c r="I354" s="78"/>
      <c r="J354" s="79"/>
      <c r="K354" s="80"/>
      <c r="L354" s="81"/>
      <c r="M354" s="82"/>
      <c r="N354" s="8"/>
      <c r="O354" s="1"/>
      <c r="P354" s="32"/>
      <c r="Q354" s="33"/>
      <c r="R354" s="29"/>
      <c r="S354" s="16"/>
    </row>
    <row r="355" spans="1:19">
      <c r="A355" s="62" t="s">
        <v>19</v>
      </c>
      <c r="B355" s="62"/>
      <c r="C355" s="62"/>
      <c r="D355" s="62"/>
      <c r="E355" s="62"/>
      <c r="F355" s="62"/>
      <c r="G355" s="62"/>
      <c r="H355" s="62"/>
      <c r="I355" s="62"/>
      <c r="J355" s="62"/>
      <c r="K355" s="62"/>
      <c r="L355" s="62"/>
      <c r="M355" s="62"/>
      <c r="N355" s="62"/>
      <c r="O355" s="1"/>
      <c r="P355" s="32"/>
      <c r="Q355" s="33"/>
      <c r="R355" s="29"/>
      <c r="S355" s="16"/>
    </row>
    <row r="356" spans="1:19">
      <c r="A356" s="63" t="s">
        <v>20</v>
      </c>
      <c r="B356" s="63"/>
      <c r="C356" s="63" t="s">
        <v>21</v>
      </c>
      <c r="D356" s="63"/>
      <c r="E356" s="63" t="s">
        <v>22</v>
      </c>
      <c r="F356" s="63"/>
      <c r="G356" s="63" t="s">
        <v>23</v>
      </c>
      <c r="H356" s="63"/>
      <c r="I356" s="63"/>
      <c r="J356" s="63" t="s">
        <v>16</v>
      </c>
      <c r="K356" s="63"/>
      <c r="L356" s="63"/>
      <c r="M356" s="63" t="s">
        <v>17</v>
      </c>
      <c r="N356" s="63"/>
      <c r="O356" s="1"/>
      <c r="Q356" s="32"/>
      <c r="R356" s="33"/>
      <c r="S356" s="16"/>
    </row>
    <row r="357" spans="1:19">
      <c r="A357" s="60" t="s">
        <v>24</v>
      </c>
      <c r="B357" s="52"/>
      <c r="C357" s="61"/>
      <c r="D357" s="61"/>
      <c r="E357" s="61">
        <f>C357+E296</f>
        <v>6</v>
      </c>
      <c r="F357" s="61"/>
      <c r="G357" s="60" t="s">
        <v>51</v>
      </c>
      <c r="H357" s="51"/>
      <c r="I357" s="52"/>
      <c r="J357" s="61"/>
      <c r="K357" s="61"/>
      <c r="L357" s="61"/>
      <c r="M357" s="61">
        <f>K357+M296</f>
        <v>1</v>
      </c>
      <c r="N357" s="61"/>
      <c r="O357" s="1"/>
      <c r="Q357" s="32"/>
      <c r="R357" s="33"/>
      <c r="S357" s="16"/>
    </row>
    <row r="358" spans="1:19">
      <c r="A358" s="60" t="s">
        <v>25</v>
      </c>
      <c r="B358" s="52"/>
      <c r="C358" s="61"/>
      <c r="D358" s="61"/>
      <c r="E358" s="61">
        <f>C358+E297</f>
        <v>5</v>
      </c>
      <c r="F358" s="61"/>
      <c r="G358" s="60" t="s">
        <v>50</v>
      </c>
      <c r="H358" s="51"/>
      <c r="I358" s="52"/>
      <c r="J358" s="61"/>
      <c r="K358" s="61"/>
      <c r="L358" s="61"/>
      <c r="M358" s="61">
        <f>K358+M297</f>
        <v>1</v>
      </c>
      <c r="N358" s="61"/>
      <c r="O358" s="1"/>
      <c r="Q358" s="32"/>
      <c r="R358" s="33"/>
      <c r="S358" s="16"/>
    </row>
    <row r="359" spans="1:19">
      <c r="A359" s="60"/>
      <c r="B359" s="52"/>
      <c r="C359" s="61"/>
      <c r="D359" s="61"/>
      <c r="E359" s="61"/>
      <c r="F359" s="61"/>
      <c r="G359" s="60" t="s">
        <v>55</v>
      </c>
      <c r="H359" s="51"/>
      <c r="I359" s="52"/>
      <c r="J359" s="61"/>
      <c r="K359" s="61"/>
      <c r="L359" s="61"/>
      <c r="M359" s="61">
        <f>K359+M298</f>
        <v>0</v>
      </c>
      <c r="N359" s="61"/>
      <c r="O359" s="2"/>
      <c r="P359" s="29"/>
      <c r="Q359" s="32"/>
      <c r="R359" s="33"/>
      <c r="S359" s="16"/>
    </row>
    <row r="360" spans="1:19">
      <c r="A360" s="53" t="s">
        <v>53</v>
      </c>
      <c r="B360" s="47"/>
      <c r="C360" s="53"/>
      <c r="D360" s="53"/>
      <c r="E360" s="53"/>
      <c r="F360" s="53"/>
      <c r="G360" s="53"/>
      <c r="H360" s="53"/>
      <c r="I360" s="53"/>
      <c r="J360" s="53"/>
      <c r="K360" s="53"/>
      <c r="L360" s="53"/>
      <c r="M360" s="53"/>
      <c r="N360" s="53"/>
      <c r="O360" s="1"/>
      <c r="P360" s="32"/>
      <c r="Q360" s="32"/>
      <c r="R360" s="33"/>
      <c r="S360" s="16"/>
    </row>
    <row r="361" spans="1:19">
      <c r="A361" s="45" t="s">
        <v>56</v>
      </c>
      <c r="B361" s="46"/>
      <c r="C361" s="46"/>
      <c r="D361" s="46"/>
      <c r="E361" s="46"/>
      <c r="F361" s="46"/>
      <c r="G361" s="46"/>
      <c r="H361" s="46"/>
      <c r="I361" s="46"/>
      <c r="J361" s="46"/>
      <c r="K361" s="46"/>
      <c r="L361" s="46"/>
      <c r="M361" s="46"/>
      <c r="N361" s="47"/>
      <c r="O361" s="1"/>
      <c r="P361" s="32"/>
      <c r="Q361" s="34"/>
      <c r="R361" s="33"/>
      <c r="S361" s="16"/>
    </row>
    <row r="362" spans="1:19">
      <c r="A362" s="54" t="s">
        <v>54</v>
      </c>
      <c r="B362" s="55"/>
      <c r="C362" s="55"/>
      <c r="D362" s="55"/>
      <c r="E362" s="55"/>
      <c r="F362" s="55"/>
      <c r="G362" s="55"/>
      <c r="H362" s="55"/>
      <c r="I362" s="55"/>
      <c r="J362" s="55"/>
      <c r="K362" s="55"/>
      <c r="L362" s="55"/>
      <c r="M362" s="55"/>
      <c r="N362" s="56"/>
      <c r="O362" s="1"/>
      <c r="P362" s="32"/>
      <c r="Q362" s="32"/>
      <c r="R362" s="33"/>
      <c r="S362" s="16"/>
    </row>
    <row r="363" spans="1:19">
      <c r="A363" s="40" t="s">
        <v>26</v>
      </c>
      <c r="B363" s="41"/>
      <c r="C363" s="40"/>
      <c r="D363" s="40"/>
      <c r="E363" s="40"/>
      <c r="F363" s="40"/>
      <c r="G363" s="40"/>
      <c r="H363" s="40"/>
      <c r="I363" s="40"/>
      <c r="J363" s="40"/>
      <c r="K363" s="40"/>
      <c r="L363" s="40"/>
      <c r="M363" s="40"/>
      <c r="N363" s="40"/>
      <c r="O363" s="1"/>
      <c r="P363" s="32"/>
      <c r="Q363" s="32"/>
      <c r="R363" s="33"/>
      <c r="S363" s="16"/>
    </row>
    <row r="364" spans="1:19">
      <c r="A364" s="57" t="s">
        <v>27</v>
      </c>
      <c r="B364" s="58"/>
      <c r="C364" s="58"/>
      <c r="D364" s="58"/>
      <c r="E364" s="58"/>
      <c r="F364" s="58"/>
      <c r="G364" s="58"/>
      <c r="H364" s="58"/>
      <c r="I364" s="58"/>
      <c r="J364" s="58"/>
      <c r="K364" s="58"/>
      <c r="L364" s="58"/>
      <c r="M364" s="58"/>
      <c r="N364" s="59"/>
      <c r="O364" s="1"/>
      <c r="P364" s="34"/>
      <c r="Q364" s="34"/>
      <c r="R364" s="33"/>
      <c r="S364" s="16"/>
    </row>
    <row r="365" spans="1:19">
      <c r="A365" s="57" t="s">
        <v>57</v>
      </c>
      <c r="B365" s="58"/>
      <c r="C365" s="58"/>
      <c r="D365" s="58"/>
      <c r="E365" s="58"/>
      <c r="F365" s="58"/>
      <c r="G365" s="58"/>
      <c r="H365" s="58"/>
      <c r="I365" s="58"/>
      <c r="J365" s="58"/>
      <c r="K365" s="58"/>
      <c r="L365" s="58"/>
      <c r="M365" s="58"/>
      <c r="N365" s="59"/>
      <c r="O365" s="1"/>
      <c r="P365" s="32"/>
      <c r="Q365" s="32"/>
      <c r="R365" s="33"/>
      <c r="S365" s="16"/>
    </row>
    <row r="366" spans="1:19">
      <c r="A366" s="57" t="s">
        <v>58</v>
      </c>
      <c r="B366" s="58"/>
      <c r="C366" s="58"/>
      <c r="D366" s="58"/>
      <c r="E366" s="58"/>
      <c r="F366" s="58"/>
      <c r="G366" s="58"/>
      <c r="H366" s="58"/>
      <c r="I366" s="58"/>
      <c r="J366" s="58"/>
      <c r="K366" s="58"/>
      <c r="L366" s="58"/>
      <c r="M366" s="58"/>
      <c r="N366" s="59"/>
      <c r="O366" s="1"/>
      <c r="P366" s="32"/>
      <c r="Q366" s="32"/>
      <c r="R366" s="33"/>
      <c r="S366" s="16"/>
    </row>
    <row r="367" spans="1:19">
      <c r="A367" s="57" t="s">
        <v>59</v>
      </c>
      <c r="B367" s="58"/>
      <c r="C367" s="58"/>
      <c r="D367" s="58"/>
      <c r="E367" s="58"/>
      <c r="F367" s="58"/>
      <c r="G367" s="58"/>
      <c r="H367" s="58"/>
      <c r="I367" s="58"/>
      <c r="J367" s="58"/>
      <c r="K367" s="58"/>
      <c r="L367" s="58"/>
      <c r="M367" s="58"/>
      <c r="N367" s="59"/>
      <c r="O367" s="1"/>
      <c r="P367" s="32"/>
      <c r="Q367" s="34"/>
      <c r="R367" s="33"/>
      <c r="S367" s="16"/>
    </row>
    <row r="368" spans="1:19">
      <c r="A368" s="57" t="s">
        <v>28</v>
      </c>
      <c r="B368" s="58"/>
      <c r="C368" s="58"/>
      <c r="D368" s="58"/>
      <c r="E368" s="58"/>
      <c r="F368" s="58"/>
      <c r="G368" s="58"/>
      <c r="H368" s="58"/>
      <c r="I368" s="58"/>
      <c r="J368" s="58"/>
      <c r="K368" s="58"/>
      <c r="L368" s="58"/>
      <c r="M368" s="58"/>
      <c r="N368" s="59"/>
      <c r="O368" s="1"/>
      <c r="P368" s="34"/>
      <c r="Q368" s="32"/>
      <c r="R368" s="33"/>
      <c r="S368" s="16"/>
    </row>
    <row r="369" spans="1:19">
      <c r="A369" s="40" t="s">
        <v>29</v>
      </c>
      <c r="B369" s="41"/>
      <c r="C369" s="40"/>
      <c r="D369" s="40"/>
      <c r="E369" s="40"/>
      <c r="F369" s="40"/>
      <c r="G369" s="40"/>
      <c r="H369" s="40"/>
      <c r="I369" s="40"/>
      <c r="J369" s="40"/>
      <c r="K369" s="40"/>
      <c r="L369" s="40"/>
      <c r="M369" s="40"/>
      <c r="N369" s="40"/>
      <c r="O369" s="1"/>
      <c r="P369" s="32"/>
      <c r="Q369" s="32"/>
      <c r="R369" s="33"/>
      <c r="S369" s="16"/>
    </row>
    <row r="370" spans="1:19">
      <c r="A370" s="42"/>
      <c r="B370" s="43"/>
      <c r="C370" s="43"/>
      <c r="D370" s="43"/>
      <c r="E370" s="43"/>
      <c r="F370" s="43"/>
      <c r="G370" s="43"/>
      <c r="H370" s="43"/>
      <c r="I370" s="43"/>
      <c r="J370" s="43"/>
      <c r="K370" s="43"/>
      <c r="L370" s="43"/>
      <c r="M370" s="43"/>
      <c r="N370" s="44"/>
      <c r="O370" s="1"/>
      <c r="P370" s="32"/>
      <c r="Q370" s="32"/>
      <c r="R370" s="33"/>
      <c r="S370" s="16"/>
    </row>
    <row r="371" spans="1:19">
      <c r="A371" s="40" t="s">
        <v>30</v>
      </c>
      <c r="B371" s="41"/>
      <c r="C371" s="40"/>
      <c r="D371" s="40"/>
      <c r="E371" s="40"/>
      <c r="F371" s="40"/>
      <c r="G371" s="40"/>
      <c r="H371" s="40"/>
      <c r="I371" s="40"/>
      <c r="J371" s="40"/>
      <c r="K371" s="40"/>
      <c r="L371" s="40"/>
      <c r="M371" s="40"/>
      <c r="N371" s="40"/>
      <c r="O371" s="1"/>
      <c r="P371" s="32"/>
      <c r="Q371" s="32"/>
      <c r="R371" s="33"/>
      <c r="S371" s="16"/>
    </row>
    <row r="372" spans="1:19">
      <c r="A372" s="42"/>
      <c r="B372" s="43"/>
      <c r="C372" s="43"/>
      <c r="D372" s="43"/>
      <c r="E372" s="43"/>
      <c r="F372" s="43"/>
      <c r="G372" s="43"/>
      <c r="H372" s="43"/>
      <c r="I372" s="43"/>
      <c r="J372" s="43"/>
      <c r="K372" s="43"/>
      <c r="L372" s="43"/>
      <c r="M372" s="43"/>
      <c r="N372" s="44"/>
      <c r="O372" s="1"/>
      <c r="P372" s="32"/>
      <c r="Q372" s="32"/>
      <c r="R372" s="33"/>
      <c r="S372" s="16"/>
    </row>
    <row r="373" spans="1:19">
      <c r="A373" s="40" t="s">
        <v>97</v>
      </c>
      <c r="B373" s="41"/>
      <c r="C373" s="40"/>
      <c r="D373" s="40"/>
      <c r="E373" s="40"/>
      <c r="F373" s="40"/>
      <c r="G373" s="40"/>
      <c r="H373" s="40"/>
      <c r="I373" s="40"/>
      <c r="J373" s="40"/>
      <c r="K373" s="40"/>
      <c r="L373" s="40"/>
      <c r="M373" s="40"/>
      <c r="N373" s="40"/>
      <c r="O373" s="1"/>
      <c r="P373" s="32"/>
      <c r="Q373" s="32"/>
      <c r="R373" s="33"/>
      <c r="S373" s="17"/>
    </row>
    <row r="374" spans="1:19">
      <c r="A374" s="45"/>
      <c r="B374" s="46"/>
      <c r="C374" s="46"/>
      <c r="D374" s="46"/>
      <c r="E374" s="46"/>
      <c r="F374" s="46"/>
      <c r="G374" s="46"/>
      <c r="H374" s="46"/>
      <c r="I374" s="46"/>
      <c r="J374" s="46"/>
      <c r="K374" s="46"/>
      <c r="L374" s="46"/>
      <c r="M374" s="46"/>
      <c r="N374" s="47"/>
      <c r="O374" s="1"/>
      <c r="P374" s="32"/>
      <c r="Q374" s="32"/>
      <c r="R374" s="33"/>
      <c r="S374" s="1"/>
    </row>
    <row r="375" spans="1:19">
      <c r="A375" s="48" t="s">
        <v>41</v>
      </c>
      <c r="B375" s="49"/>
      <c r="C375" s="50"/>
      <c r="D375" s="50"/>
      <c r="E375" s="50"/>
      <c r="F375" s="50"/>
      <c r="G375" s="50"/>
      <c r="H375" s="51"/>
      <c r="I375" s="51"/>
      <c r="J375" s="51"/>
      <c r="K375" s="51"/>
      <c r="L375" s="51"/>
      <c r="M375" s="51"/>
      <c r="N375" s="52"/>
      <c r="O375" s="1"/>
      <c r="P375" s="32"/>
      <c r="Q375" s="32"/>
      <c r="R375" s="33"/>
      <c r="S375" s="1"/>
    </row>
    <row r="376" spans="1:19" ht="28.2">
      <c r="A376" s="1" t="s">
        <v>45</v>
      </c>
      <c r="B376" s="7">
        <f>B315+1</f>
        <v>7</v>
      </c>
      <c r="C376" s="5"/>
      <c r="D376" s="5"/>
      <c r="E376" s="5"/>
      <c r="F376" s="5"/>
      <c r="G376" s="5"/>
      <c r="H376" s="5"/>
      <c r="I376" s="5"/>
      <c r="J376" s="5"/>
      <c r="K376" s="5"/>
      <c r="L376" s="5"/>
      <c r="M376" s="5"/>
      <c r="N376" s="5"/>
      <c r="O376" s="1"/>
      <c r="P376" s="32"/>
      <c r="Q376" s="33"/>
      <c r="R376" s="29"/>
    </row>
    <row r="377" spans="1:19">
      <c r="A377" s="1" t="s">
        <v>46</v>
      </c>
      <c r="B377" s="1" t="s">
        <v>1</v>
      </c>
      <c r="C377" s="1" t="s">
        <v>2</v>
      </c>
      <c r="D377" s="1" t="s">
        <v>3</v>
      </c>
      <c r="E377" s="1" t="s">
        <v>2</v>
      </c>
      <c r="F377" s="1"/>
      <c r="G377" s="1"/>
      <c r="H377" s="112" t="s">
        <v>4</v>
      </c>
      <c r="I377" s="112"/>
      <c r="J377" s="113">
        <f>J316+1</f>
        <v>46218</v>
      </c>
      <c r="K377" s="113"/>
      <c r="L377" s="113"/>
      <c r="M377" s="114">
        <f>J377</f>
        <v>46218</v>
      </c>
      <c r="N377" s="114"/>
      <c r="O377" s="1"/>
      <c r="P377" s="32"/>
      <c r="Q377" s="33"/>
      <c r="R377" s="29"/>
    </row>
    <row r="378" spans="1:19">
      <c r="A378" s="8" t="s">
        <v>5</v>
      </c>
      <c r="B378" s="115">
        <f>B309</f>
        <v>0</v>
      </c>
      <c r="C378" s="116"/>
      <c r="D378" s="116"/>
      <c r="E378" s="116"/>
      <c r="F378" s="116"/>
      <c r="G378" s="117"/>
      <c r="H378" s="63" t="s">
        <v>6</v>
      </c>
      <c r="I378" s="63"/>
      <c r="J378" s="63"/>
      <c r="K378" s="63" t="s">
        <v>52</v>
      </c>
      <c r="L378" s="63"/>
      <c r="M378" s="63"/>
      <c r="N378" s="63"/>
      <c r="O378" s="1"/>
      <c r="P378" s="32"/>
      <c r="Q378" s="33"/>
      <c r="R378" s="29"/>
    </row>
    <row r="379" spans="1:19">
      <c r="A379" s="8" t="s">
        <v>32</v>
      </c>
      <c r="B379" s="10">
        <v>60</v>
      </c>
      <c r="C379" s="11" t="s">
        <v>43</v>
      </c>
      <c r="D379" s="71" t="s">
        <v>7</v>
      </c>
      <c r="E379" s="73"/>
      <c r="F379" s="10">
        <f>F318+1</f>
        <v>7</v>
      </c>
      <c r="G379" s="11" t="s">
        <v>8</v>
      </c>
      <c r="H379" s="9" t="s">
        <v>9</v>
      </c>
      <c r="I379" s="10">
        <f>B379-F379</f>
        <v>53</v>
      </c>
      <c r="J379" s="11" t="s">
        <v>8</v>
      </c>
      <c r="K379" s="118" t="s">
        <v>33</v>
      </c>
      <c r="L379" s="119"/>
      <c r="M379" s="12"/>
      <c r="N379" s="11" t="s">
        <v>8</v>
      </c>
      <c r="O379" s="1"/>
      <c r="P379" s="34"/>
      <c r="Q379" s="33"/>
      <c r="R379" s="29"/>
    </row>
    <row r="380" spans="1:19">
      <c r="A380" s="71" t="s">
        <v>34</v>
      </c>
      <c r="B380" s="72"/>
      <c r="C380" s="73"/>
      <c r="D380" s="120">
        <v>46212</v>
      </c>
      <c r="E380" s="121"/>
      <c r="F380" s="121"/>
      <c r="G380" s="122"/>
      <c r="H380" s="71" t="s">
        <v>35</v>
      </c>
      <c r="I380" s="72"/>
      <c r="J380" s="73"/>
      <c r="K380" s="120">
        <f>D380+59</f>
        <v>46271</v>
      </c>
      <c r="L380" s="121"/>
      <c r="M380" s="121"/>
      <c r="N380" s="122"/>
      <c r="O380" s="1"/>
      <c r="P380" s="32"/>
      <c r="Q380" s="33"/>
      <c r="R380" s="29"/>
    </row>
    <row r="381" spans="1:19">
      <c r="A381" s="92" t="s">
        <v>10</v>
      </c>
      <c r="B381" s="93"/>
      <c r="C381" s="94"/>
      <c r="D381" s="98">
        <f>D320+0.005/5</f>
        <v>2.5000000000000001E-3</v>
      </c>
      <c r="E381" s="99"/>
      <c r="F381" s="99"/>
      <c r="G381" s="100"/>
      <c r="H381" s="104" t="s">
        <v>36</v>
      </c>
      <c r="I381" s="105"/>
      <c r="J381" s="106"/>
      <c r="K381" s="110">
        <f>R412</f>
        <v>4.943447751156519E-2</v>
      </c>
      <c r="L381" s="105"/>
      <c r="M381" s="105"/>
      <c r="N381" s="106"/>
      <c r="O381" s="1"/>
      <c r="P381" s="32"/>
      <c r="Q381" s="33"/>
      <c r="R381" s="29"/>
    </row>
    <row r="382" spans="1:19">
      <c r="A382" s="95"/>
      <c r="B382" s="96"/>
      <c r="C382" s="97"/>
      <c r="D382" s="101"/>
      <c r="E382" s="102"/>
      <c r="F382" s="102"/>
      <c r="G382" s="103"/>
      <c r="H382" s="107"/>
      <c r="I382" s="108"/>
      <c r="J382" s="109"/>
      <c r="K382" s="107"/>
      <c r="L382" s="108"/>
      <c r="M382" s="108"/>
      <c r="N382" s="109"/>
      <c r="O382" s="1"/>
      <c r="P382" s="32"/>
      <c r="Q382" s="33"/>
      <c r="R382" s="29"/>
    </row>
    <row r="383" spans="1:19">
      <c r="A383" s="62" t="s">
        <v>11</v>
      </c>
      <c r="B383" s="62"/>
      <c r="C383" s="62"/>
      <c r="D383" s="62"/>
      <c r="E383" s="62"/>
      <c r="F383" s="62"/>
      <c r="G383" s="62"/>
      <c r="H383" s="62"/>
      <c r="I383" s="62"/>
      <c r="J383" s="62"/>
      <c r="K383" s="62"/>
      <c r="L383" s="62"/>
      <c r="M383" s="62"/>
      <c r="N383" s="62"/>
      <c r="O383" s="1"/>
      <c r="P383" s="32"/>
      <c r="Q383" s="33"/>
      <c r="R383" s="29"/>
    </row>
    <row r="384" spans="1:19">
      <c r="A384" s="111" t="s">
        <v>12</v>
      </c>
      <c r="B384" s="111"/>
      <c r="C384" s="111"/>
      <c r="D384" s="111"/>
      <c r="E384" s="111"/>
      <c r="F384" s="14" t="s">
        <v>37</v>
      </c>
      <c r="G384" s="111" t="s">
        <v>38</v>
      </c>
      <c r="H384" s="111"/>
      <c r="I384" s="63" t="s">
        <v>39</v>
      </c>
      <c r="J384" s="63"/>
      <c r="K384" s="63"/>
      <c r="L384" s="63" t="s">
        <v>40</v>
      </c>
      <c r="M384" s="63"/>
      <c r="N384" s="9" t="s">
        <v>13</v>
      </c>
      <c r="O384" s="1"/>
      <c r="P384" s="28" t="s">
        <v>47</v>
      </c>
      <c r="Q384" s="29" t="s">
        <v>48</v>
      </c>
      <c r="R384" s="29" t="s">
        <v>49</v>
      </c>
    </row>
    <row r="385" spans="1:18">
      <c r="A385" s="83" t="s">
        <v>67</v>
      </c>
      <c r="B385" s="84"/>
      <c r="C385" s="84"/>
      <c r="D385" s="84"/>
      <c r="E385" s="85"/>
      <c r="F385" s="27" t="s">
        <v>60</v>
      </c>
      <c r="G385" s="67">
        <v>1</v>
      </c>
      <c r="H385" s="68"/>
      <c r="I385" s="86"/>
      <c r="J385" s="87"/>
      <c r="K385" s="88"/>
      <c r="L385" s="69">
        <f>I385+L324</f>
        <v>1</v>
      </c>
      <c r="M385" s="70"/>
      <c r="N385" s="8"/>
      <c r="O385" s="1"/>
      <c r="P385" s="30">
        <v>6000</v>
      </c>
      <c r="Q385" s="38">
        <f>P385*G385</f>
        <v>6000</v>
      </c>
      <c r="R385" s="28">
        <f>L385*P385</f>
        <v>6000</v>
      </c>
    </row>
    <row r="386" spans="1:18">
      <c r="A386" s="83" t="s">
        <v>68</v>
      </c>
      <c r="B386" s="84"/>
      <c r="C386" s="84"/>
      <c r="D386" s="84"/>
      <c r="E386" s="85"/>
      <c r="F386" s="20" t="s">
        <v>60</v>
      </c>
      <c r="G386" s="67">
        <v>1</v>
      </c>
      <c r="H386" s="68"/>
      <c r="I386" s="87"/>
      <c r="J386" s="87"/>
      <c r="K386" s="88"/>
      <c r="L386" s="69">
        <f t="shared" ref="L386:L410" si="23">I386+L325</f>
        <v>0</v>
      </c>
      <c r="M386" s="70"/>
      <c r="N386" s="8"/>
      <c r="O386" s="1"/>
      <c r="P386" s="30">
        <v>193300</v>
      </c>
      <c r="Q386" s="38">
        <f t="shared" ref="Q386:Q410" si="24">P386*G386</f>
        <v>193300</v>
      </c>
      <c r="R386" s="28">
        <f>L386*P386</f>
        <v>0</v>
      </c>
    </row>
    <row r="387" spans="1:18">
      <c r="A387" s="89" t="s">
        <v>69</v>
      </c>
      <c r="B387" s="90"/>
      <c r="C387" s="90"/>
      <c r="D387" s="90"/>
      <c r="E387" s="91"/>
      <c r="F387" s="20" t="s">
        <v>60</v>
      </c>
      <c r="G387" s="67">
        <v>1</v>
      </c>
      <c r="H387" s="68"/>
      <c r="I387" s="87"/>
      <c r="J387" s="87"/>
      <c r="K387" s="88"/>
      <c r="L387" s="69">
        <f t="shared" si="23"/>
        <v>0</v>
      </c>
      <c r="M387" s="70"/>
      <c r="N387" s="8"/>
      <c r="O387" s="1"/>
      <c r="P387" s="30">
        <v>30000</v>
      </c>
      <c r="Q387" s="38">
        <f t="shared" si="24"/>
        <v>30000</v>
      </c>
      <c r="R387" s="28">
        <f>L387*P387</f>
        <v>0</v>
      </c>
    </row>
    <row r="388" spans="1:18">
      <c r="A388" s="64" t="s">
        <v>70</v>
      </c>
      <c r="B388" s="65"/>
      <c r="C388" s="65"/>
      <c r="D388" s="65"/>
      <c r="E388" s="66"/>
      <c r="F388" s="20" t="s">
        <v>60</v>
      </c>
      <c r="G388" s="67">
        <v>1</v>
      </c>
      <c r="H388" s="68"/>
      <c r="I388" s="87"/>
      <c r="J388" s="87"/>
      <c r="K388" s="88"/>
      <c r="L388" s="69">
        <f t="shared" si="23"/>
        <v>1</v>
      </c>
      <c r="M388" s="70"/>
      <c r="N388" s="8"/>
      <c r="O388" s="1"/>
      <c r="P388" s="31">
        <v>10000</v>
      </c>
      <c r="Q388" s="38">
        <f t="shared" si="24"/>
        <v>10000</v>
      </c>
      <c r="R388" s="28">
        <f t="shared" ref="R388:R410" si="25">L388*P388</f>
        <v>10000</v>
      </c>
    </row>
    <row r="389" spans="1:18">
      <c r="A389" s="64" t="s">
        <v>71</v>
      </c>
      <c r="B389" s="65"/>
      <c r="C389" s="65"/>
      <c r="D389" s="65"/>
      <c r="E389" s="66"/>
      <c r="F389" s="20" t="s">
        <v>61</v>
      </c>
      <c r="G389" s="67">
        <v>9</v>
      </c>
      <c r="H389" s="68"/>
      <c r="I389" s="87"/>
      <c r="J389" s="87"/>
      <c r="K389" s="88"/>
      <c r="L389" s="69">
        <f t="shared" si="23"/>
        <v>9</v>
      </c>
      <c r="M389" s="70"/>
      <c r="N389" s="8"/>
      <c r="O389" s="1"/>
      <c r="P389" s="30">
        <v>21000</v>
      </c>
      <c r="Q389" s="38">
        <f t="shared" si="24"/>
        <v>189000</v>
      </c>
      <c r="R389" s="28">
        <f t="shared" si="25"/>
        <v>189000</v>
      </c>
    </row>
    <row r="390" spans="1:18">
      <c r="A390" s="64" t="s">
        <v>72</v>
      </c>
      <c r="B390" s="65"/>
      <c r="C390" s="65"/>
      <c r="D390" s="65"/>
      <c r="E390" s="66"/>
      <c r="F390" s="2" t="s">
        <v>60</v>
      </c>
      <c r="G390" s="67">
        <v>1</v>
      </c>
      <c r="H390" s="68"/>
      <c r="I390" s="87"/>
      <c r="J390" s="87"/>
      <c r="K390" s="88"/>
      <c r="L390" s="69">
        <f t="shared" si="23"/>
        <v>0</v>
      </c>
      <c r="M390" s="70"/>
      <c r="N390" s="8"/>
      <c r="O390" s="1"/>
      <c r="P390" s="30">
        <v>184468</v>
      </c>
      <c r="Q390" s="38">
        <f t="shared" si="24"/>
        <v>184468</v>
      </c>
      <c r="R390" s="28">
        <f t="shared" si="25"/>
        <v>0</v>
      </c>
    </row>
    <row r="391" spans="1:18">
      <c r="A391" s="83" t="s">
        <v>73</v>
      </c>
      <c r="B391" s="84"/>
      <c r="C391" s="84"/>
      <c r="D391" s="84"/>
      <c r="E391" s="85"/>
      <c r="F391" s="20" t="s">
        <v>62</v>
      </c>
      <c r="G391" s="67">
        <v>9</v>
      </c>
      <c r="H391" s="68"/>
      <c r="I391" s="87"/>
      <c r="J391" s="87"/>
      <c r="K391" s="88"/>
      <c r="L391" s="69">
        <f t="shared" si="23"/>
        <v>0</v>
      </c>
      <c r="M391" s="70"/>
      <c r="N391" s="8"/>
      <c r="O391" s="1"/>
      <c r="P391" s="30">
        <v>20000</v>
      </c>
      <c r="Q391" s="38">
        <f t="shared" si="24"/>
        <v>180000</v>
      </c>
      <c r="R391" s="28">
        <f t="shared" si="25"/>
        <v>0</v>
      </c>
    </row>
    <row r="392" spans="1:18">
      <c r="A392" s="83" t="s">
        <v>74</v>
      </c>
      <c r="B392" s="84"/>
      <c r="C392" s="84"/>
      <c r="D392" s="84"/>
      <c r="E392" s="85"/>
      <c r="F392" s="20" t="s">
        <v>63</v>
      </c>
      <c r="G392" s="67">
        <v>52</v>
      </c>
      <c r="H392" s="68"/>
      <c r="I392" s="87"/>
      <c r="J392" s="87"/>
      <c r="K392" s="88"/>
      <c r="L392" s="69">
        <f t="shared" si="23"/>
        <v>0</v>
      </c>
      <c r="M392" s="70"/>
      <c r="N392" s="8"/>
      <c r="O392" s="1"/>
      <c r="P392" s="31">
        <v>2500</v>
      </c>
      <c r="Q392" s="38">
        <f t="shared" si="24"/>
        <v>130000</v>
      </c>
      <c r="R392" s="28">
        <f t="shared" si="25"/>
        <v>0</v>
      </c>
    </row>
    <row r="393" spans="1:18">
      <c r="A393" s="83" t="s">
        <v>75</v>
      </c>
      <c r="B393" s="84"/>
      <c r="C393" s="84"/>
      <c r="D393" s="84"/>
      <c r="E393" s="85"/>
      <c r="F393" s="20" t="s">
        <v>64</v>
      </c>
      <c r="G393" s="67">
        <v>1</v>
      </c>
      <c r="H393" s="68"/>
      <c r="I393" s="87"/>
      <c r="J393" s="87"/>
      <c r="K393" s="88"/>
      <c r="L393" s="69">
        <f t="shared" si="23"/>
        <v>0</v>
      </c>
      <c r="M393" s="70"/>
      <c r="N393" s="8"/>
      <c r="O393" s="1"/>
      <c r="P393" s="30">
        <v>80000</v>
      </c>
      <c r="Q393" s="38">
        <f t="shared" si="24"/>
        <v>80000</v>
      </c>
      <c r="R393" s="28">
        <f t="shared" si="25"/>
        <v>0</v>
      </c>
    </row>
    <row r="394" spans="1:18">
      <c r="A394" s="89" t="s">
        <v>76</v>
      </c>
      <c r="B394" s="90"/>
      <c r="C394" s="90"/>
      <c r="D394" s="90"/>
      <c r="E394" s="91"/>
      <c r="F394" s="20" t="s">
        <v>65</v>
      </c>
      <c r="G394" s="67">
        <v>31</v>
      </c>
      <c r="H394" s="68"/>
      <c r="I394" s="87"/>
      <c r="J394" s="87"/>
      <c r="K394" s="88"/>
      <c r="L394" s="69">
        <f t="shared" si="23"/>
        <v>0</v>
      </c>
      <c r="M394" s="70"/>
      <c r="N394" s="8"/>
      <c r="O394" s="1"/>
      <c r="P394" s="30">
        <v>400</v>
      </c>
      <c r="Q394" s="38">
        <f t="shared" si="24"/>
        <v>12400</v>
      </c>
      <c r="R394" s="28">
        <f t="shared" si="25"/>
        <v>0</v>
      </c>
    </row>
    <row r="395" spans="1:18">
      <c r="A395" s="64" t="s">
        <v>77</v>
      </c>
      <c r="B395" s="65"/>
      <c r="C395" s="65"/>
      <c r="D395" s="65"/>
      <c r="E395" s="66"/>
      <c r="F395" s="20" t="s">
        <v>65</v>
      </c>
      <c r="G395" s="67">
        <v>100</v>
      </c>
      <c r="H395" s="68"/>
      <c r="I395" s="87"/>
      <c r="J395" s="87"/>
      <c r="K395" s="88"/>
      <c r="L395" s="69">
        <f t="shared" si="23"/>
        <v>0</v>
      </c>
      <c r="M395" s="70"/>
      <c r="N395" s="8"/>
      <c r="O395" s="1"/>
      <c r="P395" s="30">
        <v>350</v>
      </c>
      <c r="Q395" s="38">
        <f t="shared" si="24"/>
        <v>35000</v>
      </c>
      <c r="R395" s="28">
        <f t="shared" si="25"/>
        <v>0</v>
      </c>
    </row>
    <row r="396" spans="1:18">
      <c r="A396" s="64" t="s">
        <v>78</v>
      </c>
      <c r="B396" s="65"/>
      <c r="C396" s="65"/>
      <c r="D396" s="65"/>
      <c r="E396" s="66"/>
      <c r="F396" s="20" t="s">
        <v>63</v>
      </c>
      <c r="G396" s="67">
        <v>35</v>
      </c>
      <c r="H396" s="68"/>
      <c r="I396" s="87"/>
      <c r="J396" s="87"/>
      <c r="K396" s="88"/>
      <c r="L396" s="69">
        <f t="shared" si="23"/>
        <v>0</v>
      </c>
      <c r="M396" s="70"/>
      <c r="N396" s="8"/>
      <c r="O396" s="1"/>
      <c r="P396" s="30">
        <v>1200</v>
      </c>
      <c r="Q396" s="38">
        <f t="shared" si="24"/>
        <v>42000</v>
      </c>
      <c r="R396" s="28">
        <f t="shared" si="25"/>
        <v>0</v>
      </c>
    </row>
    <row r="397" spans="1:18">
      <c r="A397" s="64" t="s">
        <v>79</v>
      </c>
      <c r="B397" s="65"/>
      <c r="C397" s="65"/>
      <c r="D397" s="65"/>
      <c r="E397" s="66"/>
      <c r="F397" s="20" t="s">
        <v>63</v>
      </c>
      <c r="G397" s="67">
        <v>282</v>
      </c>
      <c r="H397" s="68"/>
      <c r="I397" s="86"/>
      <c r="J397" s="87"/>
      <c r="K397" s="88"/>
      <c r="L397" s="69">
        <f t="shared" si="23"/>
        <v>0</v>
      </c>
      <c r="M397" s="70"/>
      <c r="N397" s="8"/>
      <c r="O397" s="1"/>
      <c r="P397" s="30">
        <v>1400</v>
      </c>
      <c r="Q397" s="38">
        <f t="shared" si="24"/>
        <v>394800</v>
      </c>
      <c r="R397" s="28">
        <f t="shared" si="25"/>
        <v>0</v>
      </c>
    </row>
    <row r="398" spans="1:18">
      <c r="A398" s="83" t="s">
        <v>80</v>
      </c>
      <c r="B398" s="84"/>
      <c r="C398" s="84"/>
      <c r="D398" s="84"/>
      <c r="E398" s="85"/>
      <c r="F398" s="21" t="s">
        <v>65</v>
      </c>
      <c r="G398" s="67">
        <v>58</v>
      </c>
      <c r="H398" s="68"/>
      <c r="I398" s="86"/>
      <c r="J398" s="87"/>
      <c r="K398" s="88"/>
      <c r="L398" s="69">
        <f t="shared" si="23"/>
        <v>0</v>
      </c>
      <c r="M398" s="70"/>
      <c r="N398" s="8"/>
      <c r="O398" s="1"/>
      <c r="P398" s="30">
        <v>3600</v>
      </c>
      <c r="Q398" s="38">
        <f t="shared" si="24"/>
        <v>208800</v>
      </c>
      <c r="R398" s="28">
        <f t="shared" si="25"/>
        <v>0</v>
      </c>
    </row>
    <row r="399" spans="1:18">
      <c r="A399" s="83" t="s">
        <v>81</v>
      </c>
      <c r="B399" s="84"/>
      <c r="C399" s="84"/>
      <c r="D399" s="84"/>
      <c r="E399" s="85"/>
      <c r="F399" s="21" t="s">
        <v>65</v>
      </c>
      <c r="G399" s="67">
        <v>360</v>
      </c>
      <c r="H399" s="68"/>
      <c r="I399" s="86"/>
      <c r="J399" s="87"/>
      <c r="K399" s="88"/>
      <c r="L399" s="69">
        <f t="shared" si="23"/>
        <v>0</v>
      </c>
      <c r="M399" s="70"/>
      <c r="N399" s="8"/>
      <c r="O399" s="1"/>
      <c r="P399" s="30">
        <v>230</v>
      </c>
      <c r="Q399" s="38">
        <f t="shared" si="24"/>
        <v>82800</v>
      </c>
      <c r="R399" s="28">
        <f t="shared" si="25"/>
        <v>0</v>
      </c>
    </row>
    <row r="400" spans="1:18">
      <c r="A400" s="83" t="s">
        <v>82</v>
      </c>
      <c r="B400" s="84"/>
      <c r="C400" s="84"/>
      <c r="D400" s="84"/>
      <c r="E400" s="85"/>
      <c r="F400" s="21" t="s">
        <v>65</v>
      </c>
      <c r="G400" s="67">
        <v>2400</v>
      </c>
      <c r="H400" s="68"/>
      <c r="I400" s="86"/>
      <c r="J400" s="87"/>
      <c r="K400" s="88"/>
      <c r="L400" s="69">
        <f t="shared" si="23"/>
        <v>0</v>
      </c>
      <c r="M400" s="70"/>
      <c r="N400" s="8"/>
      <c r="O400" s="1"/>
      <c r="P400" s="30">
        <v>80</v>
      </c>
      <c r="Q400" s="38">
        <f t="shared" si="24"/>
        <v>192000</v>
      </c>
      <c r="R400" s="28">
        <f t="shared" si="25"/>
        <v>0</v>
      </c>
    </row>
    <row r="401" spans="1:19">
      <c r="A401" s="89" t="s">
        <v>83</v>
      </c>
      <c r="B401" s="90"/>
      <c r="C401" s="90"/>
      <c r="D401" s="90"/>
      <c r="E401" s="91"/>
      <c r="F401" s="21" t="s">
        <v>65</v>
      </c>
      <c r="G401" s="67">
        <v>360</v>
      </c>
      <c r="H401" s="68"/>
      <c r="I401" s="86"/>
      <c r="J401" s="87"/>
      <c r="K401" s="88"/>
      <c r="L401" s="69">
        <f t="shared" si="23"/>
        <v>0</v>
      </c>
      <c r="M401" s="70"/>
      <c r="N401" s="8"/>
      <c r="O401" s="1"/>
      <c r="P401" s="30">
        <v>420</v>
      </c>
      <c r="Q401" s="38">
        <f t="shared" si="24"/>
        <v>151200</v>
      </c>
      <c r="R401" s="28">
        <f t="shared" si="25"/>
        <v>0</v>
      </c>
    </row>
    <row r="402" spans="1:19">
      <c r="A402" s="64" t="s">
        <v>84</v>
      </c>
      <c r="B402" s="65"/>
      <c r="C402" s="65"/>
      <c r="D402" s="65"/>
      <c r="E402" s="66"/>
      <c r="F402" s="21" t="s">
        <v>65</v>
      </c>
      <c r="G402" s="67">
        <v>2760</v>
      </c>
      <c r="H402" s="68"/>
      <c r="I402" s="86"/>
      <c r="J402" s="87"/>
      <c r="K402" s="88"/>
      <c r="L402" s="69">
        <f t="shared" si="23"/>
        <v>0</v>
      </c>
      <c r="M402" s="70"/>
      <c r="N402" s="8"/>
      <c r="O402" s="1"/>
      <c r="P402" s="30">
        <v>460</v>
      </c>
      <c r="Q402" s="38">
        <f t="shared" si="24"/>
        <v>1269600</v>
      </c>
      <c r="R402" s="28">
        <f t="shared" si="25"/>
        <v>0</v>
      </c>
    </row>
    <row r="403" spans="1:19">
      <c r="A403" s="64" t="s">
        <v>85</v>
      </c>
      <c r="B403" s="65"/>
      <c r="C403" s="65"/>
      <c r="D403" s="65"/>
      <c r="E403" s="66"/>
      <c r="F403" s="21" t="s">
        <v>65</v>
      </c>
      <c r="G403" s="67">
        <v>275</v>
      </c>
      <c r="H403" s="68"/>
      <c r="I403" s="86"/>
      <c r="J403" s="87"/>
      <c r="K403" s="88"/>
      <c r="L403" s="69">
        <f t="shared" si="23"/>
        <v>0</v>
      </c>
      <c r="M403" s="70"/>
      <c r="N403" s="8"/>
      <c r="O403" s="1"/>
      <c r="P403" s="31">
        <v>350</v>
      </c>
      <c r="Q403" s="38">
        <f t="shared" si="24"/>
        <v>96250</v>
      </c>
      <c r="R403" s="28">
        <f t="shared" si="25"/>
        <v>0</v>
      </c>
    </row>
    <row r="404" spans="1:19">
      <c r="A404" s="64" t="s">
        <v>86</v>
      </c>
      <c r="B404" s="65"/>
      <c r="C404" s="65"/>
      <c r="D404" s="65"/>
      <c r="E404" s="66"/>
      <c r="F404" s="21" t="s">
        <v>60</v>
      </c>
      <c r="G404" s="67">
        <v>1</v>
      </c>
      <c r="H404" s="68"/>
      <c r="I404" s="86"/>
      <c r="J404" s="87"/>
      <c r="K404" s="88"/>
      <c r="L404" s="69">
        <f t="shared" si="23"/>
        <v>0</v>
      </c>
      <c r="M404" s="70"/>
      <c r="N404" s="8"/>
      <c r="O404" s="2"/>
      <c r="P404" s="30">
        <v>40000</v>
      </c>
      <c r="Q404" s="38">
        <f t="shared" si="24"/>
        <v>40000</v>
      </c>
      <c r="R404" s="28">
        <f t="shared" si="25"/>
        <v>0</v>
      </c>
    </row>
    <row r="405" spans="1:19">
      <c r="A405" s="83" t="s">
        <v>87</v>
      </c>
      <c r="B405" s="84"/>
      <c r="C405" s="84"/>
      <c r="D405" s="84"/>
      <c r="E405" s="85"/>
      <c r="F405" s="20" t="s">
        <v>60</v>
      </c>
      <c r="G405" s="67">
        <v>1</v>
      </c>
      <c r="H405" s="68"/>
      <c r="I405" s="86"/>
      <c r="J405" s="87"/>
      <c r="K405" s="88"/>
      <c r="L405" s="69">
        <f t="shared" si="23"/>
        <v>0</v>
      </c>
      <c r="M405" s="70"/>
      <c r="N405" s="8"/>
      <c r="O405" s="1"/>
      <c r="P405" s="31">
        <v>276970</v>
      </c>
      <c r="Q405" s="38">
        <f t="shared" si="24"/>
        <v>276970</v>
      </c>
      <c r="R405" s="28">
        <f t="shared" si="25"/>
        <v>0</v>
      </c>
    </row>
    <row r="406" spans="1:19">
      <c r="A406" s="83" t="s">
        <v>88</v>
      </c>
      <c r="B406" s="84"/>
      <c r="C406" s="84"/>
      <c r="D406" s="84"/>
      <c r="E406" s="85"/>
      <c r="F406" s="20" t="s">
        <v>60</v>
      </c>
      <c r="G406" s="67">
        <v>1</v>
      </c>
      <c r="H406" s="68"/>
      <c r="I406" s="26"/>
      <c r="J406" s="23"/>
      <c r="K406" s="24"/>
      <c r="L406" s="69">
        <f t="shared" si="23"/>
        <v>0</v>
      </c>
      <c r="M406" s="70"/>
      <c r="N406" s="25"/>
      <c r="O406" s="1"/>
      <c r="P406" s="32">
        <v>60873</v>
      </c>
      <c r="Q406" s="38">
        <f t="shared" si="24"/>
        <v>60873</v>
      </c>
      <c r="R406" s="28">
        <f t="shared" si="25"/>
        <v>0</v>
      </c>
    </row>
    <row r="407" spans="1:19">
      <c r="A407" s="83" t="s">
        <v>89</v>
      </c>
      <c r="B407" s="84"/>
      <c r="C407" s="84"/>
      <c r="D407" s="84"/>
      <c r="E407" s="85"/>
      <c r="F407" s="20" t="s">
        <v>60</v>
      </c>
      <c r="G407" s="67">
        <v>1</v>
      </c>
      <c r="H407" s="68"/>
      <c r="I407" s="26"/>
      <c r="J407" s="23"/>
      <c r="K407" s="24"/>
      <c r="L407" s="69">
        <f t="shared" si="23"/>
        <v>0</v>
      </c>
      <c r="M407" s="70"/>
      <c r="N407" s="25"/>
      <c r="O407" s="1"/>
      <c r="P407" s="32">
        <v>60873</v>
      </c>
      <c r="Q407" s="38">
        <f t="shared" si="24"/>
        <v>60873</v>
      </c>
      <c r="R407" s="28">
        <f t="shared" si="25"/>
        <v>0</v>
      </c>
    </row>
    <row r="408" spans="1:19">
      <c r="A408" s="83" t="s">
        <v>90</v>
      </c>
      <c r="B408" s="84"/>
      <c r="C408" s="84"/>
      <c r="D408" s="84"/>
      <c r="E408" s="85"/>
      <c r="F408" s="20" t="s">
        <v>60</v>
      </c>
      <c r="G408" s="67">
        <v>1</v>
      </c>
      <c r="H408" s="68"/>
      <c r="I408" s="26"/>
      <c r="J408" s="23"/>
      <c r="K408" s="24"/>
      <c r="L408" s="69">
        <f t="shared" si="23"/>
        <v>0</v>
      </c>
      <c r="M408" s="70"/>
      <c r="N408" s="25"/>
      <c r="O408" s="1"/>
      <c r="P408" s="34">
        <v>266321</v>
      </c>
      <c r="Q408" s="38">
        <f t="shared" si="24"/>
        <v>266321</v>
      </c>
      <c r="R408" s="28">
        <f t="shared" si="25"/>
        <v>0</v>
      </c>
    </row>
    <row r="409" spans="1:19">
      <c r="A409" s="83" t="s">
        <v>91</v>
      </c>
      <c r="B409" s="84"/>
      <c r="C409" s="84"/>
      <c r="D409" s="84"/>
      <c r="E409" s="85"/>
      <c r="F409" s="2" t="s">
        <v>60</v>
      </c>
      <c r="G409" s="67">
        <v>1</v>
      </c>
      <c r="H409" s="68"/>
      <c r="I409" s="26"/>
      <c r="J409" s="23"/>
      <c r="K409" s="24"/>
      <c r="L409" s="69">
        <f t="shared" si="23"/>
        <v>1</v>
      </c>
      <c r="M409" s="70"/>
      <c r="N409" s="25"/>
      <c r="O409" s="1"/>
      <c r="P409" s="32">
        <v>13316</v>
      </c>
      <c r="Q409" s="38">
        <f t="shared" si="24"/>
        <v>13316</v>
      </c>
      <c r="R409" s="28">
        <f t="shared" si="25"/>
        <v>13316</v>
      </c>
    </row>
    <row r="410" spans="1:19">
      <c r="A410" s="83" t="s">
        <v>92</v>
      </c>
      <c r="B410" s="84"/>
      <c r="C410" s="84"/>
      <c r="D410" s="84"/>
      <c r="E410" s="85"/>
      <c r="F410" s="20" t="s">
        <v>60</v>
      </c>
      <c r="G410" s="67">
        <v>1</v>
      </c>
      <c r="H410" s="68"/>
      <c r="I410" s="26"/>
      <c r="J410" s="23"/>
      <c r="K410" s="24"/>
      <c r="L410" s="69">
        <f t="shared" si="23"/>
        <v>0</v>
      </c>
      <c r="M410" s="70"/>
      <c r="N410" s="25"/>
      <c r="O410" s="1"/>
      <c r="P410" s="32">
        <v>210299</v>
      </c>
      <c r="Q410" s="38">
        <f t="shared" si="24"/>
        <v>210299</v>
      </c>
      <c r="R410" s="28">
        <f t="shared" si="25"/>
        <v>0</v>
      </c>
    </row>
    <row r="411" spans="1:19">
      <c r="A411" s="64"/>
      <c r="B411" s="65"/>
      <c r="C411" s="65"/>
      <c r="D411" s="65"/>
      <c r="E411" s="66"/>
      <c r="F411" s="22"/>
      <c r="G411" s="67"/>
      <c r="H411" s="68"/>
      <c r="I411" s="26"/>
      <c r="J411" s="23"/>
      <c r="K411" s="24"/>
      <c r="L411" s="69"/>
      <c r="M411" s="70"/>
      <c r="N411" s="25"/>
      <c r="O411" s="3"/>
      <c r="P411" s="32"/>
      <c r="Q411" s="33">
        <f>SUM(Q385:Q410)</f>
        <v>4416270</v>
      </c>
      <c r="R411" s="29">
        <f>SUM(R385:R410)</f>
        <v>218316</v>
      </c>
    </row>
    <row r="412" spans="1:19">
      <c r="A412" s="64"/>
      <c r="B412" s="65"/>
      <c r="C412" s="65"/>
      <c r="D412" s="65"/>
      <c r="E412" s="66"/>
      <c r="F412" s="22"/>
      <c r="G412" s="67"/>
      <c r="H412" s="68"/>
      <c r="I412" s="26"/>
      <c r="J412" s="23"/>
      <c r="K412" s="24"/>
      <c r="L412" s="69"/>
      <c r="M412" s="70"/>
      <c r="N412" s="25"/>
      <c r="O412" s="3"/>
      <c r="P412" s="32"/>
      <c r="Q412" s="33"/>
      <c r="R412" s="37">
        <f>R411/Q411</f>
        <v>4.943447751156519E-2</v>
      </c>
    </row>
    <row r="413" spans="1:19">
      <c r="A413" s="62" t="s">
        <v>14</v>
      </c>
      <c r="B413" s="62"/>
      <c r="C413" s="62"/>
      <c r="D413" s="62"/>
      <c r="E413" s="62"/>
      <c r="F413" s="62"/>
      <c r="G413" s="62"/>
      <c r="H413" s="62"/>
      <c r="I413" s="62"/>
      <c r="J413" s="62"/>
      <c r="K413" s="62"/>
      <c r="L413" s="62"/>
      <c r="M413" s="62"/>
      <c r="N413" s="62"/>
      <c r="O413" s="1"/>
      <c r="P413" s="32"/>
      <c r="Q413" s="33"/>
      <c r="R413" s="29"/>
      <c r="S413" s="16"/>
    </row>
    <row r="414" spans="1:19">
      <c r="A414" s="71" t="s">
        <v>15</v>
      </c>
      <c r="B414" s="72"/>
      <c r="C414" s="72"/>
      <c r="D414" s="72"/>
      <c r="E414" s="73"/>
      <c r="F414" s="9" t="s">
        <v>37</v>
      </c>
      <c r="G414" s="71" t="s">
        <v>38</v>
      </c>
      <c r="H414" s="73"/>
      <c r="I414" s="71" t="s">
        <v>42</v>
      </c>
      <c r="J414" s="72"/>
      <c r="K414" s="73"/>
      <c r="L414" s="74" t="s">
        <v>17</v>
      </c>
      <c r="M414" s="75"/>
      <c r="N414" s="9" t="s">
        <v>13</v>
      </c>
      <c r="O414" s="1"/>
      <c r="P414" s="32"/>
      <c r="Q414" s="33"/>
      <c r="R414" s="29"/>
      <c r="S414" s="16"/>
    </row>
    <row r="415" spans="1:19">
      <c r="A415" s="71"/>
      <c r="B415" s="72"/>
      <c r="C415" s="72"/>
      <c r="D415" s="72"/>
      <c r="E415" s="73"/>
      <c r="F415" s="13"/>
      <c r="G415" s="76"/>
      <c r="H415" s="77"/>
      <c r="I415" s="78"/>
      <c r="J415" s="79"/>
      <c r="K415" s="80"/>
      <c r="L415" s="81"/>
      <c r="M415" s="82"/>
      <c r="N415" s="8"/>
      <c r="O415" s="1"/>
      <c r="P415" s="32"/>
      <c r="Q415" s="33"/>
      <c r="R415" s="29"/>
      <c r="S415" s="16"/>
    </row>
    <row r="416" spans="1:19">
      <c r="A416" s="62" t="s">
        <v>19</v>
      </c>
      <c r="B416" s="62"/>
      <c r="C416" s="62"/>
      <c r="D416" s="62"/>
      <c r="E416" s="62"/>
      <c r="F416" s="62"/>
      <c r="G416" s="62"/>
      <c r="H416" s="62"/>
      <c r="I416" s="62"/>
      <c r="J416" s="62"/>
      <c r="K416" s="62"/>
      <c r="L416" s="62"/>
      <c r="M416" s="62"/>
      <c r="N416" s="62"/>
      <c r="O416" s="1"/>
      <c r="P416" s="32"/>
      <c r="Q416" s="33"/>
      <c r="R416" s="29"/>
      <c r="S416" s="16"/>
    </row>
    <row r="417" spans="1:19">
      <c r="A417" s="63" t="s">
        <v>20</v>
      </c>
      <c r="B417" s="63"/>
      <c r="C417" s="63" t="s">
        <v>21</v>
      </c>
      <c r="D417" s="63"/>
      <c r="E417" s="63" t="s">
        <v>22</v>
      </c>
      <c r="F417" s="63"/>
      <c r="G417" s="63" t="s">
        <v>23</v>
      </c>
      <c r="H417" s="63"/>
      <c r="I417" s="63"/>
      <c r="J417" s="63" t="s">
        <v>16</v>
      </c>
      <c r="K417" s="63"/>
      <c r="L417" s="63"/>
      <c r="M417" s="63" t="s">
        <v>17</v>
      </c>
      <c r="N417" s="63"/>
      <c r="O417" s="1"/>
      <c r="Q417" s="32"/>
      <c r="R417" s="33"/>
      <c r="S417" s="16"/>
    </row>
    <row r="418" spans="1:19">
      <c r="A418" s="60" t="s">
        <v>24</v>
      </c>
      <c r="B418" s="52"/>
      <c r="C418" s="61"/>
      <c r="D418" s="61"/>
      <c r="E418" s="61">
        <f>C418+E357</f>
        <v>6</v>
      </c>
      <c r="F418" s="61"/>
      <c r="G418" s="60" t="s">
        <v>51</v>
      </c>
      <c r="H418" s="51"/>
      <c r="I418" s="52"/>
      <c r="J418" s="61"/>
      <c r="K418" s="61"/>
      <c r="L418" s="61"/>
      <c r="M418" s="61">
        <f>K418+M357</f>
        <v>1</v>
      </c>
      <c r="N418" s="61"/>
      <c r="O418" s="1"/>
      <c r="Q418" s="32"/>
      <c r="R418" s="33"/>
      <c r="S418" s="16"/>
    </row>
    <row r="419" spans="1:19">
      <c r="A419" s="60" t="s">
        <v>25</v>
      </c>
      <c r="B419" s="52"/>
      <c r="C419" s="61"/>
      <c r="D419" s="61"/>
      <c r="E419" s="61">
        <f>C419+E358</f>
        <v>5</v>
      </c>
      <c r="F419" s="61"/>
      <c r="G419" s="60" t="s">
        <v>50</v>
      </c>
      <c r="H419" s="51"/>
      <c r="I419" s="52"/>
      <c r="J419" s="61"/>
      <c r="K419" s="61"/>
      <c r="L419" s="61"/>
      <c r="M419" s="61">
        <f>K419+M358</f>
        <v>1</v>
      </c>
      <c r="N419" s="61"/>
      <c r="O419" s="1"/>
      <c r="Q419" s="32"/>
      <c r="R419" s="33"/>
      <c r="S419" s="16"/>
    </row>
    <row r="420" spans="1:19">
      <c r="A420" s="60"/>
      <c r="B420" s="52"/>
      <c r="C420" s="61"/>
      <c r="D420" s="61"/>
      <c r="E420" s="61"/>
      <c r="F420" s="61"/>
      <c r="G420" s="60" t="s">
        <v>55</v>
      </c>
      <c r="H420" s="51"/>
      <c r="I420" s="52"/>
      <c r="J420" s="61"/>
      <c r="K420" s="61"/>
      <c r="L420" s="61"/>
      <c r="M420" s="61">
        <f>K420+M359</f>
        <v>0</v>
      </c>
      <c r="N420" s="61"/>
      <c r="O420" s="2"/>
      <c r="P420" s="29"/>
      <c r="Q420" s="32"/>
      <c r="R420" s="33"/>
      <c r="S420" s="16"/>
    </row>
    <row r="421" spans="1:19">
      <c r="A421" s="53" t="s">
        <v>53</v>
      </c>
      <c r="B421" s="47"/>
      <c r="C421" s="53"/>
      <c r="D421" s="53"/>
      <c r="E421" s="53"/>
      <c r="F421" s="53"/>
      <c r="G421" s="53"/>
      <c r="H421" s="53"/>
      <c r="I421" s="53"/>
      <c r="J421" s="53"/>
      <c r="K421" s="53"/>
      <c r="L421" s="53"/>
      <c r="M421" s="53"/>
      <c r="N421" s="53"/>
      <c r="O421" s="1"/>
      <c r="P421" s="32"/>
      <c r="Q421" s="32"/>
      <c r="R421" s="33"/>
      <c r="S421" s="16"/>
    </row>
    <row r="422" spans="1:19">
      <c r="A422" s="45" t="s">
        <v>56</v>
      </c>
      <c r="B422" s="46"/>
      <c r="C422" s="46"/>
      <c r="D422" s="46"/>
      <c r="E422" s="46"/>
      <c r="F422" s="46"/>
      <c r="G422" s="46"/>
      <c r="H422" s="46"/>
      <c r="I422" s="46"/>
      <c r="J422" s="46"/>
      <c r="K422" s="46"/>
      <c r="L422" s="46"/>
      <c r="M422" s="46"/>
      <c r="N422" s="47"/>
      <c r="O422" s="1"/>
      <c r="P422" s="32"/>
      <c r="Q422" s="34"/>
      <c r="R422" s="33"/>
      <c r="S422" s="16"/>
    </row>
    <row r="423" spans="1:19">
      <c r="A423" s="54" t="s">
        <v>54</v>
      </c>
      <c r="B423" s="55"/>
      <c r="C423" s="55"/>
      <c r="D423" s="55"/>
      <c r="E423" s="55"/>
      <c r="F423" s="55"/>
      <c r="G423" s="55"/>
      <c r="H423" s="55"/>
      <c r="I423" s="55"/>
      <c r="J423" s="55"/>
      <c r="K423" s="55"/>
      <c r="L423" s="55"/>
      <c r="M423" s="55"/>
      <c r="N423" s="56"/>
      <c r="O423" s="1"/>
      <c r="P423" s="32"/>
      <c r="Q423" s="32"/>
      <c r="R423" s="33"/>
      <c r="S423" s="16"/>
    </row>
    <row r="424" spans="1:19">
      <c r="A424" s="40" t="s">
        <v>26</v>
      </c>
      <c r="B424" s="41"/>
      <c r="C424" s="40"/>
      <c r="D424" s="40"/>
      <c r="E424" s="40"/>
      <c r="F424" s="40"/>
      <c r="G424" s="40"/>
      <c r="H424" s="40"/>
      <c r="I424" s="40"/>
      <c r="J424" s="40"/>
      <c r="K424" s="40"/>
      <c r="L424" s="40"/>
      <c r="M424" s="40"/>
      <c r="N424" s="40"/>
      <c r="O424" s="1"/>
      <c r="P424" s="32"/>
      <c r="Q424" s="32"/>
      <c r="R424" s="33"/>
      <c r="S424" s="16"/>
    </row>
    <row r="425" spans="1:19">
      <c r="A425" s="57" t="s">
        <v>27</v>
      </c>
      <c r="B425" s="58"/>
      <c r="C425" s="58"/>
      <c r="D425" s="58"/>
      <c r="E425" s="58"/>
      <c r="F425" s="58"/>
      <c r="G425" s="58"/>
      <c r="H425" s="58"/>
      <c r="I425" s="58"/>
      <c r="J425" s="58"/>
      <c r="K425" s="58"/>
      <c r="L425" s="58"/>
      <c r="M425" s="58"/>
      <c r="N425" s="59"/>
      <c r="O425" s="1"/>
      <c r="P425" s="34"/>
      <c r="Q425" s="34"/>
      <c r="R425" s="33"/>
      <c r="S425" s="16"/>
    </row>
    <row r="426" spans="1:19">
      <c r="A426" s="57" t="s">
        <v>57</v>
      </c>
      <c r="B426" s="58"/>
      <c r="C426" s="58"/>
      <c r="D426" s="58"/>
      <c r="E426" s="58"/>
      <c r="F426" s="58"/>
      <c r="G426" s="58"/>
      <c r="H426" s="58"/>
      <c r="I426" s="58"/>
      <c r="J426" s="58"/>
      <c r="K426" s="58"/>
      <c r="L426" s="58"/>
      <c r="M426" s="58"/>
      <c r="N426" s="59"/>
      <c r="O426" s="1"/>
      <c r="P426" s="32"/>
      <c r="Q426" s="32"/>
      <c r="R426" s="33"/>
      <c r="S426" s="16"/>
    </row>
    <row r="427" spans="1:19">
      <c r="A427" s="57" t="s">
        <v>58</v>
      </c>
      <c r="B427" s="58"/>
      <c r="C427" s="58"/>
      <c r="D427" s="58"/>
      <c r="E427" s="58"/>
      <c r="F427" s="58"/>
      <c r="G427" s="58"/>
      <c r="H427" s="58"/>
      <c r="I427" s="58"/>
      <c r="J427" s="58"/>
      <c r="K427" s="58"/>
      <c r="L427" s="58"/>
      <c r="M427" s="58"/>
      <c r="N427" s="59"/>
      <c r="O427" s="1"/>
      <c r="P427" s="32"/>
      <c r="Q427" s="32"/>
      <c r="R427" s="33"/>
      <c r="S427" s="16"/>
    </row>
    <row r="428" spans="1:19">
      <c r="A428" s="57" t="s">
        <v>59</v>
      </c>
      <c r="B428" s="58"/>
      <c r="C428" s="58"/>
      <c r="D428" s="58"/>
      <c r="E428" s="58"/>
      <c r="F428" s="58"/>
      <c r="G428" s="58"/>
      <c r="H428" s="58"/>
      <c r="I428" s="58"/>
      <c r="J428" s="58"/>
      <c r="K428" s="58"/>
      <c r="L428" s="58"/>
      <c r="M428" s="58"/>
      <c r="N428" s="59"/>
      <c r="O428" s="1"/>
      <c r="P428" s="32"/>
      <c r="Q428" s="34"/>
      <c r="R428" s="33"/>
      <c r="S428" s="16"/>
    </row>
    <row r="429" spans="1:19">
      <c r="A429" s="57" t="s">
        <v>28</v>
      </c>
      <c r="B429" s="58"/>
      <c r="C429" s="58"/>
      <c r="D429" s="58"/>
      <c r="E429" s="58"/>
      <c r="F429" s="58"/>
      <c r="G429" s="58"/>
      <c r="H429" s="58"/>
      <c r="I429" s="58"/>
      <c r="J429" s="58"/>
      <c r="K429" s="58"/>
      <c r="L429" s="58"/>
      <c r="M429" s="58"/>
      <c r="N429" s="59"/>
      <c r="O429" s="1"/>
      <c r="P429" s="34"/>
      <c r="Q429" s="32"/>
      <c r="R429" s="33"/>
      <c r="S429" s="16"/>
    </row>
    <row r="430" spans="1:19">
      <c r="A430" s="40" t="s">
        <v>29</v>
      </c>
      <c r="B430" s="41"/>
      <c r="C430" s="40"/>
      <c r="D430" s="40"/>
      <c r="E430" s="40"/>
      <c r="F430" s="40"/>
      <c r="G430" s="40"/>
      <c r="H430" s="40"/>
      <c r="I430" s="40"/>
      <c r="J430" s="40"/>
      <c r="K430" s="40"/>
      <c r="L430" s="40"/>
      <c r="M430" s="40"/>
      <c r="N430" s="40"/>
      <c r="O430" s="1"/>
      <c r="P430" s="32"/>
      <c r="Q430" s="32"/>
      <c r="R430" s="33"/>
      <c r="S430" s="16"/>
    </row>
    <row r="431" spans="1:19">
      <c r="A431" s="42"/>
      <c r="B431" s="43"/>
      <c r="C431" s="43"/>
      <c r="D431" s="43"/>
      <c r="E431" s="43"/>
      <c r="F431" s="43"/>
      <c r="G431" s="43"/>
      <c r="H431" s="43"/>
      <c r="I431" s="43"/>
      <c r="J431" s="43"/>
      <c r="K431" s="43"/>
      <c r="L431" s="43"/>
      <c r="M431" s="43"/>
      <c r="N431" s="44"/>
      <c r="O431" s="1"/>
      <c r="P431" s="32"/>
      <c r="Q431" s="32"/>
      <c r="R431" s="33"/>
      <c r="S431" s="16"/>
    </row>
    <row r="432" spans="1:19">
      <c r="A432" s="40" t="s">
        <v>30</v>
      </c>
      <c r="B432" s="41"/>
      <c r="C432" s="40"/>
      <c r="D432" s="40"/>
      <c r="E432" s="40"/>
      <c r="F432" s="40"/>
      <c r="G432" s="40"/>
      <c r="H432" s="40"/>
      <c r="I432" s="40"/>
      <c r="J432" s="40"/>
      <c r="K432" s="40"/>
      <c r="L432" s="40"/>
      <c r="M432" s="40"/>
      <c r="N432" s="40"/>
      <c r="O432" s="1"/>
      <c r="P432" s="32"/>
      <c r="Q432" s="32"/>
      <c r="R432" s="33"/>
      <c r="S432" s="16"/>
    </row>
    <row r="433" spans="1:19">
      <c r="A433" s="42"/>
      <c r="B433" s="43"/>
      <c r="C433" s="43"/>
      <c r="D433" s="43"/>
      <c r="E433" s="43"/>
      <c r="F433" s="43"/>
      <c r="G433" s="43"/>
      <c r="H433" s="43"/>
      <c r="I433" s="43"/>
      <c r="J433" s="43"/>
      <c r="K433" s="43"/>
      <c r="L433" s="43"/>
      <c r="M433" s="43"/>
      <c r="N433" s="44"/>
      <c r="O433" s="1"/>
      <c r="P433" s="32"/>
      <c r="Q433" s="32"/>
      <c r="R433" s="33"/>
      <c r="S433" s="16"/>
    </row>
    <row r="434" spans="1:19">
      <c r="A434" s="40" t="s">
        <v>97</v>
      </c>
      <c r="B434" s="41"/>
      <c r="C434" s="40"/>
      <c r="D434" s="40"/>
      <c r="E434" s="40"/>
      <c r="F434" s="40"/>
      <c r="G434" s="40"/>
      <c r="H434" s="40"/>
      <c r="I434" s="40"/>
      <c r="J434" s="40"/>
      <c r="K434" s="40"/>
      <c r="L434" s="40"/>
      <c r="M434" s="40"/>
      <c r="N434" s="40"/>
      <c r="O434" s="1"/>
      <c r="P434" s="32"/>
      <c r="Q434" s="32"/>
      <c r="R434" s="33"/>
      <c r="S434" s="17"/>
    </row>
    <row r="435" spans="1:19">
      <c r="A435" s="45"/>
      <c r="B435" s="46"/>
      <c r="C435" s="46"/>
      <c r="D435" s="46"/>
      <c r="E435" s="46"/>
      <c r="F435" s="46"/>
      <c r="G435" s="46"/>
      <c r="H435" s="46"/>
      <c r="I435" s="46"/>
      <c r="J435" s="46"/>
      <c r="K435" s="46"/>
      <c r="L435" s="46"/>
      <c r="M435" s="46"/>
      <c r="N435" s="47"/>
      <c r="O435" s="1"/>
      <c r="P435" s="32"/>
      <c r="Q435" s="32"/>
      <c r="R435" s="33"/>
      <c r="S435" s="1"/>
    </row>
    <row r="436" spans="1:19">
      <c r="A436" s="48" t="s">
        <v>41</v>
      </c>
      <c r="B436" s="49"/>
      <c r="C436" s="50"/>
      <c r="D436" s="50"/>
      <c r="E436" s="50"/>
      <c r="F436" s="50"/>
      <c r="G436" s="50"/>
      <c r="H436" s="51"/>
      <c r="I436" s="51"/>
      <c r="J436" s="51"/>
      <c r="K436" s="51"/>
      <c r="L436" s="51"/>
      <c r="M436" s="51"/>
      <c r="N436" s="52"/>
      <c r="O436" s="1"/>
      <c r="P436" s="32"/>
      <c r="Q436" s="32"/>
      <c r="R436" s="33"/>
      <c r="S436" s="1"/>
    </row>
    <row r="437" spans="1:19" ht="28.2">
      <c r="A437" s="1" t="s">
        <v>45</v>
      </c>
      <c r="B437" s="7">
        <f>B376+1</f>
        <v>8</v>
      </c>
      <c r="C437" s="5"/>
      <c r="D437" s="5"/>
      <c r="E437" s="5"/>
      <c r="F437" s="5"/>
      <c r="G437" s="5"/>
      <c r="H437" s="5"/>
      <c r="I437" s="5"/>
      <c r="J437" s="5"/>
      <c r="K437" s="5"/>
      <c r="L437" s="5"/>
      <c r="M437" s="5"/>
      <c r="N437" s="5"/>
      <c r="O437" s="1"/>
      <c r="P437" s="32"/>
      <c r="Q437" s="33"/>
      <c r="R437" s="29"/>
    </row>
    <row r="438" spans="1:19">
      <c r="A438" s="1" t="s">
        <v>46</v>
      </c>
      <c r="B438" s="1" t="s">
        <v>1</v>
      </c>
      <c r="C438" s="1" t="s">
        <v>2</v>
      </c>
      <c r="D438" s="1" t="s">
        <v>3</v>
      </c>
      <c r="E438" s="1" t="s">
        <v>2</v>
      </c>
      <c r="F438" s="1"/>
      <c r="G438" s="1"/>
      <c r="H438" s="112" t="s">
        <v>4</v>
      </c>
      <c r="I438" s="112"/>
      <c r="J438" s="113">
        <f>J377+1</f>
        <v>46219</v>
      </c>
      <c r="K438" s="113"/>
      <c r="L438" s="113"/>
      <c r="M438" s="114">
        <f>J438</f>
        <v>46219</v>
      </c>
      <c r="N438" s="114"/>
      <c r="O438" s="1"/>
      <c r="P438" s="32"/>
      <c r="Q438" s="33"/>
      <c r="R438" s="29"/>
    </row>
    <row r="439" spans="1:19">
      <c r="A439" s="8" t="s">
        <v>5</v>
      </c>
      <c r="B439" s="115">
        <f>B370</f>
        <v>0</v>
      </c>
      <c r="C439" s="116"/>
      <c r="D439" s="116"/>
      <c r="E439" s="116"/>
      <c r="F439" s="116"/>
      <c r="G439" s="117"/>
      <c r="H439" s="63" t="s">
        <v>6</v>
      </c>
      <c r="I439" s="63"/>
      <c r="J439" s="63"/>
      <c r="K439" s="63" t="s">
        <v>52</v>
      </c>
      <c r="L439" s="63"/>
      <c r="M439" s="63"/>
      <c r="N439" s="63"/>
      <c r="O439" s="1"/>
      <c r="P439" s="32"/>
      <c r="Q439" s="33"/>
      <c r="R439" s="29"/>
    </row>
    <row r="440" spans="1:19">
      <c r="A440" s="8" t="s">
        <v>32</v>
      </c>
      <c r="B440" s="10">
        <v>60</v>
      </c>
      <c r="C440" s="11" t="s">
        <v>43</v>
      </c>
      <c r="D440" s="71" t="s">
        <v>7</v>
      </c>
      <c r="E440" s="73"/>
      <c r="F440" s="10">
        <f>F379+1</f>
        <v>8</v>
      </c>
      <c r="G440" s="11" t="s">
        <v>8</v>
      </c>
      <c r="H440" s="9" t="s">
        <v>9</v>
      </c>
      <c r="I440" s="10">
        <f>B440-F440</f>
        <v>52</v>
      </c>
      <c r="J440" s="11" t="s">
        <v>8</v>
      </c>
      <c r="K440" s="118" t="s">
        <v>33</v>
      </c>
      <c r="L440" s="119"/>
      <c r="M440" s="12"/>
      <c r="N440" s="11" t="s">
        <v>8</v>
      </c>
      <c r="O440" s="1"/>
      <c r="P440" s="34"/>
      <c r="Q440" s="33"/>
      <c r="R440" s="29"/>
    </row>
    <row r="441" spans="1:19">
      <c r="A441" s="71" t="s">
        <v>34</v>
      </c>
      <c r="B441" s="72"/>
      <c r="C441" s="73"/>
      <c r="D441" s="120">
        <v>46212</v>
      </c>
      <c r="E441" s="121"/>
      <c r="F441" s="121"/>
      <c r="G441" s="122"/>
      <c r="H441" s="71" t="s">
        <v>35</v>
      </c>
      <c r="I441" s="72"/>
      <c r="J441" s="73"/>
      <c r="K441" s="120">
        <f>D441+59</f>
        <v>46271</v>
      </c>
      <c r="L441" s="121"/>
      <c r="M441" s="121"/>
      <c r="N441" s="122"/>
      <c r="O441" s="1"/>
      <c r="P441" s="32"/>
      <c r="Q441" s="33"/>
      <c r="R441" s="29"/>
    </row>
    <row r="442" spans="1:19">
      <c r="A442" s="92" t="s">
        <v>10</v>
      </c>
      <c r="B442" s="93"/>
      <c r="C442" s="94"/>
      <c r="D442" s="98">
        <f>D381+0.005/5</f>
        <v>3.5000000000000001E-3</v>
      </c>
      <c r="E442" s="99"/>
      <c r="F442" s="99"/>
      <c r="G442" s="100"/>
      <c r="H442" s="104" t="s">
        <v>36</v>
      </c>
      <c r="I442" s="105"/>
      <c r="J442" s="106"/>
      <c r="K442" s="110">
        <f>R473</f>
        <v>4.943447751156519E-2</v>
      </c>
      <c r="L442" s="105"/>
      <c r="M442" s="105"/>
      <c r="N442" s="106"/>
      <c r="O442" s="1"/>
      <c r="P442" s="32"/>
      <c r="Q442" s="33"/>
      <c r="R442" s="29"/>
    </row>
    <row r="443" spans="1:19">
      <c r="A443" s="95"/>
      <c r="B443" s="96"/>
      <c r="C443" s="97"/>
      <c r="D443" s="101"/>
      <c r="E443" s="102"/>
      <c r="F443" s="102"/>
      <c r="G443" s="103"/>
      <c r="H443" s="107"/>
      <c r="I443" s="108"/>
      <c r="J443" s="109"/>
      <c r="K443" s="107"/>
      <c r="L443" s="108"/>
      <c r="M443" s="108"/>
      <c r="N443" s="109"/>
      <c r="O443" s="1"/>
      <c r="P443" s="32"/>
      <c r="Q443" s="33"/>
      <c r="R443" s="29"/>
    </row>
    <row r="444" spans="1:19">
      <c r="A444" s="62" t="s">
        <v>11</v>
      </c>
      <c r="B444" s="62"/>
      <c r="C444" s="62"/>
      <c r="D444" s="62"/>
      <c r="E444" s="62"/>
      <c r="F444" s="62"/>
      <c r="G444" s="62"/>
      <c r="H444" s="62"/>
      <c r="I444" s="62"/>
      <c r="J444" s="62"/>
      <c r="K444" s="62"/>
      <c r="L444" s="62"/>
      <c r="M444" s="62"/>
      <c r="N444" s="62"/>
      <c r="O444" s="1"/>
      <c r="P444" s="32"/>
      <c r="Q444" s="33"/>
      <c r="R444" s="29"/>
    </row>
    <row r="445" spans="1:19">
      <c r="A445" s="111" t="s">
        <v>12</v>
      </c>
      <c r="B445" s="111"/>
      <c r="C445" s="111"/>
      <c r="D445" s="111"/>
      <c r="E445" s="111"/>
      <c r="F445" s="14" t="s">
        <v>37</v>
      </c>
      <c r="G445" s="111" t="s">
        <v>38</v>
      </c>
      <c r="H445" s="111"/>
      <c r="I445" s="63" t="s">
        <v>39</v>
      </c>
      <c r="J445" s="63"/>
      <c r="K445" s="63"/>
      <c r="L445" s="63" t="s">
        <v>40</v>
      </c>
      <c r="M445" s="63"/>
      <c r="N445" s="9" t="s">
        <v>13</v>
      </c>
      <c r="O445" s="1"/>
      <c r="P445" s="28" t="s">
        <v>47</v>
      </c>
      <c r="Q445" s="29" t="s">
        <v>48</v>
      </c>
      <c r="R445" s="29" t="s">
        <v>49</v>
      </c>
    </row>
    <row r="446" spans="1:19">
      <c r="A446" s="83" t="s">
        <v>67</v>
      </c>
      <c r="B446" s="84"/>
      <c r="C446" s="84"/>
      <c r="D446" s="84"/>
      <c r="E446" s="85"/>
      <c r="F446" s="27" t="s">
        <v>60</v>
      </c>
      <c r="G446" s="67">
        <v>1</v>
      </c>
      <c r="H446" s="68"/>
      <c r="I446" s="86"/>
      <c r="J446" s="87"/>
      <c r="K446" s="88"/>
      <c r="L446" s="69">
        <f>I446+L385</f>
        <v>1</v>
      </c>
      <c r="M446" s="70"/>
      <c r="N446" s="8"/>
      <c r="O446" s="1"/>
      <c r="P446" s="30">
        <v>6000</v>
      </c>
      <c r="Q446" s="38">
        <f>P446*G446</f>
        <v>6000</v>
      </c>
      <c r="R446" s="28">
        <f>L446*P446</f>
        <v>6000</v>
      </c>
    </row>
    <row r="447" spans="1:19">
      <c r="A447" s="83" t="s">
        <v>68</v>
      </c>
      <c r="B447" s="84"/>
      <c r="C447" s="84"/>
      <c r="D447" s="84"/>
      <c r="E447" s="85"/>
      <c r="F447" s="20" t="s">
        <v>60</v>
      </c>
      <c r="G447" s="67">
        <v>1</v>
      </c>
      <c r="H447" s="68"/>
      <c r="I447" s="87"/>
      <c r="J447" s="87"/>
      <c r="K447" s="88"/>
      <c r="L447" s="69">
        <f t="shared" ref="L447:L471" si="26">I447+L386</f>
        <v>0</v>
      </c>
      <c r="M447" s="70"/>
      <c r="N447" s="8"/>
      <c r="O447" s="1"/>
      <c r="P447" s="30">
        <v>193300</v>
      </c>
      <c r="Q447" s="38">
        <f t="shared" ref="Q447:Q471" si="27">P447*G447</f>
        <v>193300</v>
      </c>
      <c r="R447" s="28">
        <f>L447*P447</f>
        <v>0</v>
      </c>
    </row>
    <row r="448" spans="1:19">
      <c r="A448" s="89" t="s">
        <v>69</v>
      </c>
      <c r="B448" s="90"/>
      <c r="C448" s="90"/>
      <c r="D448" s="90"/>
      <c r="E448" s="91"/>
      <c r="F448" s="20" t="s">
        <v>60</v>
      </c>
      <c r="G448" s="67">
        <v>1</v>
      </c>
      <c r="H448" s="68"/>
      <c r="I448" s="87"/>
      <c r="J448" s="87"/>
      <c r="K448" s="88"/>
      <c r="L448" s="69">
        <f t="shared" si="26"/>
        <v>0</v>
      </c>
      <c r="M448" s="70"/>
      <c r="N448" s="8"/>
      <c r="O448" s="1"/>
      <c r="P448" s="30">
        <v>30000</v>
      </c>
      <c r="Q448" s="38">
        <f t="shared" si="27"/>
        <v>30000</v>
      </c>
      <c r="R448" s="28">
        <f>L448*P448</f>
        <v>0</v>
      </c>
    </row>
    <row r="449" spans="1:18">
      <c r="A449" s="64" t="s">
        <v>70</v>
      </c>
      <c r="B449" s="65"/>
      <c r="C449" s="65"/>
      <c r="D449" s="65"/>
      <c r="E449" s="66"/>
      <c r="F449" s="20" t="s">
        <v>60</v>
      </c>
      <c r="G449" s="67">
        <v>1</v>
      </c>
      <c r="H449" s="68"/>
      <c r="I449" s="87"/>
      <c r="J449" s="87"/>
      <c r="K449" s="88"/>
      <c r="L449" s="69">
        <f t="shared" si="26"/>
        <v>1</v>
      </c>
      <c r="M449" s="70"/>
      <c r="N449" s="8"/>
      <c r="O449" s="1"/>
      <c r="P449" s="31">
        <v>10000</v>
      </c>
      <c r="Q449" s="38">
        <f t="shared" si="27"/>
        <v>10000</v>
      </c>
      <c r="R449" s="28">
        <f t="shared" ref="R449:R471" si="28">L449*P449</f>
        <v>10000</v>
      </c>
    </row>
    <row r="450" spans="1:18">
      <c r="A450" s="64" t="s">
        <v>71</v>
      </c>
      <c r="B450" s="65"/>
      <c r="C450" s="65"/>
      <c r="D450" s="65"/>
      <c r="E450" s="66"/>
      <c r="F450" s="20" t="s">
        <v>61</v>
      </c>
      <c r="G450" s="67">
        <v>9</v>
      </c>
      <c r="H450" s="68"/>
      <c r="I450" s="87"/>
      <c r="J450" s="87"/>
      <c r="K450" s="88"/>
      <c r="L450" s="69">
        <f t="shared" si="26"/>
        <v>9</v>
      </c>
      <c r="M450" s="70"/>
      <c r="N450" s="8"/>
      <c r="O450" s="1"/>
      <c r="P450" s="30">
        <v>21000</v>
      </c>
      <c r="Q450" s="38">
        <f t="shared" si="27"/>
        <v>189000</v>
      </c>
      <c r="R450" s="28">
        <f t="shared" si="28"/>
        <v>189000</v>
      </c>
    </row>
    <row r="451" spans="1:18">
      <c r="A451" s="64" t="s">
        <v>72</v>
      </c>
      <c r="B451" s="65"/>
      <c r="C451" s="65"/>
      <c r="D451" s="65"/>
      <c r="E451" s="66"/>
      <c r="F451" s="2" t="s">
        <v>60</v>
      </c>
      <c r="G451" s="67">
        <v>1</v>
      </c>
      <c r="H451" s="68"/>
      <c r="I451" s="87"/>
      <c r="J451" s="87"/>
      <c r="K451" s="88"/>
      <c r="L451" s="69">
        <f t="shared" si="26"/>
        <v>0</v>
      </c>
      <c r="M451" s="70"/>
      <c r="N451" s="8"/>
      <c r="O451" s="1"/>
      <c r="P451" s="30">
        <v>184468</v>
      </c>
      <c r="Q451" s="38">
        <f t="shared" si="27"/>
        <v>184468</v>
      </c>
      <c r="R451" s="28">
        <f t="shared" si="28"/>
        <v>0</v>
      </c>
    </row>
    <row r="452" spans="1:18">
      <c r="A452" s="83" t="s">
        <v>73</v>
      </c>
      <c r="B452" s="84"/>
      <c r="C452" s="84"/>
      <c r="D452" s="84"/>
      <c r="E452" s="85"/>
      <c r="F452" s="20" t="s">
        <v>62</v>
      </c>
      <c r="G452" s="67">
        <v>9</v>
      </c>
      <c r="H452" s="68"/>
      <c r="I452" s="87"/>
      <c r="J452" s="87"/>
      <c r="K452" s="88"/>
      <c r="L452" s="69">
        <f t="shared" si="26"/>
        <v>0</v>
      </c>
      <c r="M452" s="70"/>
      <c r="N452" s="8"/>
      <c r="O452" s="1"/>
      <c r="P452" s="30">
        <v>20000</v>
      </c>
      <c r="Q452" s="38">
        <f t="shared" si="27"/>
        <v>180000</v>
      </c>
      <c r="R452" s="28">
        <f t="shared" si="28"/>
        <v>0</v>
      </c>
    </row>
    <row r="453" spans="1:18">
      <c r="A453" s="83" t="s">
        <v>74</v>
      </c>
      <c r="B453" s="84"/>
      <c r="C453" s="84"/>
      <c r="D453" s="84"/>
      <c r="E453" s="85"/>
      <c r="F453" s="20" t="s">
        <v>63</v>
      </c>
      <c r="G453" s="67">
        <v>52</v>
      </c>
      <c r="H453" s="68"/>
      <c r="I453" s="87"/>
      <c r="J453" s="87"/>
      <c r="K453" s="88"/>
      <c r="L453" s="69">
        <f t="shared" si="26"/>
        <v>0</v>
      </c>
      <c r="M453" s="70"/>
      <c r="N453" s="8"/>
      <c r="O453" s="1"/>
      <c r="P453" s="31">
        <v>2500</v>
      </c>
      <c r="Q453" s="38">
        <f t="shared" si="27"/>
        <v>130000</v>
      </c>
      <c r="R453" s="28">
        <f t="shared" si="28"/>
        <v>0</v>
      </c>
    </row>
    <row r="454" spans="1:18">
      <c r="A454" s="83" t="s">
        <v>75</v>
      </c>
      <c r="B454" s="84"/>
      <c r="C454" s="84"/>
      <c r="D454" s="84"/>
      <c r="E454" s="85"/>
      <c r="F454" s="20" t="s">
        <v>64</v>
      </c>
      <c r="G454" s="67">
        <v>1</v>
      </c>
      <c r="H454" s="68"/>
      <c r="I454" s="87"/>
      <c r="J454" s="87"/>
      <c r="K454" s="88"/>
      <c r="L454" s="69">
        <f t="shared" si="26"/>
        <v>0</v>
      </c>
      <c r="M454" s="70"/>
      <c r="N454" s="8"/>
      <c r="O454" s="1"/>
      <c r="P454" s="30">
        <v>80000</v>
      </c>
      <c r="Q454" s="38">
        <f t="shared" si="27"/>
        <v>80000</v>
      </c>
      <c r="R454" s="28">
        <f t="shared" si="28"/>
        <v>0</v>
      </c>
    </row>
    <row r="455" spans="1:18">
      <c r="A455" s="89" t="s">
        <v>76</v>
      </c>
      <c r="B455" s="90"/>
      <c r="C455" s="90"/>
      <c r="D455" s="90"/>
      <c r="E455" s="91"/>
      <c r="F455" s="20" t="s">
        <v>65</v>
      </c>
      <c r="G455" s="67">
        <v>31</v>
      </c>
      <c r="H455" s="68"/>
      <c r="I455" s="87"/>
      <c r="J455" s="87"/>
      <c r="K455" s="88"/>
      <c r="L455" s="69">
        <f t="shared" si="26"/>
        <v>0</v>
      </c>
      <c r="M455" s="70"/>
      <c r="N455" s="8"/>
      <c r="O455" s="1"/>
      <c r="P455" s="30">
        <v>400</v>
      </c>
      <c r="Q455" s="38">
        <f t="shared" si="27"/>
        <v>12400</v>
      </c>
      <c r="R455" s="28">
        <f t="shared" si="28"/>
        <v>0</v>
      </c>
    </row>
    <row r="456" spans="1:18">
      <c r="A456" s="64" t="s">
        <v>77</v>
      </c>
      <c r="B456" s="65"/>
      <c r="C456" s="65"/>
      <c r="D456" s="65"/>
      <c r="E456" s="66"/>
      <c r="F456" s="20" t="s">
        <v>65</v>
      </c>
      <c r="G456" s="67">
        <v>100</v>
      </c>
      <c r="H456" s="68"/>
      <c r="I456" s="87"/>
      <c r="J456" s="87"/>
      <c r="K456" s="88"/>
      <c r="L456" s="69">
        <f t="shared" si="26"/>
        <v>0</v>
      </c>
      <c r="M456" s="70"/>
      <c r="N456" s="8"/>
      <c r="O456" s="1"/>
      <c r="P456" s="30">
        <v>350</v>
      </c>
      <c r="Q456" s="38">
        <f t="shared" si="27"/>
        <v>35000</v>
      </c>
      <c r="R456" s="28">
        <f t="shared" si="28"/>
        <v>0</v>
      </c>
    </row>
    <row r="457" spans="1:18">
      <c r="A457" s="64" t="s">
        <v>78</v>
      </c>
      <c r="B457" s="65"/>
      <c r="C457" s="65"/>
      <c r="D457" s="65"/>
      <c r="E457" s="66"/>
      <c r="F457" s="20" t="s">
        <v>63</v>
      </c>
      <c r="G457" s="67">
        <v>35</v>
      </c>
      <c r="H457" s="68"/>
      <c r="I457" s="87"/>
      <c r="J457" s="87"/>
      <c r="K457" s="88"/>
      <c r="L457" s="69">
        <f t="shared" si="26"/>
        <v>0</v>
      </c>
      <c r="M457" s="70"/>
      <c r="N457" s="8"/>
      <c r="O457" s="1"/>
      <c r="P457" s="30">
        <v>1200</v>
      </c>
      <c r="Q457" s="38">
        <f t="shared" si="27"/>
        <v>42000</v>
      </c>
      <c r="R457" s="28">
        <f t="shared" si="28"/>
        <v>0</v>
      </c>
    </row>
    <row r="458" spans="1:18">
      <c r="A458" s="64" t="s">
        <v>79</v>
      </c>
      <c r="B458" s="65"/>
      <c r="C458" s="65"/>
      <c r="D458" s="65"/>
      <c r="E458" s="66"/>
      <c r="F458" s="20" t="s">
        <v>63</v>
      </c>
      <c r="G458" s="67">
        <v>282</v>
      </c>
      <c r="H458" s="68"/>
      <c r="I458" s="86"/>
      <c r="J458" s="87"/>
      <c r="K458" s="88"/>
      <c r="L458" s="69">
        <f t="shared" si="26"/>
        <v>0</v>
      </c>
      <c r="M458" s="70"/>
      <c r="N458" s="8"/>
      <c r="O458" s="1"/>
      <c r="P458" s="30">
        <v>1400</v>
      </c>
      <c r="Q458" s="38">
        <f t="shared" si="27"/>
        <v>394800</v>
      </c>
      <c r="R458" s="28">
        <f t="shared" si="28"/>
        <v>0</v>
      </c>
    </row>
    <row r="459" spans="1:18">
      <c r="A459" s="83" t="s">
        <v>80</v>
      </c>
      <c r="B459" s="84"/>
      <c r="C459" s="84"/>
      <c r="D459" s="84"/>
      <c r="E459" s="85"/>
      <c r="F459" s="21" t="s">
        <v>65</v>
      </c>
      <c r="G459" s="67">
        <v>58</v>
      </c>
      <c r="H459" s="68"/>
      <c r="I459" s="86"/>
      <c r="J459" s="87"/>
      <c r="K459" s="88"/>
      <c r="L459" s="69">
        <f t="shared" si="26"/>
        <v>0</v>
      </c>
      <c r="M459" s="70"/>
      <c r="N459" s="8"/>
      <c r="O459" s="1"/>
      <c r="P459" s="30">
        <v>3600</v>
      </c>
      <c r="Q459" s="38">
        <f t="shared" si="27"/>
        <v>208800</v>
      </c>
      <c r="R459" s="28">
        <f t="shared" si="28"/>
        <v>0</v>
      </c>
    </row>
    <row r="460" spans="1:18">
      <c r="A460" s="83" t="s">
        <v>81</v>
      </c>
      <c r="B460" s="84"/>
      <c r="C460" s="84"/>
      <c r="D460" s="84"/>
      <c r="E460" s="85"/>
      <c r="F460" s="21" t="s">
        <v>65</v>
      </c>
      <c r="G460" s="67">
        <v>360</v>
      </c>
      <c r="H460" s="68"/>
      <c r="I460" s="86"/>
      <c r="J460" s="87"/>
      <c r="K460" s="88"/>
      <c r="L460" s="69">
        <f t="shared" si="26"/>
        <v>0</v>
      </c>
      <c r="M460" s="70"/>
      <c r="N460" s="8"/>
      <c r="O460" s="1"/>
      <c r="P460" s="30">
        <v>230</v>
      </c>
      <c r="Q460" s="38">
        <f t="shared" si="27"/>
        <v>82800</v>
      </c>
      <c r="R460" s="28">
        <f t="shared" si="28"/>
        <v>0</v>
      </c>
    </row>
    <row r="461" spans="1:18">
      <c r="A461" s="83" t="s">
        <v>82</v>
      </c>
      <c r="B461" s="84"/>
      <c r="C461" s="84"/>
      <c r="D461" s="84"/>
      <c r="E461" s="85"/>
      <c r="F461" s="21" t="s">
        <v>65</v>
      </c>
      <c r="G461" s="67">
        <v>2400</v>
      </c>
      <c r="H461" s="68"/>
      <c r="I461" s="86"/>
      <c r="J461" s="87"/>
      <c r="K461" s="88"/>
      <c r="L461" s="69">
        <f t="shared" si="26"/>
        <v>0</v>
      </c>
      <c r="M461" s="70"/>
      <c r="N461" s="8"/>
      <c r="O461" s="1"/>
      <c r="P461" s="30">
        <v>80</v>
      </c>
      <c r="Q461" s="38">
        <f t="shared" si="27"/>
        <v>192000</v>
      </c>
      <c r="R461" s="28">
        <f t="shared" si="28"/>
        <v>0</v>
      </c>
    </row>
    <row r="462" spans="1:18">
      <c r="A462" s="89" t="s">
        <v>83</v>
      </c>
      <c r="B462" s="90"/>
      <c r="C462" s="90"/>
      <c r="D462" s="90"/>
      <c r="E462" s="91"/>
      <c r="F462" s="21" t="s">
        <v>65</v>
      </c>
      <c r="G462" s="67">
        <v>360</v>
      </c>
      <c r="H462" s="68"/>
      <c r="I462" s="86"/>
      <c r="J462" s="87"/>
      <c r="K462" s="88"/>
      <c r="L462" s="69">
        <f t="shared" si="26"/>
        <v>0</v>
      </c>
      <c r="M462" s="70"/>
      <c r="N462" s="8"/>
      <c r="O462" s="1"/>
      <c r="P462" s="30">
        <v>420</v>
      </c>
      <c r="Q462" s="38">
        <f t="shared" si="27"/>
        <v>151200</v>
      </c>
      <c r="R462" s="28">
        <f t="shared" si="28"/>
        <v>0</v>
      </c>
    </row>
    <row r="463" spans="1:18">
      <c r="A463" s="64" t="s">
        <v>84</v>
      </c>
      <c r="B463" s="65"/>
      <c r="C463" s="65"/>
      <c r="D463" s="65"/>
      <c r="E463" s="66"/>
      <c r="F463" s="21" t="s">
        <v>65</v>
      </c>
      <c r="G463" s="67">
        <v>2760</v>
      </c>
      <c r="H463" s="68"/>
      <c r="I463" s="86"/>
      <c r="J463" s="87"/>
      <c r="K463" s="88"/>
      <c r="L463" s="69">
        <f t="shared" si="26"/>
        <v>0</v>
      </c>
      <c r="M463" s="70"/>
      <c r="N463" s="8"/>
      <c r="O463" s="1"/>
      <c r="P463" s="30">
        <v>460</v>
      </c>
      <c r="Q463" s="38">
        <f t="shared" si="27"/>
        <v>1269600</v>
      </c>
      <c r="R463" s="28">
        <f t="shared" si="28"/>
        <v>0</v>
      </c>
    </row>
    <row r="464" spans="1:18">
      <c r="A464" s="64" t="s">
        <v>85</v>
      </c>
      <c r="B464" s="65"/>
      <c r="C464" s="65"/>
      <c r="D464" s="65"/>
      <c r="E464" s="66"/>
      <c r="F464" s="21" t="s">
        <v>65</v>
      </c>
      <c r="G464" s="67">
        <v>275</v>
      </c>
      <c r="H464" s="68"/>
      <c r="I464" s="86"/>
      <c r="J464" s="87"/>
      <c r="K464" s="88"/>
      <c r="L464" s="69">
        <f t="shared" si="26"/>
        <v>0</v>
      </c>
      <c r="M464" s="70"/>
      <c r="N464" s="8"/>
      <c r="O464" s="1"/>
      <c r="P464" s="31">
        <v>350</v>
      </c>
      <c r="Q464" s="38">
        <f t="shared" si="27"/>
        <v>96250</v>
      </c>
      <c r="R464" s="28">
        <f t="shared" si="28"/>
        <v>0</v>
      </c>
    </row>
    <row r="465" spans="1:19">
      <c r="A465" s="64" t="s">
        <v>86</v>
      </c>
      <c r="B465" s="65"/>
      <c r="C465" s="65"/>
      <c r="D465" s="65"/>
      <c r="E465" s="66"/>
      <c r="F465" s="21" t="s">
        <v>60</v>
      </c>
      <c r="G465" s="67">
        <v>1</v>
      </c>
      <c r="H465" s="68"/>
      <c r="I465" s="86"/>
      <c r="J465" s="87"/>
      <c r="K465" s="88"/>
      <c r="L465" s="69">
        <f t="shared" si="26"/>
        <v>0</v>
      </c>
      <c r="M465" s="70"/>
      <c r="N465" s="8"/>
      <c r="O465" s="2"/>
      <c r="P465" s="30">
        <v>40000</v>
      </c>
      <c r="Q465" s="38">
        <f t="shared" si="27"/>
        <v>40000</v>
      </c>
      <c r="R465" s="28">
        <f t="shared" si="28"/>
        <v>0</v>
      </c>
    </row>
    <row r="466" spans="1:19">
      <c r="A466" s="83" t="s">
        <v>87</v>
      </c>
      <c r="B466" s="84"/>
      <c r="C466" s="84"/>
      <c r="D466" s="84"/>
      <c r="E466" s="85"/>
      <c r="F466" s="20" t="s">
        <v>60</v>
      </c>
      <c r="G466" s="67">
        <v>1</v>
      </c>
      <c r="H466" s="68"/>
      <c r="I466" s="86"/>
      <c r="J466" s="87"/>
      <c r="K466" s="88"/>
      <c r="L466" s="69">
        <f t="shared" si="26"/>
        <v>0</v>
      </c>
      <c r="M466" s="70"/>
      <c r="N466" s="8"/>
      <c r="O466" s="1"/>
      <c r="P466" s="31">
        <v>276970</v>
      </c>
      <c r="Q466" s="38">
        <f t="shared" si="27"/>
        <v>276970</v>
      </c>
      <c r="R466" s="28">
        <f t="shared" si="28"/>
        <v>0</v>
      </c>
    </row>
    <row r="467" spans="1:19">
      <c r="A467" s="83" t="s">
        <v>88</v>
      </c>
      <c r="B467" s="84"/>
      <c r="C467" s="84"/>
      <c r="D467" s="84"/>
      <c r="E467" s="85"/>
      <c r="F467" s="20" t="s">
        <v>60</v>
      </c>
      <c r="G467" s="67">
        <v>1</v>
      </c>
      <c r="H467" s="68"/>
      <c r="I467" s="26"/>
      <c r="J467" s="23"/>
      <c r="K467" s="24"/>
      <c r="L467" s="69">
        <f t="shared" si="26"/>
        <v>0</v>
      </c>
      <c r="M467" s="70"/>
      <c r="N467" s="25"/>
      <c r="O467" s="1"/>
      <c r="P467" s="32">
        <v>60873</v>
      </c>
      <c r="Q467" s="38">
        <f t="shared" si="27"/>
        <v>60873</v>
      </c>
      <c r="R467" s="28">
        <f t="shared" si="28"/>
        <v>0</v>
      </c>
    </row>
    <row r="468" spans="1:19">
      <c r="A468" s="83" t="s">
        <v>89</v>
      </c>
      <c r="B468" s="84"/>
      <c r="C468" s="84"/>
      <c r="D468" s="84"/>
      <c r="E468" s="85"/>
      <c r="F468" s="20" t="s">
        <v>60</v>
      </c>
      <c r="G468" s="67">
        <v>1</v>
      </c>
      <c r="H468" s="68"/>
      <c r="I468" s="26"/>
      <c r="J468" s="23"/>
      <c r="K468" s="24"/>
      <c r="L468" s="69">
        <f t="shared" si="26"/>
        <v>0</v>
      </c>
      <c r="M468" s="70"/>
      <c r="N468" s="25"/>
      <c r="O468" s="1"/>
      <c r="P468" s="32">
        <v>60873</v>
      </c>
      <c r="Q468" s="38">
        <f t="shared" si="27"/>
        <v>60873</v>
      </c>
      <c r="R468" s="28">
        <f t="shared" si="28"/>
        <v>0</v>
      </c>
    </row>
    <row r="469" spans="1:19">
      <c r="A469" s="83" t="s">
        <v>90</v>
      </c>
      <c r="B469" s="84"/>
      <c r="C469" s="84"/>
      <c r="D469" s="84"/>
      <c r="E469" s="85"/>
      <c r="F469" s="20" t="s">
        <v>60</v>
      </c>
      <c r="G469" s="67">
        <v>1</v>
      </c>
      <c r="H469" s="68"/>
      <c r="I469" s="26"/>
      <c r="J469" s="23"/>
      <c r="K469" s="24"/>
      <c r="L469" s="69">
        <f t="shared" si="26"/>
        <v>0</v>
      </c>
      <c r="M469" s="70"/>
      <c r="N469" s="25"/>
      <c r="O469" s="1"/>
      <c r="P469" s="34">
        <v>266321</v>
      </c>
      <c r="Q469" s="38">
        <f t="shared" si="27"/>
        <v>266321</v>
      </c>
      <c r="R469" s="28">
        <f t="shared" si="28"/>
        <v>0</v>
      </c>
    </row>
    <row r="470" spans="1:19">
      <c r="A470" s="83" t="s">
        <v>91</v>
      </c>
      <c r="B470" s="84"/>
      <c r="C470" s="84"/>
      <c r="D470" s="84"/>
      <c r="E470" s="85"/>
      <c r="F470" s="2" t="s">
        <v>60</v>
      </c>
      <c r="G470" s="67">
        <v>1</v>
      </c>
      <c r="H470" s="68"/>
      <c r="I470" s="26"/>
      <c r="J470" s="23"/>
      <c r="K470" s="24"/>
      <c r="L470" s="69">
        <f t="shared" si="26"/>
        <v>1</v>
      </c>
      <c r="M470" s="70"/>
      <c r="N470" s="25"/>
      <c r="O470" s="1"/>
      <c r="P470" s="32">
        <v>13316</v>
      </c>
      <c r="Q470" s="38">
        <f t="shared" si="27"/>
        <v>13316</v>
      </c>
      <c r="R470" s="28">
        <f t="shared" si="28"/>
        <v>13316</v>
      </c>
    </row>
    <row r="471" spans="1:19">
      <c r="A471" s="83" t="s">
        <v>92</v>
      </c>
      <c r="B471" s="84"/>
      <c r="C471" s="84"/>
      <c r="D471" s="84"/>
      <c r="E471" s="85"/>
      <c r="F471" s="20" t="s">
        <v>60</v>
      </c>
      <c r="G471" s="67">
        <v>1</v>
      </c>
      <c r="H471" s="68"/>
      <c r="I471" s="26"/>
      <c r="J471" s="23"/>
      <c r="K471" s="24"/>
      <c r="L471" s="69">
        <f t="shared" si="26"/>
        <v>0</v>
      </c>
      <c r="M471" s="70"/>
      <c r="N471" s="25"/>
      <c r="O471" s="1"/>
      <c r="P471" s="32">
        <v>210299</v>
      </c>
      <c r="Q471" s="38">
        <f t="shared" si="27"/>
        <v>210299</v>
      </c>
      <c r="R471" s="28">
        <f t="shared" si="28"/>
        <v>0</v>
      </c>
    </row>
    <row r="472" spans="1:19">
      <c r="A472" s="64"/>
      <c r="B472" s="65"/>
      <c r="C472" s="65"/>
      <c r="D472" s="65"/>
      <c r="E472" s="66"/>
      <c r="F472" s="22"/>
      <c r="G472" s="67"/>
      <c r="H472" s="68"/>
      <c r="I472" s="26"/>
      <c r="J472" s="23"/>
      <c r="K472" s="24"/>
      <c r="L472" s="69"/>
      <c r="M472" s="70"/>
      <c r="N472" s="25"/>
      <c r="O472" s="3"/>
      <c r="P472" s="32"/>
      <c r="Q472" s="33">
        <f>SUM(Q446:Q471)</f>
        <v>4416270</v>
      </c>
      <c r="R472" s="29">
        <f>SUM(R446:R471)</f>
        <v>218316</v>
      </c>
    </row>
    <row r="473" spans="1:19">
      <c r="A473" s="64"/>
      <c r="B473" s="65"/>
      <c r="C473" s="65"/>
      <c r="D473" s="65"/>
      <c r="E473" s="66"/>
      <c r="F473" s="22"/>
      <c r="G473" s="67"/>
      <c r="H473" s="68"/>
      <c r="I473" s="26"/>
      <c r="J473" s="23"/>
      <c r="K473" s="24"/>
      <c r="L473" s="69"/>
      <c r="M473" s="70"/>
      <c r="N473" s="25"/>
      <c r="O473" s="3"/>
      <c r="P473" s="32"/>
      <c r="Q473" s="33"/>
      <c r="R473" s="37">
        <f>R472/Q472</f>
        <v>4.943447751156519E-2</v>
      </c>
    </row>
    <row r="474" spans="1:19">
      <c r="A474" s="62" t="s">
        <v>14</v>
      </c>
      <c r="B474" s="62"/>
      <c r="C474" s="62"/>
      <c r="D474" s="62"/>
      <c r="E474" s="62"/>
      <c r="F474" s="62"/>
      <c r="G474" s="62"/>
      <c r="H474" s="62"/>
      <c r="I474" s="62"/>
      <c r="J474" s="62"/>
      <c r="K474" s="62"/>
      <c r="L474" s="62"/>
      <c r="M474" s="62"/>
      <c r="N474" s="62"/>
      <c r="O474" s="1"/>
      <c r="P474" s="32"/>
      <c r="Q474" s="33"/>
      <c r="R474" s="29"/>
      <c r="S474" s="16"/>
    </row>
    <row r="475" spans="1:19">
      <c r="A475" s="71" t="s">
        <v>15</v>
      </c>
      <c r="B475" s="72"/>
      <c r="C475" s="72"/>
      <c r="D475" s="72"/>
      <c r="E475" s="73"/>
      <c r="F475" s="9" t="s">
        <v>37</v>
      </c>
      <c r="G475" s="71" t="s">
        <v>38</v>
      </c>
      <c r="H475" s="73"/>
      <c r="I475" s="71" t="s">
        <v>42</v>
      </c>
      <c r="J475" s="72"/>
      <c r="K475" s="73"/>
      <c r="L475" s="74" t="s">
        <v>17</v>
      </c>
      <c r="M475" s="75"/>
      <c r="N475" s="9" t="s">
        <v>13</v>
      </c>
      <c r="O475" s="1"/>
      <c r="P475" s="32"/>
      <c r="Q475" s="33"/>
      <c r="R475" s="29"/>
      <c r="S475" s="16"/>
    </row>
    <row r="476" spans="1:19">
      <c r="A476" s="71"/>
      <c r="B476" s="72"/>
      <c r="C476" s="72"/>
      <c r="D476" s="72"/>
      <c r="E476" s="73"/>
      <c r="F476" s="13"/>
      <c r="G476" s="76"/>
      <c r="H476" s="77"/>
      <c r="I476" s="78"/>
      <c r="J476" s="79"/>
      <c r="K476" s="80"/>
      <c r="L476" s="81"/>
      <c r="M476" s="82"/>
      <c r="N476" s="8"/>
      <c r="O476" s="1"/>
      <c r="P476" s="32"/>
      <c r="Q476" s="33"/>
      <c r="R476" s="29"/>
      <c r="S476" s="16"/>
    </row>
    <row r="477" spans="1:19">
      <c r="A477" s="62" t="s">
        <v>19</v>
      </c>
      <c r="B477" s="62"/>
      <c r="C477" s="62"/>
      <c r="D477" s="62"/>
      <c r="E477" s="62"/>
      <c r="F477" s="62"/>
      <c r="G477" s="62"/>
      <c r="H477" s="62"/>
      <c r="I477" s="62"/>
      <c r="J477" s="62"/>
      <c r="K477" s="62"/>
      <c r="L477" s="62"/>
      <c r="M477" s="62"/>
      <c r="N477" s="62"/>
      <c r="O477" s="1"/>
      <c r="P477" s="32"/>
      <c r="Q477" s="33"/>
      <c r="R477" s="29"/>
      <c r="S477" s="16"/>
    </row>
    <row r="478" spans="1:19">
      <c r="A478" s="63" t="s">
        <v>20</v>
      </c>
      <c r="B478" s="63"/>
      <c r="C478" s="63" t="s">
        <v>21</v>
      </c>
      <c r="D478" s="63"/>
      <c r="E478" s="63" t="s">
        <v>22</v>
      </c>
      <c r="F478" s="63"/>
      <c r="G478" s="63" t="s">
        <v>23</v>
      </c>
      <c r="H478" s="63"/>
      <c r="I478" s="63"/>
      <c r="J478" s="63" t="s">
        <v>16</v>
      </c>
      <c r="K478" s="63"/>
      <c r="L478" s="63"/>
      <c r="M478" s="63" t="s">
        <v>17</v>
      </c>
      <c r="N478" s="63"/>
      <c r="O478" s="1"/>
      <c r="Q478" s="32"/>
      <c r="R478" s="33"/>
      <c r="S478" s="16"/>
    </row>
    <row r="479" spans="1:19">
      <c r="A479" s="60" t="s">
        <v>24</v>
      </c>
      <c r="B479" s="52"/>
      <c r="C479" s="61"/>
      <c r="D479" s="61"/>
      <c r="E479" s="61">
        <f>C479+E418</f>
        <v>6</v>
      </c>
      <c r="F479" s="61"/>
      <c r="G479" s="60" t="s">
        <v>51</v>
      </c>
      <c r="H479" s="51"/>
      <c r="I479" s="52"/>
      <c r="J479" s="61"/>
      <c r="K479" s="61"/>
      <c r="L479" s="61"/>
      <c r="M479" s="61">
        <f>K479+M418</f>
        <v>1</v>
      </c>
      <c r="N479" s="61"/>
      <c r="O479" s="1"/>
      <c r="Q479" s="32"/>
      <c r="R479" s="33"/>
      <c r="S479" s="16"/>
    </row>
    <row r="480" spans="1:19">
      <c r="A480" s="60" t="s">
        <v>25</v>
      </c>
      <c r="B480" s="52"/>
      <c r="C480" s="61"/>
      <c r="D480" s="61"/>
      <c r="E480" s="61">
        <f>C480+E419</f>
        <v>5</v>
      </c>
      <c r="F480" s="61"/>
      <c r="G480" s="60" t="s">
        <v>50</v>
      </c>
      <c r="H480" s="51"/>
      <c r="I480" s="52"/>
      <c r="J480" s="61"/>
      <c r="K480" s="61"/>
      <c r="L480" s="61"/>
      <c r="M480" s="61">
        <f>K480+M419</f>
        <v>1</v>
      </c>
      <c r="N480" s="61"/>
      <c r="O480" s="1"/>
      <c r="Q480" s="32"/>
      <c r="R480" s="33"/>
      <c r="S480" s="16"/>
    </row>
    <row r="481" spans="1:19">
      <c r="A481" s="60"/>
      <c r="B481" s="52"/>
      <c r="C481" s="61"/>
      <c r="D481" s="61"/>
      <c r="E481" s="61"/>
      <c r="F481" s="61"/>
      <c r="G481" s="60" t="s">
        <v>55</v>
      </c>
      <c r="H481" s="51"/>
      <c r="I481" s="52"/>
      <c r="J481" s="61"/>
      <c r="K481" s="61"/>
      <c r="L481" s="61"/>
      <c r="M481" s="61">
        <f>K481+M420</f>
        <v>0</v>
      </c>
      <c r="N481" s="61"/>
      <c r="O481" s="2"/>
      <c r="P481" s="29"/>
      <c r="Q481" s="32"/>
      <c r="R481" s="33"/>
      <c r="S481" s="16"/>
    </row>
    <row r="482" spans="1:19">
      <c r="A482" s="53" t="s">
        <v>53</v>
      </c>
      <c r="B482" s="47"/>
      <c r="C482" s="53"/>
      <c r="D482" s="53"/>
      <c r="E482" s="53"/>
      <c r="F482" s="53"/>
      <c r="G482" s="53"/>
      <c r="H482" s="53"/>
      <c r="I482" s="53"/>
      <c r="J482" s="53"/>
      <c r="K482" s="53"/>
      <c r="L482" s="53"/>
      <c r="M482" s="53"/>
      <c r="N482" s="53"/>
      <c r="O482" s="1"/>
      <c r="P482" s="32"/>
      <c r="Q482" s="32"/>
      <c r="R482" s="33"/>
      <c r="S482" s="16"/>
    </row>
    <row r="483" spans="1:19">
      <c r="A483" s="45" t="s">
        <v>56</v>
      </c>
      <c r="B483" s="46"/>
      <c r="C483" s="46"/>
      <c r="D483" s="46"/>
      <c r="E483" s="46"/>
      <c r="F483" s="46"/>
      <c r="G483" s="46"/>
      <c r="H483" s="46"/>
      <c r="I483" s="46"/>
      <c r="J483" s="46"/>
      <c r="K483" s="46"/>
      <c r="L483" s="46"/>
      <c r="M483" s="46"/>
      <c r="N483" s="47"/>
      <c r="O483" s="1"/>
      <c r="P483" s="32"/>
      <c r="Q483" s="34"/>
      <c r="R483" s="33"/>
      <c r="S483" s="16"/>
    </row>
    <row r="484" spans="1:19">
      <c r="A484" s="54" t="s">
        <v>54</v>
      </c>
      <c r="B484" s="55"/>
      <c r="C484" s="55"/>
      <c r="D484" s="55"/>
      <c r="E484" s="55"/>
      <c r="F484" s="55"/>
      <c r="G484" s="55"/>
      <c r="H484" s="55"/>
      <c r="I484" s="55"/>
      <c r="J484" s="55"/>
      <c r="K484" s="55"/>
      <c r="L484" s="55"/>
      <c r="M484" s="55"/>
      <c r="N484" s="56"/>
      <c r="O484" s="1"/>
      <c r="P484" s="32"/>
      <c r="Q484" s="32"/>
      <c r="R484" s="33"/>
      <c r="S484" s="16"/>
    </row>
    <row r="485" spans="1:19">
      <c r="A485" s="40" t="s">
        <v>26</v>
      </c>
      <c r="B485" s="41"/>
      <c r="C485" s="40"/>
      <c r="D485" s="40"/>
      <c r="E485" s="40"/>
      <c r="F485" s="40"/>
      <c r="G485" s="40"/>
      <c r="H485" s="40"/>
      <c r="I485" s="40"/>
      <c r="J485" s="40"/>
      <c r="K485" s="40"/>
      <c r="L485" s="40"/>
      <c r="M485" s="40"/>
      <c r="N485" s="40"/>
      <c r="O485" s="1"/>
      <c r="P485" s="32"/>
      <c r="Q485" s="32"/>
      <c r="R485" s="33"/>
      <c r="S485" s="16"/>
    </row>
    <row r="486" spans="1:19">
      <c r="A486" s="57" t="s">
        <v>27</v>
      </c>
      <c r="B486" s="58"/>
      <c r="C486" s="58"/>
      <c r="D486" s="58"/>
      <c r="E486" s="58"/>
      <c r="F486" s="58"/>
      <c r="G486" s="58"/>
      <c r="H486" s="58"/>
      <c r="I486" s="58"/>
      <c r="J486" s="58"/>
      <c r="K486" s="58"/>
      <c r="L486" s="58"/>
      <c r="M486" s="58"/>
      <c r="N486" s="59"/>
      <c r="O486" s="1"/>
      <c r="P486" s="34"/>
      <c r="Q486" s="34"/>
      <c r="R486" s="33"/>
      <c r="S486" s="16"/>
    </row>
    <row r="487" spans="1:19">
      <c r="A487" s="57" t="s">
        <v>57</v>
      </c>
      <c r="B487" s="58"/>
      <c r="C487" s="58"/>
      <c r="D487" s="58"/>
      <c r="E487" s="58"/>
      <c r="F487" s="58"/>
      <c r="G487" s="58"/>
      <c r="H487" s="58"/>
      <c r="I487" s="58"/>
      <c r="J487" s="58"/>
      <c r="K487" s="58"/>
      <c r="L487" s="58"/>
      <c r="M487" s="58"/>
      <c r="N487" s="59"/>
      <c r="O487" s="1"/>
      <c r="P487" s="32"/>
      <c r="Q487" s="32"/>
      <c r="R487" s="33"/>
      <c r="S487" s="16"/>
    </row>
    <row r="488" spans="1:19">
      <c r="A488" s="57" t="s">
        <v>58</v>
      </c>
      <c r="B488" s="58"/>
      <c r="C488" s="58"/>
      <c r="D488" s="58"/>
      <c r="E488" s="58"/>
      <c r="F488" s="58"/>
      <c r="G488" s="58"/>
      <c r="H488" s="58"/>
      <c r="I488" s="58"/>
      <c r="J488" s="58"/>
      <c r="K488" s="58"/>
      <c r="L488" s="58"/>
      <c r="M488" s="58"/>
      <c r="N488" s="59"/>
      <c r="O488" s="1"/>
      <c r="P488" s="32"/>
      <c r="Q488" s="32"/>
      <c r="R488" s="33"/>
      <c r="S488" s="16"/>
    </row>
    <row r="489" spans="1:19">
      <c r="A489" s="57" t="s">
        <v>59</v>
      </c>
      <c r="B489" s="58"/>
      <c r="C489" s="58"/>
      <c r="D489" s="58"/>
      <c r="E489" s="58"/>
      <c r="F489" s="58"/>
      <c r="G489" s="58"/>
      <c r="H489" s="58"/>
      <c r="I489" s="58"/>
      <c r="J489" s="58"/>
      <c r="K489" s="58"/>
      <c r="L489" s="58"/>
      <c r="M489" s="58"/>
      <c r="N489" s="59"/>
      <c r="O489" s="1"/>
      <c r="P489" s="32"/>
      <c r="Q489" s="34"/>
      <c r="R489" s="33"/>
      <c r="S489" s="16"/>
    </row>
    <row r="490" spans="1:19">
      <c r="A490" s="57" t="s">
        <v>28</v>
      </c>
      <c r="B490" s="58"/>
      <c r="C490" s="58"/>
      <c r="D490" s="58"/>
      <c r="E490" s="58"/>
      <c r="F490" s="58"/>
      <c r="G490" s="58"/>
      <c r="H490" s="58"/>
      <c r="I490" s="58"/>
      <c r="J490" s="58"/>
      <c r="K490" s="58"/>
      <c r="L490" s="58"/>
      <c r="M490" s="58"/>
      <c r="N490" s="59"/>
      <c r="O490" s="1"/>
      <c r="P490" s="34"/>
      <c r="Q490" s="32"/>
      <c r="R490" s="33"/>
      <c r="S490" s="16"/>
    </row>
    <row r="491" spans="1:19">
      <c r="A491" s="40" t="s">
        <v>29</v>
      </c>
      <c r="B491" s="41"/>
      <c r="C491" s="40"/>
      <c r="D491" s="40"/>
      <c r="E491" s="40"/>
      <c r="F491" s="40"/>
      <c r="G491" s="40"/>
      <c r="H491" s="40"/>
      <c r="I491" s="40"/>
      <c r="J491" s="40"/>
      <c r="K491" s="40"/>
      <c r="L491" s="40"/>
      <c r="M491" s="40"/>
      <c r="N491" s="40"/>
      <c r="O491" s="1"/>
      <c r="P491" s="32"/>
      <c r="Q491" s="32"/>
      <c r="R491" s="33"/>
      <c r="S491" s="16"/>
    </row>
    <row r="492" spans="1:19">
      <c r="A492" s="42"/>
      <c r="B492" s="43"/>
      <c r="C492" s="43"/>
      <c r="D492" s="43"/>
      <c r="E492" s="43"/>
      <c r="F492" s="43"/>
      <c r="G492" s="43"/>
      <c r="H492" s="43"/>
      <c r="I492" s="43"/>
      <c r="J492" s="43"/>
      <c r="K492" s="43"/>
      <c r="L492" s="43"/>
      <c r="M492" s="43"/>
      <c r="N492" s="44"/>
      <c r="O492" s="1"/>
      <c r="P492" s="32"/>
      <c r="Q492" s="32"/>
      <c r="R492" s="33"/>
      <c r="S492" s="16"/>
    </row>
    <row r="493" spans="1:19">
      <c r="A493" s="40" t="s">
        <v>30</v>
      </c>
      <c r="B493" s="41"/>
      <c r="C493" s="40"/>
      <c r="D493" s="40"/>
      <c r="E493" s="40"/>
      <c r="F493" s="40"/>
      <c r="G493" s="40"/>
      <c r="H493" s="40"/>
      <c r="I493" s="40"/>
      <c r="J493" s="40"/>
      <c r="K493" s="40"/>
      <c r="L493" s="40"/>
      <c r="M493" s="40"/>
      <c r="N493" s="40"/>
      <c r="O493" s="1"/>
      <c r="P493" s="32"/>
      <c r="Q493" s="32"/>
      <c r="R493" s="33"/>
      <c r="S493" s="16"/>
    </row>
    <row r="494" spans="1:19">
      <c r="A494" s="42"/>
      <c r="B494" s="43"/>
      <c r="C494" s="43"/>
      <c r="D494" s="43"/>
      <c r="E494" s="43"/>
      <c r="F494" s="43"/>
      <c r="G494" s="43"/>
      <c r="H494" s="43"/>
      <c r="I494" s="43"/>
      <c r="J494" s="43"/>
      <c r="K494" s="43"/>
      <c r="L494" s="43"/>
      <c r="M494" s="43"/>
      <c r="N494" s="44"/>
      <c r="O494" s="1"/>
      <c r="P494" s="32"/>
      <c r="Q494" s="32"/>
      <c r="R494" s="33"/>
      <c r="S494" s="16"/>
    </row>
    <row r="495" spans="1:19">
      <c r="A495" s="40" t="s">
        <v>97</v>
      </c>
      <c r="B495" s="41"/>
      <c r="C495" s="40"/>
      <c r="D495" s="40"/>
      <c r="E495" s="40"/>
      <c r="F495" s="40"/>
      <c r="G495" s="40"/>
      <c r="H495" s="40"/>
      <c r="I495" s="40"/>
      <c r="J495" s="40"/>
      <c r="K495" s="40"/>
      <c r="L495" s="40"/>
      <c r="M495" s="40"/>
      <c r="N495" s="40"/>
      <c r="O495" s="1"/>
      <c r="P495" s="32"/>
      <c r="Q495" s="32"/>
      <c r="R495" s="33"/>
      <c r="S495" s="17"/>
    </row>
    <row r="496" spans="1:19">
      <c r="A496" s="45"/>
      <c r="B496" s="46"/>
      <c r="C496" s="46"/>
      <c r="D496" s="46"/>
      <c r="E496" s="46"/>
      <c r="F496" s="46"/>
      <c r="G496" s="46"/>
      <c r="H496" s="46"/>
      <c r="I496" s="46"/>
      <c r="J496" s="46"/>
      <c r="K496" s="46"/>
      <c r="L496" s="46"/>
      <c r="M496" s="46"/>
      <c r="N496" s="47"/>
      <c r="O496" s="1"/>
      <c r="P496" s="32"/>
      <c r="Q496" s="32"/>
      <c r="R496" s="33"/>
      <c r="S496" s="1"/>
    </row>
    <row r="497" spans="1:19">
      <c r="A497" s="48" t="s">
        <v>41</v>
      </c>
      <c r="B497" s="49"/>
      <c r="C497" s="50"/>
      <c r="D497" s="50"/>
      <c r="E497" s="50"/>
      <c r="F497" s="50"/>
      <c r="G497" s="50"/>
      <c r="H497" s="51"/>
      <c r="I497" s="51"/>
      <c r="J497" s="51"/>
      <c r="K497" s="51"/>
      <c r="L497" s="51"/>
      <c r="M497" s="51"/>
      <c r="N497" s="52"/>
      <c r="O497" s="1"/>
      <c r="P497" s="32"/>
      <c r="Q497" s="32"/>
      <c r="R497" s="33"/>
      <c r="S497" s="1"/>
    </row>
    <row r="498" spans="1:19" ht="28.2">
      <c r="A498" s="1" t="s">
        <v>45</v>
      </c>
      <c r="B498" s="7">
        <f>B437+1</f>
        <v>9</v>
      </c>
      <c r="C498" s="5"/>
      <c r="D498" s="5"/>
      <c r="E498" s="5"/>
      <c r="F498" s="5"/>
      <c r="G498" s="5"/>
      <c r="H498" s="5"/>
      <c r="I498" s="5"/>
      <c r="J498" s="5"/>
      <c r="K498" s="5"/>
      <c r="L498" s="5"/>
      <c r="M498" s="5"/>
      <c r="N498" s="5"/>
      <c r="O498" s="1"/>
      <c r="P498" s="32"/>
      <c r="Q498" s="33"/>
      <c r="R498" s="29"/>
    </row>
    <row r="499" spans="1:19">
      <c r="A499" s="1" t="s">
        <v>46</v>
      </c>
      <c r="B499" s="1" t="s">
        <v>1</v>
      </c>
      <c r="C499" s="1" t="s">
        <v>2</v>
      </c>
      <c r="D499" s="1" t="s">
        <v>3</v>
      </c>
      <c r="E499" s="1" t="s">
        <v>2</v>
      </c>
      <c r="F499" s="1"/>
      <c r="G499" s="1"/>
      <c r="H499" s="112" t="s">
        <v>4</v>
      </c>
      <c r="I499" s="112"/>
      <c r="J499" s="113">
        <f>J438+1</f>
        <v>46220</v>
      </c>
      <c r="K499" s="113"/>
      <c r="L499" s="113"/>
      <c r="M499" s="114">
        <f>J499</f>
        <v>46220</v>
      </c>
      <c r="N499" s="114"/>
      <c r="O499" s="1"/>
      <c r="P499" s="32"/>
      <c r="Q499" s="33"/>
      <c r="R499" s="29"/>
    </row>
    <row r="500" spans="1:19">
      <c r="A500" s="8" t="s">
        <v>5</v>
      </c>
      <c r="B500" s="115">
        <f>B431</f>
        <v>0</v>
      </c>
      <c r="C500" s="116"/>
      <c r="D500" s="116"/>
      <c r="E500" s="116"/>
      <c r="F500" s="116"/>
      <c r="G500" s="117"/>
      <c r="H500" s="63" t="s">
        <v>6</v>
      </c>
      <c r="I500" s="63"/>
      <c r="J500" s="63"/>
      <c r="K500" s="63" t="s">
        <v>52</v>
      </c>
      <c r="L500" s="63"/>
      <c r="M500" s="63"/>
      <c r="N500" s="63"/>
      <c r="O500" s="1"/>
      <c r="P500" s="32"/>
      <c r="Q500" s="33"/>
      <c r="R500" s="29"/>
    </row>
    <row r="501" spans="1:19">
      <c r="A501" s="8" t="s">
        <v>32</v>
      </c>
      <c r="B501" s="10">
        <v>60</v>
      </c>
      <c r="C501" s="11" t="s">
        <v>43</v>
      </c>
      <c r="D501" s="71" t="s">
        <v>7</v>
      </c>
      <c r="E501" s="73"/>
      <c r="F501" s="10">
        <f>F440+1</f>
        <v>9</v>
      </c>
      <c r="G501" s="11" t="s">
        <v>8</v>
      </c>
      <c r="H501" s="9" t="s">
        <v>9</v>
      </c>
      <c r="I501" s="10">
        <f>B501-F501</f>
        <v>51</v>
      </c>
      <c r="J501" s="11" t="s">
        <v>8</v>
      </c>
      <c r="K501" s="118" t="s">
        <v>33</v>
      </c>
      <c r="L501" s="119"/>
      <c r="M501" s="12"/>
      <c r="N501" s="11" t="s">
        <v>8</v>
      </c>
      <c r="O501" s="1"/>
      <c r="P501" s="34"/>
      <c r="Q501" s="33"/>
      <c r="R501" s="29"/>
    </row>
    <row r="502" spans="1:19">
      <c r="A502" s="71" t="s">
        <v>34</v>
      </c>
      <c r="B502" s="72"/>
      <c r="C502" s="73"/>
      <c r="D502" s="120">
        <v>46212</v>
      </c>
      <c r="E502" s="121"/>
      <c r="F502" s="121"/>
      <c r="G502" s="122"/>
      <c r="H502" s="71" t="s">
        <v>35</v>
      </c>
      <c r="I502" s="72"/>
      <c r="J502" s="73"/>
      <c r="K502" s="120">
        <f>D502+59</f>
        <v>46271</v>
      </c>
      <c r="L502" s="121"/>
      <c r="M502" s="121"/>
      <c r="N502" s="122"/>
      <c r="O502" s="1"/>
      <c r="P502" s="32"/>
      <c r="Q502" s="33"/>
      <c r="R502" s="29"/>
    </row>
    <row r="503" spans="1:19">
      <c r="A503" s="92" t="s">
        <v>10</v>
      </c>
      <c r="B503" s="93"/>
      <c r="C503" s="94"/>
      <c r="D503" s="98">
        <f>D442+0.005/5</f>
        <v>4.5000000000000005E-3</v>
      </c>
      <c r="E503" s="99"/>
      <c r="F503" s="99"/>
      <c r="G503" s="100"/>
      <c r="H503" s="104" t="s">
        <v>36</v>
      </c>
      <c r="I503" s="105"/>
      <c r="J503" s="106"/>
      <c r="K503" s="110">
        <f>R534</f>
        <v>4.943447751156519E-2</v>
      </c>
      <c r="L503" s="105"/>
      <c r="M503" s="105"/>
      <c r="N503" s="106"/>
      <c r="O503" s="1"/>
      <c r="P503" s="32"/>
      <c r="Q503" s="33"/>
      <c r="R503" s="29"/>
    </row>
    <row r="504" spans="1:19">
      <c r="A504" s="95"/>
      <c r="B504" s="96"/>
      <c r="C504" s="97"/>
      <c r="D504" s="101"/>
      <c r="E504" s="102"/>
      <c r="F504" s="102"/>
      <c r="G504" s="103"/>
      <c r="H504" s="107"/>
      <c r="I504" s="108"/>
      <c r="J504" s="109"/>
      <c r="K504" s="107"/>
      <c r="L504" s="108"/>
      <c r="M504" s="108"/>
      <c r="N504" s="109"/>
      <c r="O504" s="1"/>
      <c r="P504" s="32"/>
      <c r="Q504" s="33"/>
      <c r="R504" s="29"/>
    </row>
    <row r="505" spans="1:19">
      <c r="A505" s="62" t="s">
        <v>11</v>
      </c>
      <c r="B505" s="62"/>
      <c r="C505" s="62"/>
      <c r="D505" s="62"/>
      <c r="E505" s="62"/>
      <c r="F505" s="62"/>
      <c r="G505" s="62"/>
      <c r="H505" s="62"/>
      <c r="I505" s="62"/>
      <c r="J505" s="62"/>
      <c r="K505" s="62"/>
      <c r="L505" s="62"/>
      <c r="M505" s="62"/>
      <c r="N505" s="62"/>
      <c r="O505" s="1"/>
      <c r="P505" s="32"/>
      <c r="Q505" s="33"/>
      <c r="R505" s="29"/>
    </row>
    <row r="506" spans="1:19">
      <c r="A506" s="111" t="s">
        <v>12</v>
      </c>
      <c r="B506" s="111"/>
      <c r="C506" s="111"/>
      <c r="D506" s="111"/>
      <c r="E506" s="111"/>
      <c r="F506" s="14" t="s">
        <v>37</v>
      </c>
      <c r="G506" s="111" t="s">
        <v>38</v>
      </c>
      <c r="H506" s="111"/>
      <c r="I506" s="63" t="s">
        <v>39</v>
      </c>
      <c r="J506" s="63"/>
      <c r="K506" s="63"/>
      <c r="L506" s="63" t="s">
        <v>40</v>
      </c>
      <c r="M506" s="63"/>
      <c r="N506" s="9" t="s">
        <v>13</v>
      </c>
      <c r="O506" s="1"/>
      <c r="P506" s="28" t="s">
        <v>47</v>
      </c>
      <c r="Q506" s="29" t="s">
        <v>48</v>
      </c>
      <c r="R506" s="29" t="s">
        <v>49</v>
      </c>
    </row>
    <row r="507" spans="1:19">
      <c r="A507" s="83" t="s">
        <v>67</v>
      </c>
      <c r="B507" s="84"/>
      <c r="C507" s="84"/>
      <c r="D507" s="84"/>
      <c r="E507" s="85"/>
      <c r="F507" s="27" t="s">
        <v>60</v>
      </c>
      <c r="G507" s="67">
        <v>1</v>
      </c>
      <c r="H507" s="68"/>
      <c r="I507" s="86"/>
      <c r="J507" s="87"/>
      <c r="K507" s="88"/>
      <c r="L507" s="69">
        <f>I507+L446</f>
        <v>1</v>
      </c>
      <c r="M507" s="70"/>
      <c r="N507" s="8"/>
      <c r="O507" s="1"/>
      <c r="P507" s="30">
        <v>6000</v>
      </c>
      <c r="Q507" s="38">
        <f>P507*G507</f>
        <v>6000</v>
      </c>
      <c r="R507" s="28">
        <f>L507*P507</f>
        <v>6000</v>
      </c>
    </row>
    <row r="508" spans="1:19">
      <c r="A508" s="83" t="s">
        <v>68</v>
      </c>
      <c r="B508" s="84"/>
      <c r="C508" s="84"/>
      <c r="D508" s="84"/>
      <c r="E508" s="85"/>
      <c r="F508" s="20" t="s">
        <v>60</v>
      </c>
      <c r="G508" s="67">
        <v>1</v>
      </c>
      <c r="H508" s="68"/>
      <c r="I508" s="87"/>
      <c r="J508" s="87"/>
      <c r="K508" s="88"/>
      <c r="L508" s="69">
        <f t="shared" ref="L508:L532" si="29">I508+L447</f>
        <v>0</v>
      </c>
      <c r="M508" s="70"/>
      <c r="N508" s="8"/>
      <c r="O508" s="1"/>
      <c r="P508" s="30">
        <v>193300</v>
      </c>
      <c r="Q508" s="38">
        <f t="shared" ref="Q508:Q532" si="30">P508*G508</f>
        <v>193300</v>
      </c>
      <c r="R508" s="28">
        <f>L508*P508</f>
        <v>0</v>
      </c>
    </row>
    <row r="509" spans="1:19">
      <c r="A509" s="89" t="s">
        <v>69</v>
      </c>
      <c r="B509" s="90"/>
      <c r="C509" s="90"/>
      <c r="D509" s="90"/>
      <c r="E509" s="91"/>
      <c r="F509" s="20" t="s">
        <v>60</v>
      </c>
      <c r="G509" s="67">
        <v>1</v>
      </c>
      <c r="H509" s="68"/>
      <c r="I509" s="87"/>
      <c r="J509" s="87"/>
      <c r="K509" s="88"/>
      <c r="L509" s="69">
        <f t="shared" si="29"/>
        <v>0</v>
      </c>
      <c r="M509" s="70"/>
      <c r="N509" s="8"/>
      <c r="O509" s="1"/>
      <c r="P509" s="30">
        <v>30000</v>
      </c>
      <c r="Q509" s="38">
        <f t="shared" si="30"/>
        <v>30000</v>
      </c>
      <c r="R509" s="28">
        <f>L509*P509</f>
        <v>0</v>
      </c>
    </row>
    <row r="510" spans="1:19">
      <c r="A510" s="64" t="s">
        <v>70</v>
      </c>
      <c r="B510" s="65"/>
      <c r="C510" s="65"/>
      <c r="D510" s="65"/>
      <c r="E510" s="66"/>
      <c r="F510" s="20" t="s">
        <v>60</v>
      </c>
      <c r="G510" s="67">
        <v>1</v>
      </c>
      <c r="H510" s="68"/>
      <c r="I510" s="87"/>
      <c r="J510" s="87"/>
      <c r="K510" s="88"/>
      <c r="L510" s="69">
        <f t="shared" si="29"/>
        <v>1</v>
      </c>
      <c r="M510" s="70"/>
      <c r="N510" s="8"/>
      <c r="O510" s="1"/>
      <c r="P510" s="31">
        <v>10000</v>
      </c>
      <c r="Q510" s="38">
        <f t="shared" si="30"/>
        <v>10000</v>
      </c>
      <c r="R510" s="28">
        <f t="shared" ref="R510:R532" si="31">L510*P510</f>
        <v>10000</v>
      </c>
    </row>
    <row r="511" spans="1:19">
      <c r="A511" s="64" t="s">
        <v>71</v>
      </c>
      <c r="B511" s="65"/>
      <c r="C511" s="65"/>
      <c r="D511" s="65"/>
      <c r="E511" s="66"/>
      <c r="F511" s="20" t="s">
        <v>61</v>
      </c>
      <c r="G511" s="67">
        <v>9</v>
      </c>
      <c r="H511" s="68"/>
      <c r="I511" s="87"/>
      <c r="J511" s="87"/>
      <c r="K511" s="88"/>
      <c r="L511" s="69">
        <f t="shared" si="29"/>
        <v>9</v>
      </c>
      <c r="M511" s="70"/>
      <c r="N511" s="8"/>
      <c r="O511" s="1"/>
      <c r="P511" s="30">
        <v>21000</v>
      </c>
      <c r="Q511" s="38">
        <f t="shared" si="30"/>
        <v>189000</v>
      </c>
      <c r="R511" s="28">
        <f t="shared" si="31"/>
        <v>189000</v>
      </c>
    </row>
    <row r="512" spans="1:19">
      <c r="A512" s="64" t="s">
        <v>72</v>
      </c>
      <c r="B512" s="65"/>
      <c r="C512" s="65"/>
      <c r="D512" s="65"/>
      <c r="E512" s="66"/>
      <c r="F512" s="2" t="s">
        <v>60</v>
      </c>
      <c r="G512" s="67">
        <v>1</v>
      </c>
      <c r="H512" s="68"/>
      <c r="I512" s="87"/>
      <c r="J512" s="87"/>
      <c r="K512" s="88"/>
      <c r="L512" s="69">
        <f t="shared" si="29"/>
        <v>0</v>
      </c>
      <c r="M512" s="70"/>
      <c r="N512" s="8"/>
      <c r="O512" s="1"/>
      <c r="P512" s="30">
        <v>184468</v>
      </c>
      <c r="Q512" s="38">
        <f t="shared" si="30"/>
        <v>184468</v>
      </c>
      <c r="R512" s="28">
        <f t="shared" si="31"/>
        <v>0</v>
      </c>
    </row>
    <row r="513" spans="1:18">
      <c r="A513" s="83" t="s">
        <v>73</v>
      </c>
      <c r="B513" s="84"/>
      <c r="C513" s="84"/>
      <c r="D513" s="84"/>
      <c r="E513" s="85"/>
      <c r="F513" s="20" t="s">
        <v>62</v>
      </c>
      <c r="G513" s="67">
        <v>9</v>
      </c>
      <c r="H513" s="68"/>
      <c r="I513" s="87"/>
      <c r="J513" s="87"/>
      <c r="K513" s="88"/>
      <c r="L513" s="69">
        <f t="shared" si="29"/>
        <v>0</v>
      </c>
      <c r="M513" s="70"/>
      <c r="N513" s="8"/>
      <c r="O513" s="1"/>
      <c r="P513" s="30">
        <v>20000</v>
      </c>
      <c r="Q513" s="38">
        <f t="shared" si="30"/>
        <v>180000</v>
      </c>
      <c r="R513" s="28">
        <f t="shared" si="31"/>
        <v>0</v>
      </c>
    </row>
    <row r="514" spans="1:18">
      <c r="A514" s="83" t="s">
        <v>74</v>
      </c>
      <c r="B514" s="84"/>
      <c r="C514" s="84"/>
      <c r="D514" s="84"/>
      <c r="E514" s="85"/>
      <c r="F514" s="20" t="s">
        <v>63</v>
      </c>
      <c r="G514" s="67">
        <v>52</v>
      </c>
      <c r="H514" s="68"/>
      <c r="I514" s="87"/>
      <c r="J514" s="87"/>
      <c r="K514" s="88"/>
      <c r="L514" s="69">
        <f t="shared" si="29"/>
        <v>0</v>
      </c>
      <c r="M514" s="70"/>
      <c r="N514" s="8"/>
      <c r="O514" s="1"/>
      <c r="P514" s="31">
        <v>2500</v>
      </c>
      <c r="Q514" s="38">
        <f t="shared" si="30"/>
        <v>130000</v>
      </c>
      <c r="R514" s="28">
        <f t="shared" si="31"/>
        <v>0</v>
      </c>
    </row>
    <row r="515" spans="1:18">
      <c r="A515" s="83" t="s">
        <v>75</v>
      </c>
      <c r="B515" s="84"/>
      <c r="C515" s="84"/>
      <c r="D515" s="84"/>
      <c r="E515" s="85"/>
      <c r="F515" s="20" t="s">
        <v>64</v>
      </c>
      <c r="G515" s="67">
        <v>1</v>
      </c>
      <c r="H515" s="68"/>
      <c r="I515" s="87"/>
      <c r="J515" s="87"/>
      <c r="K515" s="88"/>
      <c r="L515" s="69">
        <f t="shared" si="29"/>
        <v>0</v>
      </c>
      <c r="M515" s="70"/>
      <c r="N515" s="8"/>
      <c r="O515" s="1"/>
      <c r="P515" s="30">
        <v>80000</v>
      </c>
      <c r="Q515" s="38">
        <f t="shared" si="30"/>
        <v>80000</v>
      </c>
      <c r="R515" s="28">
        <f t="shared" si="31"/>
        <v>0</v>
      </c>
    </row>
    <row r="516" spans="1:18">
      <c r="A516" s="89" t="s">
        <v>76</v>
      </c>
      <c r="B516" s="90"/>
      <c r="C516" s="90"/>
      <c r="D516" s="90"/>
      <c r="E516" s="91"/>
      <c r="F516" s="20" t="s">
        <v>65</v>
      </c>
      <c r="G516" s="67">
        <v>31</v>
      </c>
      <c r="H516" s="68"/>
      <c r="I516" s="87"/>
      <c r="J516" s="87"/>
      <c r="K516" s="88"/>
      <c r="L516" s="69">
        <f t="shared" si="29"/>
        <v>0</v>
      </c>
      <c r="M516" s="70"/>
      <c r="N516" s="8"/>
      <c r="O516" s="1"/>
      <c r="P516" s="30">
        <v>400</v>
      </c>
      <c r="Q516" s="38">
        <f t="shared" si="30"/>
        <v>12400</v>
      </c>
      <c r="R516" s="28">
        <f t="shared" si="31"/>
        <v>0</v>
      </c>
    </row>
    <row r="517" spans="1:18">
      <c r="A517" s="64" t="s">
        <v>77</v>
      </c>
      <c r="B517" s="65"/>
      <c r="C517" s="65"/>
      <c r="D517" s="65"/>
      <c r="E517" s="66"/>
      <c r="F517" s="20" t="s">
        <v>65</v>
      </c>
      <c r="G517" s="67">
        <v>100</v>
      </c>
      <c r="H517" s="68"/>
      <c r="I517" s="87"/>
      <c r="J517" s="87"/>
      <c r="K517" s="88"/>
      <c r="L517" s="69">
        <f t="shared" si="29"/>
        <v>0</v>
      </c>
      <c r="M517" s="70"/>
      <c r="N517" s="8"/>
      <c r="O517" s="1"/>
      <c r="P517" s="30">
        <v>350</v>
      </c>
      <c r="Q517" s="38">
        <f t="shared" si="30"/>
        <v>35000</v>
      </c>
      <c r="R517" s="28">
        <f t="shared" si="31"/>
        <v>0</v>
      </c>
    </row>
    <row r="518" spans="1:18">
      <c r="A518" s="64" t="s">
        <v>78</v>
      </c>
      <c r="B518" s="65"/>
      <c r="C518" s="65"/>
      <c r="D518" s="65"/>
      <c r="E518" s="66"/>
      <c r="F518" s="20" t="s">
        <v>63</v>
      </c>
      <c r="G518" s="67">
        <v>35</v>
      </c>
      <c r="H518" s="68"/>
      <c r="I518" s="87"/>
      <c r="J518" s="87"/>
      <c r="K518" s="88"/>
      <c r="L518" s="69">
        <f t="shared" si="29"/>
        <v>0</v>
      </c>
      <c r="M518" s="70"/>
      <c r="N518" s="8"/>
      <c r="O518" s="1"/>
      <c r="P518" s="30">
        <v>1200</v>
      </c>
      <c r="Q518" s="38">
        <f t="shared" si="30"/>
        <v>42000</v>
      </c>
      <c r="R518" s="28">
        <f t="shared" si="31"/>
        <v>0</v>
      </c>
    </row>
    <row r="519" spans="1:18">
      <c r="A519" s="64" t="s">
        <v>79</v>
      </c>
      <c r="B519" s="65"/>
      <c r="C519" s="65"/>
      <c r="D519" s="65"/>
      <c r="E519" s="66"/>
      <c r="F519" s="20" t="s">
        <v>63</v>
      </c>
      <c r="G519" s="67">
        <v>282</v>
      </c>
      <c r="H519" s="68"/>
      <c r="I519" s="86"/>
      <c r="J519" s="87"/>
      <c r="K519" s="88"/>
      <c r="L519" s="69">
        <f t="shared" si="29"/>
        <v>0</v>
      </c>
      <c r="M519" s="70"/>
      <c r="N519" s="8"/>
      <c r="O519" s="1"/>
      <c r="P519" s="30">
        <v>1400</v>
      </c>
      <c r="Q519" s="38">
        <f t="shared" si="30"/>
        <v>394800</v>
      </c>
      <c r="R519" s="28">
        <f t="shared" si="31"/>
        <v>0</v>
      </c>
    </row>
    <row r="520" spans="1:18">
      <c r="A520" s="83" t="s">
        <v>80</v>
      </c>
      <c r="B520" s="84"/>
      <c r="C520" s="84"/>
      <c r="D520" s="84"/>
      <c r="E520" s="85"/>
      <c r="F520" s="21" t="s">
        <v>65</v>
      </c>
      <c r="G520" s="67">
        <v>58</v>
      </c>
      <c r="H520" s="68"/>
      <c r="I520" s="86"/>
      <c r="J520" s="87"/>
      <c r="K520" s="88"/>
      <c r="L520" s="69">
        <f t="shared" si="29"/>
        <v>0</v>
      </c>
      <c r="M520" s="70"/>
      <c r="N520" s="8"/>
      <c r="O520" s="1"/>
      <c r="P520" s="30">
        <v>3600</v>
      </c>
      <c r="Q520" s="38">
        <f t="shared" si="30"/>
        <v>208800</v>
      </c>
      <c r="R520" s="28">
        <f t="shared" si="31"/>
        <v>0</v>
      </c>
    </row>
    <row r="521" spans="1:18">
      <c r="A521" s="83" t="s">
        <v>81</v>
      </c>
      <c r="B521" s="84"/>
      <c r="C521" s="84"/>
      <c r="D521" s="84"/>
      <c r="E521" s="85"/>
      <c r="F521" s="21" t="s">
        <v>65</v>
      </c>
      <c r="G521" s="67">
        <v>360</v>
      </c>
      <c r="H521" s="68"/>
      <c r="I521" s="86"/>
      <c r="J521" s="87"/>
      <c r="K521" s="88"/>
      <c r="L521" s="69">
        <f t="shared" si="29"/>
        <v>0</v>
      </c>
      <c r="M521" s="70"/>
      <c r="N521" s="8"/>
      <c r="O521" s="1"/>
      <c r="P521" s="30">
        <v>230</v>
      </c>
      <c r="Q521" s="38">
        <f t="shared" si="30"/>
        <v>82800</v>
      </c>
      <c r="R521" s="28">
        <f t="shared" si="31"/>
        <v>0</v>
      </c>
    </row>
    <row r="522" spans="1:18">
      <c r="A522" s="83" t="s">
        <v>82</v>
      </c>
      <c r="B522" s="84"/>
      <c r="C522" s="84"/>
      <c r="D522" s="84"/>
      <c r="E522" s="85"/>
      <c r="F522" s="21" t="s">
        <v>65</v>
      </c>
      <c r="G522" s="67">
        <v>2400</v>
      </c>
      <c r="H522" s="68"/>
      <c r="I522" s="86"/>
      <c r="J522" s="87"/>
      <c r="K522" s="88"/>
      <c r="L522" s="69">
        <f t="shared" si="29"/>
        <v>0</v>
      </c>
      <c r="M522" s="70"/>
      <c r="N522" s="8"/>
      <c r="O522" s="1"/>
      <c r="P522" s="30">
        <v>80</v>
      </c>
      <c r="Q522" s="38">
        <f t="shared" si="30"/>
        <v>192000</v>
      </c>
      <c r="R522" s="28">
        <f t="shared" si="31"/>
        <v>0</v>
      </c>
    </row>
    <row r="523" spans="1:18">
      <c r="A523" s="89" t="s">
        <v>83</v>
      </c>
      <c r="B523" s="90"/>
      <c r="C523" s="90"/>
      <c r="D523" s="90"/>
      <c r="E523" s="91"/>
      <c r="F523" s="21" t="s">
        <v>65</v>
      </c>
      <c r="G523" s="67">
        <v>360</v>
      </c>
      <c r="H523" s="68"/>
      <c r="I523" s="86"/>
      <c r="J523" s="87"/>
      <c r="K523" s="88"/>
      <c r="L523" s="69">
        <f t="shared" si="29"/>
        <v>0</v>
      </c>
      <c r="M523" s="70"/>
      <c r="N523" s="8"/>
      <c r="O523" s="1"/>
      <c r="P523" s="30">
        <v>420</v>
      </c>
      <c r="Q523" s="38">
        <f t="shared" si="30"/>
        <v>151200</v>
      </c>
      <c r="R523" s="28">
        <f t="shared" si="31"/>
        <v>0</v>
      </c>
    </row>
    <row r="524" spans="1:18">
      <c r="A524" s="64" t="s">
        <v>84</v>
      </c>
      <c r="B524" s="65"/>
      <c r="C524" s="65"/>
      <c r="D524" s="65"/>
      <c r="E524" s="66"/>
      <c r="F524" s="21" t="s">
        <v>65</v>
      </c>
      <c r="G524" s="67">
        <v>2760</v>
      </c>
      <c r="H524" s="68"/>
      <c r="I524" s="86"/>
      <c r="J524" s="87"/>
      <c r="K524" s="88"/>
      <c r="L524" s="69">
        <f t="shared" si="29"/>
        <v>0</v>
      </c>
      <c r="M524" s="70"/>
      <c r="N524" s="8"/>
      <c r="O524" s="1"/>
      <c r="P524" s="30">
        <v>460</v>
      </c>
      <c r="Q524" s="38">
        <f t="shared" si="30"/>
        <v>1269600</v>
      </c>
      <c r="R524" s="28">
        <f t="shared" si="31"/>
        <v>0</v>
      </c>
    </row>
    <row r="525" spans="1:18">
      <c r="A525" s="64" t="s">
        <v>85</v>
      </c>
      <c r="B525" s="65"/>
      <c r="C525" s="65"/>
      <c r="D525" s="65"/>
      <c r="E525" s="66"/>
      <c r="F525" s="21" t="s">
        <v>65</v>
      </c>
      <c r="G525" s="67">
        <v>275</v>
      </c>
      <c r="H525" s="68"/>
      <c r="I525" s="86"/>
      <c r="J525" s="87"/>
      <c r="K525" s="88"/>
      <c r="L525" s="69">
        <f t="shared" si="29"/>
        <v>0</v>
      </c>
      <c r="M525" s="70"/>
      <c r="N525" s="8"/>
      <c r="O525" s="1"/>
      <c r="P525" s="31">
        <v>350</v>
      </c>
      <c r="Q525" s="38">
        <f t="shared" si="30"/>
        <v>96250</v>
      </c>
      <c r="R525" s="28">
        <f t="shared" si="31"/>
        <v>0</v>
      </c>
    </row>
    <row r="526" spans="1:18">
      <c r="A526" s="64" t="s">
        <v>86</v>
      </c>
      <c r="B526" s="65"/>
      <c r="C526" s="65"/>
      <c r="D526" s="65"/>
      <c r="E526" s="66"/>
      <c r="F526" s="21" t="s">
        <v>60</v>
      </c>
      <c r="G526" s="67">
        <v>1</v>
      </c>
      <c r="H526" s="68"/>
      <c r="I526" s="86"/>
      <c r="J526" s="87"/>
      <c r="K526" s="88"/>
      <c r="L526" s="69">
        <f t="shared" si="29"/>
        <v>0</v>
      </c>
      <c r="M526" s="70"/>
      <c r="N526" s="8"/>
      <c r="O526" s="2"/>
      <c r="P526" s="30">
        <v>40000</v>
      </c>
      <c r="Q526" s="38">
        <f t="shared" si="30"/>
        <v>40000</v>
      </c>
      <c r="R526" s="28">
        <f t="shared" si="31"/>
        <v>0</v>
      </c>
    </row>
    <row r="527" spans="1:18">
      <c r="A527" s="83" t="s">
        <v>87</v>
      </c>
      <c r="B527" s="84"/>
      <c r="C527" s="84"/>
      <c r="D527" s="84"/>
      <c r="E527" s="85"/>
      <c r="F527" s="20" t="s">
        <v>60</v>
      </c>
      <c r="G527" s="67">
        <v>1</v>
      </c>
      <c r="H527" s="68"/>
      <c r="I527" s="86"/>
      <c r="J527" s="87"/>
      <c r="K527" s="88"/>
      <c r="L527" s="69">
        <f t="shared" si="29"/>
        <v>0</v>
      </c>
      <c r="M527" s="70"/>
      <c r="N527" s="8"/>
      <c r="O527" s="1"/>
      <c r="P527" s="31">
        <v>276970</v>
      </c>
      <c r="Q527" s="38">
        <f t="shared" si="30"/>
        <v>276970</v>
      </c>
      <c r="R527" s="28">
        <f t="shared" si="31"/>
        <v>0</v>
      </c>
    </row>
    <row r="528" spans="1:18">
      <c r="A528" s="83" t="s">
        <v>88</v>
      </c>
      <c r="B528" s="84"/>
      <c r="C528" s="84"/>
      <c r="D528" s="84"/>
      <c r="E528" s="85"/>
      <c r="F528" s="20" t="s">
        <v>60</v>
      </c>
      <c r="G528" s="67">
        <v>1</v>
      </c>
      <c r="H528" s="68"/>
      <c r="I528" s="26"/>
      <c r="J528" s="23"/>
      <c r="K528" s="24"/>
      <c r="L528" s="69">
        <f t="shared" si="29"/>
        <v>0</v>
      </c>
      <c r="M528" s="70"/>
      <c r="N528" s="25"/>
      <c r="O528" s="1"/>
      <c r="P528" s="32">
        <v>60873</v>
      </c>
      <c r="Q528" s="38">
        <f t="shared" si="30"/>
        <v>60873</v>
      </c>
      <c r="R528" s="28">
        <f t="shared" si="31"/>
        <v>0</v>
      </c>
    </row>
    <row r="529" spans="1:19">
      <c r="A529" s="83" t="s">
        <v>89</v>
      </c>
      <c r="B529" s="84"/>
      <c r="C529" s="84"/>
      <c r="D529" s="84"/>
      <c r="E529" s="85"/>
      <c r="F529" s="20" t="s">
        <v>60</v>
      </c>
      <c r="G529" s="67">
        <v>1</v>
      </c>
      <c r="H529" s="68"/>
      <c r="I529" s="26"/>
      <c r="J529" s="23"/>
      <c r="K529" s="24"/>
      <c r="L529" s="69">
        <f t="shared" si="29"/>
        <v>0</v>
      </c>
      <c r="M529" s="70"/>
      <c r="N529" s="25"/>
      <c r="O529" s="1"/>
      <c r="P529" s="32">
        <v>60873</v>
      </c>
      <c r="Q529" s="38">
        <f t="shared" si="30"/>
        <v>60873</v>
      </c>
      <c r="R529" s="28">
        <f t="shared" si="31"/>
        <v>0</v>
      </c>
    </row>
    <row r="530" spans="1:19">
      <c r="A530" s="83" t="s">
        <v>90</v>
      </c>
      <c r="B530" s="84"/>
      <c r="C530" s="84"/>
      <c r="D530" s="84"/>
      <c r="E530" s="85"/>
      <c r="F530" s="20" t="s">
        <v>60</v>
      </c>
      <c r="G530" s="67">
        <v>1</v>
      </c>
      <c r="H530" s="68"/>
      <c r="I530" s="26"/>
      <c r="J530" s="23"/>
      <c r="K530" s="24"/>
      <c r="L530" s="69">
        <f t="shared" si="29"/>
        <v>0</v>
      </c>
      <c r="M530" s="70"/>
      <c r="N530" s="25"/>
      <c r="O530" s="1"/>
      <c r="P530" s="34">
        <v>266321</v>
      </c>
      <c r="Q530" s="38">
        <f t="shared" si="30"/>
        <v>266321</v>
      </c>
      <c r="R530" s="28">
        <f t="shared" si="31"/>
        <v>0</v>
      </c>
    </row>
    <row r="531" spans="1:19">
      <c r="A531" s="83" t="s">
        <v>91</v>
      </c>
      <c r="B531" s="84"/>
      <c r="C531" s="84"/>
      <c r="D531" s="84"/>
      <c r="E531" s="85"/>
      <c r="F531" s="2" t="s">
        <v>60</v>
      </c>
      <c r="G531" s="67">
        <v>1</v>
      </c>
      <c r="H531" s="68"/>
      <c r="I531" s="26"/>
      <c r="J531" s="23"/>
      <c r="K531" s="24"/>
      <c r="L531" s="69">
        <f t="shared" si="29"/>
        <v>1</v>
      </c>
      <c r="M531" s="70"/>
      <c r="N531" s="25"/>
      <c r="O531" s="1"/>
      <c r="P531" s="32">
        <v>13316</v>
      </c>
      <c r="Q531" s="38">
        <f t="shared" si="30"/>
        <v>13316</v>
      </c>
      <c r="R531" s="28">
        <f t="shared" si="31"/>
        <v>13316</v>
      </c>
    </row>
    <row r="532" spans="1:19">
      <c r="A532" s="83" t="s">
        <v>92</v>
      </c>
      <c r="B532" s="84"/>
      <c r="C532" s="84"/>
      <c r="D532" s="84"/>
      <c r="E532" s="85"/>
      <c r="F532" s="20" t="s">
        <v>60</v>
      </c>
      <c r="G532" s="67">
        <v>1</v>
      </c>
      <c r="H532" s="68"/>
      <c r="I532" s="26"/>
      <c r="J532" s="23"/>
      <c r="K532" s="24"/>
      <c r="L532" s="69">
        <f t="shared" si="29"/>
        <v>0</v>
      </c>
      <c r="M532" s="70"/>
      <c r="N532" s="25"/>
      <c r="O532" s="1"/>
      <c r="P532" s="32">
        <v>210299</v>
      </c>
      <c r="Q532" s="38">
        <f t="shared" si="30"/>
        <v>210299</v>
      </c>
      <c r="R532" s="28">
        <f t="shared" si="31"/>
        <v>0</v>
      </c>
    </row>
    <row r="533" spans="1:19">
      <c r="A533" s="64"/>
      <c r="B533" s="65"/>
      <c r="C533" s="65"/>
      <c r="D533" s="65"/>
      <c r="E533" s="66"/>
      <c r="F533" s="22"/>
      <c r="G533" s="67"/>
      <c r="H533" s="68"/>
      <c r="I533" s="26"/>
      <c r="J533" s="23"/>
      <c r="K533" s="24"/>
      <c r="L533" s="69"/>
      <c r="M533" s="70"/>
      <c r="N533" s="25"/>
      <c r="O533" s="3"/>
      <c r="P533" s="32"/>
      <c r="Q533" s="33">
        <f>SUM(Q507:Q532)</f>
        <v>4416270</v>
      </c>
      <c r="R533" s="29">
        <f>SUM(R507:R532)</f>
        <v>218316</v>
      </c>
    </row>
    <row r="534" spans="1:19">
      <c r="A534" s="64"/>
      <c r="B534" s="65"/>
      <c r="C534" s="65"/>
      <c r="D534" s="65"/>
      <c r="E534" s="66"/>
      <c r="F534" s="22"/>
      <c r="G534" s="67"/>
      <c r="H534" s="68"/>
      <c r="I534" s="26"/>
      <c r="J534" s="23"/>
      <c r="K534" s="24"/>
      <c r="L534" s="69"/>
      <c r="M534" s="70"/>
      <c r="N534" s="25"/>
      <c r="O534" s="3"/>
      <c r="P534" s="32"/>
      <c r="Q534" s="33"/>
      <c r="R534" s="37">
        <f>R533/Q533</f>
        <v>4.943447751156519E-2</v>
      </c>
    </row>
    <row r="535" spans="1:19">
      <c r="A535" s="62" t="s">
        <v>14</v>
      </c>
      <c r="B535" s="62"/>
      <c r="C535" s="62"/>
      <c r="D535" s="62"/>
      <c r="E535" s="62"/>
      <c r="F535" s="62"/>
      <c r="G535" s="62"/>
      <c r="H535" s="62"/>
      <c r="I535" s="62"/>
      <c r="J535" s="62"/>
      <c r="K535" s="62"/>
      <c r="L535" s="62"/>
      <c r="M535" s="62"/>
      <c r="N535" s="62"/>
      <c r="O535" s="1"/>
      <c r="P535" s="32"/>
      <c r="Q535" s="33"/>
      <c r="R535" s="29"/>
      <c r="S535" s="16"/>
    </row>
    <row r="536" spans="1:19">
      <c r="A536" s="71" t="s">
        <v>15</v>
      </c>
      <c r="B536" s="72"/>
      <c r="C536" s="72"/>
      <c r="D536" s="72"/>
      <c r="E536" s="73"/>
      <c r="F536" s="9" t="s">
        <v>37</v>
      </c>
      <c r="G536" s="71" t="s">
        <v>38</v>
      </c>
      <c r="H536" s="73"/>
      <c r="I536" s="71" t="s">
        <v>42</v>
      </c>
      <c r="J536" s="72"/>
      <c r="K536" s="73"/>
      <c r="L536" s="74" t="s">
        <v>17</v>
      </c>
      <c r="M536" s="75"/>
      <c r="N536" s="9" t="s">
        <v>13</v>
      </c>
      <c r="O536" s="1"/>
      <c r="P536" s="32"/>
      <c r="Q536" s="33"/>
      <c r="R536" s="29"/>
      <c r="S536" s="16"/>
    </row>
    <row r="537" spans="1:19">
      <c r="A537" s="71"/>
      <c r="B537" s="72"/>
      <c r="C537" s="72"/>
      <c r="D537" s="72"/>
      <c r="E537" s="73"/>
      <c r="F537" s="13"/>
      <c r="G537" s="76"/>
      <c r="H537" s="77"/>
      <c r="I537" s="78"/>
      <c r="J537" s="79"/>
      <c r="K537" s="80"/>
      <c r="L537" s="81"/>
      <c r="M537" s="82"/>
      <c r="N537" s="8"/>
      <c r="O537" s="1"/>
      <c r="P537" s="32"/>
      <c r="Q537" s="33"/>
      <c r="R537" s="29"/>
      <c r="S537" s="16"/>
    </row>
    <row r="538" spans="1:19">
      <c r="A538" s="62" t="s">
        <v>19</v>
      </c>
      <c r="B538" s="62"/>
      <c r="C538" s="62"/>
      <c r="D538" s="62"/>
      <c r="E538" s="62"/>
      <c r="F538" s="62"/>
      <c r="G538" s="62"/>
      <c r="H538" s="62"/>
      <c r="I538" s="62"/>
      <c r="J538" s="62"/>
      <c r="K538" s="62"/>
      <c r="L538" s="62"/>
      <c r="M538" s="62"/>
      <c r="N538" s="62"/>
      <c r="O538" s="1"/>
      <c r="P538" s="32"/>
      <c r="Q538" s="33"/>
      <c r="R538" s="29"/>
      <c r="S538" s="16"/>
    </row>
    <row r="539" spans="1:19">
      <c r="A539" s="63" t="s">
        <v>20</v>
      </c>
      <c r="B539" s="63"/>
      <c r="C539" s="63" t="s">
        <v>21</v>
      </c>
      <c r="D539" s="63"/>
      <c r="E539" s="63" t="s">
        <v>22</v>
      </c>
      <c r="F539" s="63"/>
      <c r="G539" s="63" t="s">
        <v>23</v>
      </c>
      <c r="H539" s="63"/>
      <c r="I539" s="63"/>
      <c r="J539" s="63" t="s">
        <v>16</v>
      </c>
      <c r="K539" s="63"/>
      <c r="L539" s="63"/>
      <c r="M539" s="63" t="s">
        <v>17</v>
      </c>
      <c r="N539" s="63"/>
      <c r="O539" s="1"/>
      <c r="Q539" s="32"/>
      <c r="R539" s="33"/>
      <c r="S539" s="16"/>
    </row>
    <row r="540" spans="1:19">
      <c r="A540" s="60" t="s">
        <v>24</v>
      </c>
      <c r="B540" s="52"/>
      <c r="C540" s="61"/>
      <c r="D540" s="61"/>
      <c r="E540" s="61">
        <f>C540+E479</f>
        <v>6</v>
      </c>
      <c r="F540" s="61"/>
      <c r="G540" s="60" t="s">
        <v>51</v>
      </c>
      <c r="H540" s="51"/>
      <c r="I540" s="52"/>
      <c r="J540" s="61"/>
      <c r="K540" s="61"/>
      <c r="L540" s="61"/>
      <c r="M540" s="61">
        <f>K540+M479</f>
        <v>1</v>
      </c>
      <c r="N540" s="61"/>
      <c r="O540" s="1"/>
      <c r="Q540" s="32"/>
      <c r="R540" s="33"/>
      <c r="S540" s="16"/>
    </row>
    <row r="541" spans="1:19">
      <c r="A541" s="60" t="s">
        <v>25</v>
      </c>
      <c r="B541" s="52"/>
      <c r="C541" s="61"/>
      <c r="D541" s="61"/>
      <c r="E541" s="61">
        <f>C541+E480</f>
        <v>5</v>
      </c>
      <c r="F541" s="61"/>
      <c r="G541" s="60" t="s">
        <v>50</v>
      </c>
      <c r="H541" s="51"/>
      <c r="I541" s="52"/>
      <c r="J541" s="61"/>
      <c r="K541" s="61"/>
      <c r="L541" s="61"/>
      <c r="M541" s="61">
        <f>K541+M480</f>
        <v>1</v>
      </c>
      <c r="N541" s="61"/>
      <c r="O541" s="1"/>
      <c r="Q541" s="32"/>
      <c r="R541" s="33"/>
      <c r="S541" s="16"/>
    </row>
    <row r="542" spans="1:19">
      <c r="A542" s="60"/>
      <c r="B542" s="52"/>
      <c r="C542" s="61"/>
      <c r="D542" s="61"/>
      <c r="E542" s="61"/>
      <c r="F542" s="61"/>
      <c r="G542" s="60" t="s">
        <v>55</v>
      </c>
      <c r="H542" s="51"/>
      <c r="I542" s="52"/>
      <c r="J542" s="61"/>
      <c r="K542" s="61"/>
      <c r="L542" s="61"/>
      <c r="M542" s="61">
        <f>K542+M481</f>
        <v>0</v>
      </c>
      <c r="N542" s="61"/>
      <c r="O542" s="2"/>
      <c r="P542" s="29"/>
      <c r="Q542" s="32"/>
      <c r="R542" s="33"/>
      <c r="S542" s="16"/>
    </row>
    <row r="543" spans="1:19">
      <c r="A543" s="53" t="s">
        <v>53</v>
      </c>
      <c r="B543" s="47"/>
      <c r="C543" s="53"/>
      <c r="D543" s="53"/>
      <c r="E543" s="53"/>
      <c r="F543" s="53"/>
      <c r="G543" s="53"/>
      <c r="H543" s="53"/>
      <c r="I543" s="53"/>
      <c r="J543" s="53"/>
      <c r="K543" s="53"/>
      <c r="L543" s="53"/>
      <c r="M543" s="53"/>
      <c r="N543" s="53"/>
      <c r="O543" s="1"/>
      <c r="P543" s="32"/>
      <c r="Q543" s="32"/>
      <c r="R543" s="33"/>
      <c r="S543" s="16"/>
    </row>
    <row r="544" spans="1:19">
      <c r="A544" s="45" t="s">
        <v>56</v>
      </c>
      <c r="B544" s="46"/>
      <c r="C544" s="46"/>
      <c r="D544" s="46"/>
      <c r="E544" s="46"/>
      <c r="F544" s="46"/>
      <c r="G544" s="46"/>
      <c r="H544" s="46"/>
      <c r="I544" s="46"/>
      <c r="J544" s="46"/>
      <c r="K544" s="46"/>
      <c r="L544" s="46"/>
      <c r="M544" s="46"/>
      <c r="N544" s="47"/>
      <c r="O544" s="1"/>
      <c r="P544" s="32"/>
      <c r="Q544" s="34"/>
      <c r="R544" s="33"/>
      <c r="S544" s="16"/>
    </row>
    <row r="545" spans="1:19">
      <c r="A545" s="54" t="s">
        <v>54</v>
      </c>
      <c r="B545" s="55"/>
      <c r="C545" s="55"/>
      <c r="D545" s="55"/>
      <c r="E545" s="55"/>
      <c r="F545" s="55"/>
      <c r="G545" s="55"/>
      <c r="H545" s="55"/>
      <c r="I545" s="55"/>
      <c r="J545" s="55"/>
      <c r="K545" s="55"/>
      <c r="L545" s="55"/>
      <c r="M545" s="55"/>
      <c r="N545" s="56"/>
      <c r="O545" s="1"/>
      <c r="P545" s="32"/>
      <c r="Q545" s="32"/>
      <c r="R545" s="33"/>
      <c r="S545" s="16"/>
    </row>
    <row r="546" spans="1:19">
      <c r="A546" s="40" t="s">
        <v>26</v>
      </c>
      <c r="B546" s="41"/>
      <c r="C546" s="40"/>
      <c r="D546" s="40"/>
      <c r="E546" s="40"/>
      <c r="F546" s="40"/>
      <c r="G546" s="40"/>
      <c r="H546" s="40"/>
      <c r="I546" s="40"/>
      <c r="J546" s="40"/>
      <c r="K546" s="40"/>
      <c r="L546" s="40"/>
      <c r="M546" s="40"/>
      <c r="N546" s="40"/>
      <c r="O546" s="1"/>
      <c r="P546" s="32"/>
      <c r="Q546" s="32"/>
      <c r="R546" s="33"/>
      <c r="S546" s="16"/>
    </row>
    <row r="547" spans="1:19">
      <c r="A547" s="57" t="s">
        <v>27</v>
      </c>
      <c r="B547" s="58"/>
      <c r="C547" s="58"/>
      <c r="D547" s="58"/>
      <c r="E547" s="58"/>
      <c r="F547" s="58"/>
      <c r="G547" s="58"/>
      <c r="H547" s="58"/>
      <c r="I547" s="58"/>
      <c r="J547" s="58"/>
      <c r="K547" s="58"/>
      <c r="L547" s="58"/>
      <c r="M547" s="58"/>
      <c r="N547" s="59"/>
      <c r="O547" s="1"/>
      <c r="P547" s="34"/>
      <c r="Q547" s="34"/>
      <c r="R547" s="33"/>
      <c r="S547" s="16"/>
    </row>
    <row r="548" spans="1:19">
      <c r="A548" s="57" t="s">
        <v>57</v>
      </c>
      <c r="B548" s="58"/>
      <c r="C548" s="58"/>
      <c r="D548" s="58"/>
      <c r="E548" s="58"/>
      <c r="F548" s="58"/>
      <c r="G548" s="58"/>
      <c r="H548" s="58"/>
      <c r="I548" s="58"/>
      <c r="J548" s="58"/>
      <c r="K548" s="58"/>
      <c r="L548" s="58"/>
      <c r="M548" s="58"/>
      <c r="N548" s="59"/>
      <c r="O548" s="1"/>
      <c r="P548" s="32"/>
      <c r="Q548" s="32"/>
      <c r="R548" s="33"/>
      <c r="S548" s="16"/>
    </row>
    <row r="549" spans="1:19">
      <c r="A549" s="57" t="s">
        <v>58</v>
      </c>
      <c r="B549" s="58"/>
      <c r="C549" s="58"/>
      <c r="D549" s="58"/>
      <c r="E549" s="58"/>
      <c r="F549" s="58"/>
      <c r="G549" s="58"/>
      <c r="H549" s="58"/>
      <c r="I549" s="58"/>
      <c r="J549" s="58"/>
      <c r="K549" s="58"/>
      <c r="L549" s="58"/>
      <c r="M549" s="58"/>
      <c r="N549" s="59"/>
      <c r="O549" s="1"/>
      <c r="P549" s="32"/>
      <c r="Q549" s="32"/>
      <c r="R549" s="33"/>
      <c r="S549" s="16"/>
    </row>
    <row r="550" spans="1:19">
      <c r="A550" s="57" t="s">
        <v>59</v>
      </c>
      <c r="B550" s="58"/>
      <c r="C550" s="58"/>
      <c r="D550" s="58"/>
      <c r="E550" s="58"/>
      <c r="F550" s="58"/>
      <c r="G550" s="58"/>
      <c r="H550" s="58"/>
      <c r="I550" s="58"/>
      <c r="J550" s="58"/>
      <c r="K550" s="58"/>
      <c r="L550" s="58"/>
      <c r="M550" s="58"/>
      <c r="N550" s="59"/>
      <c r="O550" s="1"/>
      <c r="P550" s="32"/>
      <c r="Q550" s="34"/>
      <c r="R550" s="33"/>
      <c r="S550" s="16"/>
    </row>
    <row r="551" spans="1:19">
      <c r="A551" s="57" t="s">
        <v>28</v>
      </c>
      <c r="B551" s="58"/>
      <c r="C551" s="58"/>
      <c r="D551" s="58"/>
      <c r="E551" s="58"/>
      <c r="F551" s="58"/>
      <c r="G551" s="58"/>
      <c r="H551" s="58"/>
      <c r="I551" s="58"/>
      <c r="J551" s="58"/>
      <c r="K551" s="58"/>
      <c r="L551" s="58"/>
      <c r="M551" s="58"/>
      <c r="N551" s="59"/>
      <c r="O551" s="1"/>
      <c r="P551" s="34"/>
      <c r="Q551" s="32"/>
      <c r="R551" s="33"/>
      <c r="S551" s="16"/>
    </row>
    <row r="552" spans="1:19">
      <c r="A552" s="40" t="s">
        <v>29</v>
      </c>
      <c r="B552" s="41"/>
      <c r="C552" s="40"/>
      <c r="D552" s="40"/>
      <c r="E552" s="40"/>
      <c r="F552" s="40"/>
      <c r="G552" s="40"/>
      <c r="H552" s="40"/>
      <c r="I552" s="40"/>
      <c r="J552" s="40"/>
      <c r="K552" s="40"/>
      <c r="L552" s="40"/>
      <c r="M552" s="40"/>
      <c r="N552" s="40"/>
      <c r="O552" s="1"/>
      <c r="P552" s="32"/>
      <c r="Q552" s="32"/>
      <c r="R552" s="33"/>
      <c r="S552" s="16"/>
    </row>
    <row r="553" spans="1:19">
      <c r="A553" s="42"/>
      <c r="B553" s="43"/>
      <c r="C553" s="43"/>
      <c r="D553" s="43"/>
      <c r="E553" s="43"/>
      <c r="F553" s="43"/>
      <c r="G553" s="43"/>
      <c r="H553" s="43"/>
      <c r="I553" s="43"/>
      <c r="J553" s="43"/>
      <c r="K553" s="43"/>
      <c r="L553" s="43"/>
      <c r="M553" s="43"/>
      <c r="N553" s="44"/>
      <c r="O553" s="1"/>
      <c r="P553" s="32"/>
      <c r="Q553" s="32"/>
      <c r="R553" s="33"/>
      <c r="S553" s="16"/>
    </row>
    <row r="554" spans="1:19">
      <c r="A554" s="40" t="s">
        <v>30</v>
      </c>
      <c r="B554" s="41"/>
      <c r="C554" s="40"/>
      <c r="D554" s="40"/>
      <c r="E554" s="40"/>
      <c r="F554" s="40"/>
      <c r="G554" s="40"/>
      <c r="H554" s="40"/>
      <c r="I554" s="40"/>
      <c r="J554" s="40"/>
      <c r="K554" s="40"/>
      <c r="L554" s="40"/>
      <c r="M554" s="40"/>
      <c r="N554" s="40"/>
      <c r="O554" s="1"/>
      <c r="P554" s="32"/>
      <c r="Q554" s="32"/>
      <c r="R554" s="33"/>
      <c r="S554" s="16"/>
    </row>
    <row r="555" spans="1:19">
      <c r="A555" s="42"/>
      <c r="B555" s="43"/>
      <c r="C555" s="43"/>
      <c r="D555" s="43"/>
      <c r="E555" s="43"/>
      <c r="F555" s="43"/>
      <c r="G555" s="43"/>
      <c r="H555" s="43"/>
      <c r="I555" s="43"/>
      <c r="J555" s="43"/>
      <c r="K555" s="43"/>
      <c r="L555" s="43"/>
      <c r="M555" s="43"/>
      <c r="N555" s="44"/>
      <c r="O555" s="1"/>
      <c r="P555" s="32"/>
      <c r="Q555" s="32"/>
      <c r="R555" s="33"/>
      <c r="S555" s="16"/>
    </row>
    <row r="556" spans="1:19">
      <c r="A556" s="40" t="s">
        <v>97</v>
      </c>
      <c r="B556" s="41"/>
      <c r="C556" s="40"/>
      <c r="D556" s="40"/>
      <c r="E556" s="40"/>
      <c r="F556" s="40"/>
      <c r="G556" s="40"/>
      <c r="H556" s="40"/>
      <c r="I556" s="40"/>
      <c r="J556" s="40"/>
      <c r="K556" s="40"/>
      <c r="L556" s="40"/>
      <c r="M556" s="40"/>
      <c r="N556" s="40"/>
      <c r="O556" s="1"/>
      <c r="P556" s="32"/>
      <c r="Q556" s="32"/>
      <c r="R556" s="33"/>
      <c r="S556" s="17"/>
    </row>
    <row r="557" spans="1:19">
      <c r="A557" s="45"/>
      <c r="B557" s="46"/>
      <c r="C557" s="46"/>
      <c r="D557" s="46"/>
      <c r="E557" s="46"/>
      <c r="F557" s="46"/>
      <c r="G557" s="46"/>
      <c r="H557" s="46"/>
      <c r="I557" s="46"/>
      <c r="J557" s="46"/>
      <c r="K557" s="46"/>
      <c r="L557" s="46"/>
      <c r="M557" s="46"/>
      <c r="N557" s="47"/>
      <c r="O557" s="1"/>
      <c r="P557" s="32"/>
      <c r="Q557" s="32"/>
      <c r="R557" s="33"/>
      <c r="S557" s="1"/>
    </row>
    <row r="558" spans="1:19">
      <c r="A558" s="48" t="s">
        <v>41</v>
      </c>
      <c r="B558" s="49"/>
      <c r="C558" s="50"/>
      <c r="D558" s="50"/>
      <c r="E558" s="50"/>
      <c r="F558" s="50"/>
      <c r="G558" s="50"/>
      <c r="H558" s="51"/>
      <c r="I558" s="51"/>
      <c r="J558" s="51"/>
      <c r="K558" s="51"/>
      <c r="L558" s="51"/>
      <c r="M558" s="51"/>
      <c r="N558" s="52"/>
      <c r="O558" s="1"/>
      <c r="P558" s="32"/>
      <c r="Q558" s="32"/>
      <c r="R558" s="33"/>
      <c r="S558" s="1"/>
    </row>
    <row r="559" spans="1:19" ht="28.2">
      <c r="A559" s="1" t="s">
        <v>45</v>
      </c>
      <c r="B559" s="7">
        <f>B498+1</f>
        <v>10</v>
      </c>
      <c r="C559" s="5"/>
      <c r="D559" s="5"/>
      <c r="E559" s="5"/>
      <c r="F559" s="5"/>
      <c r="G559" s="5"/>
      <c r="H559" s="5"/>
      <c r="I559" s="5"/>
      <c r="J559" s="5"/>
      <c r="K559" s="5"/>
      <c r="L559" s="5"/>
      <c r="M559" s="5"/>
      <c r="N559" s="5"/>
      <c r="O559" s="1"/>
      <c r="P559" s="32"/>
      <c r="Q559" s="33"/>
      <c r="R559" s="29"/>
    </row>
    <row r="560" spans="1:19">
      <c r="A560" s="1" t="s">
        <v>46</v>
      </c>
      <c r="B560" s="1" t="s">
        <v>1</v>
      </c>
      <c r="C560" s="1" t="s">
        <v>2</v>
      </c>
      <c r="D560" s="1" t="s">
        <v>3</v>
      </c>
      <c r="E560" s="1" t="s">
        <v>2</v>
      </c>
      <c r="F560" s="1"/>
      <c r="G560" s="1"/>
      <c r="H560" s="112" t="s">
        <v>4</v>
      </c>
      <c r="I560" s="112"/>
      <c r="J560" s="113">
        <f>J499+1</f>
        <v>46221</v>
      </c>
      <c r="K560" s="113"/>
      <c r="L560" s="113"/>
      <c r="M560" s="114">
        <f>J560</f>
        <v>46221</v>
      </c>
      <c r="N560" s="114"/>
      <c r="O560" s="1"/>
      <c r="P560" s="32"/>
      <c r="Q560" s="33"/>
      <c r="R560" s="29"/>
    </row>
    <row r="561" spans="1:18">
      <c r="A561" s="8" t="s">
        <v>5</v>
      </c>
      <c r="B561" s="115">
        <f>B492</f>
        <v>0</v>
      </c>
      <c r="C561" s="116"/>
      <c r="D561" s="116"/>
      <c r="E561" s="116"/>
      <c r="F561" s="116"/>
      <c r="G561" s="117"/>
      <c r="H561" s="63" t="s">
        <v>6</v>
      </c>
      <c r="I561" s="63"/>
      <c r="J561" s="63"/>
      <c r="K561" s="63" t="s">
        <v>52</v>
      </c>
      <c r="L561" s="63"/>
      <c r="M561" s="63"/>
      <c r="N561" s="63"/>
      <c r="O561" s="1"/>
      <c r="P561" s="32"/>
      <c r="Q561" s="33"/>
      <c r="R561" s="29"/>
    </row>
    <row r="562" spans="1:18">
      <c r="A562" s="8" t="s">
        <v>32</v>
      </c>
      <c r="B562" s="10">
        <v>60</v>
      </c>
      <c r="C562" s="11" t="s">
        <v>43</v>
      </c>
      <c r="D562" s="71" t="s">
        <v>7</v>
      </c>
      <c r="E562" s="73"/>
      <c r="F562" s="10">
        <f>F501+1</f>
        <v>10</v>
      </c>
      <c r="G562" s="11" t="s">
        <v>8</v>
      </c>
      <c r="H562" s="9" t="s">
        <v>9</v>
      </c>
      <c r="I562" s="10">
        <f>B562-F562</f>
        <v>50</v>
      </c>
      <c r="J562" s="11" t="s">
        <v>8</v>
      </c>
      <c r="K562" s="118" t="s">
        <v>33</v>
      </c>
      <c r="L562" s="119"/>
      <c r="M562" s="12"/>
      <c r="N562" s="11" t="s">
        <v>8</v>
      </c>
      <c r="O562" s="1"/>
      <c r="P562" s="34"/>
      <c r="Q562" s="33"/>
      <c r="R562" s="29"/>
    </row>
    <row r="563" spans="1:18">
      <c r="A563" s="71" t="s">
        <v>34</v>
      </c>
      <c r="B563" s="72"/>
      <c r="C563" s="73"/>
      <c r="D563" s="120">
        <v>46212</v>
      </c>
      <c r="E563" s="121"/>
      <c r="F563" s="121"/>
      <c r="G563" s="122"/>
      <c r="H563" s="71" t="s">
        <v>35</v>
      </c>
      <c r="I563" s="72"/>
      <c r="J563" s="73"/>
      <c r="K563" s="120">
        <f>D563+59</f>
        <v>46271</v>
      </c>
      <c r="L563" s="121"/>
      <c r="M563" s="121"/>
      <c r="N563" s="122"/>
      <c r="O563" s="1"/>
      <c r="P563" s="32"/>
      <c r="Q563" s="33"/>
      <c r="R563" s="29"/>
    </row>
    <row r="564" spans="1:18">
      <c r="A564" s="92" t="s">
        <v>10</v>
      </c>
      <c r="B564" s="93"/>
      <c r="C564" s="94"/>
      <c r="D564" s="98">
        <f>D503+0.005/5</f>
        <v>5.5000000000000005E-3</v>
      </c>
      <c r="E564" s="99"/>
      <c r="F564" s="99"/>
      <c r="G564" s="100"/>
      <c r="H564" s="104" t="s">
        <v>36</v>
      </c>
      <c r="I564" s="105"/>
      <c r="J564" s="106"/>
      <c r="K564" s="110">
        <f>R595</f>
        <v>4.943447751156519E-2</v>
      </c>
      <c r="L564" s="105"/>
      <c r="M564" s="105"/>
      <c r="N564" s="106"/>
      <c r="O564" s="1"/>
      <c r="P564" s="32"/>
      <c r="Q564" s="33"/>
      <c r="R564" s="29"/>
    </row>
    <row r="565" spans="1:18">
      <c r="A565" s="95"/>
      <c r="B565" s="96"/>
      <c r="C565" s="97"/>
      <c r="D565" s="101"/>
      <c r="E565" s="102"/>
      <c r="F565" s="102"/>
      <c r="G565" s="103"/>
      <c r="H565" s="107"/>
      <c r="I565" s="108"/>
      <c r="J565" s="109"/>
      <c r="K565" s="107"/>
      <c r="L565" s="108"/>
      <c r="M565" s="108"/>
      <c r="N565" s="109"/>
      <c r="O565" s="1"/>
      <c r="P565" s="32"/>
      <c r="Q565" s="33"/>
      <c r="R565" s="29"/>
    </row>
    <row r="566" spans="1:18">
      <c r="A566" s="62" t="s">
        <v>11</v>
      </c>
      <c r="B566" s="62"/>
      <c r="C566" s="62"/>
      <c r="D566" s="62"/>
      <c r="E566" s="62"/>
      <c r="F566" s="62"/>
      <c r="G566" s="62"/>
      <c r="H566" s="62"/>
      <c r="I566" s="62"/>
      <c r="J566" s="62"/>
      <c r="K566" s="62"/>
      <c r="L566" s="62"/>
      <c r="M566" s="62"/>
      <c r="N566" s="62"/>
      <c r="O566" s="1"/>
      <c r="P566" s="32"/>
      <c r="Q566" s="33"/>
      <c r="R566" s="29"/>
    </row>
    <row r="567" spans="1:18">
      <c r="A567" s="111" t="s">
        <v>12</v>
      </c>
      <c r="B567" s="111"/>
      <c r="C567" s="111"/>
      <c r="D567" s="111"/>
      <c r="E567" s="111"/>
      <c r="F567" s="14" t="s">
        <v>37</v>
      </c>
      <c r="G567" s="111" t="s">
        <v>38</v>
      </c>
      <c r="H567" s="111"/>
      <c r="I567" s="63" t="s">
        <v>39</v>
      </c>
      <c r="J567" s="63"/>
      <c r="K567" s="63"/>
      <c r="L567" s="63" t="s">
        <v>40</v>
      </c>
      <c r="M567" s="63"/>
      <c r="N567" s="9" t="s">
        <v>13</v>
      </c>
      <c r="O567" s="1"/>
      <c r="P567" s="28" t="s">
        <v>47</v>
      </c>
      <c r="Q567" s="29" t="s">
        <v>48</v>
      </c>
      <c r="R567" s="29" t="s">
        <v>49</v>
      </c>
    </row>
    <row r="568" spans="1:18">
      <c r="A568" s="83" t="s">
        <v>67</v>
      </c>
      <c r="B568" s="84"/>
      <c r="C568" s="84"/>
      <c r="D568" s="84"/>
      <c r="E568" s="85"/>
      <c r="F568" s="27" t="s">
        <v>60</v>
      </c>
      <c r="G568" s="67">
        <v>1</v>
      </c>
      <c r="H568" s="68"/>
      <c r="I568" s="86"/>
      <c r="J568" s="87"/>
      <c r="K568" s="88"/>
      <c r="L568" s="69">
        <f>I568+L507</f>
        <v>1</v>
      </c>
      <c r="M568" s="70"/>
      <c r="N568" s="8"/>
      <c r="O568" s="1"/>
      <c r="P568" s="30">
        <v>6000</v>
      </c>
      <c r="Q568" s="38">
        <f>P568*G568</f>
        <v>6000</v>
      </c>
      <c r="R568" s="28">
        <f>L568*P568</f>
        <v>6000</v>
      </c>
    </row>
    <row r="569" spans="1:18">
      <c r="A569" s="83" t="s">
        <v>68</v>
      </c>
      <c r="B569" s="84"/>
      <c r="C569" s="84"/>
      <c r="D569" s="84"/>
      <c r="E569" s="85"/>
      <c r="F569" s="20" t="s">
        <v>60</v>
      </c>
      <c r="G569" s="67">
        <v>1</v>
      </c>
      <c r="H569" s="68"/>
      <c r="I569" s="87"/>
      <c r="J569" s="87"/>
      <c r="K569" s="88"/>
      <c r="L569" s="69">
        <f t="shared" ref="L569:L593" si="32">I569+L508</f>
        <v>0</v>
      </c>
      <c r="M569" s="70"/>
      <c r="N569" s="8"/>
      <c r="O569" s="1"/>
      <c r="P569" s="30">
        <v>193300</v>
      </c>
      <c r="Q569" s="38">
        <f t="shared" ref="Q569:Q593" si="33">P569*G569</f>
        <v>193300</v>
      </c>
      <c r="R569" s="28">
        <f>L569*P569</f>
        <v>0</v>
      </c>
    </row>
    <row r="570" spans="1:18">
      <c r="A570" s="89" t="s">
        <v>69</v>
      </c>
      <c r="B570" s="90"/>
      <c r="C570" s="90"/>
      <c r="D570" s="90"/>
      <c r="E570" s="91"/>
      <c r="F570" s="20" t="s">
        <v>60</v>
      </c>
      <c r="G570" s="67">
        <v>1</v>
      </c>
      <c r="H570" s="68"/>
      <c r="I570" s="87"/>
      <c r="J570" s="87"/>
      <c r="K570" s="88"/>
      <c r="L570" s="69">
        <f t="shared" si="32"/>
        <v>0</v>
      </c>
      <c r="M570" s="70"/>
      <c r="N570" s="8"/>
      <c r="O570" s="1"/>
      <c r="P570" s="30">
        <v>30000</v>
      </c>
      <c r="Q570" s="38">
        <f t="shared" si="33"/>
        <v>30000</v>
      </c>
      <c r="R570" s="28">
        <f>L570*P570</f>
        <v>0</v>
      </c>
    </row>
    <row r="571" spans="1:18">
      <c r="A571" s="64" t="s">
        <v>70</v>
      </c>
      <c r="B571" s="65"/>
      <c r="C571" s="65"/>
      <c r="D571" s="65"/>
      <c r="E571" s="66"/>
      <c r="F571" s="20" t="s">
        <v>60</v>
      </c>
      <c r="G571" s="67">
        <v>1</v>
      </c>
      <c r="H571" s="68"/>
      <c r="I571" s="87"/>
      <c r="J571" s="87"/>
      <c r="K571" s="88"/>
      <c r="L571" s="69">
        <f t="shared" si="32"/>
        <v>1</v>
      </c>
      <c r="M571" s="70"/>
      <c r="N571" s="8"/>
      <c r="O571" s="1"/>
      <c r="P571" s="31">
        <v>10000</v>
      </c>
      <c r="Q571" s="38">
        <f t="shared" si="33"/>
        <v>10000</v>
      </c>
      <c r="R571" s="28">
        <f t="shared" ref="R571:R593" si="34">L571*P571</f>
        <v>10000</v>
      </c>
    </row>
    <row r="572" spans="1:18">
      <c r="A572" s="64" t="s">
        <v>71</v>
      </c>
      <c r="B572" s="65"/>
      <c r="C572" s="65"/>
      <c r="D572" s="65"/>
      <c r="E572" s="66"/>
      <c r="F572" s="20" t="s">
        <v>61</v>
      </c>
      <c r="G572" s="67">
        <v>9</v>
      </c>
      <c r="H572" s="68"/>
      <c r="I572" s="87"/>
      <c r="J572" s="87"/>
      <c r="K572" s="88"/>
      <c r="L572" s="69">
        <f t="shared" si="32"/>
        <v>9</v>
      </c>
      <c r="M572" s="70"/>
      <c r="N572" s="8"/>
      <c r="O572" s="1"/>
      <c r="P572" s="30">
        <v>21000</v>
      </c>
      <c r="Q572" s="38">
        <f t="shared" si="33"/>
        <v>189000</v>
      </c>
      <c r="R572" s="28">
        <f t="shared" si="34"/>
        <v>189000</v>
      </c>
    </row>
    <row r="573" spans="1:18">
      <c r="A573" s="64" t="s">
        <v>72</v>
      </c>
      <c r="B573" s="65"/>
      <c r="C573" s="65"/>
      <c r="D573" s="65"/>
      <c r="E573" s="66"/>
      <c r="F573" s="2" t="s">
        <v>60</v>
      </c>
      <c r="G573" s="67">
        <v>1</v>
      </c>
      <c r="H573" s="68"/>
      <c r="I573" s="87"/>
      <c r="J573" s="87"/>
      <c r="K573" s="88"/>
      <c r="L573" s="69">
        <f t="shared" si="32"/>
        <v>0</v>
      </c>
      <c r="M573" s="70"/>
      <c r="N573" s="8"/>
      <c r="O573" s="1"/>
      <c r="P573" s="30">
        <v>184468</v>
      </c>
      <c r="Q573" s="38">
        <f t="shared" si="33"/>
        <v>184468</v>
      </c>
      <c r="R573" s="28">
        <f t="shared" si="34"/>
        <v>0</v>
      </c>
    </row>
    <row r="574" spans="1:18">
      <c r="A574" s="83" t="s">
        <v>73</v>
      </c>
      <c r="B574" s="84"/>
      <c r="C574" s="84"/>
      <c r="D574" s="84"/>
      <c r="E574" s="85"/>
      <c r="F574" s="20" t="s">
        <v>62</v>
      </c>
      <c r="G574" s="67">
        <v>9</v>
      </c>
      <c r="H574" s="68"/>
      <c r="I574" s="87"/>
      <c r="J574" s="87"/>
      <c r="K574" s="88"/>
      <c r="L574" s="69">
        <f t="shared" si="32"/>
        <v>0</v>
      </c>
      <c r="M574" s="70"/>
      <c r="N574" s="8"/>
      <c r="O574" s="1"/>
      <c r="P574" s="30">
        <v>20000</v>
      </c>
      <c r="Q574" s="38">
        <f t="shared" si="33"/>
        <v>180000</v>
      </c>
      <c r="R574" s="28">
        <f t="shared" si="34"/>
        <v>0</v>
      </c>
    </row>
    <row r="575" spans="1:18">
      <c r="A575" s="83" t="s">
        <v>74</v>
      </c>
      <c r="B575" s="84"/>
      <c r="C575" s="84"/>
      <c r="D575" s="84"/>
      <c r="E575" s="85"/>
      <c r="F575" s="20" t="s">
        <v>63</v>
      </c>
      <c r="G575" s="67">
        <v>52</v>
      </c>
      <c r="H575" s="68"/>
      <c r="I575" s="87"/>
      <c r="J575" s="87"/>
      <c r="K575" s="88"/>
      <c r="L575" s="69">
        <f t="shared" si="32"/>
        <v>0</v>
      </c>
      <c r="M575" s="70"/>
      <c r="N575" s="8"/>
      <c r="O575" s="1"/>
      <c r="P575" s="31">
        <v>2500</v>
      </c>
      <c r="Q575" s="38">
        <f t="shared" si="33"/>
        <v>130000</v>
      </c>
      <c r="R575" s="28">
        <f t="shared" si="34"/>
        <v>0</v>
      </c>
    </row>
    <row r="576" spans="1:18">
      <c r="A576" s="83" t="s">
        <v>75</v>
      </c>
      <c r="B576" s="84"/>
      <c r="C576" s="84"/>
      <c r="D576" s="84"/>
      <c r="E576" s="85"/>
      <c r="F576" s="20" t="s">
        <v>64</v>
      </c>
      <c r="G576" s="67">
        <v>1</v>
      </c>
      <c r="H576" s="68"/>
      <c r="I576" s="87"/>
      <c r="J576" s="87"/>
      <c r="K576" s="88"/>
      <c r="L576" s="69">
        <f t="shared" si="32"/>
        <v>0</v>
      </c>
      <c r="M576" s="70"/>
      <c r="N576" s="8"/>
      <c r="O576" s="1"/>
      <c r="P576" s="30">
        <v>80000</v>
      </c>
      <c r="Q576" s="38">
        <f t="shared" si="33"/>
        <v>80000</v>
      </c>
      <c r="R576" s="28">
        <f t="shared" si="34"/>
        <v>0</v>
      </c>
    </row>
    <row r="577" spans="1:18">
      <c r="A577" s="89" t="s">
        <v>76</v>
      </c>
      <c r="B577" s="90"/>
      <c r="C577" s="90"/>
      <c r="D577" s="90"/>
      <c r="E577" s="91"/>
      <c r="F577" s="20" t="s">
        <v>65</v>
      </c>
      <c r="G577" s="67">
        <v>31</v>
      </c>
      <c r="H577" s="68"/>
      <c r="I577" s="87"/>
      <c r="J577" s="87"/>
      <c r="K577" s="88"/>
      <c r="L577" s="69">
        <f t="shared" si="32"/>
        <v>0</v>
      </c>
      <c r="M577" s="70"/>
      <c r="N577" s="8"/>
      <c r="O577" s="1"/>
      <c r="P577" s="30">
        <v>400</v>
      </c>
      <c r="Q577" s="38">
        <f t="shared" si="33"/>
        <v>12400</v>
      </c>
      <c r="R577" s="28">
        <f t="shared" si="34"/>
        <v>0</v>
      </c>
    </row>
    <row r="578" spans="1:18">
      <c r="A578" s="64" t="s">
        <v>77</v>
      </c>
      <c r="B578" s="65"/>
      <c r="C578" s="65"/>
      <c r="D578" s="65"/>
      <c r="E578" s="66"/>
      <c r="F578" s="20" t="s">
        <v>65</v>
      </c>
      <c r="G578" s="67">
        <v>100</v>
      </c>
      <c r="H578" s="68"/>
      <c r="I578" s="87"/>
      <c r="J578" s="87"/>
      <c r="K578" s="88"/>
      <c r="L578" s="69">
        <f t="shared" si="32"/>
        <v>0</v>
      </c>
      <c r="M578" s="70"/>
      <c r="N578" s="8"/>
      <c r="O578" s="1"/>
      <c r="P578" s="30">
        <v>350</v>
      </c>
      <c r="Q578" s="38">
        <f t="shared" si="33"/>
        <v>35000</v>
      </c>
      <c r="R578" s="28">
        <f t="shared" si="34"/>
        <v>0</v>
      </c>
    </row>
    <row r="579" spans="1:18">
      <c r="A579" s="64" t="s">
        <v>78</v>
      </c>
      <c r="B579" s="65"/>
      <c r="C579" s="65"/>
      <c r="D579" s="65"/>
      <c r="E579" s="66"/>
      <c r="F579" s="20" t="s">
        <v>63</v>
      </c>
      <c r="G579" s="67">
        <v>35</v>
      </c>
      <c r="H579" s="68"/>
      <c r="I579" s="87"/>
      <c r="J579" s="87"/>
      <c r="K579" s="88"/>
      <c r="L579" s="69">
        <f t="shared" si="32"/>
        <v>0</v>
      </c>
      <c r="M579" s="70"/>
      <c r="N579" s="8"/>
      <c r="O579" s="1"/>
      <c r="P579" s="30">
        <v>1200</v>
      </c>
      <c r="Q579" s="38">
        <f t="shared" si="33"/>
        <v>42000</v>
      </c>
      <c r="R579" s="28">
        <f t="shared" si="34"/>
        <v>0</v>
      </c>
    </row>
    <row r="580" spans="1:18">
      <c r="A580" s="64" t="s">
        <v>79</v>
      </c>
      <c r="B580" s="65"/>
      <c r="C580" s="65"/>
      <c r="D580" s="65"/>
      <c r="E580" s="66"/>
      <c r="F580" s="20" t="s">
        <v>63</v>
      </c>
      <c r="G580" s="67">
        <v>282</v>
      </c>
      <c r="H580" s="68"/>
      <c r="I580" s="86"/>
      <c r="J580" s="87"/>
      <c r="K580" s="88"/>
      <c r="L580" s="69">
        <f t="shared" si="32"/>
        <v>0</v>
      </c>
      <c r="M580" s="70"/>
      <c r="N580" s="8"/>
      <c r="O580" s="1"/>
      <c r="P580" s="30">
        <v>1400</v>
      </c>
      <c r="Q580" s="38">
        <f t="shared" si="33"/>
        <v>394800</v>
      </c>
      <c r="R580" s="28">
        <f t="shared" si="34"/>
        <v>0</v>
      </c>
    </row>
    <row r="581" spans="1:18">
      <c r="A581" s="83" t="s">
        <v>80</v>
      </c>
      <c r="B581" s="84"/>
      <c r="C581" s="84"/>
      <c r="D581" s="84"/>
      <c r="E581" s="85"/>
      <c r="F581" s="21" t="s">
        <v>65</v>
      </c>
      <c r="G581" s="67">
        <v>58</v>
      </c>
      <c r="H581" s="68"/>
      <c r="I581" s="86"/>
      <c r="J581" s="87"/>
      <c r="K581" s="88"/>
      <c r="L581" s="69">
        <f t="shared" si="32"/>
        <v>0</v>
      </c>
      <c r="M581" s="70"/>
      <c r="N581" s="8"/>
      <c r="O581" s="1"/>
      <c r="P581" s="30">
        <v>3600</v>
      </c>
      <c r="Q581" s="38">
        <f t="shared" si="33"/>
        <v>208800</v>
      </c>
      <c r="R581" s="28">
        <f t="shared" si="34"/>
        <v>0</v>
      </c>
    </row>
    <row r="582" spans="1:18">
      <c r="A582" s="83" t="s">
        <v>81</v>
      </c>
      <c r="B582" s="84"/>
      <c r="C582" s="84"/>
      <c r="D582" s="84"/>
      <c r="E582" s="85"/>
      <c r="F582" s="21" t="s">
        <v>65</v>
      </c>
      <c r="G582" s="67">
        <v>360</v>
      </c>
      <c r="H582" s="68"/>
      <c r="I582" s="86"/>
      <c r="J582" s="87"/>
      <c r="K582" s="88"/>
      <c r="L582" s="69">
        <f t="shared" si="32"/>
        <v>0</v>
      </c>
      <c r="M582" s="70"/>
      <c r="N582" s="8"/>
      <c r="O582" s="1"/>
      <c r="P582" s="30">
        <v>230</v>
      </c>
      <c r="Q582" s="38">
        <f t="shared" si="33"/>
        <v>82800</v>
      </c>
      <c r="R582" s="28">
        <f t="shared" si="34"/>
        <v>0</v>
      </c>
    </row>
    <row r="583" spans="1:18">
      <c r="A583" s="83" t="s">
        <v>82</v>
      </c>
      <c r="B583" s="84"/>
      <c r="C583" s="84"/>
      <c r="D583" s="84"/>
      <c r="E583" s="85"/>
      <c r="F583" s="21" t="s">
        <v>65</v>
      </c>
      <c r="G583" s="67">
        <v>2400</v>
      </c>
      <c r="H583" s="68"/>
      <c r="I583" s="86"/>
      <c r="J583" s="87"/>
      <c r="K583" s="88"/>
      <c r="L583" s="69">
        <f t="shared" si="32"/>
        <v>0</v>
      </c>
      <c r="M583" s="70"/>
      <c r="N583" s="8"/>
      <c r="O583" s="1"/>
      <c r="P583" s="30">
        <v>80</v>
      </c>
      <c r="Q583" s="38">
        <f t="shared" si="33"/>
        <v>192000</v>
      </c>
      <c r="R583" s="28">
        <f t="shared" si="34"/>
        <v>0</v>
      </c>
    </row>
    <row r="584" spans="1:18">
      <c r="A584" s="89" t="s">
        <v>83</v>
      </c>
      <c r="B584" s="90"/>
      <c r="C584" s="90"/>
      <c r="D584" s="90"/>
      <c r="E584" s="91"/>
      <c r="F584" s="21" t="s">
        <v>65</v>
      </c>
      <c r="G584" s="67">
        <v>360</v>
      </c>
      <c r="H584" s="68"/>
      <c r="I584" s="86"/>
      <c r="J584" s="87"/>
      <c r="K584" s="88"/>
      <c r="L584" s="69">
        <f t="shared" si="32"/>
        <v>0</v>
      </c>
      <c r="M584" s="70"/>
      <c r="N584" s="8"/>
      <c r="O584" s="1"/>
      <c r="P584" s="30">
        <v>420</v>
      </c>
      <c r="Q584" s="38">
        <f t="shared" si="33"/>
        <v>151200</v>
      </c>
      <c r="R584" s="28">
        <f t="shared" si="34"/>
        <v>0</v>
      </c>
    </row>
    <row r="585" spans="1:18">
      <c r="A585" s="64" t="s">
        <v>84</v>
      </c>
      <c r="B585" s="65"/>
      <c r="C585" s="65"/>
      <c r="D585" s="65"/>
      <c r="E585" s="66"/>
      <c r="F585" s="21" t="s">
        <v>65</v>
      </c>
      <c r="G585" s="67">
        <v>2760</v>
      </c>
      <c r="H585" s="68"/>
      <c r="I585" s="86"/>
      <c r="J585" s="87"/>
      <c r="K585" s="88"/>
      <c r="L585" s="69">
        <f t="shared" si="32"/>
        <v>0</v>
      </c>
      <c r="M585" s="70"/>
      <c r="N585" s="8"/>
      <c r="O585" s="1"/>
      <c r="P585" s="30">
        <v>460</v>
      </c>
      <c r="Q585" s="38">
        <f t="shared" si="33"/>
        <v>1269600</v>
      </c>
      <c r="R585" s="28">
        <f t="shared" si="34"/>
        <v>0</v>
      </c>
    </row>
    <row r="586" spans="1:18">
      <c r="A586" s="64" t="s">
        <v>85</v>
      </c>
      <c r="B586" s="65"/>
      <c r="C586" s="65"/>
      <c r="D586" s="65"/>
      <c r="E586" s="66"/>
      <c r="F586" s="21" t="s">
        <v>65</v>
      </c>
      <c r="G586" s="67">
        <v>275</v>
      </c>
      <c r="H586" s="68"/>
      <c r="I586" s="86"/>
      <c r="J586" s="87"/>
      <c r="K586" s="88"/>
      <c r="L586" s="69">
        <f t="shared" si="32"/>
        <v>0</v>
      </c>
      <c r="M586" s="70"/>
      <c r="N586" s="8"/>
      <c r="O586" s="1"/>
      <c r="P586" s="31">
        <v>350</v>
      </c>
      <c r="Q586" s="38">
        <f t="shared" si="33"/>
        <v>96250</v>
      </c>
      <c r="R586" s="28">
        <f t="shared" si="34"/>
        <v>0</v>
      </c>
    </row>
    <row r="587" spans="1:18">
      <c r="A587" s="64" t="s">
        <v>86</v>
      </c>
      <c r="B587" s="65"/>
      <c r="C587" s="65"/>
      <c r="D587" s="65"/>
      <c r="E587" s="66"/>
      <c r="F587" s="21" t="s">
        <v>60</v>
      </c>
      <c r="G587" s="67">
        <v>1</v>
      </c>
      <c r="H587" s="68"/>
      <c r="I587" s="86"/>
      <c r="J587" s="87"/>
      <c r="K587" s="88"/>
      <c r="L587" s="69">
        <f t="shared" si="32"/>
        <v>0</v>
      </c>
      <c r="M587" s="70"/>
      <c r="N587" s="8"/>
      <c r="O587" s="2"/>
      <c r="P587" s="30">
        <v>40000</v>
      </c>
      <c r="Q587" s="38">
        <f t="shared" si="33"/>
        <v>40000</v>
      </c>
      <c r="R587" s="28">
        <f t="shared" si="34"/>
        <v>0</v>
      </c>
    </row>
    <row r="588" spans="1:18">
      <c r="A588" s="83" t="s">
        <v>87</v>
      </c>
      <c r="B588" s="84"/>
      <c r="C588" s="84"/>
      <c r="D588" s="84"/>
      <c r="E588" s="85"/>
      <c r="F588" s="20" t="s">
        <v>60</v>
      </c>
      <c r="G588" s="67">
        <v>1</v>
      </c>
      <c r="H588" s="68"/>
      <c r="I588" s="86"/>
      <c r="J588" s="87"/>
      <c r="K588" s="88"/>
      <c r="L588" s="69">
        <f t="shared" si="32"/>
        <v>0</v>
      </c>
      <c r="M588" s="70"/>
      <c r="N588" s="8"/>
      <c r="O588" s="1"/>
      <c r="P588" s="31">
        <v>276970</v>
      </c>
      <c r="Q588" s="38">
        <f t="shared" si="33"/>
        <v>276970</v>
      </c>
      <c r="R588" s="28">
        <f t="shared" si="34"/>
        <v>0</v>
      </c>
    </row>
    <row r="589" spans="1:18">
      <c r="A589" s="83" t="s">
        <v>88</v>
      </c>
      <c r="B589" s="84"/>
      <c r="C589" s="84"/>
      <c r="D589" s="84"/>
      <c r="E589" s="85"/>
      <c r="F589" s="20" t="s">
        <v>60</v>
      </c>
      <c r="G589" s="67">
        <v>1</v>
      </c>
      <c r="H589" s="68"/>
      <c r="I589" s="26"/>
      <c r="J589" s="23"/>
      <c r="K589" s="24"/>
      <c r="L589" s="69">
        <f t="shared" si="32"/>
        <v>0</v>
      </c>
      <c r="M589" s="70"/>
      <c r="N589" s="25"/>
      <c r="O589" s="1"/>
      <c r="P589" s="32">
        <v>60873</v>
      </c>
      <c r="Q589" s="38">
        <f t="shared" si="33"/>
        <v>60873</v>
      </c>
      <c r="R589" s="28">
        <f t="shared" si="34"/>
        <v>0</v>
      </c>
    </row>
    <row r="590" spans="1:18">
      <c r="A590" s="83" t="s">
        <v>89</v>
      </c>
      <c r="B590" s="84"/>
      <c r="C590" s="84"/>
      <c r="D590" s="84"/>
      <c r="E590" s="85"/>
      <c r="F590" s="20" t="s">
        <v>60</v>
      </c>
      <c r="G590" s="67">
        <v>1</v>
      </c>
      <c r="H590" s="68"/>
      <c r="I590" s="26"/>
      <c r="J590" s="23"/>
      <c r="K590" s="24"/>
      <c r="L590" s="69">
        <f t="shared" si="32"/>
        <v>0</v>
      </c>
      <c r="M590" s="70"/>
      <c r="N590" s="25"/>
      <c r="O590" s="1"/>
      <c r="P590" s="32">
        <v>60873</v>
      </c>
      <c r="Q590" s="38">
        <f t="shared" si="33"/>
        <v>60873</v>
      </c>
      <c r="R590" s="28">
        <f t="shared" si="34"/>
        <v>0</v>
      </c>
    </row>
    <row r="591" spans="1:18">
      <c r="A591" s="83" t="s">
        <v>90</v>
      </c>
      <c r="B591" s="84"/>
      <c r="C591" s="84"/>
      <c r="D591" s="84"/>
      <c r="E591" s="85"/>
      <c r="F591" s="20" t="s">
        <v>60</v>
      </c>
      <c r="G591" s="67">
        <v>1</v>
      </c>
      <c r="H591" s="68"/>
      <c r="I591" s="26"/>
      <c r="J591" s="23"/>
      <c r="K591" s="24"/>
      <c r="L591" s="69">
        <f t="shared" si="32"/>
        <v>0</v>
      </c>
      <c r="M591" s="70"/>
      <c r="N591" s="25"/>
      <c r="O591" s="1"/>
      <c r="P591" s="34">
        <v>266321</v>
      </c>
      <c r="Q591" s="38">
        <f t="shared" si="33"/>
        <v>266321</v>
      </c>
      <c r="R591" s="28">
        <f t="shared" si="34"/>
        <v>0</v>
      </c>
    </row>
    <row r="592" spans="1:18">
      <c r="A592" s="83" t="s">
        <v>91</v>
      </c>
      <c r="B592" s="84"/>
      <c r="C592" s="84"/>
      <c r="D592" s="84"/>
      <c r="E592" s="85"/>
      <c r="F592" s="2" t="s">
        <v>60</v>
      </c>
      <c r="G592" s="67">
        <v>1</v>
      </c>
      <c r="H592" s="68"/>
      <c r="I592" s="26"/>
      <c r="J592" s="23"/>
      <c r="K592" s="24"/>
      <c r="L592" s="69">
        <f t="shared" si="32"/>
        <v>1</v>
      </c>
      <c r="M592" s="70"/>
      <c r="N592" s="25"/>
      <c r="O592" s="1"/>
      <c r="P592" s="32">
        <v>13316</v>
      </c>
      <c r="Q592" s="38">
        <f t="shared" si="33"/>
        <v>13316</v>
      </c>
      <c r="R592" s="28">
        <f t="shared" si="34"/>
        <v>13316</v>
      </c>
    </row>
    <row r="593" spans="1:19">
      <c r="A593" s="83" t="s">
        <v>92</v>
      </c>
      <c r="B593" s="84"/>
      <c r="C593" s="84"/>
      <c r="D593" s="84"/>
      <c r="E593" s="85"/>
      <c r="F593" s="20" t="s">
        <v>60</v>
      </c>
      <c r="G593" s="67">
        <v>1</v>
      </c>
      <c r="H593" s="68"/>
      <c r="I593" s="26"/>
      <c r="J593" s="23"/>
      <c r="K593" s="24"/>
      <c r="L593" s="69">
        <f t="shared" si="32"/>
        <v>0</v>
      </c>
      <c r="M593" s="70"/>
      <c r="N593" s="25"/>
      <c r="O593" s="1"/>
      <c r="P593" s="32">
        <v>210299</v>
      </c>
      <c r="Q593" s="38">
        <f t="shared" si="33"/>
        <v>210299</v>
      </c>
      <c r="R593" s="28">
        <f t="shared" si="34"/>
        <v>0</v>
      </c>
    </row>
    <row r="594" spans="1:19">
      <c r="A594" s="64"/>
      <c r="B594" s="65"/>
      <c r="C594" s="65"/>
      <c r="D594" s="65"/>
      <c r="E594" s="66"/>
      <c r="F594" s="22"/>
      <c r="G594" s="67"/>
      <c r="H594" s="68"/>
      <c r="I594" s="26"/>
      <c r="J594" s="23"/>
      <c r="K594" s="24"/>
      <c r="L594" s="69"/>
      <c r="M594" s="70"/>
      <c r="N594" s="25"/>
      <c r="O594" s="3"/>
      <c r="P594" s="32"/>
      <c r="Q594" s="33">
        <f>SUM(Q568:Q593)</f>
        <v>4416270</v>
      </c>
      <c r="R594" s="29">
        <f>SUM(R568:R593)</f>
        <v>218316</v>
      </c>
    </row>
    <row r="595" spans="1:19">
      <c r="A595" s="64"/>
      <c r="B595" s="65"/>
      <c r="C595" s="65"/>
      <c r="D595" s="65"/>
      <c r="E595" s="66"/>
      <c r="F595" s="22"/>
      <c r="G595" s="67"/>
      <c r="H595" s="68"/>
      <c r="I595" s="26"/>
      <c r="J595" s="23"/>
      <c r="K595" s="24"/>
      <c r="L595" s="69"/>
      <c r="M595" s="70"/>
      <c r="N595" s="25"/>
      <c r="O595" s="3"/>
      <c r="P595" s="32"/>
      <c r="Q595" s="33"/>
      <c r="R595" s="37">
        <f>R594/Q594</f>
        <v>4.943447751156519E-2</v>
      </c>
    </row>
    <row r="596" spans="1:19">
      <c r="A596" s="62" t="s">
        <v>14</v>
      </c>
      <c r="B596" s="62"/>
      <c r="C596" s="62"/>
      <c r="D596" s="62"/>
      <c r="E596" s="62"/>
      <c r="F596" s="62"/>
      <c r="G596" s="62"/>
      <c r="H596" s="62"/>
      <c r="I596" s="62"/>
      <c r="J596" s="62"/>
      <c r="K596" s="62"/>
      <c r="L596" s="62"/>
      <c r="M596" s="62"/>
      <c r="N596" s="62"/>
      <c r="O596" s="1"/>
      <c r="P596" s="32"/>
      <c r="Q596" s="33"/>
      <c r="R596" s="29"/>
      <c r="S596" s="16"/>
    </row>
    <row r="597" spans="1:19">
      <c r="A597" s="71" t="s">
        <v>15</v>
      </c>
      <c r="B597" s="72"/>
      <c r="C597" s="72"/>
      <c r="D597" s="72"/>
      <c r="E597" s="73"/>
      <c r="F597" s="9" t="s">
        <v>37</v>
      </c>
      <c r="G597" s="71" t="s">
        <v>38</v>
      </c>
      <c r="H597" s="73"/>
      <c r="I597" s="71" t="s">
        <v>42</v>
      </c>
      <c r="J597" s="72"/>
      <c r="K597" s="73"/>
      <c r="L597" s="74" t="s">
        <v>17</v>
      </c>
      <c r="M597" s="75"/>
      <c r="N597" s="9" t="s">
        <v>13</v>
      </c>
      <c r="O597" s="1"/>
      <c r="P597" s="32"/>
      <c r="Q597" s="33"/>
      <c r="R597" s="29"/>
      <c r="S597" s="16"/>
    </row>
    <row r="598" spans="1:19">
      <c r="A598" s="71"/>
      <c r="B598" s="72"/>
      <c r="C598" s="72"/>
      <c r="D598" s="72"/>
      <c r="E598" s="73"/>
      <c r="F598" s="13"/>
      <c r="G598" s="76"/>
      <c r="H598" s="77"/>
      <c r="I598" s="78"/>
      <c r="J598" s="79"/>
      <c r="K598" s="80"/>
      <c r="L598" s="81"/>
      <c r="M598" s="82"/>
      <c r="N598" s="8"/>
      <c r="O598" s="1"/>
      <c r="P598" s="32"/>
      <c r="Q598" s="33"/>
      <c r="R598" s="29"/>
      <c r="S598" s="16"/>
    </row>
    <row r="599" spans="1:19">
      <c r="A599" s="62" t="s">
        <v>19</v>
      </c>
      <c r="B599" s="62"/>
      <c r="C599" s="62"/>
      <c r="D599" s="62"/>
      <c r="E599" s="62"/>
      <c r="F599" s="62"/>
      <c r="G599" s="62"/>
      <c r="H599" s="62"/>
      <c r="I599" s="62"/>
      <c r="J599" s="62"/>
      <c r="K599" s="62"/>
      <c r="L599" s="62"/>
      <c r="M599" s="62"/>
      <c r="N599" s="62"/>
      <c r="O599" s="1"/>
      <c r="P599" s="32"/>
      <c r="Q599" s="33"/>
      <c r="R599" s="29"/>
      <c r="S599" s="16"/>
    </row>
    <row r="600" spans="1:19">
      <c r="A600" s="63" t="s">
        <v>20</v>
      </c>
      <c r="B600" s="63"/>
      <c r="C600" s="63" t="s">
        <v>21</v>
      </c>
      <c r="D600" s="63"/>
      <c r="E600" s="63" t="s">
        <v>22</v>
      </c>
      <c r="F600" s="63"/>
      <c r="G600" s="63" t="s">
        <v>23</v>
      </c>
      <c r="H600" s="63"/>
      <c r="I600" s="63"/>
      <c r="J600" s="63" t="s">
        <v>16</v>
      </c>
      <c r="K600" s="63"/>
      <c r="L600" s="63"/>
      <c r="M600" s="63" t="s">
        <v>17</v>
      </c>
      <c r="N600" s="63"/>
      <c r="O600" s="1"/>
      <c r="Q600" s="32"/>
      <c r="R600" s="33"/>
      <c r="S600" s="16"/>
    </row>
    <row r="601" spans="1:19">
      <c r="A601" s="60" t="s">
        <v>24</v>
      </c>
      <c r="B601" s="52"/>
      <c r="C601" s="61"/>
      <c r="D601" s="61"/>
      <c r="E601" s="61">
        <f>C601+E540</f>
        <v>6</v>
      </c>
      <c r="F601" s="61"/>
      <c r="G601" s="60" t="s">
        <v>51</v>
      </c>
      <c r="H601" s="51"/>
      <c r="I601" s="52"/>
      <c r="J601" s="61"/>
      <c r="K601" s="61"/>
      <c r="L601" s="61"/>
      <c r="M601" s="61">
        <f>K601+M540</f>
        <v>1</v>
      </c>
      <c r="N601" s="61"/>
      <c r="O601" s="1"/>
      <c r="Q601" s="32"/>
      <c r="R601" s="33"/>
      <c r="S601" s="16"/>
    </row>
    <row r="602" spans="1:19">
      <c r="A602" s="60" t="s">
        <v>25</v>
      </c>
      <c r="B602" s="52"/>
      <c r="C602" s="61"/>
      <c r="D602" s="61"/>
      <c r="E602" s="61">
        <f>C602+E541</f>
        <v>5</v>
      </c>
      <c r="F602" s="61"/>
      <c r="G602" s="60" t="s">
        <v>50</v>
      </c>
      <c r="H602" s="51"/>
      <c r="I602" s="52"/>
      <c r="J602" s="61"/>
      <c r="K602" s="61"/>
      <c r="L602" s="61"/>
      <c r="M602" s="61">
        <f>K602+M541</f>
        <v>1</v>
      </c>
      <c r="N602" s="61"/>
      <c r="O602" s="1"/>
      <c r="Q602" s="32"/>
      <c r="R602" s="33"/>
      <c r="S602" s="16"/>
    </row>
    <row r="603" spans="1:19">
      <c r="A603" s="60"/>
      <c r="B603" s="52"/>
      <c r="C603" s="61"/>
      <c r="D603" s="61"/>
      <c r="E603" s="61"/>
      <c r="F603" s="61"/>
      <c r="G603" s="60" t="s">
        <v>55</v>
      </c>
      <c r="H603" s="51"/>
      <c r="I603" s="52"/>
      <c r="J603" s="61"/>
      <c r="K603" s="61"/>
      <c r="L603" s="61"/>
      <c r="M603" s="61">
        <f>K603+M542</f>
        <v>0</v>
      </c>
      <c r="N603" s="61"/>
      <c r="O603" s="2"/>
      <c r="P603" s="29"/>
      <c r="Q603" s="32"/>
      <c r="R603" s="33"/>
      <c r="S603" s="16"/>
    </row>
    <row r="604" spans="1:19">
      <c r="A604" s="53" t="s">
        <v>53</v>
      </c>
      <c r="B604" s="47"/>
      <c r="C604" s="53"/>
      <c r="D604" s="53"/>
      <c r="E604" s="53"/>
      <c r="F604" s="53"/>
      <c r="G604" s="53"/>
      <c r="H604" s="53"/>
      <c r="I604" s="53"/>
      <c r="J604" s="53"/>
      <c r="K604" s="53"/>
      <c r="L604" s="53"/>
      <c r="M604" s="53"/>
      <c r="N604" s="53"/>
      <c r="O604" s="1"/>
      <c r="P604" s="32"/>
      <c r="Q604" s="32"/>
      <c r="R604" s="33"/>
      <c r="S604" s="16"/>
    </row>
    <row r="605" spans="1:19">
      <c r="A605" s="45" t="s">
        <v>56</v>
      </c>
      <c r="B605" s="46"/>
      <c r="C605" s="46"/>
      <c r="D605" s="46"/>
      <c r="E605" s="46"/>
      <c r="F605" s="46"/>
      <c r="G605" s="46"/>
      <c r="H605" s="46"/>
      <c r="I605" s="46"/>
      <c r="J605" s="46"/>
      <c r="K605" s="46"/>
      <c r="L605" s="46"/>
      <c r="M605" s="46"/>
      <c r="N605" s="47"/>
      <c r="O605" s="1"/>
      <c r="P605" s="32"/>
      <c r="Q605" s="34"/>
      <c r="R605" s="33"/>
      <c r="S605" s="16"/>
    </row>
    <row r="606" spans="1:19">
      <c r="A606" s="54" t="s">
        <v>54</v>
      </c>
      <c r="B606" s="55"/>
      <c r="C606" s="55"/>
      <c r="D606" s="55"/>
      <c r="E606" s="55"/>
      <c r="F606" s="55"/>
      <c r="G606" s="55"/>
      <c r="H606" s="55"/>
      <c r="I606" s="55"/>
      <c r="J606" s="55"/>
      <c r="K606" s="55"/>
      <c r="L606" s="55"/>
      <c r="M606" s="55"/>
      <c r="N606" s="56"/>
      <c r="O606" s="1"/>
      <c r="P606" s="32"/>
      <c r="Q606" s="32"/>
      <c r="R606" s="33"/>
      <c r="S606" s="16"/>
    </row>
    <row r="607" spans="1:19">
      <c r="A607" s="40" t="s">
        <v>26</v>
      </c>
      <c r="B607" s="41"/>
      <c r="C607" s="40"/>
      <c r="D607" s="40"/>
      <c r="E607" s="40"/>
      <c r="F607" s="40"/>
      <c r="G607" s="40"/>
      <c r="H607" s="40"/>
      <c r="I607" s="40"/>
      <c r="J607" s="40"/>
      <c r="K607" s="40"/>
      <c r="L607" s="40"/>
      <c r="M607" s="40"/>
      <c r="N607" s="40"/>
      <c r="O607" s="1"/>
      <c r="P607" s="32"/>
      <c r="Q607" s="32"/>
      <c r="R607" s="33"/>
      <c r="S607" s="16"/>
    </row>
    <row r="608" spans="1:19">
      <c r="A608" s="57" t="s">
        <v>27</v>
      </c>
      <c r="B608" s="58"/>
      <c r="C608" s="58"/>
      <c r="D608" s="58"/>
      <c r="E608" s="58"/>
      <c r="F608" s="58"/>
      <c r="G608" s="58"/>
      <c r="H608" s="58"/>
      <c r="I608" s="58"/>
      <c r="J608" s="58"/>
      <c r="K608" s="58"/>
      <c r="L608" s="58"/>
      <c r="M608" s="58"/>
      <c r="N608" s="59"/>
      <c r="O608" s="1"/>
      <c r="P608" s="34"/>
      <c r="Q608" s="34"/>
      <c r="R608" s="33"/>
      <c r="S608" s="16"/>
    </row>
    <row r="609" spans="1:19">
      <c r="A609" s="57" t="s">
        <v>57</v>
      </c>
      <c r="B609" s="58"/>
      <c r="C609" s="58"/>
      <c r="D609" s="58"/>
      <c r="E609" s="58"/>
      <c r="F609" s="58"/>
      <c r="G609" s="58"/>
      <c r="H609" s="58"/>
      <c r="I609" s="58"/>
      <c r="J609" s="58"/>
      <c r="K609" s="58"/>
      <c r="L609" s="58"/>
      <c r="M609" s="58"/>
      <c r="N609" s="59"/>
      <c r="O609" s="1"/>
      <c r="P609" s="32"/>
      <c r="Q609" s="32"/>
      <c r="R609" s="33"/>
      <c r="S609" s="16"/>
    </row>
    <row r="610" spans="1:19">
      <c r="A610" s="57" t="s">
        <v>58</v>
      </c>
      <c r="B610" s="58"/>
      <c r="C610" s="58"/>
      <c r="D610" s="58"/>
      <c r="E610" s="58"/>
      <c r="F610" s="58"/>
      <c r="G610" s="58"/>
      <c r="H610" s="58"/>
      <c r="I610" s="58"/>
      <c r="J610" s="58"/>
      <c r="K610" s="58"/>
      <c r="L610" s="58"/>
      <c r="M610" s="58"/>
      <c r="N610" s="59"/>
      <c r="O610" s="1"/>
      <c r="P610" s="32"/>
      <c r="Q610" s="32"/>
      <c r="R610" s="33"/>
      <c r="S610" s="16"/>
    </row>
    <row r="611" spans="1:19">
      <c r="A611" s="57" t="s">
        <v>59</v>
      </c>
      <c r="B611" s="58"/>
      <c r="C611" s="58"/>
      <c r="D611" s="58"/>
      <c r="E611" s="58"/>
      <c r="F611" s="58"/>
      <c r="G611" s="58"/>
      <c r="H611" s="58"/>
      <c r="I611" s="58"/>
      <c r="J611" s="58"/>
      <c r="K611" s="58"/>
      <c r="L611" s="58"/>
      <c r="M611" s="58"/>
      <c r="N611" s="59"/>
      <c r="O611" s="1"/>
      <c r="P611" s="32"/>
      <c r="Q611" s="34"/>
      <c r="R611" s="33"/>
      <c r="S611" s="16"/>
    </row>
    <row r="612" spans="1:19">
      <c r="A612" s="57" t="s">
        <v>28</v>
      </c>
      <c r="B612" s="58"/>
      <c r="C612" s="58"/>
      <c r="D612" s="58"/>
      <c r="E612" s="58"/>
      <c r="F612" s="58"/>
      <c r="G612" s="58"/>
      <c r="H612" s="58"/>
      <c r="I612" s="58"/>
      <c r="J612" s="58"/>
      <c r="K612" s="58"/>
      <c r="L612" s="58"/>
      <c r="M612" s="58"/>
      <c r="N612" s="59"/>
      <c r="O612" s="1"/>
      <c r="P612" s="34"/>
      <c r="Q612" s="32"/>
      <c r="R612" s="33"/>
      <c r="S612" s="16"/>
    </row>
    <row r="613" spans="1:19">
      <c r="A613" s="40" t="s">
        <v>29</v>
      </c>
      <c r="B613" s="41"/>
      <c r="C613" s="40"/>
      <c r="D613" s="40"/>
      <c r="E613" s="40"/>
      <c r="F613" s="40"/>
      <c r="G613" s="40"/>
      <c r="H613" s="40"/>
      <c r="I613" s="40"/>
      <c r="J613" s="40"/>
      <c r="K613" s="40"/>
      <c r="L613" s="40"/>
      <c r="M613" s="40"/>
      <c r="N613" s="40"/>
      <c r="O613" s="1"/>
      <c r="P613" s="32"/>
      <c r="Q613" s="32"/>
      <c r="R613" s="33"/>
      <c r="S613" s="16"/>
    </row>
    <row r="614" spans="1:19">
      <c r="A614" s="42"/>
      <c r="B614" s="43"/>
      <c r="C614" s="43"/>
      <c r="D614" s="43"/>
      <c r="E614" s="43"/>
      <c r="F614" s="43"/>
      <c r="G614" s="43"/>
      <c r="H614" s="43"/>
      <c r="I614" s="43"/>
      <c r="J614" s="43"/>
      <c r="K614" s="43"/>
      <c r="L614" s="43"/>
      <c r="M614" s="43"/>
      <c r="N614" s="44"/>
      <c r="O614" s="1"/>
      <c r="P614" s="32"/>
      <c r="Q614" s="32"/>
      <c r="R614" s="33"/>
      <c r="S614" s="16"/>
    </row>
    <row r="615" spans="1:19">
      <c r="A615" s="40" t="s">
        <v>30</v>
      </c>
      <c r="B615" s="41"/>
      <c r="C615" s="40"/>
      <c r="D615" s="40"/>
      <c r="E615" s="40"/>
      <c r="F615" s="40"/>
      <c r="G615" s="40"/>
      <c r="H615" s="40"/>
      <c r="I615" s="40"/>
      <c r="J615" s="40"/>
      <c r="K615" s="40"/>
      <c r="L615" s="40"/>
      <c r="M615" s="40"/>
      <c r="N615" s="40"/>
      <c r="O615" s="1"/>
      <c r="P615" s="32"/>
      <c r="Q615" s="32"/>
      <c r="R615" s="33"/>
      <c r="S615" s="16"/>
    </row>
    <row r="616" spans="1:19">
      <c r="A616" s="42"/>
      <c r="B616" s="43"/>
      <c r="C616" s="43"/>
      <c r="D616" s="43"/>
      <c r="E616" s="43"/>
      <c r="F616" s="43"/>
      <c r="G616" s="43"/>
      <c r="H616" s="43"/>
      <c r="I616" s="43"/>
      <c r="J616" s="43"/>
      <c r="K616" s="43"/>
      <c r="L616" s="43"/>
      <c r="M616" s="43"/>
      <c r="N616" s="44"/>
      <c r="O616" s="1"/>
      <c r="P616" s="32"/>
      <c r="Q616" s="32"/>
      <c r="R616" s="33"/>
      <c r="S616" s="16"/>
    </row>
    <row r="617" spans="1:19">
      <c r="A617" s="40" t="s">
        <v>97</v>
      </c>
      <c r="B617" s="41"/>
      <c r="C617" s="40"/>
      <c r="D617" s="40"/>
      <c r="E617" s="40"/>
      <c r="F617" s="40"/>
      <c r="G617" s="40"/>
      <c r="H617" s="40"/>
      <c r="I617" s="40"/>
      <c r="J617" s="40"/>
      <c r="K617" s="40"/>
      <c r="L617" s="40"/>
      <c r="M617" s="40"/>
      <c r="N617" s="40"/>
      <c r="O617" s="1"/>
      <c r="P617" s="32"/>
      <c r="Q617" s="32"/>
      <c r="R617" s="33"/>
      <c r="S617" s="17"/>
    </row>
    <row r="618" spans="1:19">
      <c r="A618" s="45"/>
      <c r="B618" s="46"/>
      <c r="C618" s="46"/>
      <c r="D618" s="46"/>
      <c r="E618" s="46"/>
      <c r="F618" s="46"/>
      <c r="G618" s="46"/>
      <c r="H618" s="46"/>
      <c r="I618" s="46"/>
      <c r="J618" s="46"/>
      <c r="K618" s="46"/>
      <c r="L618" s="46"/>
      <c r="M618" s="46"/>
      <c r="N618" s="47"/>
      <c r="O618" s="1"/>
      <c r="P618" s="32"/>
      <c r="Q618" s="32"/>
      <c r="R618" s="33"/>
      <c r="S618" s="1"/>
    </row>
    <row r="619" spans="1:19">
      <c r="A619" s="48" t="s">
        <v>41</v>
      </c>
      <c r="B619" s="49"/>
      <c r="C619" s="50"/>
      <c r="D619" s="50"/>
      <c r="E619" s="50"/>
      <c r="F619" s="50"/>
      <c r="G619" s="50"/>
      <c r="H619" s="51"/>
      <c r="I619" s="51"/>
      <c r="J619" s="51"/>
      <c r="K619" s="51"/>
      <c r="L619" s="51"/>
      <c r="M619" s="51"/>
      <c r="N619" s="52"/>
      <c r="O619" s="1"/>
      <c r="P619" s="32"/>
      <c r="Q619" s="32"/>
      <c r="R619" s="33"/>
      <c r="S619" s="1"/>
    </row>
    <row r="620" spans="1:19" ht="28.2">
      <c r="A620" s="1" t="s">
        <v>45</v>
      </c>
      <c r="B620" s="7">
        <f>B559+1</f>
        <v>11</v>
      </c>
      <c r="C620" s="5"/>
      <c r="D620" s="5"/>
      <c r="E620" s="5"/>
      <c r="F620" s="5"/>
      <c r="G620" s="5"/>
      <c r="H620" s="5"/>
      <c r="I620" s="5"/>
      <c r="J620" s="5"/>
      <c r="K620" s="5"/>
      <c r="L620" s="5"/>
      <c r="M620" s="5"/>
      <c r="N620" s="5"/>
      <c r="O620" s="1"/>
      <c r="P620" s="32"/>
      <c r="Q620" s="33"/>
      <c r="R620" s="29"/>
    </row>
    <row r="621" spans="1:19">
      <c r="A621" s="1" t="s">
        <v>46</v>
      </c>
      <c r="B621" s="1" t="s">
        <v>1</v>
      </c>
      <c r="C621" s="1" t="s">
        <v>2</v>
      </c>
      <c r="D621" s="1" t="s">
        <v>3</v>
      </c>
      <c r="E621" s="1" t="s">
        <v>2</v>
      </c>
      <c r="F621" s="1"/>
      <c r="G621" s="1"/>
      <c r="H621" s="112" t="s">
        <v>4</v>
      </c>
      <c r="I621" s="112"/>
      <c r="J621" s="113">
        <f>J560+1</f>
        <v>46222</v>
      </c>
      <c r="K621" s="113"/>
      <c r="L621" s="113"/>
      <c r="M621" s="114">
        <f>J621</f>
        <v>46222</v>
      </c>
      <c r="N621" s="114"/>
      <c r="O621" s="1"/>
      <c r="P621" s="32"/>
      <c r="Q621" s="33"/>
      <c r="R621" s="29"/>
    </row>
    <row r="622" spans="1:19">
      <c r="A622" s="8" t="s">
        <v>5</v>
      </c>
      <c r="B622" s="115">
        <f>B553</f>
        <v>0</v>
      </c>
      <c r="C622" s="116"/>
      <c r="D622" s="116"/>
      <c r="E622" s="116"/>
      <c r="F622" s="116"/>
      <c r="G622" s="117"/>
      <c r="H622" s="63" t="s">
        <v>6</v>
      </c>
      <c r="I622" s="63"/>
      <c r="J622" s="63"/>
      <c r="K622" s="63" t="s">
        <v>52</v>
      </c>
      <c r="L622" s="63"/>
      <c r="M622" s="63"/>
      <c r="N622" s="63"/>
      <c r="O622" s="1"/>
      <c r="P622" s="32"/>
      <c r="Q622" s="33"/>
      <c r="R622" s="29"/>
    </row>
    <row r="623" spans="1:19">
      <c r="A623" s="8" t="s">
        <v>32</v>
      </c>
      <c r="B623" s="10">
        <v>60</v>
      </c>
      <c r="C623" s="11" t="s">
        <v>43</v>
      </c>
      <c r="D623" s="71" t="s">
        <v>7</v>
      </c>
      <c r="E623" s="73"/>
      <c r="F623" s="10">
        <f>F562+1</f>
        <v>11</v>
      </c>
      <c r="G623" s="11" t="s">
        <v>8</v>
      </c>
      <c r="H623" s="9" t="s">
        <v>9</v>
      </c>
      <c r="I623" s="10">
        <f>B623-F623</f>
        <v>49</v>
      </c>
      <c r="J623" s="11" t="s">
        <v>8</v>
      </c>
      <c r="K623" s="118" t="s">
        <v>33</v>
      </c>
      <c r="L623" s="119"/>
      <c r="M623" s="12"/>
      <c r="N623" s="11" t="s">
        <v>8</v>
      </c>
      <c r="O623" s="1"/>
      <c r="P623" s="34"/>
      <c r="Q623" s="33"/>
      <c r="R623" s="29"/>
    </row>
    <row r="624" spans="1:19">
      <c r="A624" s="71" t="s">
        <v>34</v>
      </c>
      <c r="B624" s="72"/>
      <c r="C624" s="73"/>
      <c r="D624" s="120">
        <v>46212</v>
      </c>
      <c r="E624" s="121"/>
      <c r="F624" s="121"/>
      <c r="G624" s="122"/>
      <c r="H624" s="71" t="s">
        <v>35</v>
      </c>
      <c r="I624" s="72"/>
      <c r="J624" s="73"/>
      <c r="K624" s="120">
        <f>D624+59</f>
        <v>46271</v>
      </c>
      <c r="L624" s="121"/>
      <c r="M624" s="121"/>
      <c r="N624" s="122"/>
      <c r="O624" s="1"/>
      <c r="P624" s="32"/>
      <c r="Q624" s="33"/>
      <c r="R624" s="29"/>
    </row>
    <row r="625" spans="1:18">
      <c r="A625" s="92" t="s">
        <v>10</v>
      </c>
      <c r="B625" s="93"/>
      <c r="C625" s="94"/>
      <c r="D625" s="98">
        <f>D564+0.011/5</f>
        <v>7.7000000000000002E-3</v>
      </c>
      <c r="E625" s="99"/>
      <c r="F625" s="99"/>
      <c r="G625" s="100"/>
      <c r="H625" s="104" t="s">
        <v>36</v>
      </c>
      <c r="I625" s="105"/>
      <c r="J625" s="106"/>
      <c r="K625" s="110">
        <f>R656</f>
        <v>4.943447751156519E-2</v>
      </c>
      <c r="L625" s="105"/>
      <c r="M625" s="105"/>
      <c r="N625" s="106"/>
      <c r="O625" s="1"/>
      <c r="P625" s="32"/>
      <c r="Q625" s="33"/>
      <c r="R625" s="29"/>
    </row>
    <row r="626" spans="1:18">
      <c r="A626" s="95"/>
      <c r="B626" s="96"/>
      <c r="C626" s="97"/>
      <c r="D626" s="101"/>
      <c r="E626" s="102"/>
      <c r="F626" s="102"/>
      <c r="G626" s="103"/>
      <c r="H626" s="107"/>
      <c r="I626" s="108"/>
      <c r="J626" s="109"/>
      <c r="K626" s="107"/>
      <c r="L626" s="108"/>
      <c r="M626" s="108"/>
      <c r="N626" s="109"/>
      <c r="O626" s="1"/>
      <c r="P626" s="32"/>
      <c r="Q626" s="33"/>
      <c r="R626" s="29"/>
    </row>
    <row r="627" spans="1:18">
      <c r="A627" s="62" t="s">
        <v>11</v>
      </c>
      <c r="B627" s="62"/>
      <c r="C627" s="62"/>
      <c r="D627" s="62"/>
      <c r="E627" s="62"/>
      <c r="F627" s="62"/>
      <c r="G627" s="62"/>
      <c r="H627" s="62"/>
      <c r="I627" s="62"/>
      <c r="J627" s="62"/>
      <c r="K627" s="62"/>
      <c r="L627" s="62"/>
      <c r="M627" s="62"/>
      <c r="N627" s="62"/>
      <c r="O627" s="1"/>
      <c r="P627" s="32"/>
      <c r="Q627" s="33"/>
      <c r="R627" s="29"/>
    </row>
    <row r="628" spans="1:18">
      <c r="A628" s="111" t="s">
        <v>12</v>
      </c>
      <c r="B628" s="111"/>
      <c r="C628" s="111"/>
      <c r="D628" s="111"/>
      <c r="E628" s="111"/>
      <c r="F628" s="14" t="s">
        <v>37</v>
      </c>
      <c r="G628" s="111" t="s">
        <v>38</v>
      </c>
      <c r="H628" s="111"/>
      <c r="I628" s="63" t="s">
        <v>39</v>
      </c>
      <c r="J628" s="63"/>
      <c r="K628" s="63"/>
      <c r="L628" s="63" t="s">
        <v>40</v>
      </c>
      <c r="M628" s="63"/>
      <c r="N628" s="9" t="s">
        <v>13</v>
      </c>
      <c r="O628" s="1"/>
      <c r="P628" s="28" t="s">
        <v>47</v>
      </c>
      <c r="Q628" s="29" t="s">
        <v>48</v>
      </c>
      <c r="R628" s="29" t="s">
        <v>49</v>
      </c>
    </row>
    <row r="629" spans="1:18">
      <c r="A629" s="83" t="s">
        <v>67</v>
      </c>
      <c r="B629" s="84"/>
      <c r="C629" s="84"/>
      <c r="D629" s="84"/>
      <c r="E629" s="85"/>
      <c r="F629" s="27" t="s">
        <v>60</v>
      </c>
      <c r="G629" s="67">
        <v>1</v>
      </c>
      <c r="H629" s="68"/>
      <c r="I629" s="86"/>
      <c r="J629" s="87"/>
      <c r="K629" s="88"/>
      <c r="L629" s="69">
        <f>I629+L568</f>
        <v>1</v>
      </c>
      <c r="M629" s="70"/>
      <c r="N629" s="8"/>
      <c r="O629" s="1"/>
      <c r="P629" s="30">
        <v>6000</v>
      </c>
      <c r="Q629" s="38">
        <f>P629*G629</f>
        <v>6000</v>
      </c>
      <c r="R629" s="28">
        <f>L629*P629</f>
        <v>6000</v>
      </c>
    </row>
    <row r="630" spans="1:18">
      <c r="A630" s="83" t="s">
        <v>68</v>
      </c>
      <c r="B630" s="84"/>
      <c r="C630" s="84"/>
      <c r="D630" s="84"/>
      <c r="E630" s="85"/>
      <c r="F630" s="20" t="s">
        <v>60</v>
      </c>
      <c r="G630" s="67">
        <v>1</v>
      </c>
      <c r="H630" s="68"/>
      <c r="I630" s="87"/>
      <c r="J630" s="87"/>
      <c r="K630" s="88"/>
      <c r="L630" s="69">
        <f t="shared" ref="L630:L654" si="35">I630+L569</f>
        <v>0</v>
      </c>
      <c r="M630" s="70"/>
      <c r="N630" s="8"/>
      <c r="O630" s="1"/>
      <c r="P630" s="30">
        <v>193300</v>
      </c>
      <c r="Q630" s="38">
        <f t="shared" ref="Q630:Q654" si="36">P630*G630</f>
        <v>193300</v>
      </c>
      <c r="R630" s="28">
        <f>L630*P630</f>
        <v>0</v>
      </c>
    </row>
    <row r="631" spans="1:18">
      <c r="A631" s="89" t="s">
        <v>69</v>
      </c>
      <c r="B631" s="90"/>
      <c r="C631" s="90"/>
      <c r="D631" s="90"/>
      <c r="E631" s="91"/>
      <c r="F631" s="20" t="s">
        <v>60</v>
      </c>
      <c r="G631" s="67">
        <v>1</v>
      </c>
      <c r="H631" s="68"/>
      <c r="I631" s="87"/>
      <c r="J631" s="87"/>
      <c r="K631" s="88"/>
      <c r="L631" s="69">
        <f t="shared" si="35"/>
        <v>0</v>
      </c>
      <c r="M631" s="70"/>
      <c r="N631" s="8"/>
      <c r="O631" s="1"/>
      <c r="P631" s="30">
        <v>30000</v>
      </c>
      <c r="Q631" s="38">
        <f t="shared" si="36"/>
        <v>30000</v>
      </c>
      <c r="R631" s="28">
        <f>L631*P631</f>
        <v>0</v>
      </c>
    </row>
    <row r="632" spans="1:18">
      <c r="A632" s="64" t="s">
        <v>70</v>
      </c>
      <c r="B632" s="65"/>
      <c r="C632" s="65"/>
      <c r="D632" s="65"/>
      <c r="E632" s="66"/>
      <c r="F632" s="20" t="s">
        <v>60</v>
      </c>
      <c r="G632" s="67">
        <v>1</v>
      </c>
      <c r="H632" s="68"/>
      <c r="I632" s="87"/>
      <c r="J632" s="87"/>
      <c r="K632" s="88"/>
      <c r="L632" s="69">
        <f t="shared" si="35"/>
        <v>1</v>
      </c>
      <c r="M632" s="70"/>
      <c r="N632" s="8"/>
      <c r="O632" s="1"/>
      <c r="P632" s="31">
        <v>10000</v>
      </c>
      <c r="Q632" s="38">
        <f t="shared" si="36"/>
        <v>10000</v>
      </c>
      <c r="R632" s="28">
        <f t="shared" ref="R632:R654" si="37">L632*P632</f>
        <v>10000</v>
      </c>
    </row>
    <row r="633" spans="1:18">
      <c r="A633" s="64" t="s">
        <v>71</v>
      </c>
      <c r="B633" s="65"/>
      <c r="C633" s="65"/>
      <c r="D633" s="65"/>
      <c r="E633" s="66"/>
      <c r="F633" s="20" t="s">
        <v>61</v>
      </c>
      <c r="G633" s="67">
        <v>9</v>
      </c>
      <c r="H633" s="68"/>
      <c r="I633" s="87"/>
      <c r="J633" s="87"/>
      <c r="K633" s="88"/>
      <c r="L633" s="69">
        <f t="shared" si="35"/>
        <v>9</v>
      </c>
      <c r="M633" s="70"/>
      <c r="N633" s="8"/>
      <c r="O633" s="1"/>
      <c r="P633" s="30">
        <v>21000</v>
      </c>
      <c r="Q633" s="38">
        <f t="shared" si="36"/>
        <v>189000</v>
      </c>
      <c r="R633" s="28">
        <f t="shared" si="37"/>
        <v>189000</v>
      </c>
    </row>
    <row r="634" spans="1:18">
      <c r="A634" s="64" t="s">
        <v>72</v>
      </c>
      <c r="B634" s="65"/>
      <c r="C634" s="65"/>
      <c r="D634" s="65"/>
      <c r="E634" s="66"/>
      <c r="F634" s="2" t="s">
        <v>60</v>
      </c>
      <c r="G634" s="67">
        <v>1</v>
      </c>
      <c r="H634" s="68"/>
      <c r="I634" s="87"/>
      <c r="J634" s="87"/>
      <c r="K634" s="88"/>
      <c r="L634" s="69">
        <f t="shared" si="35"/>
        <v>0</v>
      </c>
      <c r="M634" s="70"/>
      <c r="N634" s="8"/>
      <c r="O634" s="1"/>
      <c r="P634" s="30">
        <v>184468</v>
      </c>
      <c r="Q634" s="38">
        <f t="shared" si="36"/>
        <v>184468</v>
      </c>
      <c r="R634" s="28">
        <f t="shared" si="37"/>
        <v>0</v>
      </c>
    </row>
    <row r="635" spans="1:18">
      <c r="A635" s="83" t="s">
        <v>73</v>
      </c>
      <c r="B635" s="84"/>
      <c r="C635" s="84"/>
      <c r="D635" s="84"/>
      <c r="E635" s="85"/>
      <c r="F635" s="20" t="s">
        <v>62</v>
      </c>
      <c r="G635" s="67">
        <v>9</v>
      </c>
      <c r="H635" s="68"/>
      <c r="I635" s="87"/>
      <c r="J635" s="87"/>
      <c r="K635" s="88"/>
      <c r="L635" s="69">
        <f t="shared" si="35"/>
        <v>0</v>
      </c>
      <c r="M635" s="70"/>
      <c r="N635" s="8"/>
      <c r="O635" s="1"/>
      <c r="P635" s="30">
        <v>20000</v>
      </c>
      <c r="Q635" s="38">
        <f t="shared" si="36"/>
        <v>180000</v>
      </c>
      <c r="R635" s="28">
        <f t="shared" si="37"/>
        <v>0</v>
      </c>
    </row>
    <row r="636" spans="1:18">
      <c r="A636" s="83" t="s">
        <v>74</v>
      </c>
      <c r="B636" s="84"/>
      <c r="C636" s="84"/>
      <c r="D636" s="84"/>
      <c r="E636" s="85"/>
      <c r="F636" s="20" t="s">
        <v>63</v>
      </c>
      <c r="G636" s="67">
        <v>52</v>
      </c>
      <c r="H636" s="68"/>
      <c r="I636" s="87"/>
      <c r="J636" s="87"/>
      <c r="K636" s="88"/>
      <c r="L636" s="69">
        <f t="shared" si="35"/>
        <v>0</v>
      </c>
      <c r="M636" s="70"/>
      <c r="N636" s="8"/>
      <c r="O636" s="1"/>
      <c r="P636" s="31">
        <v>2500</v>
      </c>
      <c r="Q636" s="38">
        <f t="shared" si="36"/>
        <v>130000</v>
      </c>
      <c r="R636" s="28">
        <f t="shared" si="37"/>
        <v>0</v>
      </c>
    </row>
    <row r="637" spans="1:18">
      <c r="A637" s="83" t="s">
        <v>75</v>
      </c>
      <c r="B637" s="84"/>
      <c r="C637" s="84"/>
      <c r="D637" s="84"/>
      <c r="E637" s="85"/>
      <c r="F637" s="20" t="s">
        <v>64</v>
      </c>
      <c r="G637" s="67">
        <v>1</v>
      </c>
      <c r="H637" s="68"/>
      <c r="I637" s="87"/>
      <c r="J637" s="87"/>
      <c r="K637" s="88"/>
      <c r="L637" s="69">
        <f t="shared" si="35"/>
        <v>0</v>
      </c>
      <c r="M637" s="70"/>
      <c r="N637" s="8"/>
      <c r="O637" s="1"/>
      <c r="P637" s="30">
        <v>80000</v>
      </c>
      <c r="Q637" s="38">
        <f t="shared" si="36"/>
        <v>80000</v>
      </c>
      <c r="R637" s="28">
        <f t="shared" si="37"/>
        <v>0</v>
      </c>
    </row>
    <row r="638" spans="1:18">
      <c r="A638" s="89" t="s">
        <v>76</v>
      </c>
      <c r="B638" s="90"/>
      <c r="C638" s="90"/>
      <c r="D638" s="90"/>
      <c r="E638" s="91"/>
      <c r="F638" s="20" t="s">
        <v>65</v>
      </c>
      <c r="G638" s="67">
        <v>31</v>
      </c>
      <c r="H638" s="68"/>
      <c r="I638" s="87"/>
      <c r="J638" s="87"/>
      <c r="K638" s="88"/>
      <c r="L638" s="69">
        <f t="shared" si="35"/>
        <v>0</v>
      </c>
      <c r="M638" s="70"/>
      <c r="N638" s="8"/>
      <c r="O638" s="1"/>
      <c r="P638" s="30">
        <v>400</v>
      </c>
      <c r="Q638" s="38">
        <f t="shared" si="36"/>
        <v>12400</v>
      </c>
      <c r="R638" s="28">
        <f t="shared" si="37"/>
        <v>0</v>
      </c>
    </row>
    <row r="639" spans="1:18">
      <c r="A639" s="64" t="s">
        <v>77</v>
      </c>
      <c r="B639" s="65"/>
      <c r="C639" s="65"/>
      <c r="D639" s="65"/>
      <c r="E639" s="66"/>
      <c r="F639" s="20" t="s">
        <v>65</v>
      </c>
      <c r="G639" s="67">
        <v>100</v>
      </c>
      <c r="H639" s="68"/>
      <c r="I639" s="87"/>
      <c r="J639" s="87"/>
      <c r="K639" s="88"/>
      <c r="L639" s="69">
        <f t="shared" si="35"/>
        <v>0</v>
      </c>
      <c r="M639" s="70"/>
      <c r="N639" s="8"/>
      <c r="O639" s="1"/>
      <c r="P639" s="30">
        <v>350</v>
      </c>
      <c r="Q639" s="38">
        <f t="shared" si="36"/>
        <v>35000</v>
      </c>
      <c r="R639" s="28">
        <f t="shared" si="37"/>
        <v>0</v>
      </c>
    </row>
    <row r="640" spans="1:18">
      <c r="A640" s="64" t="s">
        <v>78</v>
      </c>
      <c r="B640" s="65"/>
      <c r="C640" s="65"/>
      <c r="D640" s="65"/>
      <c r="E640" s="66"/>
      <c r="F640" s="20" t="s">
        <v>63</v>
      </c>
      <c r="G640" s="67">
        <v>35</v>
      </c>
      <c r="H640" s="68"/>
      <c r="I640" s="87"/>
      <c r="J640" s="87"/>
      <c r="K640" s="88"/>
      <c r="L640" s="69">
        <f t="shared" si="35"/>
        <v>0</v>
      </c>
      <c r="M640" s="70"/>
      <c r="N640" s="8"/>
      <c r="O640" s="1"/>
      <c r="P640" s="30">
        <v>1200</v>
      </c>
      <c r="Q640" s="38">
        <f t="shared" si="36"/>
        <v>42000</v>
      </c>
      <c r="R640" s="28">
        <f t="shared" si="37"/>
        <v>0</v>
      </c>
    </row>
    <row r="641" spans="1:18">
      <c r="A641" s="64" t="s">
        <v>79</v>
      </c>
      <c r="B641" s="65"/>
      <c r="C641" s="65"/>
      <c r="D641" s="65"/>
      <c r="E641" s="66"/>
      <c r="F641" s="20" t="s">
        <v>63</v>
      </c>
      <c r="G641" s="67">
        <v>282</v>
      </c>
      <c r="H641" s="68"/>
      <c r="I641" s="86"/>
      <c r="J641" s="87"/>
      <c r="K641" s="88"/>
      <c r="L641" s="69">
        <f t="shared" si="35"/>
        <v>0</v>
      </c>
      <c r="M641" s="70"/>
      <c r="N641" s="8"/>
      <c r="O641" s="1"/>
      <c r="P641" s="30">
        <v>1400</v>
      </c>
      <c r="Q641" s="38">
        <f t="shared" si="36"/>
        <v>394800</v>
      </c>
      <c r="R641" s="28">
        <f t="shared" si="37"/>
        <v>0</v>
      </c>
    </row>
    <row r="642" spans="1:18">
      <c r="A642" s="83" t="s">
        <v>80</v>
      </c>
      <c r="B642" s="84"/>
      <c r="C642" s="84"/>
      <c r="D642" s="84"/>
      <c r="E642" s="85"/>
      <c r="F642" s="21" t="s">
        <v>65</v>
      </c>
      <c r="G642" s="67">
        <v>58</v>
      </c>
      <c r="H642" s="68"/>
      <c r="I642" s="86"/>
      <c r="J642" s="87"/>
      <c r="K642" s="88"/>
      <c r="L642" s="69">
        <f t="shared" si="35"/>
        <v>0</v>
      </c>
      <c r="M642" s="70"/>
      <c r="N642" s="8"/>
      <c r="O642" s="1"/>
      <c r="P642" s="30">
        <v>3600</v>
      </c>
      <c r="Q642" s="38">
        <f t="shared" si="36"/>
        <v>208800</v>
      </c>
      <c r="R642" s="28">
        <f t="shared" si="37"/>
        <v>0</v>
      </c>
    </row>
    <row r="643" spans="1:18">
      <c r="A643" s="83" t="s">
        <v>81</v>
      </c>
      <c r="B643" s="84"/>
      <c r="C643" s="84"/>
      <c r="D643" s="84"/>
      <c r="E643" s="85"/>
      <c r="F643" s="21" t="s">
        <v>65</v>
      </c>
      <c r="G643" s="67">
        <v>360</v>
      </c>
      <c r="H643" s="68"/>
      <c r="I643" s="86"/>
      <c r="J643" s="87"/>
      <c r="K643" s="88"/>
      <c r="L643" s="69">
        <f t="shared" si="35"/>
        <v>0</v>
      </c>
      <c r="M643" s="70"/>
      <c r="N643" s="8"/>
      <c r="O643" s="1"/>
      <c r="P643" s="30">
        <v>230</v>
      </c>
      <c r="Q643" s="38">
        <f t="shared" si="36"/>
        <v>82800</v>
      </c>
      <c r="R643" s="28">
        <f t="shared" si="37"/>
        <v>0</v>
      </c>
    </row>
    <row r="644" spans="1:18">
      <c r="A644" s="83" t="s">
        <v>82</v>
      </c>
      <c r="B644" s="84"/>
      <c r="C644" s="84"/>
      <c r="D644" s="84"/>
      <c r="E644" s="85"/>
      <c r="F644" s="21" t="s">
        <v>65</v>
      </c>
      <c r="G644" s="67">
        <v>2400</v>
      </c>
      <c r="H644" s="68"/>
      <c r="I644" s="86"/>
      <c r="J644" s="87"/>
      <c r="K644" s="88"/>
      <c r="L644" s="69">
        <f t="shared" si="35"/>
        <v>0</v>
      </c>
      <c r="M644" s="70"/>
      <c r="N644" s="8"/>
      <c r="O644" s="1"/>
      <c r="P644" s="30">
        <v>80</v>
      </c>
      <c r="Q644" s="38">
        <f t="shared" si="36"/>
        <v>192000</v>
      </c>
      <c r="R644" s="28">
        <f t="shared" si="37"/>
        <v>0</v>
      </c>
    </row>
    <row r="645" spans="1:18">
      <c r="A645" s="89" t="s">
        <v>83</v>
      </c>
      <c r="B645" s="90"/>
      <c r="C645" s="90"/>
      <c r="D645" s="90"/>
      <c r="E645" s="91"/>
      <c r="F645" s="21" t="s">
        <v>65</v>
      </c>
      <c r="G645" s="67">
        <v>360</v>
      </c>
      <c r="H645" s="68"/>
      <c r="I645" s="86"/>
      <c r="J645" s="87"/>
      <c r="K645" s="88"/>
      <c r="L645" s="69">
        <f t="shared" si="35"/>
        <v>0</v>
      </c>
      <c r="M645" s="70"/>
      <c r="N645" s="8"/>
      <c r="O645" s="1"/>
      <c r="P645" s="30">
        <v>420</v>
      </c>
      <c r="Q645" s="38">
        <f t="shared" si="36"/>
        <v>151200</v>
      </c>
      <c r="R645" s="28">
        <f t="shared" si="37"/>
        <v>0</v>
      </c>
    </row>
    <row r="646" spans="1:18">
      <c r="A646" s="64" t="s">
        <v>84</v>
      </c>
      <c r="B646" s="65"/>
      <c r="C646" s="65"/>
      <c r="D646" s="65"/>
      <c r="E646" s="66"/>
      <c r="F646" s="21" t="s">
        <v>65</v>
      </c>
      <c r="G646" s="67">
        <v>2760</v>
      </c>
      <c r="H646" s="68"/>
      <c r="I646" s="86"/>
      <c r="J646" s="87"/>
      <c r="K646" s="88"/>
      <c r="L646" s="69">
        <f t="shared" si="35"/>
        <v>0</v>
      </c>
      <c r="M646" s="70"/>
      <c r="N646" s="8"/>
      <c r="O646" s="1"/>
      <c r="P646" s="30">
        <v>460</v>
      </c>
      <c r="Q646" s="38">
        <f t="shared" si="36"/>
        <v>1269600</v>
      </c>
      <c r="R646" s="28">
        <f t="shared" si="37"/>
        <v>0</v>
      </c>
    </row>
    <row r="647" spans="1:18">
      <c r="A647" s="64" t="s">
        <v>85</v>
      </c>
      <c r="B647" s="65"/>
      <c r="C647" s="65"/>
      <c r="D647" s="65"/>
      <c r="E647" s="66"/>
      <c r="F647" s="21" t="s">
        <v>65</v>
      </c>
      <c r="G647" s="67">
        <v>275</v>
      </c>
      <c r="H647" s="68"/>
      <c r="I647" s="86"/>
      <c r="J647" s="87"/>
      <c r="K647" s="88"/>
      <c r="L647" s="69">
        <f t="shared" si="35"/>
        <v>0</v>
      </c>
      <c r="M647" s="70"/>
      <c r="N647" s="8"/>
      <c r="O647" s="1"/>
      <c r="P647" s="31">
        <v>350</v>
      </c>
      <c r="Q647" s="38">
        <f t="shared" si="36"/>
        <v>96250</v>
      </c>
      <c r="R647" s="28">
        <f t="shared" si="37"/>
        <v>0</v>
      </c>
    </row>
    <row r="648" spans="1:18">
      <c r="A648" s="64" t="s">
        <v>86</v>
      </c>
      <c r="B648" s="65"/>
      <c r="C648" s="65"/>
      <c r="D648" s="65"/>
      <c r="E648" s="66"/>
      <c r="F648" s="21" t="s">
        <v>60</v>
      </c>
      <c r="G648" s="67">
        <v>1</v>
      </c>
      <c r="H648" s="68"/>
      <c r="I648" s="86"/>
      <c r="J648" s="87"/>
      <c r="K648" s="88"/>
      <c r="L648" s="69">
        <f t="shared" si="35"/>
        <v>0</v>
      </c>
      <c r="M648" s="70"/>
      <c r="N648" s="8"/>
      <c r="O648" s="2"/>
      <c r="P648" s="30">
        <v>40000</v>
      </c>
      <c r="Q648" s="38">
        <f t="shared" si="36"/>
        <v>40000</v>
      </c>
      <c r="R648" s="28">
        <f t="shared" si="37"/>
        <v>0</v>
      </c>
    </row>
    <row r="649" spans="1:18">
      <c r="A649" s="83" t="s">
        <v>87</v>
      </c>
      <c r="B649" s="84"/>
      <c r="C649" s="84"/>
      <c r="D649" s="84"/>
      <c r="E649" s="85"/>
      <c r="F649" s="20" t="s">
        <v>60</v>
      </c>
      <c r="G649" s="67">
        <v>1</v>
      </c>
      <c r="H649" s="68"/>
      <c r="I649" s="86"/>
      <c r="J649" s="87"/>
      <c r="K649" s="88"/>
      <c r="L649" s="69">
        <f t="shared" si="35"/>
        <v>0</v>
      </c>
      <c r="M649" s="70"/>
      <c r="N649" s="8"/>
      <c r="O649" s="1"/>
      <c r="P649" s="31">
        <v>276970</v>
      </c>
      <c r="Q649" s="38">
        <f t="shared" si="36"/>
        <v>276970</v>
      </c>
      <c r="R649" s="28">
        <f t="shared" si="37"/>
        <v>0</v>
      </c>
    </row>
    <row r="650" spans="1:18">
      <c r="A650" s="83" t="s">
        <v>88</v>
      </c>
      <c r="B650" s="84"/>
      <c r="C650" s="84"/>
      <c r="D650" s="84"/>
      <c r="E650" s="85"/>
      <c r="F650" s="20" t="s">
        <v>60</v>
      </c>
      <c r="G650" s="67">
        <v>1</v>
      </c>
      <c r="H650" s="68"/>
      <c r="I650" s="26"/>
      <c r="J650" s="23"/>
      <c r="K650" s="24"/>
      <c r="L650" s="69">
        <f t="shared" si="35"/>
        <v>0</v>
      </c>
      <c r="M650" s="70"/>
      <c r="N650" s="25"/>
      <c r="O650" s="1"/>
      <c r="P650" s="32">
        <v>60873</v>
      </c>
      <c r="Q650" s="38">
        <f t="shared" si="36"/>
        <v>60873</v>
      </c>
      <c r="R650" s="28">
        <f t="shared" si="37"/>
        <v>0</v>
      </c>
    </row>
    <row r="651" spans="1:18">
      <c r="A651" s="83" t="s">
        <v>89</v>
      </c>
      <c r="B651" s="84"/>
      <c r="C651" s="84"/>
      <c r="D651" s="84"/>
      <c r="E651" s="85"/>
      <c r="F651" s="20" t="s">
        <v>60</v>
      </c>
      <c r="G651" s="67">
        <v>1</v>
      </c>
      <c r="H651" s="68"/>
      <c r="I651" s="26"/>
      <c r="J651" s="23"/>
      <c r="K651" s="24"/>
      <c r="L651" s="69">
        <f t="shared" si="35"/>
        <v>0</v>
      </c>
      <c r="M651" s="70"/>
      <c r="N651" s="25"/>
      <c r="O651" s="1"/>
      <c r="P651" s="32">
        <v>60873</v>
      </c>
      <c r="Q651" s="38">
        <f t="shared" si="36"/>
        <v>60873</v>
      </c>
      <c r="R651" s="28">
        <f t="shared" si="37"/>
        <v>0</v>
      </c>
    </row>
    <row r="652" spans="1:18">
      <c r="A652" s="83" t="s">
        <v>90</v>
      </c>
      <c r="B652" s="84"/>
      <c r="C652" s="84"/>
      <c r="D652" s="84"/>
      <c r="E652" s="85"/>
      <c r="F652" s="20" t="s">
        <v>60</v>
      </c>
      <c r="G652" s="67">
        <v>1</v>
      </c>
      <c r="H652" s="68"/>
      <c r="I652" s="26"/>
      <c r="J652" s="23"/>
      <c r="K652" s="24"/>
      <c r="L652" s="69">
        <f t="shared" si="35"/>
        <v>0</v>
      </c>
      <c r="M652" s="70"/>
      <c r="N652" s="25"/>
      <c r="O652" s="1"/>
      <c r="P652" s="34">
        <v>266321</v>
      </c>
      <c r="Q652" s="38">
        <f t="shared" si="36"/>
        <v>266321</v>
      </c>
      <c r="R652" s="28">
        <f t="shared" si="37"/>
        <v>0</v>
      </c>
    </row>
    <row r="653" spans="1:18">
      <c r="A653" s="83" t="s">
        <v>91</v>
      </c>
      <c r="B653" s="84"/>
      <c r="C653" s="84"/>
      <c r="D653" s="84"/>
      <c r="E653" s="85"/>
      <c r="F653" s="2" t="s">
        <v>60</v>
      </c>
      <c r="G653" s="67">
        <v>1</v>
      </c>
      <c r="H653" s="68"/>
      <c r="I653" s="26"/>
      <c r="J653" s="23"/>
      <c r="K653" s="24"/>
      <c r="L653" s="69">
        <f t="shared" si="35"/>
        <v>1</v>
      </c>
      <c r="M653" s="70"/>
      <c r="N653" s="25"/>
      <c r="O653" s="1"/>
      <c r="P653" s="32">
        <v>13316</v>
      </c>
      <c r="Q653" s="38">
        <f t="shared" si="36"/>
        <v>13316</v>
      </c>
      <c r="R653" s="28">
        <f t="shared" si="37"/>
        <v>13316</v>
      </c>
    </row>
    <row r="654" spans="1:18">
      <c r="A654" s="83" t="s">
        <v>92</v>
      </c>
      <c r="B654" s="84"/>
      <c r="C654" s="84"/>
      <c r="D654" s="84"/>
      <c r="E654" s="85"/>
      <c r="F654" s="20" t="s">
        <v>60</v>
      </c>
      <c r="G654" s="67">
        <v>1</v>
      </c>
      <c r="H654" s="68"/>
      <c r="I654" s="26"/>
      <c r="J654" s="23"/>
      <c r="K654" s="24"/>
      <c r="L654" s="69">
        <f t="shared" si="35"/>
        <v>0</v>
      </c>
      <c r="M654" s="70"/>
      <c r="N654" s="25"/>
      <c r="O654" s="1"/>
      <c r="P654" s="32">
        <v>210299</v>
      </c>
      <c r="Q654" s="38">
        <f t="shared" si="36"/>
        <v>210299</v>
      </c>
      <c r="R654" s="28">
        <f t="shared" si="37"/>
        <v>0</v>
      </c>
    </row>
    <row r="655" spans="1:18">
      <c r="A655" s="64"/>
      <c r="B655" s="65"/>
      <c r="C655" s="65"/>
      <c r="D655" s="65"/>
      <c r="E655" s="66"/>
      <c r="F655" s="22"/>
      <c r="G655" s="67"/>
      <c r="H655" s="68"/>
      <c r="I655" s="26"/>
      <c r="J655" s="23"/>
      <c r="K655" s="24"/>
      <c r="L655" s="69"/>
      <c r="M655" s="70"/>
      <c r="N655" s="25"/>
      <c r="O655" s="3"/>
      <c r="P655" s="32"/>
      <c r="Q655" s="33">
        <f>SUM(Q629:Q654)</f>
        <v>4416270</v>
      </c>
      <c r="R655" s="29">
        <f>SUM(R629:R654)</f>
        <v>218316</v>
      </c>
    </row>
    <row r="656" spans="1:18">
      <c r="A656" s="64"/>
      <c r="B656" s="65"/>
      <c r="C656" s="65"/>
      <c r="D656" s="65"/>
      <c r="E656" s="66"/>
      <c r="F656" s="22"/>
      <c r="G656" s="67"/>
      <c r="H656" s="68"/>
      <c r="I656" s="26"/>
      <c r="J656" s="23"/>
      <c r="K656" s="24"/>
      <c r="L656" s="69"/>
      <c r="M656" s="70"/>
      <c r="N656" s="25"/>
      <c r="O656" s="3"/>
      <c r="P656" s="32"/>
      <c r="Q656" s="33"/>
      <c r="R656" s="37">
        <f>R655/Q655</f>
        <v>4.943447751156519E-2</v>
      </c>
    </row>
    <row r="657" spans="1:19">
      <c r="A657" s="62" t="s">
        <v>14</v>
      </c>
      <c r="B657" s="62"/>
      <c r="C657" s="62"/>
      <c r="D657" s="62"/>
      <c r="E657" s="62"/>
      <c r="F657" s="62"/>
      <c r="G657" s="62"/>
      <c r="H657" s="62"/>
      <c r="I657" s="62"/>
      <c r="J657" s="62"/>
      <c r="K657" s="62"/>
      <c r="L657" s="62"/>
      <c r="M657" s="62"/>
      <c r="N657" s="62"/>
      <c r="O657" s="1"/>
      <c r="P657" s="32"/>
      <c r="Q657" s="33"/>
      <c r="R657" s="29"/>
      <c r="S657" s="16"/>
    </row>
    <row r="658" spans="1:19">
      <c r="A658" s="71" t="s">
        <v>15</v>
      </c>
      <c r="B658" s="72"/>
      <c r="C658" s="72"/>
      <c r="D658" s="72"/>
      <c r="E658" s="73"/>
      <c r="F658" s="9" t="s">
        <v>37</v>
      </c>
      <c r="G658" s="71" t="s">
        <v>38</v>
      </c>
      <c r="H658" s="73"/>
      <c r="I658" s="71" t="s">
        <v>42</v>
      </c>
      <c r="J658" s="72"/>
      <c r="K658" s="73"/>
      <c r="L658" s="74" t="s">
        <v>17</v>
      </c>
      <c r="M658" s="75"/>
      <c r="N658" s="9" t="s">
        <v>13</v>
      </c>
      <c r="O658" s="1"/>
      <c r="P658" s="32"/>
      <c r="Q658" s="33"/>
      <c r="R658" s="29"/>
      <c r="S658" s="16"/>
    </row>
    <row r="659" spans="1:19">
      <c r="A659" s="71"/>
      <c r="B659" s="72"/>
      <c r="C659" s="72"/>
      <c r="D659" s="72"/>
      <c r="E659" s="73"/>
      <c r="F659" s="13"/>
      <c r="G659" s="76"/>
      <c r="H659" s="77"/>
      <c r="I659" s="78"/>
      <c r="J659" s="79"/>
      <c r="K659" s="80"/>
      <c r="L659" s="81"/>
      <c r="M659" s="82"/>
      <c r="N659" s="8"/>
      <c r="O659" s="1"/>
      <c r="P659" s="32"/>
      <c r="Q659" s="33"/>
      <c r="R659" s="29"/>
      <c r="S659" s="16"/>
    </row>
    <row r="660" spans="1:19">
      <c r="A660" s="62" t="s">
        <v>19</v>
      </c>
      <c r="B660" s="62"/>
      <c r="C660" s="62"/>
      <c r="D660" s="62"/>
      <c r="E660" s="62"/>
      <c r="F660" s="62"/>
      <c r="G660" s="62"/>
      <c r="H660" s="62"/>
      <c r="I660" s="62"/>
      <c r="J660" s="62"/>
      <c r="K660" s="62"/>
      <c r="L660" s="62"/>
      <c r="M660" s="62"/>
      <c r="N660" s="62"/>
      <c r="O660" s="1"/>
      <c r="P660" s="32"/>
      <c r="Q660" s="33"/>
      <c r="R660" s="29"/>
      <c r="S660" s="16"/>
    </row>
    <row r="661" spans="1:19">
      <c r="A661" s="63" t="s">
        <v>20</v>
      </c>
      <c r="B661" s="63"/>
      <c r="C661" s="63" t="s">
        <v>21</v>
      </c>
      <c r="D661" s="63"/>
      <c r="E661" s="63" t="s">
        <v>22</v>
      </c>
      <c r="F661" s="63"/>
      <c r="G661" s="63" t="s">
        <v>23</v>
      </c>
      <c r="H661" s="63"/>
      <c r="I661" s="63"/>
      <c r="J661" s="63" t="s">
        <v>16</v>
      </c>
      <c r="K661" s="63"/>
      <c r="L661" s="63"/>
      <c r="M661" s="63" t="s">
        <v>17</v>
      </c>
      <c r="N661" s="63"/>
      <c r="O661" s="1"/>
      <c r="Q661" s="32"/>
      <c r="R661" s="33"/>
      <c r="S661" s="16"/>
    </row>
    <row r="662" spans="1:19">
      <c r="A662" s="60" t="s">
        <v>24</v>
      </c>
      <c r="B662" s="52"/>
      <c r="C662" s="61"/>
      <c r="D662" s="61"/>
      <c r="E662" s="61">
        <f>C662+E601</f>
        <v>6</v>
      </c>
      <c r="F662" s="61"/>
      <c r="G662" s="60" t="s">
        <v>51</v>
      </c>
      <c r="H662" s="51"/>
      <c r="I662" s="52"/>
      <c r="J662" s="61"/>
      <c r="K662" s="61"/>
      <c r="L662" s="61"/>
      <c r="M662" s="61">
        <f>K662+M601</f>
        <v>1</v>
      </c>
      <c r="N662" s="61"/>
      <c r="O662" s="1"/>
      <c r="Q662" s="32"/>
      <c r="R662" s="33"/>
      <c r="S662" s="16"/>
    </row>
    <row r="663" spans="1:19">
      <c r="A663" s="60" t="s">
        <v>25</v>
      </c>
      <c r="B663" s="52"/>
      <c r="C663" s="61"/>
      <c r="D663" s="61"/>
      <c r="E663" s="61">
        <f>C663+E602</f>
        <v>5</v>
      </c>
      <c r="F663" s="61"/>
      <c r="G663" s="60" t="s">
        <v>50</v>
      </c>
      <c r="H663" s="51"/>
      <c r="I663" s="52"/>
      <c r="J663" s="61"/>
      <c r="K663" s="61"/>
      <c r="L663" s="61"/>
      <c r="M663" s="61">
        <f>K663+M602</f>
        <v>1</v>
      </c>
      <c r="N663" s="61"/>
      <c r="O663" s="1"/>
      <c r="Q663" s="32"/>
      <c r="R663" s="33"/>
      <c r="S663" s="16"/>
    </row>
    <row r="664" spans="1:19">
      <c r="A664" s="60"/>
      <c r="B664" s="52"/>
      <c r="C664" s="61"/>
      <c r="D664" s="61"/>
      <c r="E664" s="61"/>
      <c r="F664" s="61"/>
      <c r="G664" s="60" t="s">
        <v>55</v>
      </c>
      <c r="H664" s="51"/>
      <c r="I664" s="52"/>
      <c r="J664" s="61"/>
      <c r="K664" s="61"/>
      <c r="L664" s="61"/>
      <c r="M664" s="61">
        <f>K664+M603</f>
        <v>0</v>
      </c>
      <c r="N664" s="61"/>
      <c r="O664" s="2"/>
      <c r="P664" s="29"/>
      <c r="Q664" s="32"/>
      <c r="R664" s="33"/>
      <c r="S664" s="16"/>
    </row>
    <row r="665" spans="1:19">
      <c r="A665" s="53" t="s">
        <v>53</v>
      </c>
      <c r="B665" s="47"/>
      <c r="C665" s="53"/>
      <c r="D665" s="53"/>
      <c r="E665" s="53"/>
      <c r="F665" s="53"/>
      <c r="G665" s="53"/>
      <c r="H665" s="53"/>
      <c r="I665" s="53"/>
      <c r="J665" s="53"/>
      <c r="K665" s="53"/>
      <c r="L665" s="53"/>
      <c r="M665" s="53"/>
      <c r="N665" s="53"/>
      <c r="O665" s="1"/>
      <c r="P665" s="32"/>
      <c r="Q665" s="32"/>
      <c r="R665" s="33"/>
      <c r="S665" s="16"/>
    </row>
    <row r="666" spans="1:19">
      <c r="A666" s="45" t="s">
        <v>56</v>
      </c>
      <c r="B666" s="46"/>
      <c r="C666" s="46"/>
      <c r="D666" s="46"/>
      <c r="E666" s="46"/>
      <c r="F666" s="46"/>
      <c r="G666" s="46"/>
      <c r="H666" s="46"/>
      <c r="I666" s="46"/>
      <c r="J666" s="46"/>
      <c r="K666" s="46"/>
      <c r="L666" s="46"/>
      <c r="M666" s="46"/>
      <c r="N666" s="47"/>
      <c r="O666" s="1"/>
      <c r="P666" s="32"/>
      <c r="Q666" s="34"/>
      <c r="R666" s="33"/>
      <c r="S666" s="16"/>
    </row>
    <row r="667" spans="1:19">
      <c r="A667" s="54" t="s">
        <v>54</v>
      </c>
      <c r="B667" s="55"/>
      <c r="C667" s="55"/>
      <c r="D667" s="55"/>
      <c r="E667" s="55"/>
      <c r="F667" s="55"/>
      <c r="G667" s="55"/>
      <c r="H667" s="55"/>
      <c r="I667" s="55"/>
      <c r="J667" s="55"/>
      <c r="K667" s="55"/>
      <c r="L667" s="55"/>
      <c r="M667" s="55"/>
      <c r="N667" s="56"/>
      <c r="O667" s="1"/>
      <c r="P667" s="32"/>
      <c r="Q667" s="32"/>
      <c r="R667" s="33"/>
      <c r="S667" s="16"/>
    </row>
    <row r="668" spans="1:19">
      <c r="A668" s="40" t="s">
        <v>26</v>
      </c>
      <c r="B668" s="41"/>
      <c r="C668" s="40"/>
      <c r="D668" s="40"/>
      <c r="E668" s="40"/>
      <c r="F668" s="40"/>
      <c r="G668" s="40"/>
      <c r="H668" s="40"/>
      <c r="I668" s="40"/>
      <c r="J668" s="40"/>
      <c r="K668" s="40"/>
      <c r="L668" s="40"/>
      <c r="M668" s="40"/>
      <c r="N668" s="40"/>
      <c r="O668" s="1"/>
      <c r="P668" s="32"/>
      <c r="Q668" s="32"/>
      <c r="R668" s="33"/>
      <c r="S668" s="16"/>
    </row>
    <row r="669" spans="1:19">
      <c r="A669" s="57" t="s">
        <v>27</v>
      </c>
      <c r="B669" s="58"/>
      <c r="C669" s="58"/>
      <c r="D669" s="58"/>
      <c r="E669" s="58"/>
      <c r="F669" s="58"/>
      <c r="G669" s="58"/>
      <c r="H669" s="58"/>
      <c r="I669" s="58"/>
      <c r="J669" s="58"/>
      <c r="K669" s="58"/>
      <c r="L669" s="58"/>
      <c r="M669" s="58"/>
      <c r="N669" s="59"/>
      <c r="O669" s="1"/>
      <c r="P669" s="34"/>
      <c r="Q669" s="34"/>
      <c r="R669" s="33"/>
      <c r="S669" s="16"/>
    </row>
    <row r="670" spans="1:19">
      <c r="A670" s="57" t="s">
        <v>57</v>
      </c>
      <c r="B670" s="58"/>
      <c r="C670" s="58"/>
      <c r="D670" s="58"/>
      <c r="E670" s="58"/>
      <c r="F670" s="58"/>
      <c r="G670" s="58"/>
      <c r="H670" s="58"/>
      <c r="I670" s="58"/>
      <c r="J670" s="58"/>
      <c r="K670" s="58"/>
      <c r="L670" s="58"/>
      <c r="M670" s="58"/>
      <c r="N670" s="59"/>
      <c r="O670" s="1"/>
      <c r="P670" s="32"/>
      <c r="Q670" s="32"/>
      <c r="R670" s="33"/>
      <c r="S670" s="16"/>
    </row>
    <row r="671" spans="1:19">
      <c r="A671" s="57" t="s">
        <v>58</v>
      </c>
      <c r="B671" s="58"/>
      <c r="C671" s="58"/>
      <c r="D671" s="58"/>
      <c r="E671" s="58"/>
      <c r="F671" s="58"/>
      <c r="G671" s="58"/>
      <c r="H671" s="58"/>
      <c r="I671" s="58"/>
      <c r="J671" s="58"/>
      <c r="K671" s="58"/>
      <c r="L671" s="58"/>
      <c r="M671" s="58"/>
      <c r="N671" s="59"/>
      <c r="O671" s="1"/>
      <c r="P671" s="32"/>
      <c r="Q671" s="32"/>
      <c r="R671" s="33"/>
      <c r="S671" s="16"/>
    </row>
    <row r="672" spans="1:19">
      <c r="A672" s="57" t="s">
        <v>59</v>
      </c>
      <c r="B672" s="58"/>
      <c r="C672" s="58"/>
      <c r="D672" s="58"/>
      <c r="E672" s="58"/>
      <c r="F672" s="58"/>
      <c r="G672" s="58"/>
      <c r="H672" s="58"/>
      <c r="I672" s="58"/>
      <c r="J672" s="58"/>
      <c r="K672" s="58"/>
      <c r="L672" s="58"/>
      <c r="M672" s="58"/>
      <c r="N672" s="59"/>
      <c r="O672" s="1"/>
      <c r="P672" s="32"/>
      <c r="Q672" s="34"/>
      <c r="R672" s="33"/>
      <c r="S672" s="16"/>
    </row>
    <row r="673" spans="1:19">
      <c r="A673" s="57" t="s">
        <v>28</v>
      </c>
      <c r="B673" s="58"/>
      <c r="C673" s="58"/>
      <c r="D673" s="58"/>
      <c r="E673" s="58"/>
      <c r="F673" s="58"/>
      <c r="G673" s="58"/>
      <c r="H673" s="58"/>
      <c r="I673" s="58"/>
      <c r="J673" s="58"/>
      <c r="K673" s="58"/>
      <c r="L673" s="58"/>
      <c r="M673" s="58"/>
      <c r="N673" s="59"/>
      <c r="O673" s="1"/>
      <c r="P673" s="34"/>
      <c r="Q673" s="32"/>
      <c r="R673" s="33"/>
      <c r="S673" s="16"/>
    </row>
    <row r="674" spans="1:19">
      <c r="A674" s="40" t="s">
        <v>29</v>
      </c>
      <c r="B674" s="41"/>
      <c r="C674" s="40"/>
      <c r="D674" s="40"/>
      <c r="E674" s="40"/>
      <c r="F674" s="40"/>
      <c r="G674" s="40"/>
      <c r="H674" s="40"/>
      <c r="I674" s="40"/>
      <c r="J674" s="40"/>
      <c r="K674" s="40"/>
      <c r="L674" s="40"/>
      <c r="M674" s="40"/>
      <c r="N674" s="40"/>
      <c r="O674" s="1"/>
      <c r="P674" s="32"/>
      <c r="Q674" s="32"/>
      <c r="R674" s="33"/>
      <c r="S674" s="16"/>
    </row>
    <row r="675" spans="1:19">
      <c r="A675" s="42"/>
      <c r="B675" s="43"/>
      <c r="C675" s="43"/>
      <c r="D675" s="43"/>
      <c r="E675" s="43"/>
      <c r="F675" s="43"/>
      <c r="G675" s="43"/>
      <c r="H675" s="43"/>
      <c r="I675" s="43"/>
      <c r="J675" s="43"/>
      <c r="K675" s="43"/>
      <c r="L675" s="43"/>
      <c r="M675" s="43"/>
      <c r="N675" s="44"/>
      <c r="O675" s="1"/>
      <c r="P675" s="32"/>
      <c r="Q675" s="32"/>
      <c r="R675" s="33"/>
      <c r="S675" s="16"/>
    </row>
    <row r="676" spans="1:19">
      <c r="A676" s="40" t="s">
        <v>30</v>
      </c>
      <c r="B676" s="41"/>
      <c r="C676" s="40"/>
      <c r="D676" s="40"/>
      <c r="E676" s="40"/>
      <c r="F676" s="40"/>
      <c r="G676" s="40"/>
      <c r="H676" s="40"/>
      <c r="I676" s="40"/>
      <c r="J676" s="40"/>
      <c r="K676" s="40"/>
      <c r="L676" s="40"/>
      <c r="M676" s="40"/>
      <c r="N676" s="40"/>
      <c r="O676" s="1"/>
      <c r="P676" s="32"/>
      <c r="Q676" s="32"/>
      <c r="R676" s="33"/>
      <c r="S676" s="16"/>
    </row>
    <row r="677" spans="1:19">
      <c r="A677" s="42"/>
      <c r="B677" s="43"/>
      <c r="C677" s="43"/>
      <c r="D677" s="43"/>
      <c r="E677" s="43"/>
      <c r="F677" s="43"/>
      <c r="G677" s="43"/>
      <c r="H677" s="43"/>
      <c r="I677" s="43"/>
      <c r="J677" s="43"/>
      <c r="K677" s="43"/>
      <c r="L677" s="43"/>
      <c r="M677" s="43"/>
      <c r="N677" s="44"/>
      <c r="O677" s="1"/>
      <c r="P677" s="32"/>
      <c r="Q677" s="32"/>
      <c r="R677" s="33"/>
      <c r="S677" s="16"/>
    </row>
    <row r="678" spans="1:19">
      <c r="A678" s="40" t="s">
        <v>97</v>
      </c>
      <c r="B678" s="41"/>
      <c r="C678" s="40"/>
      <c r="D678" s="40"/>
      <c r="E678" s="40"/>
      <c r="F678" s="40"/>
      <c r="G678" s="40"/>
      <c r="H678" s="40"/>
      <c r="I678" s="40"/>
      <c r="J678" s="40"/>
      <c r="K678" s="40"/>
      <c r="L678" s="40"/>
      <c r="M678" s="40"/>
      <c r="N678" s="40"/>
      <c r="O678" s="1"/>
      <c r="P678" s="32"/>
      <c r="Q678" s="32"/>
      <c r="R678" s="33"/>
      <c r="S678" s="17"/>
    </row>
    <row r="679" spans="1:19">
      <c r="A679" s="45"/>
      <c r="B679" s="46"/>
      <c r="C679" s="46"/>
      <c r="D679" s="46"/>
      <c r="E679" s="46"/>
      <c r="F679" s="46"/>
      <c r="G679" s="46"/>
      <c r="H679" s="46"/>
      <c r="I679" s="46"/>
      <c r="J679" s="46"/>
      <c r="K679" s="46"/>
      <c r="L679" s="46"/>
      <c r="M679" s="46"/>
      <c r="N679" s="47"/>
      <c r="O679" s="1"/>
      <c r="P679" s="32"/>
      <c r="Q679" s="32"/>
      <c r="R679" s="33"/>
      <c r="S679" s="1"/>
    </row>
    <row r="680" spans="1:19">
      <c r="A680" s="48" t="s">
        <v>41</v>
      </c>
      <c r="B680" s="49"/>
      <c r="C680" s="50"/>
      <c r="D680" s="50"/>
      <c r="E680" s="50"/>
      <c r="F680" s="50"/>
      <c r="G680" s="50"/>
      <c r="H680" s="51"/>
      <c r="I680" s="51"/>
      <c r="J680" s="51"/>
      <c r="K680" s="51"/>
      <c r="L680" s="51"/>
      <c r="M680" s="51"/>
      <c r="N680" s="52"/>
      <c r="O680" s="1"/>
      <c r="P680" s="32"/>
      <c r="Q680" s="32"/>
      <c r="R680" s="33"/>
      <c r="S680" s="1"/>
    </row>
    <row r="681" spans="1:19" ht="28.2">
      <c r="A681" s="1" t="s">
        <v>45</v>
      </c>
      <c r="B681" s="7">
        <f>B620+1</f>
        <v>12</v>
      </c>
      <c r="C681" s="5"/>
      <c r="D681" s="5"/>
      <c r="E681" s="5"/>
      <c r="F681" s="5"/>
      <c r="G681" s="5"/>
      <c r="H681" s="5"/>
      <c r="I681" s="5"/>
      <c r="J681" s="5"/>
      <c r="K681" s="5"/>
      <c r="L681" s="5"/>
      <c r="M681" s="5"/>
      <c r="N681" s="5"/>
      <c r="O681" s="1"/>
      <c r="P681" s="32"/>
      <c r="Q681" s="33"/>
      <c r="R681" s="29"/>
    </row>
    <row r="682" spans="1:19">
      <c r="A682" s="1" t="s">
        <v>46</v>
      </c>
      <c r="B682" s="1" t="s">
        <v>1</v>
      </c>
      <c r="C682" s="1" t="s">
        <v>2</v>
      </c>
      <c r="D682" s="1" t="s">
        <v>3</v>
      </c>
      <c r="E682" s="1" t="s">
        <v>2</v>
      </c>
      <c r="F682" s="1"/>
      <c r="G682" s="1"/>
      <c r="H682" s="112" t="s">
        <v>4</v>
      </c>
      <c r="I682" s="112"/>
      <c r="J682" s="113">
        <f>J621+1</f>
        <v>46223</v>
      </c>
      <c r="K682" s="113"/>
      <c r="L682" s="113"/>
      <c r="M682" s="114">
        <f>J682</f>
        <v>46223</v>
      </c>
      <c r="N682" s="114"/>
      <c r="O682" s="1"/>
      <c r="P682" s="32"/>
      <c r="Q682" s="33"/>
      <c r="R682" s="29"/>
    </row>
    <row r="683" spans="1:19">
      <c r="A683" s="8" t="s">
        <v>5</v>
      </c>
      <c r="B683" s="115">
        <f>B614</f>
        <v>0</v>
      </c>
      <c r="C683" s="116"/>
      <c r="D683" s="116"/>
      <c r="E683" s="116"/>
      <c r="F683" s="116"/>
      <c r="G683" s="117"/>
      <c r="H683" s="63" t="s">
        <v>6</v>
      </c>
      <c r="I683" s="63"/>
      <c r="J683" s="63"/>
      <c r="K683" s="63" t="s">
        <v>52</v>
      </c>
      <c r="L683" s="63"/>
      <c r="M683" s="63"/>
      <c r="N683" s="63"/>
      <c r="O683" s="1"/>
      <c r="P683" s="32"/>
      <c r="Q683" s="33"/>
      <c r="R683" s="29"/>
    </row>
    <row r="684" spans="1:19">
      <c r="A684" s="8" t="s">
        <v>32</v>
      </c>
      <c r="B684" s="10">
        <v>60</v>
      </c>
      <c r="C684" s="11" t="s">
        <v>43</v>
      </c>
      <c r="D684" s="71" t="s">
        <v>7</v>
      </c>
      <c r="E684" s="73"/>
      <c r="F684" s="10">
        <f>F623+1</f>
        <v>12</v>
      </c>
      <c r="G684" s="11" t="s">
        <v>8</v>
      </c>
      <c r="H684" s="9" t="s">
        <v>9</v>
      </c>
      <c r="I684" s="10">
        <f>B684-F684</f>
        <v>48</v>
      </c>
      <c r="J684" s="11" t="s">
        <v>8</v>
      </c>
      <c r="K684" s="118" t="s">
        <v>33</v>
      </c>
      <c r="L684" s="119"/>
      <c r="M684" s="12"/>
      <c r="N684" s="11" t="s">
        <v>8</v>
      </c>
      <c r="O684" s="1"/>
      <c r="P684" s="34"/>
      <c r="Q684" s="33"/>
      <c r="R684" s="29"/>
    </row>
    <row r="685" spans="1:19">
      <c r="A685" s="71" t="s">
        <v>34</v>
      </c>
      <c r="B685" s="72"/>
      <c r="C685" s="73"/>
      <c r="D685" s="120">
        <v>46212</v>
      </c>
      <c r="E685" s="121"/>
      <c r="F685" s="121"/>
      <c r="G685" s="122"/>
      <c r="H685" s="71" t="s">
        <v>35</v>
      </c>
      <c r="I685" s="72"/>
      <c r="J685" s="73"/>
      <c r="K685" s="120">
        <f>D685+59</f>
        <v>46271</v>
      </c>
      <c r="L685" s="121"/>
      <c r="M685" s="121"/>
      <c r="N685" s="122"/>
      <c r="O685" s="1"/>
      <c r="P685" s="32"/>
      <c r="Q685" s="33"/>
      <c r="R685" s="29"/>
    </row>
    <row r="686" spans="1:19">
      <c r="A686" s="92" t="s">
        <v>10</v>
      </c>
      <c r="B686" s="93"/>
      <c r="C686" s="94"/>
      <c r="D686" s="98">
        <f>D625+0.011/5</f>
        <v>9.8999999999999991E-3</v>
      </c>
      <c r="E686" s="99"/>
      <c r="F686" s="99"/>
      <c r="G686" s="100"/>
      <c r="H686" s="104" t="s">
        <v>36</v>
      </c>
      <c r="I686" s="105"/>
      <c r="J686" s="106"/>
      <c r="K686" s="110">
        <f>R717</f>
        <v>6.1322337628813457E-2</v>
      </c>
      <c r="L686" s="105"/>
      <c r="M686" s="105"/>
      <c r="N686" s="106"/>
      <c r="O686" s="1"/>
      <c r="P686" s="32"/>
      <c r="Q686" s="33"/>
      <c r="R686" s="29"/>
    </row>
    <row r="687" spans="1:19">
      <c r="A687" s="95"/>
      <c r="B687" s="96"/>
      <c r="C687" s="97"/>
      <c r="D687" s="101"/>
      <c r="E687" s="102"/>
      <c r="F687" s="102"/>
      <c r="G687" s="103"/>
      <c r="H687" s="107"/>
      <c r="I687" s="108"/>
      <c r="J687" s="109"/>
      <c r="K687" s="107"/>
      <c r="L687" s="108"/>
      <c r="M687" s="108"/>
      <c r="N687" s="109"/>
      <c r="O687" s="1"/>
      <c r="P687" s="32"/>
      <c r="Q687" s="33"/>
      <c r="R687" s="29"/>
    </row>
    <row r="688" spans="1:19">
      <c r="A688" s="62" t="s">
        <v>11</v>
      </c>
      <c r="B688" s="62"/>
      <c r="C688" s="62"/>
      <c r="D688" s="62"/>
      <c r="E688" s="62"/>
      <c r="F688" s="62"/>
      <c r="G688" s="62"/>
      <c r="H688" s="62"/>
      <c r="I688" s="62"/>
      <c r="J688" s="62"/>
      <c r="K688" s="62"/>
      <c r="L688" s="62"/>
      <c r="M688" s="62"/>
      <c r="N688" s="62"/>
      <c r="O688" s="1"/>
      <c r="P688" s="32"/>
      <c r="Q688" s="33"/>
      <c r="R688" s="29"/>
    </row>
    <row r="689" spans="1:18">
      <c r="A689" s="111" t="s">
        <v>12</v>
      </c>
      <c r="B689" s="111"/>
      <c r="C689" s="111"/>
      <c r="D689" s="111"/>
      <c r="E689" s="111"/>
      <c r="F689" s="14" t="s">
        <v>37</v>
      </c>
      <c r="G689" s="111" t="s">
        <v>38</v>
      </c>
      <c r="H689" s="111"/>
      <c r="I689" s="63" t="s">
        <v>39</v>
      </c>
      <c r="J689" s="63"/>
      <c r="K689" s="63"/>
      <c r="L689" s="63" t="s">
        <v>40</v>
      </c>
      <c r="M689" s="63"/>
      <c r="N689" s="9" t="s">
        <v>13</v>
      </c>
      <c r="O689" s="1"/>
      <c r="P689" s="28" t="s">
        <v>47</v>
      </c>
      <c r="Q689" s="29" t="s">
        <v>48</v>
      </c>
      <c r="R689" s="29" t="s">
        <v>49</v>
      </c>
    </row>
    <row r="690" spans="1:18">
      <c r="A690" s="83" t="s">
        <v>67</v>
      </c>
      <c r="B690" s="84"/>
      <c r="C690" s="84"/>
      <c r="D690" s="84"/>
      <c r="E690" s="85"/>
      <c r="F690" s="27" t="s">
        <v>60</v>
      </c>
      <c r="G690" s="67">
        <v>1</v>
      </c>
      <c r="H690" s="68"/>
      <c r="I690" s="86"/>
      <c r="J690" s="87"/>
      <c r="K690" s="88"/>
      <c r="L690" s="69">
        <f>I690+L629</f>
        <v>1</v>
      </c>
      <c r="M690" s="70"/>
      <c r="N690" s="8"/>
      <c r="O690" s="1"/>
      <c r="P690" s="30">
        <v>6000</v>
      </c>
      <c r="Q690" s="38">
        <f>P690*G690</f>
        <v>6000</v>
      </c>
      <c r="R690" s="28">
        <f>L690*P690</f>
        <v>6000</v>
      </c>
    </row>
    <row r="691" spans="1:18">
      <c r="A691" s="83" t="s">
        <v>68</v>
      </c>
      <c r="B691" s="84"/>
      <c r="C691" s="84"/>
      <c r="D691" s="84"/>
      <c r="E691" s="85"/>
      <c r="F691" s="20" t="s">
        <v>60</v>
      </c>
      <c r="G691" s="67">
        <v>1</v>
      </c>
      <c r="H691" s="68"/>
      <c r="I691" s="87"/>
      <c r="J691" s="87"/>
      <c r="K691" s="88"/>
      <c r="L691" s="69">
        <f t="shared" ref="L691:L715" si="38">I691+L630</f>
        <v>0</v>
      </c>
      <c r="M691" s="70"/>
      <c r="N691" s="8"/>
      <c r="O691" s="1"/>
      <c r="P691" s="30">
        <v>193300</v>
      </c>
      <c r="Q691" s="38">
        <f t="shared" ref="Q691:Q715" si="39">P691*G691</f>
        <v>193300</v>
      </c>
      <c r="R691" s="28">
        <f>L691*P691</f>
        <v>0</v>
      </c>
    </row>
    <row r="692" spans="1:18">
      <c r="A692" s="89" t="s">
        <v>69</v>
      </c>
      <c r="B692" s="90"/>
      <c r="C692" s="90"/>
      <c r="D692" s="90"/>
      <c r="E692" s="91"/>
      <c r="F692" s="20" t="s">
        <v>60</v>
      </c>
      <c r="G692" s="67">
        <v>1</v>
      </c>
      <c r="H692" s="68"/>
      <c r="I692" s="87">
        <v>0.5</v>
      </c>
      <c r="J692" s="87"/>
      <c r="K692" s="88"/>
      <c r="L692" s="69">
        <f t="shared" si="38"/>
        <v>0.5</v>
      </c>
      <c r="M692" s="70"/>
      <c r="N692" s="8"/>
      <c r="O692" s="1"/>
      <c r="P692" s="30">
        <v>30000</v>
      </c>
      <c r="Q692" s="38">
        <f t="shared" si="39"/>
        <v>30000</v>
      </c>
      <c r="R692" s="28">
        <f>L692*P692</f>
        <v>15000</v>
      </c>
    </row>
    <row r="693" spans="1:18">
      <c r="A693" s="64" t="s">
        <v>70</v>
      </c>
      <c r="B693" s="65"/>
      <c r="C693" s="65"/>
      <c r="D693" s="65"/>
      <c r="E693" s="66"/>
      <c r="F693" s="20" t="s">
        <v>60</v>
      </c>
      <c r="G693" s="67">
        <v>1</v>
      </c>
      <c r="H693" s="68"/>
      <c r="I693" s="87"/>
      <c r="J693" s="87"/>
      <c r="K693" s="88"/>
      <c r="L693" s="69">
        <f t="shared" si="38"/>
        <v>1</v>
      </c>
      <c r="M693" s="70"/>
      <c r="N693" s="8"/>
      <c r="O693" s="1"/>
      <c r="P693" s="31">
        <v>10000</v>
      </c>
      <c r="Q693" s="38">
        <f t="shared" si="39"/>
        <v>10000</v>
      </c>
      <c r="R693" s="28">
        <f t="shared" ref="R693:R715" si="40">L693*P693</f>
        <v>10000</v>
      </c>
    </row>
    <row r="694" spans="1:18">
      <c r="A694" s="64" t="s">
        <v>71</v>
      </c>
      <c r="B694" s="65"/>
      <c r="C694" s="65"/>
      <c r="D694" s="65"/>
      <c r="E694" s="66"/>
      <c r="F694" s="20" t="s">
        <v>61</v>
      </c>
      <c r="G694" s="67">
        <v>9</v>
      </c>
      <c r="H694" s="68"/>
      <c r="I694" s="87"/>
      <c r="J694" s="87"/>
      <c r="K694" s="88"/>
      <c r="L694" s="69">
        <f t="shared" si="38"/>
        <v>9</v>
      </c>
      <c r="M694" s="70"/>
      <c r="N694" s="8"/>
      <c r="O694" s="1"/>
      <c r="P694" s="30">
        <v>21000</v>
      </c>
      <c r="Q694" s="38">
        <f t="shared" si="39"/>
        <v>189000</v>
      </c>
      <c r="R694" s="28">
        <f t="shared" si="40"/>
        <v>189000</v>
      </c>
    </row>
    <row r="695" spans="1:18">
      <c r="A695" s="64" t="s">
        <v>72</v>
      </c>
      <c r="B695" s="65"/>
      <c r="C695" s="65"/>
      <c r="D695" s="65"/>
      <c r="E695" s="66"/>
      <c r="F695" s="2" t="s">
        <v>60</v>
      </c>
      <c r="G695" s="67">
        <v>1</v>
      </c>
      <c r="H695" s="68"/>
      <c r="I695" s="87"/>
      <c r="J695" s="87"/>
      <c r="K695" s="88"/>
      <c r="L695" s="69">
        <f t="shared" si="38"/>
        <v>0</v>
      </c>
      <c r="M695" s="70"/>
      <c r="N695" s="8"/>
      <c r="O695" s="1"/>
      <c r="P695" s="30">
        <v>184468</v>
      </c>
      <c r="Q695" s="38">
        <f t="shared" si="39"/>
        <v>184468</v>
      </c>
      <c r="R695" s="28">
        <f t="shared" si="40"/>
        <v>0</v>
      </c>
    </row>
    <row r="696" spans="1:18">
      <c r="A696" s="83" t="s">
        <v>73</v>
      </c>
      <c r="B696" s="84"/>
      <c r="C696" s="84"/>
      <c r="D696" s="84"/>
      <c r="E696" s="85"/>
      <c r="F696" s="20" t="s">
        <v>62</v>
      </c>
      <c r="G696" s="67">
        <v>9</v>
      </c>
      <c r="H696" s="68"/>
      <c r="I696" s="87"/>
      <c r="J696" s="87"/>
      <c r="K696" s="88"/>
      <c r="L696" s="69">
        <f t="shared" si="38"/>
        <v>0</v>
      </c>
      <c r="M696" s="70"/>
      <c r="N696" s="8"/>
      <c r="O696" s="1"/>
      <c r="P696" s="30">
        <v>20000</v>
      </c>
      <c r="Q696" s="38">
        <f t="shared" si="39"/>
        <v>180000</v>
      </c>
      <c r="R696" s="28">
        <f t="shared" si="40"/>
        <v>0</v>
      </c>
    </row>
    <row r="697" spans="1:18">
      <c r="A697" s="83" t="s">
        <v>100</v>
      </c>
      <c r="B697" s="84"/>
      <c r="C697" s="84"/>
      <c r="D697" s="84"/>
      <c r="E697" s="85"/>
      <c r="F697" s="20" t="s">
        <v>63</v>
      </c>
      <c r="G697" s="67">
        <v>52</v>
      </c>
      <c r="H697" s="68"/>
      <c r="I697" s="87">
        <v>15</v>
      </c>
      <c r="J697" s="87"/>
      <c r="K697" s="88"/>
      <c r="L697" s="69">
        <f t="shared" si="38"/>
        <v>15</v>
      </c>
      <c r="M697" s="70"/>
      <c r="N697" s="8"/>
      <c r="O697" s="1"/>
      <c r="P697" s="31">
        <v>2500</v>
      </c>
      <c r="Q697" s="38">
        <f t="shared" si="39"/>
        <v>130000</v>
      </c>
      <c r="R697" s="28">
        <f t="shared" si="40"/>
        <v>37500</v>
      </c>
    </row>
    <row r="698" spans="1:18">
      <c r="A698" s="83" t="s">
        <v>75</v>
      </c>
      <c r="B698" s="84"/>
      <c r="C698" s="84"/>
      <c r="D698" s="84"/>
      <c r="E698" s="85"/>
      <c r="F698" s="20" t="s">
        <v>64</v>
      </c>
      <c r="G698" s="67">
        <v>1</v>
      </c>
      <c r="H698" s="68"/>
      <c r="I698" s="87"/>
      <c r="J698" s="87"/>
      <c r="K698" s="88"/>
      <c r="L698" s="69">
        <f t="shared" si="38"/>
        <v>0</v>
      </c>
      <c r="M698" s="70"/>
      <c r="N698" s="8"/>
      <c r="O698" s="1"/>
      <c r="P698" s="30">
        <v>80000</v>
      </c>
      <c r="Q698" s="38">
        <f t="shared" si="39"/>
        <v>80000</v>
      </c>
      <c r="R698" s="28">
        <f t="shared" si="40"/>
        <v>0</v>
      </c>
    </row>
    <row r="699" spans="1:18">
      <c r="A699" s="89" t="s">
        <v>76</v>
      </c>
      <c r="B699" s="90"/>
      <c r="C699" s="90"/>
      <c r="D699" s="90"/>
      <c r="E699" s="91"/>
      <c r="F699" s="20" t="s">
        <v>65</v>
      </c>
      <c r="G699" s="67">
        <v>31</v>
      </c>
      <c r="H699" s="68"/>
      <c r="I699" s="87"/>
      <c r="J699" s="87"/>
      <c r="K699" s="88"/>
      <c r="L699" s="69">
        <f t="shared" si="38"/>
        <v>0</v>
      </c>
      <c r="M699" s="70"/>
      <c r="N699" s="8"/>
      <c r="O699" s="1"/>
      <c r="P699" s="30">
        <v>400</v>
      </c>
      <c r="Q699" s="38">
        <f t="shared" si="39"/>
        <v>12400</v>
      </c>
      <c r="R699" s="28">
        <f t="shared" si="40"/>
        <v>0</v>
      </c>
    </row>
    <row r="700" spans="1:18">
      <c r="A700" s="64" t="s">
        <v>77</v>
      </c>
      <c r="B700" s="65"/>
      <c r="C700" s="65"/>
      <c r="D700" s="65"/>
      <c r="E700" s="66"/>
      <c r="F700" s="20" t="s">
        <v>65</v>
      </c>
      <c r="G700" s="67">
        <v>100</v>
      </c>
      <c r="H700" s="68"/>
      <c r="I700" s="87"/>
      <c r="J700" s="87"/>
      <c r="K700" s="88"/>
      <c r="L700" s="69">
        <f t="shared" si="38"/>
        <v>0</v>
      </c>
      <c r="M700" s="70"/>
      <c r="N700" s="8"/>
      <c r="O700" s="1"/>
      <c r="P700" s="30">
        <v>350</v>
      </c>
      <c r="Q700" s="38">
        <f t="shared" si="39"/>
        <v>35000</v>
      </c>
      <c r="R700" s="28">
        <f t="shared" si="40"/>
        <v>0</v>
      </c>
    </row>
    <row r="701" spans="1:18">
      <c r="A701" s="64" t="s">
        <v>78</v>
      </c>
      <c r="B701" s="65"/>
      <c r="C701" s="65"/>
      <c r="D701" s="65"/>
      <c r="E701" s="66"/>
      <c r="F701" s="20" t="s">
        <v>63</v>
      </c>
      <c r="G701" s="67">
        <v>35</v>
      </c>
      <c r="H701" s="68"/>
      <c r="I701" s="87"/>
      <c r="J701" s="87"/>
      <c r="K701" s="88"/>
      <c r="L701" s="69">
        <f t="shared" si="38"/>
        <v>0</v>
      </c>
      <c r="M701" s="70"/>
      <c r="N701" s="8"/>
      <c r="O701" s="1"/>
      <c r="P701" s="30">
        <v>1200</v>
      </c>
      <c r="Q701" s="38">
        <f t="shared" si="39"/>
        <v>42000</v>
      </c>
      <c r="R701" s="28">
        <f t="shared" si="40"/>
        <v>0</v>
      </c>
    </row>
    <row r="702" spans="1:18">
      <c r="A702" s="64" t="s">
        <v>79</v>
      </c>
      <c r="B702" s="65"/>
      <c r="C702" s="65"/>
      <c r="D702" s="65"/>
      <c r="E702" s="66"/>
      <c r="F702" s="20" t="s">
        <v>63</v>
      </c>
      <c r="G702" s="67">
        <v>282</v>
      </c>
      <c r="H702" s="68"/>
      <c r="I702" s="86"/>
      <c r="J702" s="87"/>
      <c r="K702" s="88"/>
      <c r="L702" s="69">
        <f t="shared" si="38"/>
        <v>0</v>
      </c>
      <c r="M702" s="70"/>
      <c r="N702" s="8"/>
      <c r="O702" s="1"/>
      <c r="P702" s="30">
        <v>1400</v>
      </c>
      <c r="Q702" s="38">
        <f t="shared" si="39"/>
        <v>394800</v>
      </c>
      <c r="R702" s="28">
        <f t="shared" si="40"/>
        <v>0</v>
      </c>
    </row>
    <row r="703" spans="1:18">
      <c r="A703" s="83" t="s">
        <v>80</v>
      </c>
      <c r="B703" s="84"/>
      <c r="C703" s="84"/>
      <c r="D703" s="84"/>
      <c r="E703" s="85"/>
      <c r="F703" s="21" t="s">
        <v>65</v>
      </c>
      <c r="G703" s="67">
        <v>58</v>
      </c>
      <c r="H703" s="68"/>
      <c r="I703" s="86"/>
      <c r="J703" s="87"/>
      <c r="K703" s="88"/>
      <c r="L703" s="69">
        <f t="shared" si="38"/>
        <v>0</v>
      </c>
      <c r="M703" s="70"/>
      <c r="N703" s="8"/>
      <c r="O703" s="1"/>
      <c r="P703" s="30">
        <v>3600</v>
      </c>
      <c r="Q703" s="38">
        <f t="shared" si="39"/>
        <v>208800</v>
      </c>
      <c r="R703" s="28">
        <f t="shared" si="40"/>
        <v>0</v>
      </c>
    </row>
    <row r="704" spans="1:18">
      <c r="A704" s="83" t="s">
        <v>81</v>
      </c>
      <c r="B704" s="84"/>
      <c r="C704" s="84"/>
      <c r="D704" s="84"/>
      <c r="E704" s="85"/>
      <c r="F704" s="21" t="s">
        <v>65</v>
      </c>
      <c r="G704" s="67">
        <v>360</v>
      </c>
      <c r="H704" s="68"/>
      <c r="I704" s="86"/>
      <c r="J704" s="87"/>
      <c r="K704" s="88"/>
      <c r="L704" s="69">
        <f t="shared" si="38"/>
        <v>0</v>
      </c>
      <c r="M704" s="70"/>
      <c r="N704" s="8"/>
      <c r="O704" s="1"/>
      <c r="P704" s="30">
        <v>230</v>
      </c>
      <c r="Q704" s="38">
        <f t="shared" si="39"/>
        <v>82800</v>
      </c>
      <c r="R704" s="28">
        <f t="shared" si="40"/>
        <v>0</v>
      </c>
    </row>
    <row r="705" spans="1:19">
      <c r="A705" s="83" t="s">
        <v>82</v>
      </c>
      <c r="B705" s="84"/>
      <c r="C705" s="84"/>
      <c r="D705" s="84"/>
      <c r="E705" s="85"/>
      <c r="F705" s="21" t="s">
        <v>65</v>
      </c>
      <c r="G705" s="67">
        <v>2400</v>
      </c>
      <c r="H705" s="68"/>
      <c r="I705" s="86"/>
      <c r="J705" s="87"/>
      <c r="K705" s="88"/>
      <c r="L705" s="69">
        <f t="shared" si="38"/>
        <v>0</v>
      </c>
      <c r="M705" s="70"/>
      <c r="N705" s="8"/>
      <c r="O705" s="1"/>
      <c r="P705" s="30">
        <v>80</v>
      </c>
      <c r="Q705" s="38">
        <f t="shared" si="39"/>
        <v>192000</v>
      </c>
      <c r="R705" s="28">
        <f t="shared" si="40"/>
        <v>0</v>
      </c>
    </row>
    <row r="706" spans="1:19">
      <c r="A706" s="89" t="s">
        <v>83</v>
      </c>
      <c r="B706" s="90"/>
      <c r="C706" s="90"/>
      <c r="D706" s="90"/>
      <c r="E706" s="91"/>
      <c r="F706" s="21" t="s">
        <v>65</v>
      </c>
      <c r="G706" s="67">
        <v>360</v>
      </c>
      <c r="H706" s="68"/>
      <c r="I706" s="86"/>
      <c r="J706" s="87"/>
      <c r="K706" s="88"/>
      <c r="L706" s="69">
        <f t="shared" si="38"/>
        <v>0</v>
      </c>
      <c r="M706" s="70"/>
      <c r="N706" s="8"/>
      <c r="O706" s="1"/>
      <c r="P706" s="30">
        <v>420</v>
      </c>
      <c r="Q706" s="38">
        <f t="shared" si="39"/>
        <v>151200</v>
      </c>
      <c r="R706" s="28">
        <f t="shared" si="40"/>
        <v>0</v>
      </c>
    </row>
    <row r="707" spans="1:19">
      <c r="A707" s="64" t="s">
        <v>84</v>
      </c>
      <c r="B707" s="65"/>
      <c r="C707" s="65"/>
      <c r="D707" s="65"/>
      <c r="E707" s="66"/>
      <c r="F707" s="21" t="s">
        <v>65</v>
      </c>
      <c r="G707" s="67">
        <v>2760</v>
      </c>
      <c r="H707" s="68"/>
      <c r="I707" s="86"/>
      <c r="J707" s="87"/>
      <c r="K707" s="88"/>
      <c r="L707" s="69">
        <f t="shared" si="38"/>
        <v>0</v>
      </c>
      <c r="M707" s="70"/>
      <c r="N707" s="8"/>
      <c r="O707" s="1"/>
      <c r="P707" s="30">
        <v>460</v>
      </c>
      <c r="Q707" s="38">
        <f t="shared" si="39"/>
        <v>1269600</v>
      </c>
      <c r="R707" s="28">
        <f t="shared" si="40"/>
        <v>0</v>
      </c>
    </row>
    <row r="708" spans="1:19">
      <c r="A708" s="64" t="s">
        <v>85</v>
      </c>
      <c r="B708" s="65"/>
      <c r="C708" s="65"/>
      <c r="D708" s="65"/>
      <c r="E708" s="66"/>
      <c r="F708" s="21" t="s">
        <v>65</v>
      </c>
      <c r="G708" s="67">
        <v>275</v>
      </c>
      <c r="H708" s="68"/>
      <c r="I708" s="86"/>
      <c r="J708" s="87"/>
      <c r="K708" s="88"/>
      <c r="L708" s="69">
        <f t="shared" si="38"/>
        <v>0</v>
      </c>
      <c r="M708" s="70"/>
      <c r="N708" s="8"/>
      <c r="O708" s="1"/>
      <c r="P708" s="31">
        <v>350</v>
      </c>
      <c r="Q708" s="38">
        <f t="shared" si="39"/>
        <v>96250</v>
      </c>
      <c r="R708" s="28">
        <f t="shared" si="40"/>
        <v>0</v>
      </c>
    </row>
    <row r="709" spans="1:19">
      <c r="A709" s="64" t="s">
        <v>86</v>
      </c>
      <c r="B709" s="65"/>
      <c r="C709" s="65"/>
      <c r="D709" s="65"/>
      <c r="E709" s="66"/>
      <c r="F709" s="21" t="s">
        <v>60</v>
      </c>
      <c r="G709" s="67">
        <v>1</v>
      </c>
      <c r="H709" s="68"/>
      <c r="I709" s="86"/>
      <c r="J709" s="87"/>
      <c r="K709" s="88"/>
      <c r="L709" s="69">
        <f t="shared" si="38"/>
        <v>0</v>
      </c>
      <c r="M709" s="70"/>
      <c r="N709" s="8"/>
      <c r="O709" s="2"/>
      <c r="P709" s="30">
        <v>40000</v>
      </c>
      <c r="Q709" s="38">
        <f t="shared" si="39"/>
        <v>40000</v>
      </c>
      <c r="R709" s="28">
        <f t="shared" si="40"/>
        <v>0</v>
      </c>
    </row>
    <row r="710" spans="1:19">
      <c r="A710" s="83" t="s">
        <v>87</v>
      </c>
      <c r="B710" s="84"/>
      <c r="C710" s="84"/>
      <c r="D710" s="84"/>
      <c r="E710" s="85"/>
      <c r="F710" s="20" t="s">
        <v>60</v>
      </c>
      <c r="G710" s="67">
        <v>1</v>
      </c>
      <c r="H710" s="68"/>
      <c r="I710" s="86"/>
      <c r="J710" s="87"/>
      <c r="K710" s="88"/>
      <c r="L710" s="69">
        <f t="shared" si="38"/>
        <v>0</v>
      </c>
      <c r="M710" s="70"/>
      <c r="N710" s="8"/>
      <c r="O710" s="1"/>
      <c r="P710" s="31">
        <v>276970</v>
      </c>
      <c r="Q710" s="38">
        <f t="shared" si="39"/>
        <v>276970</v>
      </c>
      <c r="R710" s="28">
        <f t="shared" si="40"/>
        <v>0</v>
      </c>
    </row>
    <row r="711" spans="1:19">
      <c r="A711" s="83" t="s">
        <v>88</v>
      </c>
      <c r="B711" s="84"/>
      <c r="C711" s="84"/>
      <c r="D711" s="84"/>
      <c r="E711" s="85"/>
      <c r="F711" s="20" t="s">
        <v>60</v>
      </c>
      <c r="G711" s="67">
        <v>1</v>
      </c>
      <c r="H711" s="68"/>
      <c r="I711" s="26"/>
      <c r="J711" s="23"/>
      <c r="K711" s="24"/>
      <c r="L711" s="69">
        <f t="shared" si="38"/>
        <v>0</v>
      </c>
      <c r="M711" s="70"/>
      <c r="N711" s="25"/>
      <c r="O711" s="1"/>
      <c r="P711" s="32">
        <v>60873</v>
      </c>
      <c r="Q711" s="38">
        <f t="shared" si="39"/>
        <v>60873</v>
      </c>
      <c r="R711" s="28">
        <f t="shared" si="40"/>
        <v>0</v>
      </c>
    </row>
    <row r="712" spans="1:19">
      <c r="A712" s="83" t="s">
        <v>89</v>
      </c>
      <c r="B712" s="84"/>
      <c r="C712" s="84"/>
      <c r="D712" s="84"/>
      <c r="E712" s="85"/>
      <c r="F712" s="20" t="s">
        <v>60</v>
      </c>
      <c r="G712" s="67">
        <v>1</v>
      </c>
      <c r="H712" s="68"/>
      <c r="I712" s="26"/>
      <c r="J712" s="23"/>
      <c r="K712" s="24"/>
      <c r="L712" s="69">
        <f t="shared" si="38"/>
        <v>0</v>
      </c>
      <c r="M712" s="70"/>
      <c r="N712" s="25"/>
      <c r="O712" s="1"/>
      <c r="P712" s="32">
        <v>60873</v>
      </c>
      <c r="Q712" s="38">
        <f t="shared" si="39"/>
        <v>60873</v>
      </c>
      <c r="R712" s="28">
        <f t="shared" si="40"/>
        <v>0</v>
      </c>
    </row>
    <row r="713" spans="1:19">
      <c r="A713" s="83" t="s">
        <v>90</v>
      </c>
      <c r="B713" s="84"/>
      <c r="C713" s="84"/>
      <c r="D713" s="84"/>
      <c r="E713" s="85"/>
      <c r="F713" s="20" t="s">
        <v>60</v>
      </c>
      <c r="G713" s="67">
        <v>1</v>
      </c>
      <c r="H713" s="68"/>
      <c r="I713" s="26"/>
      <c r="J713" s="23"/>
      <c r="K713" s="24"/>
      <c r="L713" s="69">
        <f t="shared" si="38"/>
        <v>0</v>
      </c>
      <c r="M713" s="70"/>
      <c r="N713" s="25"/>
      <c r="O713" s="1"/>
      <c r="P713" s="34">
        <v>266321</v>
      </c>
      <c r="Q713" s="38">
        <f t="shared" si="39"/>
        <v>266321</v>
      </c>
      <c r="R713" s="28">
        <f t="shared" si="40"/>
        <v>0</v>
      </c>
    </row>
    <row r="714" spans="1:19">
      <c r="A714" s="83" t="s">
        <v>91</v>
      </c>
      <c r="B714" s="84"/>
      <c r="C714" s="84"/>
      <c r="D714" s="84"/>
      <c r="E714" s="85"/>
      <c r="F714" s="2" t="s">
        <v>60</v>
      </c>
      <c r="G714" s="67">
        <v>1</v>
      </c>
      <c r="H714" s="68"/>
      <c r="I714" s="26"/>
      <c r="J714" s="23"/>
      <c r="K714" s="24"/>
      <c r="L714" s="69">
        <f t="shared" si="38"/>
        <v>1</v>
      </c>
      <c r="M714" s="70"/>
      <c r="N714" s="25"/>
      <c r="O714" s="1"/>
      <c r="P714" s="32">
        <v>13316</v>
      </c>
      <c r="Q714" s="38">
        <f t="shared" si="39"/>
        <v>13316</v>
      </c>
      <c r="R714" s="28">
        <f t="shared" si="40"/>
        <v>13316</v>
      </c>
    </row>
    <row r="715" spans="1:19">
      <c r="A715" s="83" t="s">
        <v>92</v>
      </c>
      <c r="B715" s="84"/>
      <c r="C715" s="84"/>
      <c r="D715" s="84"/>
      <c r="E715" s="85"/>
      <c r="F715" s="20" t="s">
        <v>60</v>
      </c>
      <c r="G715" s="67">
        <v>1</v>
      </c>
      <c r="H715" s="68"/>
      <c r="I715" s="26"/>
      <c r="J715" s="23"/>
      <c r="K715" s="24"/>
      <c r="L715" s="69">
        <f t="shared" si="38"/>
        <v>0</v>
      </c>
      <c r="M715" s="70"/>
      <c r="N715" s="25"/>
      <c r="O715" s="1"/>
      <c r="P715" s="32">
        <v>210299</v>
      </c>
      <c r="Q715" s="38">
        <f t="shared" si="39"/>
        <v>210299</v>
      </c>
      <c r="R715" s="28">
        <f t="shared" si="40"/>
        <v>0</v>
      </c>
    </row>
    <row r="716" spans="1:19">
      <c r="A716" s="64"/>
      <c r="B716" s="65"/>
      <c r="C716" s="65"/>
      <c r="D716" s="65"/>
      <c r="E716" s="66"/>
      <c r="F716" s="22"/>
      <c r="G716" s="67"/>
      <c r="H716" s="68"/>
      <c r="I716" s="26"/>
      <c r="J716" s="23"/>
      <c r="K716" s="24"/>
      <c r="L716" s="69"/>
      <c r="M716" s="70"/>
      <c r="N716" s="25"/>
      <c r="O716" s="3"/>
      <c r="P716" s="32"/>
      <c r="Q716" s="33">
        <f>SUM(Q690:Q715)</f>
        <v>4416270</v>
      </c>
      <c r="R716" s="29">
        <f>SUM(R690:R715)</f>
        <v>270816</v>
      </c>
    </row>
    <row r="717" spans="1:19">
      <c r="A717" s="64"/>
      <c r="B717" s="65"/>
      <c r="C717" s="65"/>
      <c r="D717" s="65"/>
      <c r="E717" s="66"/>
      <c r="F717" s="22"/>
      <c r="G717" s="67"/>
      <c r="H717" s="68"/>
      <c r="I717" s="26"/>
      <c r="J717" s="23"/>
      <c r="K717" s="24"/>
      <c r="L717" s="69"/>
      <c r="M717" s="70"/>
      <c r="N717" s="25"/>
      <c r="O717" s="3"/>
      <c r="P717" s="32"/>
      <c r="Q717" s="33"/>
      <c r="R717" s="37">
        <f>R716/Q716</f>
        <v>6.1322337628813457E-2</v>
      </c>
    </row>
    <row r="718" spans="1:19">
      <c r="A718" s="62" t="s">
        <v>14</v>
      </c>
      <c r="B718" s="62"/>
      <c r="C718" s="62"/>
      <c r="D718" s="62"/>
      <c r="E718" s="62"/>
      <c r="F718" s="62"/>
      <c r="G718" s="62"/>
      <c r="H718" s="62"/>
      <c r="I718" s="62"/>
      <c r="J718" s="62"/>
      <c r="K718" s="62"/>
      <c r="L718" s="62"/>
      <c r="M718" s="62"/>
      <c r="N718" s="62"/>
      <c r="O718" s="1"/>
      <c r="P718" s="32"/>
      <c r="Q718" s="33"/>
      <c r="R718" s="29"/>
      <c r="S718" s="16"/>
    </row>
    <row r="719" spans="1:19">
      <c r="A719" s="71" t="s">
        <v>15</v>
      </c>
      <c r="B719" s="72"/>
      <c r="C719" s="72"/>
      <c r="D719" s="72"/>
      <c r="E719" s="73"/>
      <c r="F719" s="9" t="s">
        <v>37</v>
      </c>
      <c r="G719" s="71" t="s">
        <v>38</v>
      </c>
      <c r="H719" s="73"/>
      <c r="I719" s="71" t="s">
        <v>42</v>
      </c>
      <c r="J719" s="72"/>
      <c r="K719" s="73"/>
      <c r="L719" s="74" t="s">
        <v>17</v>
      </c>
      <c r="M719" s="75"/>
      <c r="N719" s="9" t="s">
        <v>13</v>
      </c>
      <c r="O719" s="1"/>
      <c r="P719" s="32"/>
      <c r="Q719" s="33"/>
      <c r="R719" s="29"/>
      <c r="S719" s="16"/>
    </row>
    <row r="720" spans="1:19">
      <c r="A720" s="71"/>
      <c r="B720" s="72"/>
      <c r="C720" s="72"/>
      <c r="D720" s="72"/>
      <c r="E720" s="73"/>
      <c r="F720" s="13"/>
      <c r="G720" s="76"/>
      <c r="H720" s="77"/>
      <c r="I720" s="78"/>
      <c r="J720" s="79"/>
      <c r="K720" s="80"/>
      <c r="L720" s="81"/>
      <c r="M720" s="82"/>
      <c r="N720" s="8"/>
      <c r="O720" s="1"/>
      <c r="P720" s="32"/>
      <c r="Q720" s="33"/>
      <c r="R720" s="29"/>
      <c r="S720" s="16"/>
    </row>
    <row r="721" spans="1:19">
      <c r="A721" s="62" t="s">
        <v>19</v>
      </c>
      <c r="B721" s="62"/>
      <c r="C721" s="62"/>
      <c r="D721" s="62"/>
      <c r="E721" s="62"/>
      <c r="F721" s="62"/>
      <c r="G721" s="62"/>
      <c r="H721" s="62"/>
      <c r="I721" s="62"/>
      <c r="J721" s="62"/>
      <c r="K721" s="62"/>
      <c r="L721" s="62"/>
      <c r="M721" s="62"/>
      <c r="N721" s="62"/>
      <c r="O721" s="1"/>
      <c r="P721" s="32"/>
      <c r="Q721" s="33"/>
      <c r="R721" s="29"/>
      <c r="S721" s="16"/>
    </row>
    <row r="722" spans="1:19">
      <c r="A722" s="63" t="s">
        <v>20</v>
      </c>
      <c r="B722" s="63"/>
      <c r="C722" s="63" t="s">
        <v>21</v>
      </c>
      <c r="D722" s="63"/>
      <c r="E722" s="63" t="s">
        <v>22</v>
      </c>
      <c r="F722" s="63"/>
      <c r="G722" s="63" t="s">
        <v>23</v>
      </c>
      <c r="H722" s="63"/>
      <c r="I722" s="63"/>
      <c r="J722" s="63" t="s">
        <v>16</v>
      </c>
      <c r="K722" s="63"/>
      <c r="L722" s="63"/>
      <c r="M722" s="63" t="s">
        <v>17</v>
      </c>
      <c r="N722" s="63"/>
      <c r="O722" s="1"/>
      <c r="Q722" s="32"/>
      <c r="R722" s="33"/>
      <c r="S722" s="16"/>
    </row>
    <row r="723" spans="1:19">
      <c r="A723" s="60" t="s">
        <v>24</v>
      </c>
      <c r="B723" s="52"/>
      <c r="C723" s="61">
        <v>3</v>
      </c>
      <c r="D723" s="61"/>
      <c r="E723" s="61">
        <f>C723+E662</f>
        <v>9</v>
      </c>
      <c r="F723" s="61"/>
      <c r="G723" s="60" t="s">
        <v>51</v>
      </c>
      <c r="H723" s="51"/>
      <c r="I723" s="52"/>
      <c r="J723" s="61"/>
      <c r="K723" s="61"/>
      <c r="L723" s="61"/>
      <c r="M723" s="61">
        <f>K723+M662</f>
        <v>1</v>
      </c>
      <c r="N723" s="61"/>
      <c r="O723" s="1"/>
      <c r="Q723" s="32"/>
      <c r="R723" s="33"/>
      <c r="S723" s="16"/>
    </row>
    <row r="724" spans="1:19">
      <c r="A724" s="60" t="s">
        <v>25</v>
      </c>
      <c r="B724" s="52"/>
      <c r="C724" s="61">
        <v>3</v>
      </c>
      <c r="D724" s="61"/>
      <c r="E724" s="61">
        <f>C724+E663</f>
        <v>8</v>
      </c>
      <c r="F724" s="61"/>
      <c r="G724" s="60" t="s">
        <v>50</v>
      </c>
      <c r="H724" s="51"/>
      <c r="I724" s="52"/>
      <c r="J724" s="61"/>
      <c r="K724" s="61"/>
      <c r="L724" s="61"/>
      <c r="M724" s="61">
        <f>K724+M663</f>
        <v>1</v>
      </c>
      <c r="N724" s="61"/>
      <c r="O724" s="1"/>
      <c r="Q724" s="32"/>
      <c r="R724" s="33"/>
      <c r="S724" s="16"/>
    </row>
    <row r="725" spans="1:19">
      <c r="A725" s="60"/>
      <c r="B725" s="52"/>
      <c r="C725" s="61"/>
      <c r="D725" s="61"/>
      <c r="E725" s="61"/>
      <c r="F725" s="61"/>
      <c r="G725" s="60" t="s">
        <v>55</v>
      </c>
      <c r="H725" s="51"/>
      <c r="I725" s="52"/>
      <c r="J725" s="61"/>
      <c r="K725" s="61"/>
      <c r="L725" s="61"/>
      <c r="M725" s="61">
        <f>K725+M664</f>
        <v>0</v>
      </c>
      <c r="N725" s="61"/>
      <c r="O725" s="2"/>
      <c r="P725" s="29"/>
      <c r="Q725" s="32"/>
      <c r="R725" s="33"/>
      <c r="S725" s="16"/>
    </row>
    <row r="726" spans="1:19">
      <c r="A726" s="53" t="s">
        <v>53</v>
      </c>
      <c r="B726" s="47"/>
      <c r="C726" s="53"/>
      <c r="D726" s="53"/>
      <c r="E726" s="53"/>
      <c r="F726" s="53"/>
      <c r="G726" s="53"/>
      <c r="H726" s="53"/>
      <c r="I726" s="53"/>
      <c r="J726" s="53"/>
      <c r="K726" s="53"/>
      <c r="L726" s="53"/>
      <c r="M726" s="53"/>
      <c r="N726" s="53"/>
      <c r="O726" s="1"/>
      <c r="P726" s="32"/>
      <c r="Q726" s="32"/>
      <c r="R726" s="33"/>
      <c r="S726" s="16"/>
    </row>
    <row r="727" spans="1:19">
      <c r="A727" s="45" t="s">
        <v>56</v>
      </c>
      <c r="B727" s="46"/>
      <c r="C727" s="46"/>
      <c r="D727" s="46"/>
      <c r="E727" s="46"/>
      <c r="F727" s="46"/>
      <c r="G727" s="46"/>
      <c r="H727" s="46"/>
      <c r="I727" s="46"/>
      <c r="J727" s="46"/>
      <c r="K727" s="46"/>
      <c r="L727" s="46"/>
      <c r="M727" s="46"/>
      <c r="N727" s="47"/>
      <c r="O727" s="1"/>
      <c r="P727" s="32"/>
      <c r="Q727" s="34"/>
      <c r="R727" s="33"/>
      <c r="S727" s="16"/>
    </row>
    <row r="728" spans="1:19">
      <c r="A728" s="54" t="s">
        <v>54</v>
      </c>
      <c r="B728" s="55"/>
      <c r="C728" s="55"/>
      <c r="D728" s="55"/>
      <c r="E728" s="55"/>
      <c r="F728" s="55"/>
      <c r="G728" s="55"/>
      <c r="H728" s="55"/>
      <c r="I728" s="55"/>
      <c r="J728" s="55"/>
      <c r="K728" s="55"/>
      <c r="L728" s="55"/>
      <c r="M728" s="55"/>
      <c r="N728" s="56"/>
      <c r="O728" s="1"/>
      <c r="P728" s="32"/>
      <c r="Q728" s="32"/>
      <c r="R728" s="33"/>
      <c r="S728" s="16"/>
    </row>
    <row r="729" spans="1:19">
      <c r="A729" s="40" t="s">
        <v>26</v>
      </c>
      <c r="B729" s="41"/>
      <c r="C729" s="40"/>
      <c r="D729" s="40"/>
      <c r="E729" s="40"/>
      <c r="F729" s="40"/>
      <c r="G729" s="40"/>
      <c r="H729" s="40"/>
      <c r="I729" s="40"/>
      <c r="J729" s="40"/>
      <c r="K729" s="40"/>
      <c r="L729" s="40"/>
      <c r="M729" s="40"/>
      <c r="N729" s="40"/>
      <c r="O729" s="1"/>
      <c r="P729" s="32"/>
      <c r="Q729" s="32"/>
      <c r="R729" s="33"/>
      <c r="S729" s="16"/>
    </row>
    <row r="730" spans="1:19">
      <c r="A730" s="57" t="s">
        <v>27</v>
      </c>
      <c r="B730" s="58"/>
      <c r="C730" s="58"/>
      <c r="D730" s="58"/>
      <c r="E730" s="58"/>
      <c r="F730" s="58"/>
      <c r="G730" s="58"/>
      <c r="H730" s="58"/>
      <c r="I730" s="58"/>
      <c r="J730" s="58"/>
      <c r="K730" s="58"/>
      <c r="L730" s="58"/>
      <c r="M730" s="58"/>
      <c r="N730" s="59"/>
      <c r="O730" s="1"/>
      <c r="P730" s="34"/>
      <c r="Q730" s="34"/>
      <c r="R730" s="33"/>
      <c r="S730" s="16"/>
    </row>
    <row r="731" spans="1:19">
      <c r="A731" s="57" t="s">
        <v>57</v>
      </c>
      <c r="B731" s="58"/>
      <c r="C731" s="58"/>
      <c r="D731" s="58"/>
      <c r="E731" s="58"/>
      <c r="F731" s="58"/>
      <c r="G731" s="58"/>
      <c r="H731" s="58"/>
      <c r="I731" s="58"/>
      <c r="J731" s="58"/>
      <c r="K731" s="58"/>
      <c r="L731" s="58"/>
      <c r="M731" s="58"/>
      <c r="N731" s="59"/>
      <c r="O731" s="1"/>
      <c r="P731" s="32"/>
      <c r="Q731" s="32"/>
      <c r="R731" s="33"/>
      <c r="S731" s="16"/>
    </row>
    <row r="732" spans="1:19">
      <c r="A732" s="57" t="s">
        <v>58</v>
      </c>
      <c r="B732" s="58"/>
      <c r="C732" s="58"/>
      <c r="D732" s="58"/>
      <c r="E732" s="58"/>
      <c r="F732" s="58"/>
      <c r="G732" s="58"/>
      <c r="H732" s="58"/>
      <c r="I732" s="58"/>
      <c r="J732" s="58"/>
      <c r="K732" s="58"/>
      <c r="L732" s="58"/>
      <c r="M732" s="58"/>
      <c r="N732" s="59"/>
      <c r="O732" s="1"/>
      <c r="P732" s="32"/>
      <c r="Q732" s="32"/>
      <c r="R732" s="33"/>
      <c r="S732" s="16"/>
    </row>
    <row r="733" spans="1:19">
      <c r="A733" s="57" t="s">
        <v>59</v>
      </c>
      <c r="B733" s="58"/>
      <c r="C733" s="58"/>
      <c r="D733" s="58"/>
      <c r="E733" s="58"/>
      <c r="F733" s="58"/>
      <c r="G733" s="58"/>
      <c r="H733" s="58"/>
      <c r="I733" s="58"/>
      <c r="J733" s="58"/>
      <c r="K733" s="58"/>
      <c r="L733" s="58"/>
      <c r="M733" s="58"/>
      <c r="N733" s="59"/>
      <c r="O733" s="1"/>
      <c r="P733" s="32"/>
      <c r="Q733" s="34"/>
      <c r="R733" s="33"/>
      <c r="S733" s="16"/>
    </row>
    <row r="734" spans="1:19">
      <c r="A734" s="57" t="s">
        <v>28</v>
      </c>
      <c r="B734" s="58"/>
      <c r="C734" s="58"/>
      <c r="D734" s="58"/>
      <c r="E734" s="58"/>
      <c r="F734" s="58"/>
      <c r="G734" s="58"/>
      <c r="H734" s="58"/>
      <c r="I734" s="58"/>
      <c r="J734" s="58"/>
      <c r="K734" s="58"/>
      <c r="L734" s="58"/>
      <c r="M734" s="58"/>
      <c r="N734" s="59"/>
      <c r="O734" s="1"/>
      <c r="P734" s="34"/>
      <c r="Q734" s="32"/>
      <c r="R734" s="33"/>
      <c r="S734" s="16"/>
    </row>
    <row r="735" spans="1:19">
      <c r="A735" s="40" t="s">
        <v>29</v>
      </c>
      <c r="B735" s="41"/>
      <c r="C735" s="40"/>
      <c r="D735" s="40"/>
      <c r="E735" s="40"/>
      <c r="F735" s="40"/>
      <c r="G735" s="40"/>
      <c r="H735" s="40"/>
      <c r="I735" s="40"/>
      <c r="J735" s="40"/>
      <c r="K735" s="40"/>
      <c r="L735" s="40"/>
      <c r="M735" s="40"/>
      <c r="N735" s="40"/>
      <c r="O735" s="1"/>
      <c r="P735" s="32"/>
      <c r="Q735" s="32"/>
      <c r="R735" s="33"/>
      <c r="S735" s="16"/>
    </row>
    <row r="736" spans="1:19">
      <c r="A736" s="42"/>
      <c r="B736" s="43"/>
      <c r="C736" s="43"/>
      <c r="D736" s="43"/>
      <c r="E736" s="43"/>
      <c r="F736" s="43"/>
      <c r="G736" s="43"/>
      <c r="H736" s="43"/>
      <c r="I736" s="43"/>
      <c r="J736" s="43"/>
      <c r="K736" s="43"/>
      <c r="L736" s="43"/>
      <c r="M736" s="43"/>
      <c r="N736" s="44"/>
      <c r="O736" s="1"/>
      <c r="P736" s="32"/>
      <c r="Q736" s="32"/>
      <c r="R736" s="33"/>
      <c r="S736" s="16"/>
    </row>
    <row r="737" spans="1:19">
      <c r="A737" s="40" t="s">
        <v>30</v>
      </c>
      <c r="B737" s="41"/>
      <c r="C737" s="40"/>
      <c r="D737" s="40"/>
      <c r="E737" s="40"/>
      <c r="F737" s="40"/>
      <c r="G737" s="40"/>
      <c r="H737" s="40"/>
      <c r="I737" s="40"/>
      <c r="J737" s="40"/>
      <c r="K737" s="40"/>
      <c r="L737" s="40"/>
      <c r="M737" s="40"/>
      <c r="N737" s="40"/>
      <c r="O737" s="1"/>
      <c r="P737" s="32"/>
      <c r="Q737" s="32"/>
      <c r="R737" s="33"/>
      <c r="S737" s="16"/>
    </row>
    <row r="738" spans="1:19">
      <c r="A738" s="42"/>
      <c r="B738" s="43"/>
      <c r="C738" s="43"/>
      <c r="D738" s="43"/>
      <c r="E738" s="43"/>
      <c r="F738" s="43"/>
      <c r="G738" s="43"/>
      <c r="H738" s="43"/>
      <c r="I738" s="43"/>
      <c r="J738" s="43"/>
      <c r="K738" s="43"/>
      <c r="L738" s="43"/>
      <c r="M738" s="43"/>
      <c r="N738" s="44"/>
      <c r="O738" s="1"/>
      <c r="P738" s="32"/>
      <c r="Q738" s="32"/>
      <c r="R738" s="33"/>
      <c r="S738" s="16"/>
    </row>
    <row r="739" spans="1:19">
      <c r="A739" s="40" t="s">
        <v>101</v>
      </c>
      <c r="B739" s="41"/>
      <c r="C739" s="40"/>
      <c r="D739" s="40"/>
      <c r="E739" s="40"/>
      <c r="F739" s="40"/>
      <c r="G739" s="40"/>
      <c r="H739" s="40"/>
      <c r="I739" s="40"/>
      <c r="J739" s="40"/>
      <c r="K739" s="40"/>
      <c r="L739" s="40"/>
      <c r="M739" s="40"/>
      <c r="N739" s="40"/>
      <c r="O739" s="1"/>
      <c r="P739" s="32"/>
      <c r="Q739" s="32"/>
      <c r="R739" s="33"/>
      <c r="S739" s="17"/>
    </row>
    <row r="740" spans="1:19">
      <c r="A740" s="45"/>
      <c r="B740" s="46"/>
      <c r="C740" s="46"/>
      <c r="D740" s="46"/>
      <c r="E740" s="46"/>
      <c r="F740" s="46"/>
      <c r="G740" s="46"/>
      <c r="H740" s="46"/>
      <c r="I740" s="46"/>
      <c r="J740" s="46"/>
      <c r="K740" s="46"/>
      <c r="L740" s="46"/>
      <c r="M740" s="46"/>
      <c r="N740" s="47"/>
      <c r="O740" s="1"/>
      <c r="P740" s="32"/>
      <c r="Q740" s="32"/>
      <c r="R740" s="33"/>
      <c r="S740" s="1"/>
    </row>
    <row r="741" spans="1:19">
      <c r="A741" s="48" t="s">
        <v>41</v>
      </c>
      <c r="B741" s="49"/>
      <c r="C741" s="50"/>
      <c r="D741" s="50"/>
      <c r="E741" s="50"/>
      <c r="F741" s="50"/>
      <c r="G741" s="50"/>
      <c r="H741" s="51"/>
      <c r="I741" s="51"/>
      <c r="J741" s="51"/>
      <c r="K741" s="51"/>
      <c r="L741" s="51"/>
      <c r="M741" s="51"/>
      <c r="N741" s="52"/>
      <c r="O741" s="1"/>
      <c r="P741" s="32"/>
      <c r="Q741" s="32"/>
      <c r="R741" s="33"/>
      <c r="S741" s="1"/>
    </row>
    <row r="742" spans="1:19" ht="28.2">
      <c r="A742" s="1" t="s">
        <v>45</v>
      </c>
      <c r="B742" s="7">
        <f>B681+1</f>
        <v>13</v>
      </c>
      <c r="C742" s="5"/>
      <c r="D742" s="5"/>
      <c r="E742" s="5"/>
      <c r="F742" s="5"/>
      <c r="G742" s="5"/>
      <c r="H742" s="5"/>
      <c r="I742" s="5"/>
      <c r="J742" s="5"/>
      <c r="K742" s="5"/>
      <c r="L742" s="5"/>
      <c r="M742" s="5"/>
      <c r="N742" s="5"/>
      <c r="O742" s="1"/>
      <c r="P742" s="32"/>
      <c r="Q742" s="33"/>
      <c r="R742" s="29"/>
    </row>
    <row r="743" spans="1:19">
      <c r="A743" s="1" t="s">
        <v>46</v>
      </c>
      <c r="B743" s="1" t="s">
        <v>1</v>
      </c>
      <c r="C743" s="1" t="s">
        <v>2</v>
      </c>
      <c r="D743" s="1" t="s">
        <v>3</v>
      </c>
      <c r="E743" s="1" t="s">
        <v>2</v>
      </c>
      <c r="F743" s="1"/>
      <c r="G743" s="1"/>
      <c r="H743" s="112" t="s">
        <v>4</v>
      </c>
      <c r="I743" s="112"/>
      <c r="J743" s="113">
        <f>J682+1</f>
        <v>46224</v>
      </c>
      <c r="K743" s="113"/>
      <c r="L743" s="113"/>
      <c r="M743" s="114">
        <f>J743</f>
        <v>46224</v>
      </c>
      <c r="N743" s="114"/>
      <c r="O743" s="1"/>
      <c r="P743" s="32"/>
      <c r="Q743" s="33"/>
      <c r="R743" s="29"/>
    </row>
    <row r="744" spans="1:19">
      <c r="A744" s="8" t="s">
        <v>5</v>
      </c>
      <c r="B744" s="115">
        <f>B675</f>
        <v>0</v>
      </c>
      <c r="C744" s="116"/>
      <c r="D744" s="116"/>
      <c r="E744" s="116"/>
      <c r="F744" s="116"/>
      <c r="G744" s="117"/>
      <c r="H744" s="63" t="s">
        <v>6</v>
      </c>
      <c r="I744" s="63"/>
      <c r="J744" s="63"/>
      <c r="K744" s="63" t="s">
        <v>52</v>
      </c>
      <c r="L744" s="63"/>
      <c r="M744" s="63"/>
      <c r="N744" s="63"/>
      <c r="O744" s="1"/>
      <c r="P744" s="32"/>
      <c r="Q744" s="33"/>
      <c r="R744" s="29"/>
    </row>
    <row r="745" spans="1:19">
      <c r="A745" s="8" t="s">
        <v>32</v>
      </c>
      <c r="B745" s="10">
        <v>60</v>
      </c>
      <c r="C745" s="11" t="s">
        <v>43</v>
      </c>
      <c r="D745" s="71" t="s">
        <v>7</v>
      </c>
      <c r="E745" s="73"/>
      <c r="F745" s="10">
        <f>F684+1</f>
        <v>13</v>
      </c>
      <c r="G745" s="11" t="s">
        <v>8</v>
      </c>
      <c r="H745" s="9" t="s">
        <v>9</v>
      </c>
      <c r="I745" s="10">
        <f>B745-F745</f>
        <v>47</v>
      </c>
      <c r="J745" s="11" t="s">
        <v>8</v>
      </c>
      <c r="K745" s="118" t="s">
        <v>33</v>
      </c>
      <c r="L745" s="119"/>
      <c r="M745" s="12"/>
      <c r="N745" s="11" t="s">
        <v>8</v>
      </c>
      <c r="O745" s="1"/>
      <c r="P745" s="34"/>
      <c r="Q745" s="33"/>
      <c r="R745" s="29"/>
    </row>
    <row r="746" spans="1:19">
      <c r="A746" s="71" t="s">
        <v>34</v>
      </c>
      <c r="B746" s="72"/>
      <c r="C746" s="73"/>
      <c r="D746" s="120">
        <v>46212</v>
      </c>
      <c r="E746" s="121"/>
      <c r="F746" s="121"/>
      <c r="G746" s="122"/>
      <c r="H746" s="71" t="s">
        <v>35</v>
      </c>
      <c r="I746" s="72"/>
      <c r="J746" s="73"/>
      <c r="K746" s="120">
        <f>D746+59</f>
        <v>46271</v>
      </c>
      <c r="L746" s="121"/>
      <c r="M746" s="121"/>
      <c r="N746" s="122"/>
      <c r="O746" s="1"/>
      <c r="P746" s="32"/>
      <c r="Q746" s="33"/>
      <c r="R746" s="29"/>
    </row>
    <row r="747" spans="1:19">
      <c r="A747" s="92" t="s">
        <v>10</v>
      </c>
      <c r="B747" s="93"/>
      <c r="C747" s="94"/>
      <c r="D747" s="98">
        <f>D686+0.011/5</f>
        <v>1.21E-2</v>
      </c>
      <c r="E747" s="99"/>
      <c r="F747" s="99"/>
      <c r="G747" s="100"/>
      <c r="H747" s="104" t="s">
        <v>36</v>
      </c>
      <c r="I747" s="105"/>
      <c r="J747" s="106"/>
      <c r="K747" s="110">
        <f>R778</f>
        <v>0.11358363505854488</v>
      </c>
      <c r="L747" s="105"/>
      <c r="M747" s="105"/>
      <c r="N747" s="106"/>
      <c r="O747" s="1"/>
      <c r="P747" s="32"/>
      <c r="Q747" s="33"/>
      <c r="R747" s="29"/>
    </row>
    <row r="748" spans="1:19">
      <c r="A748" s="95"/>
      <c r="B748" s="96"/>
      <c r="C748" s="97"/>
      <c r="D748" s="101"/>
      <c r="E748" s="102"/>
      <c r="F748" s="102"/>
      <c r="G748" s="103"/>
      <c r="H748" s="107"/>
      <c r="I748" s="108"/>
      <c r="J748" s="109"/>
      <c r="K748" s="107"/>
      <c r="L748" s="108"/>
      <c r="M748" s="108"/>
      <c r="N748" s="109"/>
      <c r="O748" s="1"/>
      <c r="P748" s="32"/>
      <c r="Q748" s="33"/>
      <c r="R748" s="29"/>
    </row>
    <row r="749" spans="1:19">
      <c r="A749" s="62" t="s">
        <v>11</v>
      </c>
      <c r="B749" s="62"/>
      <c r="C749" s="62"/>
      <c r="D749" s="62"/>
      <c r="E749" s="62"/>
      <c r="F749" s="62"/>
      <c r="G749" s="62"/>
      <c r="H749" s="62"/>
      <c r="I749" s="62"/>
      <c r="J749" s="62"/>
      <c r="K749" s="62"/>
      <c r="L749" s="62"/>
      <c r="M749" s="62"/>
      <c r="N749" s="62"/>
      <c r="O749" s="1"/>
      <c r="P749" s="32"/>
      <c r="Q749" s="33"/>
      <c r="R749" s="29"/>
    </row>
    <row r="750" spans="1:19">
      <c r="A750" s="111" t="s">
        <v>12</v>
      </c>
      <c r="B750" s="111"/>
      <c r="C750" s="111"/>
      <c r="D750" s="111"/>
      <c r="E750" s="111"/>
      <c r="F750" s="14" t="s">
        <v>37</v>
      </c>
      <c r="G750" s="111" t="s">
        <v>38</v>
      </c>
      <c r="H750" s="111"/>
      <c r="I750" s="63" t="s">
        <v>39</v>
      </c>
      <c r="J750" s="63"/>
      <c r="K750" s="63"/>
      <c r="L750" s="63" t="s">
        <v>40</v>
      </c>
      <c r="M750" s="63"/>
      <c r="N750" s="9" t="s">
        <v>13</v>
      </c>
      <c r="O750" s="1"/>
      <c r="P750" s="28" t="s">
        <v>47</v>
      </c>
      <c r="Q750" s="29" t="s">
        <v>48</v>
      </c>
      <c r="R750" s="29" t="s">
        <v>49</v>
      </c>
    </row>
    <row r="751" spans="1:19">
      <c r="A751" s="83" t="s">
        <v>67</v>
      </c>
      <c r="B751" s="84"/>
      <c r="C751" s="84"/>
      <c r="D751" s="84"/>
      <c r="E751" s="85"/>
      <c r="F751" s="27" t="s">
        <v>60</v>
      </c>
      <c r="G751" s="67">
        <v>1</v>
      </c>
      <c r="H751" s="68"/>
      <c r="I751" s="86"/>
      <c r="J751" s="87"/>
      <c r="K751" s="88"/>
      <c r="L751" s="69">
        <f>I751+L690</f>
        <v>1</v>
      </c>
      <c r="M751" s="70"/>
      <c r="N751" s="8"/>
      <c r="O751" s="1"/>
      <c r="P751" s="30">
        <v>6000</v>
      </c>
      <c r="Q751" s="38">
        <f>P751*G751</f>
        <v>6000</v>
      </c>
      <c r="R751" s="28">
        <f>L751*P751</f>
        <v>6000</v>
      </c>
    </row>
    <row r="752" spans="1:19">
      <c r="A752" s="83" t="s">
        <v>68</v>
      </c>
      <c r="B752" s="84"/>
      <c r="C752" s="84"/>
      <c r="D752" s="84"/>
      <c r="E752" s="85"/>
      <c r="F752" s="20" t="s">
        <v>60</v>
      </c>
      <c r="G752" s="67">
        <v>1</v>
      </c>
      <c r="H752" s="68"/>
      <c r="I752" s="87">
        <v>1</v>
      </c>
      <c r="J752" s="87"/>
      <c r="K752" s="88"/>
      <c r="L752" s="69">
        <f t="shared" ref="L752:L776" si="41">I752+L691</f>
        <v>1</v>
      </c>
      <c r="M752" s="70"/>
      <c r="N752" s="8"/>
      <c r="O752" s="1"/>
      <c r="P752" s="30">
        <v>193300</v>
      </c>
      <c r="Q752" s="38">
        <f t="shared" ref="Q752:Q776" si="42">P752*G752</f>
        <v>193300</v>
      </c>
      <c r="R752" s="28">
        <f>L752*P752</f>
        <v>193300</v>
      </c>
    </row>
    <row r="753" spans="1:18">
      <c r="A753" s="89" t="s">
        <v>69</v>
      </c>
      <c r="B753" s="90"/>
      <c r="C753" s="90"/>
      <c r="D753" s="90"/>
      <c r="E753" s="91"/>
      <c r="F753" s="20" t="s">
        <v>60</v>
      </c>
      <c r="G753" s="67">
        <v>1</v>
      </c>
      <c r="H753" s="68"/>
      <c r="I753" s="87"/>
      <c r="J753" s="87"/>
      <c r="K753" s="88"/>
      <c r="L753" s="69">
        <f t="shared" si="41"/>
        <v>0.5</v>
      </c>
      <c r="M753" s="70"/>
      <c r="N753" s="8"/>
      <c r="O753" s="1"/>
      <c r="P753" s="30">
        <v>30000</v>
      </c>
      <c r="Q753" s="38">
        <f t="shared" si="42"/>
        <v>30000</v>
      </c>
      <c r="R753" s="28">
        <f>L753*P753</f>
        <v>15000</v>
      </c>
    </row>
    <row r="754" spans="1:18">
      <c r="A754" s="64" t="s">
        <v>70</v>
      </c>
      <c r="B754" s="65"/>
      <c r="C754" s="65"/>
      <c r="D754" s="65"/>
      <c r="E754" s="66"/>
      <c r="F754" s="20" t="s">
        <v>60</v>
      </c>
      <c r="G754" s="67">
        <v>1</v>
      </c>
      <c r="H754" s="68"/>
      <c r="I754" s="87"/>
      <c r="J754" s="87"/>
      <c r="K754" s="88"/>
      <c r="L754" s="69">
        <f t="shared" si="41"/>
        <v>1</v>
      </c>
      <c r="M754" s="70"/>
      <c r="N754" s="8"/>
      <c r="O754" s="1"/>
      <c r="P754" s="31">
        <v>10000</v>
      </c>
      <c r="Q754" s="38">
        <f t="shared" si="42"/>
        <v>10000</v>
      </c>
      <c r="R754" s="28">
        <f t="shared" ref="R754:R776" si="43">L754*P754</f>
        <v>10000</v>
      </c>
    </row>
    <row r="755" spans="1:18">
      <c r="A755" s="64" t="s">
        <v>71</v>
      </c>
      <c r="B755" s="65"/>
      <c r="C755" s="65"/>
      <c r="D755" s="65"/>
      <c r="E755" s="66"/>
      <c r="F755" s="20" t="s">
        <v>61</v>
      </c>
      <c r="G755" s="67">
        <v>9</v>
      </c>
      <c r="H755" s="68"/>
      <c r="I755" s="87"/>
      <c r="J755" s="87"/>
      <c r="K755" s="88"/>
      <c r="L755" s="69">
        <f t="shared" si="41"/>
        <v>9</v>
      </c>
      <c r="M755" s="70"/>
      <c r="N755" s="8"/>
      <c r="O755" s="1"/>
      <c r="P755" s="30">
        <v>21000</v>
      </c>
      <c r="Q755" s="38">
        <f t="shared" si="42"/>
        <v>189000</v>
      </c>
      <c r="R755" s="28">
        <f t="shared" si="43"/>
        <v>189000</v>
      </c>
    </row>
    <row r="756" spans="1:18">
      <c r="A756" s="64" t="s">
        <v>72</v>
      </c>
      <c r="B756" s="65"/>
      <c r="C756" s="65"/>
      <c r="D756" s="65"/>
      <c r="E756" s="66"/>
      <c r="F756" s="2" t="s">
        <v>60</v>
      </c>
      <c r="G756" s="67">
        <v>1</v>
      </c>
      <c r="H756" s="68"/>
      <c r="I756" s="87"/>
      <c r="J756" s="87"/>
      <c r="K756" s="88"/>
      <c r="L756" s="69">
        <f t="shared" si="41"/>
        <v>0</v>
      </c>
      <c r="M756" s="70"/>
      <c r="N756" s="8"/>
      <c r="O756" s="1"/>
      <c r="P756" s="30">
        <v>184468</v>
      </c>
      <c r="Q756" s="38">
        <f t="shared" si="42"/>
        <v>184468</v>
      </c>
      <c r="R756" s="28">
        <f t="shared" si="43"/>
        <v>0</v>
      </c>
    </row>
    <row r="757" spans="1:18">
      <c r="A757" s="83" t="s">
        <v>73</v>
      </c>
      <c r="B757" s="84"/>
      <c r="C757" s="84"/>
      <c r="D757" s="84"/>
      <c r="E757" s="85"/>
      <c r="F757" s="20" t="s">
        <v>62</v>
      </c>
      <c r="G757" s="67">
        <v>9</v>
      </c>
      <c r="H757" s="68"/>
      <c r="I757" s="87"/>
      <c r="J757" s="87"/>
      <c r="K757" s="88"/>
      <c r="L757" s="69">
        <f t="shared" si="41"/>
        <v>0</v>
      </c>
      <c r="M757" s="70"/>
      <c r="N757" s="8"/>
      <c r="O757" s="1"/>
      <c r="P757" s="30">
        <v>20000</v>
      </c>
      <c r="Q757" s="38">
        <f t="shared" si="42"/>
        <v>180000</v>
      </c>
      <c r="R757" s="28">
        <f t="shared" si="43"/>
        <v>0</v>
      </c>
    </row>
    <row r="758" spans="1:18">
      <c r="A758" s="83" t="s">
        <v>74</v>
      </c>
      <c r="B758" s="84"/>
      <c r="C758" s="84"/>
      <c r="D758" s="84"/>
      <c r="E758" s="85"/>
      <c r="F758" s="20" t="s">
        <v>63</v>
      </c>
      <c r="G758" s="67">
        <v>52</v>
      </c>
      <c r="H758" s="68"/>
      <c r="I758" s="87">
        <v>15</v>
      </c>
      <c r="J758" s="87"/>
      <c r="K758" s="88"/>
      <c r="L758" s="69">
        <f t="shared" si="41"/>
        <v>30</v>
      </c>
      <c r="M758" s="70"/>
      <c r="N758" s="8"/>
      <c r="O758" s="1"/>
      <c r="P758" s="31">
        <v>2500</v>
      </c>
      <c r="Q758" s="38">
        <f t="shared" si="42"/>
        <v>130000</v>
      </c>
      <c r="R758" s="28">
        <f t="shared" si="43"/>
        <v>75000</v>
      </c>
    </row>
    <row r="759" spans="1:18">
      <c r="A759" s="83" t="s">
        <v>75</v>
      </c>
      <c r="B759" s="84"/>
      <c r="C759" s="84"/>
      <c r="D759" s="84"/>
      <c r="E759" s="85"/>
      <c r="F759" s="20" t="s">
        <v>64</v>
      </c>
      <c r="G759" s="67">
        <v>1</v>
      </c>
      <c r="H759" s="68"/>
      <c r="I759" s="87"/>
      <c r="J759" s="87"/>
      <c r="K759" s="88"/>
      <c r="L759" s="69">
        <f t="shared" si="41"/>
        <v>0</v>
      </c>
      <c r="M759" s="70"/>
      <c r="N759" s="8"/>
      <c r="O759" s="1"/>
      <c r="P759" s="30">
        <v>80000</v>
      </c>
      <c r="Q759" s="38">
        <f t="shared" si="42"/>
        <v>80000</v>
      </c>
      <c r="R759" s="28">
        <f t="shared" si="43"/>
        <v>0</v>
      </c>
    </row>
    <row r="760" spans="1:18">
      <c r="A760" s="89" t="s">
        <v>76</v>
      </c>
      <c r="B760" s="90"/>
      <c r="C760" s="90"/>
      <c r="D760" s="90"/>
      <c r="E760" s="91"/>
      <c r="F760" s="20" t="s">
        <v>65</v>
      </c>
      <c r="G760" s="67">
        <v>31</v>
      </c>
      <c r="H760" s="68"/>
      <c r="I760" s="87"/>
      <c r="J760" s="87"/>
      <c r="K760" s="88"/>
      <c r="L760" s="69">
        <f t="shared" si="41"/>
        <v>0</v>
      </c>
      <c r="M760" s="70"/>
      <c r="N760" s="8"/>
      <c r="O760" s="1"/>
      <c r="P760" s="30">
        <v>400</v>
      </c>
      <c r="Q760" s="38">
        <f t="shared" si="42"/>
        <v>12400</v>
      </c>
      <c r="R760" s="28">
        <f t="shared" si="43"/>
        <v>0</v>
      </c>
    </row>
    <row r="761" spans="1:18">
      <c r="A761" s="64" t="s">
        <v>77</v>
      </c>
      <c r="B761" s="65"/>
      <c r="C761" s="65"/>
      <c r="D761" s="65"/>
      <c r="E761" s="66"/>
      <c r="F761" s="20" t="s">
        <v>65</v>
      </c>
      <c r="G761" s="67">
        <v>100</v>
      </c>
      <c r="H761" s="68"/>
      <c r="I761" s="87"/>
      <c r="J761" s="87"/>
      <c r="K761" s="88"/>
      <c r="L761" s="69">
        <f t="shared" si="41"/>
        <v>0</v>
      </c>
      <c r="M761" s="70"/>
      <c r="N761" s="8"/>
      <c r="O761" s="1"/>
      <c r="P761" s="30">
        <v>350</v>
      </c>
      <c r="Q761" s="38">
        <f t="shared" si="42"/>
        <v>35000</v>
      </c>
      <c r="R761" s="28">
        <f t="shared" si="43"/>
        <v>0</v>
      </c>
    </row>
    <row r="762" spans="1:18">
      <c r="A762" s="64" t="s">
        <v>78</v>
      </c>
      <c r="B762" s="65"/>
      <c r="C762" s="65"/>
      <c r="D762" s="65"/>
      <c r="E762" s="66"/>
      <c r="F762" s="20" t="s">
        <v>63</v>
      </c>
      <c r="G762" s="67">
        <v>35</v>
      </c>
      <c r="H762" s="68"/>
      <c r="I762" s="87"/>
      <c r="J762" s="87"/>
      <c r="K762" s="88"/>
      <c r="L762" s="69">
        <f t="shared" si="41"/>
        <v>0</v>
      </c>
      <c r="M762" s="70"/>
      <c r="N762" s="8"/>
      <c r="O762" s="1"/>
      <c r="P762" s="30">
        <v>1200</v>
      </c>
      <c r="Q762" s="38">
        <f t="shared" si="42"/>
        <v>42000</v>
      </c>
      <c r="R762" s="28">
        <f t="shared" si="43"/>
        <v>0</v>
      </c>
    </row>
    <row r="763" spans="1:18">
      <c r="A763" s="64" t="s">
        <v>79</v>
      </c>
      <c r="B763" s="65"/>
      <c r="C763" s="65"/>
      <c r="D763" s="65"/>
      <c r="E763" s="66"/>
      <c r="F763" s="20" t="s">
        <v>63</v>
      </c>
      <c r="G763" s="67">
        <v>282</v>
      </c>
      <c r="H763" s="68"/>
      <c r="I763" s="86"/>
      <c r="J763" s="87"/>
      <c r="K763" s="88"/>
      <c r="L763" s="69">
        <f t="shared" si="41"/>
        <v>0</v>
      </c>
      <c r="M763" s="70"/>
      <c r="N763" s="8"/>
      <c r="O763" s="1"/>
      <c r="P763" s="30">
        <v>1400</v>
      </c>
      <c r="Q763" s="38">
        <f t="shared" si="42"/>
        <v>394800</v>
      </c>
      <c r="R763" s="28">
        <f t="shared" si="43"/>
        <v>0</v>
      </c>
    </row>
    <row r="764" spans="1:18">
      <c r="A764" s="83" t="s">
        <v>80</v>
      </c>
      <c r="B764" s="84"/>
      <c r="C764" s="84"/>
      <c r="D764" s="84"/>
      <c r="E764" s="85"/>
      <c r="F764" s="21" t="s">
        <v>65</v>
      </c>
      <c r="G764" s="67">
        <v>58</v>
      </c>
      <c r="H764" s="68"/>
      <c r="I764" s="86"/>
      <c r="J764" s="87"/>
      <c r="K764" s="88"/>
      <c r="L764" s="69">
        <f t="shared" si="41"/>
        <v>0</v>
      </c>
      <c r="M764" s="70"/>
      <c r="N764" s="8"/>
      <c r="O764" s="1"/>
      <c r="P764" s="30">
        <v>3600</v>
      </c>
      <c r="Q764" s="38">
        <f t="shared" si="42"/>
        <v>208800</v>
      </c>
      <c r="R764" s="28">
        <f t="shared" si="43"/>
        <v>0</v>
      </c>
    </row>
    <row r="765" spans="1:18">
      <c r="A765" s="83" t="s">
        <v>81</v>
      </c>
      <c r="B765" s="84"/>
      <c r="C765" s="84"/>
      <c r="D765" s="84"/>
      <c r="E765" s="85"/>
      <c r="F765" s="21" t="s">
        <v>65</v>
      </c>
      <c r="G765" s="67">
        <v>360</v>
      </c>
      <c r="H765" s="68"/>
      <c r="I765" s="86"/>
      <c r="J765" s="87"/>
      <c r="K765" s="88"/>
      <c r="L765" s="69">
        <f t="shared" si="41"/>
        <v>0</v>
      </c>
      <c r="M765" s="70"/>
      <c r="N765" s="8"/>
      <c r="O765" s="1"/>
      <c r="P765" s="30">
        <v>230</v>
      </c>
      <c r="Q765" s="38">
        <f t="shared" si="42"/>
        <v>82800</v>
      </c>
      <c r="R765" s="28">
        <f t="shared" si="43"/>
        <v>0</v>
      </c>
    </row>
    <row r="766" spans="1:18">
      <c r="A766" s="83" t="s">
        <v>82</v>
      </c>
      <c r="B766" s="84"/>
      <c r="C766" s="84"/>
      <c r="D766" s="84"/>
      <c r="E766" s="85"/>
      <c r="F766" s="21" t="s">
        <v>65</v>
      </c>
      <c r="G766" s="67">
        <v>2400</v>
      </c>
      <c r="H766" s="68"/>
      <c r="I766" s="86"/>
      <c r="J766" s="87"/>
      <c r="K766" s="88"/>
      <c r="L766" s="69">
        <f t="shared" si="41"/>
        <v>0</v>
      </c>
      <c r="M766" s="70"/>
      <c r="N766" s="8"/>
      <c r="O766" s="1"/>
      <c r="P766" s="30">
        <v>80</v>
      </c>
      <c r="Q766" s="38">
        <f t="shared" si="42"/>
        <v>192000</v>
      </c>
      <c r="R766" s="28">
        <f t="shared" si="43"/>
        <v>0</v>
      </c>
    </row>
    <row r="767" spans="1:18">
      <c r="A767" s="89" t="s">
        <v>83</v>
      </c>
      <c r="B767" s="90"/>
      <c r="C767" s="90"/>
      <c r="D767" s="90"/>
      <c r="E767" s="91"/>
      <c r="F767" s="21" t="s">
        <v>65</v>
      </c>
      <c r="G767" s="67">
        <v>360</v>
      </c>
      <c r="H767" s="68"/>
      <c r="I767" s="86"/>
      <c r="J767" s="87"/>
      <c r="K767" s="88"/>
      <c r="L767" s="69">
        <f t="shared" si="41"/>
        <v>0</v>
      </c>
      <c r="M767" s="70"/>
      <c r="N767" s="8"/>
      <c r="O767" s="1"/>
      <c r="P767" s="30">
        <v>420</v>
      </c>
      <c r="Q767" s="38">
        <f t="shared" si="42"/>
        <v>151200</v>
      </c>
      <c r="R767" s="28">
        <f t="shared" si="43"/>
        <v>0</v>
      </c>
    </row>
    <row r="768" spans="1:18">
      <c r="A768" s="64" t="s">
        <v>84</v>
      </c>
      <c r="B768" s="65"/>
      <c r="C768" s="65"/>
      <c r="D768" s="65"/>
      <c r="E768" s="66"/>
      <c r="F768" s="21" t="s">
        <v>65</v>
      </c>
      <c r="G768" s="67">
        <v>2760</v>
      </c>
      <c r="H768" s="68"/>
      <c r="I768" s="86"/>
      <c r="J768" s="87"/>
      <c r="K768" s="88"/>
      <c r="L768" s="69">
        <f t="shared" si="41"/>
        <v>0</v>
      </c>
      <c r="M768" s="70"/>
      <c r="N768" s="8"/>
      <c r="O768" s="1"/>
      <c r="P768" s="30">
        <v>460</v>
      </c>
      <c r="Q768" s="38">
        <f t="shared" si="42"/>
        <v>1269600</v>
      </c>
      <c r="R768" s="28">
        <f t="shared" si="43"/>
        <v>0</v>
      </c>
    </row>
    <row r="769" spans="1:19">
      <c r="A769" s="64" t="s">
        <v>85</v>
      </c>
      <c r="B769" s="65"/>
      <c r="C769" s="65"/>
      <c r="D769" s="65"/>
      <c r="E769" s="66"/>
      <c r="F769" s="21" t="s">
        <v>65</v>
      </c>
      <c r="G769" s="67">
        <v>275</v>
      </c>
      <c r="H769" s="68"/>
      <c r="I769" s="86"/>
      <c r="J769" s="87"/>
      <c r="K769" s="88"/>
      <c r="L769" s="69">
        <f t="shared" si="41"/>
        <v>0</v>
      </c>
      <c r="M769" s="70"/>
      <c r="N769" s="8"/>
      <c r="O769" s="1"/>
      <c r="P769" s="31">
        <v>350</v>
      </c>
      <c r="Q769" s="38">
        <f t="shared" si="42"/>
        <v>96250</v>
      </c>
      <c r="R769" s="28">
        <f t="shared" si="43"/>
        <v>0</v>
      </c>
    </row>
    <row r="770" spans="1:19">
      <c r="A770" s="64" t="s">
        <v>86</v>
      </c>
      <c r="B770" s="65"/>
      <c r="C770" s="65"/>
      <c r="D770" s="65"/>
      <c r="E770" s="66"/>
      <c r="F770" s="21" t="s">
        <v>60</v>
      </c>
      <c r="G770" s="67">
        <v>1</v>
      </c>
      <c r="H770" s="68"/>
      <c r="I770" s="86"/>
      <c r="J770" s="87"/>
      <c r="K770" s="88"/>
      <c r="L770" s="69">
        <f t="shared" si="41"/>
        <v>0</v>
      </c>
      <c r="M770" s="70"/>
      <c r="N770" s="8"/>
      <c r="O770" s="2"/>
      <c r="P770" s="30">
        <v>40000</v>
      </c>
      <c r="Q770" s="38">
        <f t="shared" si="42"/>
        <v>40000</v>
      </c>
      <c r="R770" s="28">
        <f t="shared" si="43"/>
        <v>0</v>
      </c>
    </row>
    <row r="771" spans="1:19">
      <c r="A771" s="83" t="s">
        <v>87</v>
      </c>
      <c r="B771" s="84"/>
      <c r="C771" s="84"/>
      <c r="D771" s="84"/>
      <c r="E771" s="85"/>
      <c r="F771" s="20" t="s">
        <v>60</v>
      </c>
      <c r="G771" s="67">
        <v>1</v>
      </c>
      <c r="H771" s="68"/>
      <c r="I771" s="86"/>
      <c r="J771" s="87"/>
      <c r="K771" s="88"/>
      <c r="L771" s="69">
        <f t="shared" si="41"/>
        <v>0</v>
      </c>
      <c r="M771" s="70"/>
      <c r="N771" s="8"/>
      <c r="O771" s="1"/>
      <c r="P771" s="31">
        <v>276970</v>
      </c>
      <c r="Q771" s="38">
        <f t="shared" si="42"/>
        <v>276970</v>
      </c>
      <c r="R771" s="28">
        <f t="shared" si="43"/>
        <v>0</v>
      </c>
    </row>
    <row r="772" spans="1:19">
      <c r="A772" s="83" t="s">
        <v>88</v>
      </c>
      <c r="B772" s="84"/>
      <c r="C772" s="84"/>
      <c r="D772" s="84"/>
      <c r="E772" s="85"/>
      <c r="F772" s="20" t="s">
        <v>60</v>
      </c>
      <c r="G772" s="67">
        <v>1</v>
      </c>
      <c r="H772" s="68"/>
      <c r="I772" s="26"/>
      <c r="J772" s="23"/>
      <c r="K772" s="24"/>
      <c r="L772" s="69">
        <f t="shared" si="41"/>
        <v>0</v>
      </c>
      <c r="M772" s="70"/>
      <c r="N772" s="25"/>
      <c r="O772" s="1"/>
      <c r="P772" s="32">
        <v>60873</v>
      </c>
      <c r="Q772" s="38">
        <f t="shared" si="42"/>
        <v>60873</v>
      </c>
      <c r="R772" s="28">
        <f t="shared" si="43"/>
        <v>0</v>
      </c>
    </row>
    <row r="773" spans="1:19">
      <c r="A773" s="83" t="s">
        <v>89</v>
      </c>
      <c r="B773" s="84"/>
      <c r="C773" s="84"/>
      <c r="D773" s="84"/>
      <c r="E773" s="85"/>
      <c r="F773" s="20" t="s">
        <v>60</v>
      </c>
      <c r="G773" s="67">
        <v>1</v>
      </c>
      <c r="H773" s="68"/>
      <c r="I773" s="26"/>
      <c r="J773" s="23"/>
      <c r="K773" s="24"/>
      <c r="L773" s="69">
        <f t="shared" si="41"/>
        <v>0</v>
      </c>
      <c r="M773" s="70"/>
      <c r="N773" s="25"/>
      <c r="O773" s="1"/>
      <c r="P773" s="32">
        <v>60873</v>
      </c>
      <c r="Q773" s="38">
        <f t="shared" si="42"/>
        <v>60873</v>
      </c>
      <c r="R773" s="28">
        <f t="shared" si="43"/>
        <v>0</v>
      </c>
    </row>
    <row r="774" spans="1:19">
      <c r="A774" s="83" t="s">
        <v>90</v>
      </c>
      <c r="B774" s="84"/>
      <c r="C774" s="84"/>
      <c r="D774" s="84"/>
      <c r="E774" s="85"/>
      <c r="F774" s="20" t="s">
        <v>60</v>
      </c>
      <c r="G774" s="67">
        <v>1</v>
      </c>
      <c r="H774" s="68"/>
      <c r="I774" s="26"/>
      <c r="J774" s="23"/>
      <c r="K774" s="24"/>
      <c r="L774" s="69">
        <f t="shared" si="41"/>
        <v>0</v>
      </c>
      <c r="M774" s="70"/>
      <c r="N774" s="25"/>
      <c r="O774" s="1"/>
      <c r="P774" s="34">
        <v>266321</v>
      </c>
      <c r="Q774" s="38">
        <f t="shared" si="42"/>
        <v>266321</v>
      </c>
      <c r="R774" s="28">
        <f t="shared" si="43"/>
        <v>0</v>
      </c>
    </row>
    <row r="775" spans="1:19">
      <c r="A775" s="83" t="s">
        <v>91</v>
      </c>
      <c r="B775" s="84"/>
      <c r="C775" s="84"/>
      <c r="D775" s="84"/>
      <c r="E775" s="85"/>
      <c r="F775" s="2" t="s">
        <v>60</v>
      </c>
      <c r="G775" s="67">
        <v>1</v>
      </c>
      <c r="H775" s="68"/>
      <c r="I775" s="26"/>
      <c r="J775" s="23"/>
      <c r="K775" s="24"/>
      <c r="L775" s="69">
        <f t="shared" si="41"/>
        <v>1</v>
      </c>
      <c r="M775" s="70"/>
      <c r="N775" s="25"/>
      <c r="O775" s="1"/>
      <c r="P775" s="32">
        <v>13316</v>
      </c>
      <c r="Q775" s="38">
        <f t="shared" si="42"/>
        <v>13316</v>
      </c>
      <c r="R775" s="28">
        <f t="shared" si="43"/>
        <v>13316</v>
      </c>
    </row>
    <row r="776" spans="1:19">
      <c r="A776" s="83" t="s">
        <v>92</v>
      </c>
      <c r="B776" s="84"/>
      <c r="C776" s="84"/>
      <c r="D776" s="84"/>
      <c r="E776" s="85"/>
      <c r="F776" s="20" t="s">
        <v>60</v>
      </c>
      <c r="G776" s="67">
        <v>1</v>
      </c>
      <c r="H776" s="68"/>
      <c r="I776" s="26"/>
      <c r="J776" s="23"/>
      <c r="K776" s="24"/>
      <c r="L776" s="69">
        <f t="shared" si="41"/>
        <v>0</v>
      </c>
      <c r="M776" s="70"/>
      <c r="N776" s="25"/>
      <c r="O776" s="1"/>
      <c r="P776" s="32">
        <v>210299</v>
      </c>
      <c r="Q776" s="38">
        <f t="shared" si="42"/>
        <v>210299</v>
      </c>
      <c r="R776" s="28">
        <f t="shared" si="43"/>
        <v>0</v>
      </c>
    </row>
    <row r="777" spans="1:19">
      <c r="A777" s="64"/>
      <c r="B777" s="65"/>
      <c r="C777" s="65"/>
      <c r="D777" s="65"/>
      <c r="E777" s="66"/>
      <c r="F777" s="22"/>
      <c r="G777" s="67"/>
      <c r="H777" s="68"/>
      <c r="I777" s="26"/>
      <c r="J777" s="23"/>
      <c r="K777" s="24"/>
      <c r="L777" s="69"/>
      <c r="M777" s="70"/>
      <c r="N777" s="25"/>
      <c r="O777" s="3"/>
      <c r="P777" s="32"/>
      <c r="Q777" s="33">
        <f>SUM(Q751:Q776)</f>
        <v>4416270</v>
      </c>
      <c r="R777" s="29">
        <f>SUM(R751:R776)</f>
        <v>501616</v>
      </c>
    </row>
    <row r="778" spans="1:19">
      <c r="A778" s="64"/>
      <c r="B778" s="65"/>
      <c r="C778" s="65"/>
      <c r="D778" s="65"/>
      <c r="E778" s="66"/>
      <c r="F778" s="22"/>
      <c r="G778" s="67"/>
      <c r="H778" s="68"/>
      <c r="I778" s="26"/>
      <c r="J778" s="23"/>
      <c r="K778" s="24"/>
      <c r="L778" s="69"/>
      <c r="M778" s="70"/>
      <c r="N778" s="25"/>
      <c r="O778" s="3"/>
      <c r="P778" s="32"/>
      <c r="Q778" s="33"/>
      <c r="R778" s="37">
        <f>R777/Q777</f>
        <v>0.11358363505854488</v>
      </c>
    </row>
    <row r="779" spans="1:19">
      <c r="A779" s="62" t="s">
        <v>14</v>
      </c>
      <c r="B779" s="62"/>
      <c r="C779" s="62"/>
      <c r="D779" s="62"/>
      <c r="E779" s="62"/>
      <c r="F779" s="62"/>
      <c r="G779" s="62"/>
      <c r="H779" s="62"/>
      <c r="I779" s="62"/>
      <c r="J779" s="62"/>
      <c r="K779" s="62"/>
      <c r="L779" s="62"/>
      <c r="M779" s="62"/>
      <c r="N779" s="62"/>
      <c r="O779" s="1"/>
      <c r="P779" s="32"/>
      <c r="Q779" s="33"/>
      <c r="R779" s="29"/>
      <c r="S779" s="16"/>
    </row>
    <row r="780" spans="1:19">
      <c r="A780" s="71" t="s">
        <v>15</v>
      </c>
      <c r="B780" s="72"/>
      <c r="C780" s="72"/>
      <c r="D780" s="72"/>
      <c r="E780" s="73"/>
      <c r="F780" s="9" t="s">
        <v>37</v>
      </c>
      <c r="G780" s="71" t="s">
        <v>38</v>
      </c>
      <c r="H780" s="73"/>
      <c r="I780" s="71" t="s">
        <v>42</v>
      </c>
      <c r="J780" s="72"/>
      <c r="K780" s="73"/>
      <c r="L780" s="74" t="s">
        <v>17</v>
      </c>
      <c r="M780" s="75"/>
      <c r="N780" s="9" t="s">
        <v>13</v>
      </c>
      <c r="O780" s="1"/>
      <c r="P780" s="32"/>
      <c r="Q780" s="33"/>
      <c r="R780" s="29"/>
      <c r="S780" s="16"/>
    </row>
    <row r="781" spans="1:19">
      <c r="A781" s="71"/>
      <c r="B781" s="72"/>
      <c r="C781" s="72"/>
      <c r="D781" s="72"/>
      <c r="E781" s="73"/>
      <c r="F781" s="13"/>
      <c r="G781" s="76"/>
      <c r="H781" s="77"/>
      <c r="I781" s="78"/>
      <c r="J781" s="79"/>
      <c r="K781" s="80"/>
      <c r="L781" s="81"/>
      <c r="M781" s="82"/>
      <c r="N781" s="8"/>
      <c r="O781" s="1"/>
      <c r="P781" s="32"/>
      <c r="Q781" s="33"/>
      <c r="R781" s="29"/>
      <c r="S781" s="16"/>
    </row>
    <row r="782" spans="1:19">
      <c r="A782" s="62" t="s">
        <v>19</v>
      </c>
      <c r="B782" s="62"/>
      <c r="C782" s="62"/>
      <c r="D782" s="62"/>
      <c r="E782" s="62"/>
      <c r="F782" s="62"/>
      <c r="G782" s="62"/>
      <c r="H782" s="62"/>
      <c r="I782" s="62"/>
      <c r="J782" s="62"/>
      <c r="K782" s="62"/>
      <c r="L782" s="62"/>
      <c r="M782" s="62"/>
      <c r="N782" s="62"/>
      <c r="O782" s="1"/>
      <c r="P782" s="32"/>
      <c r="Q782" s="33"/>
      <c r="R782" s="29"/>
      <c r="S782" s="16"/>
    </row>
    <row r="783" spans="1:19">
      <c r="A783" s="63" t="s">
        <v>20</v>
      </c>
      <c r="B783" s="63"/>
      <c r="C783" s="63" t="s">
        <v>21</v>
      </c>
      <c r="D783" s="63"/>
      <c r="E783" s="63" t="s">
        <v>22</v>
      </c>
      <c r="F783" s="63"/>
      <c r="G783" s="63" t="s">
        <v>23</v>
      </c>
      <c r="H783" s="63"/>
      <c r="I783" s="63"/>
      <c r="J783" s="63" t="s">
        <v>16</v>
      </c>
      <c r="K783" s="63"/>
      <c r="L783" s="63"/>
      <c r="M783" s="63" t="s">
        <v>17</v>
      </c>
      <c r="N783" s="63"/>
      <c r="O783" s="1"/>
      <c r="Q783" s="32"/>
      <c r="R783" s="33"/>
      <c r="S783" s="16"/>
    </row>
    <row r="784" spans="1:19">
      <c r="A784" s="60" t="s">
        <v>24</v>
      </c>
      <c r="B784" s="52"/>
      <c r="C784" s="61">
        <v>3</v>
      </c>
      <c r="D784" s="61"/>
      <c r="E784" s="61">
        <f>C784+E723</f>
        <v>12</v>
      </c>
      <c r="F784" s="61"/>
      <c r="G784" s="60" t="s">
        <v>51</v>
      </c>
      <c r="H784" s="51"/>
      <c r="I784" s="52"/>
      <c r="J784" s="61"/>
      <c r="K784" s="61"/>
      <c r="L784" s="61"/>
      <c r="M784" s="61">
        <f>K784+M723</f>
        <v>1</v>
      </c>
      <c r="N784" s="61"/>
      <c r="O784" s="1"/>
      <c r="Q784" s="32"/>
      <c r="R784" s="33"/>
      <c r="S784" s="16"/>
    </row>
    <row r="785" spans="1:19">
      <c r="A785" s="60" t="s">
        <v>25</v>
      </c>
      <c r="B785" s="52"/>
      <c r="C785" s="61">
        <v>3</v>
      </c>
      <c r="D785" s="61"/>
      <c r="E785" s="61">
        <f>C785+E724</f>
        <v>11</v>
      </c>
      <c r="F785" s="61"/>
      <c r="G785" s="60" t="s">
        <v>50</v>
      </c>
      <c r="H785" s="51"/>
      <c r="I785" s="52"/>
      <c r="J785" s="61"/>
      <c r="K785" s="61"/>
      <c r="L785" s="61"/>
      <c r="M785" s="61">
        <f>K785+M724</f>
        <v>1</v>
      </c>
      <c r="N785" s="61"/>
      <c r="O785" s="1"/>
      <c r="Q785" s="32"/>
      <c r="R785" s="33"/>
      <c r="S785" s="16"/>
    </row>
    <row r="786" spans="1:19">
      <c r="A786" s="60"/>
      <c r="B786" s="52"/>
      <c r="C786" s="61"/>
      <c r="D786" s="61"/>
      <c r="E786" s="61"/>
      <c r="F786" s="61"/>
      <c r="G786" s="60" t="s">
        <v>55</v>
      </c>
      <c r="H786" s="51"/>
      <c r="I786" s="52"/>
      <c r="J786" s="61"/>
      <c r="K786" s="61"/>
      <c r="L786" s="61"/>
      <c r="M786" s="61">
        <f>K786+M725</f>
        <v>0</v>
      </c>
      <c r="N786" s="61"/>
      <c r="O786" s="2"/>
      <c r="P786" s="29"/>
      <c r="Q786" s="32"/>
      <c r="R786" s="33"/>
      <c r="S786" s="16"/>
    </row>
    <row r="787" spans="1:19">
      <c r="A787" s="53" t="s">
        <v>53</v>
      </c>
      <c r="B787" s="47"/>
      <c r="C787" s="53"/>
      <c r="D787" s="53"/>
      <c r="E787" s="53"/>
      <c r="F787" s="53"/>
      <c r="G787" s="53"/>
      <c r="H787" s="53"/>
      <c r="I787" s="53"/>
      <c r="J787" s="53"/>
      <c r="K787" s="53"/>
      <c r="L787" s="53"/>
      <c r="M787" s="53"/>
      <c r="N787" s="53"/>
      <c r="O787" s="1"/>
      <c r="P787" s="32"/>
      <c r="Q787" s="32"/>
      <c r="R787" s="33"/>
      <c r="S787" s="16"/>
    </row>
    <row r="788" spans="1:19">
      <c r="A788" s="45" t="s">
        <v>56</v>
      </c>
      <c r="B788" s="46"/>
      <c r="C788" s="46"/>
      <c r="D788" s="46"/>
      <c r="E788" s="46"/>
      <c r="F788" s="46"/>
      <c r="G788" s="46"/>
      <c r="H788" s="46"/>
      <c r="I788" s="46"/>
      <c r="J788" s="46"/>
      <c r="K788" s="46"/>
      <c r="L788" s="46"/>
      <c r="M788" s="46"/>
      <c r="N788" s="47"/>
      <c r="O788" s="1"/>
      <c r="P788" s="32"/>
      <c r="Q788" s="34"/>
      <c r="R788" s="33"/>
      <c r="S788" s="16"/>
    </row>
    <row r="789" spans="1:19">
      <c r="A789" s="54" t="s">
        <v>54</v>
      </c>
      <c r="B789" s="55"/>
      <c r="C789" s="55"/>
      <c r="D789" s="55"/>
      <c r="E789" s="55"/>
      <c r="F789" s="55"/>
      <c r="G789" s="55"/>
      <c r="H789" s="55"/>
      <c r="I789" s="55"/>
      <c r="J789" s="55"/>
      <c r="K789" s="55"/>
      <c r="L789" s="55"/>
      <c r="M789" s="55"/>
      <c r="N789" s="56"/>
      <c r="O789" s="1"/>
      <c r="P789" s="32"/>
      <c r="Q789" s="32"/>
      <c r="R789" s="33"/>
      <c r="S789" s="16"/>
    </row>
    <row r="790" spans="1:19">
      <c r="A790" s="40" t="s">
        <v>26</v>
      </c>
      <c r="B790" s="41"/>
      <c r="C790" s="40"/>
      <c r="D790" s="40"/>
      <c r="E790" s="40"/>
      <c r="F790" s="40"/>
      <c r="G790" s="40"/>
      <c r="H790" s="40"/>
      <c r="I790" s="40"/>
      <c r="J790" s="40"/>
      <c r="K790" s="40"/>
      <c r="L790" s="40"/>
      <c r="M790" s="40"/>
      <c r="N790" s="40"/>
      <c r="O790" s="1"/>
      <c r="P790" s="32"/>
      <c r="Q790" s="32"/>
      <c r="R790" s="33"/>
      <c r="S790" s="16"/>
    </row>
    <row r="791" spans="1:19">
      <c r="A791" s="57" t="s">
        <v>27</v>
      </c>
      <c r="B791" s="58"/>
      <c r="C791" s="58"/>
      <c r="D791" s="58"/>
      <c r="E791" s="58"/>
      <c r="F791" s="58"/>
      <c r="G791" s="58"/>
      <c r="H791" s="58"/>
      <c r="I791" s="58"/>
      <c r="J791" s="58"/>
      <c r="K791" s="58"/>
      <c r="L791" s="58"/>
      <c r="M791" s="58"/>
      <c r="N791" s="59"/>
      <c r="O791" s="1"/>
      <c r="P791" s="34"/>
      <c r="Q791" s="34"/>
      <c r="R791" s="33"/>
      <c r="S791" s="16"/>
    </row>
    <row r="792" spans="1:19">
      <c r="A792" s="57" t="s">
        <v>57</v>
      </c>
      <c r="B792" s="58"/>
      <c r="C792" s="58"/>
      <c r="D792" s="58"/>
      <c r="E792" s="58"/>
      <c r="F792" s="58"/>
      <c r="G792" s="58"/>
      <c r="H792" s="58"/>
      <c r="I792" s="58"/>
      <c r="J792" s="58"/>
      <c r="K792" s="58"/>
      <c r="L792" s="58"/>
      <c r="M792" s="58"/>
      <c r="N792" s="59"/>
      <c r="O792" s="1"/>
      <c r="P792" s="32"/>
      <c r="Q792" s="32"/>
      <c r="R792" s="33"/>
      <c r="S792" s="16"/>
    </row>
    <row r="793" spans="1:19">
      <c r="A793" s="57" t="s">
        <v>58</v>
      </c>
      <c r="B793" s="58"/>
      <c r="C793" s="58"/>
      <c r="D793" s="58"/>
      <c r="E793" s="58"/>
      <c r="F793" s="58"/>
      <c r="G793" s="58"/>
      <c r="H793" s="58"/>
      <c r="I793" s="58"/>
      <c r="J793" s="58"/>
      <c r="K793" s="58"/>
      <c r="L793" s="58"/>
      <c r="M793" s="58"/>
      <c r="N793" s="59"/>
      <c r="O793" s="1"/>
      <c r="P793" s="32"/>
      <c r="Q793" s="32"/>
      <c r="R793" s="33"/>
      <c r="S793" s="16"/>
    </row>
    <row r="794" spans="1:19">
      <c r="A794" s="57" t="s">
        <v>59</v>
      </c>
      <c r="B794" s="58"/>
      <c r="C794" s="58"/>
      <c r="D794" s="58"/>
      <c r="E794" s="58"/>
      <c r="F794" s="58"/>
      <c r="G794" s="58"/>
      <c r="H794" s="58"/>
      <c r="I794" s="58"/>
      <c r="J794" s="58"/>
      <c r="K794" s="58"/>
      <c r="L794" s="58"/>
      <c r="M794" s="58"/>
      <c r="N794" s="59"/>
      <c r="O794" s="1"/>
      <c r="P794" s="32"/>
      <c r="Q794" s="34"/>
      <c r="R794" s="33"/>
      <c r="S794" s="16"/>
    </row>
    <row r="795" spans="1:19">
      <c r="A795" s="57" t="s">
        <v>28</v>
      </c>
      <c r="B795" s="58"/>
      <c r="C795" s="58"/>
      <c r="D795" s="58"/>
      <c r="E795" s="58"/>
      <c r="F795" s="58"/>
      <c r="G795" s="58"/>
      <c r="H795" s="58"/>
      <c r="I795" s="58"/>
      <c r="J795" s="58"/>
      <c r="K795" s="58"/>
      <c r="L795" s="58"/>
      <c r="M795" s="58"/>
      <c r="N795" s="59"/>
      <c r="O795" s="1"/>
      <c r="P795" s="34"/>
      <c r="Q795" s="32"/>
      <c r="R795" s="33"/>
      <c r="S795" s="16"/>
    </row>
    <row r="796" spans="1:19">
      <c r="A796" s="40" t="s">
        <v>29</v>
      </c>
      <c r="B796" s="41"/>
      <c r="C796" s="40"/>
      <c r="D796" s="40"/>
      <c r="E796" s="40"/>
      <c r="F796" s="40"/>
      <c r="G796" s="40"/>
      <c r="H796" s="40"/>
      <c r="I796" s="40"/>
      <c r="J796" s="40"/>
      <c r="K796" s="40"/>
      <c r="L796" s="40"/>
      <c r="M796" s="40"/>
      <c r="N796" s="40"/>
      <c r="O796" s="1"/>
      <c r="P796" s="32"/>
      <c r="Q796" s="32"/>
      <c r="R796" s="33"/>
      <c r="S796" s="16"/>
    </row>
    <row r="797" spans="1:19">
      <c r="A797" s="42"/>
      <c r="B797" s="43"/>
      <c r="C797" s="43"/>
      <c r="D797" s="43"/>
      <c r="E797" s="43"/>
      <c r="F797" s="43"/>
      <c r="G797" s="43"/>
      <c r="H797" s="43"/>
      <c r="I797" s="43"/>
      <c r="J797" s="43"/>
      <c r="K797" s="43"/>
      <c r="L797" s="43"/>
      <c r="M797" s="43"/>
      <c r="N797" s="44"/>
      <c r="O797" s="1"/>
      <c r="P797" s="32"/>
      <c r="Q797" s="32"/>
      <c r="R797" s="33"/>
      <c r="S797" s="16"/>
    </row>
    <row r="798" spans="1:19">
      <c r="A798" s="40" t="s">
        <v>30</v>
      </c>
      <c r="B798" s="41"/>
      <c r="C798" s="40"/>
      <c r="D798" s="40"/>
      <c r="E798" s="40"/>
      <c r="F798" s="40"/>
      <c r="G798" s="40"/>
      <c r="H798" s="40"/>
      <c r="I798" s="40"/>
      <c r="J798" s="40"/>
      <c r="K798" s="40"/>
      <c r="L798" s="40"/>
      <c r="M798" s="40"/>
      <c r="N798" s="40"/>
      <c r="O798" s="1"/>
      <c r="P798" s="32"/>
      <c r="Q798" s="32"/>
      <c r="R798" s="33"/>
      <c r="S798" s="16"/>
    </row>
    <row r="799" spans="1:19">
      <c r="A799" s="42"/>
      <c r="B799" s="43"/>
      <c r="C799" s="43"/>
      <c r="D799" s="43"/>
      <c r="E799" s="43"/>
      <c r="F799" s="43"/>
      <c r="G799" s="43"/>
      <c r="H799" s="43"/>
      <c r="I799" s="43"/>
      <c r="J799" s="43"/>
      <c r="K799" s="43"/>
      <c r="L799" s="43"/>
      <c r="M799" s="43"/>
      <c r="N799" s="44"/>
      <c r="O799" s="1"/>
      <c r="P799" s="32"/>
      <c r="Q799" s="32"/>
      <c r="R799" s="33"/>
      <c r="S799" s="16"/>
    </row>
    <row r="800" spans="1:19">
      <c r="A800" s="40" t="s">
        <v>101</v>
      </c>
      <c r="B800" s="41"/>
      <c r="C800" s="40"/>
      <c r="D800" s="40"/>
      <c r="E800" s="40"/>
      <c r="F800" s="40"/>
      <c r="G800" s="40"/>
      <c r="H800" s="40"/>
      <c r="I800" s="40"/>
      <c r="J800" s="40"/>
      <c r="K800" s="40"/>
      <c r="L800" s="40"/>
      <c r="M800" s="40"/>
      <c r="N800" s="40"/>
      <c r="O800" s="1"/>
      <c r="P800" s="32"/>
      <c r="Q800" s="32"/>
      <c r="R800" s="33"/>
      <c r="S800" s="17"/>
    </row>
    <row r="801" spans="1:19">
      <c r="A801" s="45"/>
      <c r="B801" s="46"/>
      <c r="C801" s="46"/>
      <c r="D801" s="46"/>
      <c r="E801" s="46"/>
      <c r="F801" s="46"/>
      <c r="G801" s="46"/>
      <c r="H801" s="46"/>
      <c r="I801" s="46"/>
      <c r="J801" s="46"/>
      <c r="K801" s="46"/>
      <c r="L801" s="46"/>
      <c r="M801" s="46"/>
      <c r="N801" s="47"/>
      <c r="O801" s="1"/>
      <c r="P801" s="32"/>
      <c r="Q801" s="32"/>
      <c r="R801" s="33"/>
      <c r="S801" s="1"/>
    </row>
    <row r="802" spans="1:19">
      <c r="A802" s="48" t="s">
        <v>41</v>
      </c>
      <c r="B802" s="49"/>
      <c r="C802" s="50"/>
      <c r="D802" s="50"/>
      <c r="E802" s="50"/>
      <c r="F802" s="50"/>
      <c r="G802" s="50"/>
      <c r="H802" s="51"/>
      <c r="I802" s="51"/>
      <c r="J802" s="51"/>
      <c r="K802" s="51"/>
      <c r="L802" s="51"/>
      <c r="M802" s="51"/>
      <c r="N802" s="52"/>
      <c r="O802" s="1"/>
      <c r="P802" s="32"/>
      <c r="Q802" s="32"/>
      <c r="R802" s="33"/>
      <c r="S802" s="1"/>
    </row>
    <row r="803" spans="1:19" ht="28.2">
      <c r="A803" s="1" t="s">
        <v>45</v>
      </c>
      <c r="B803" s="7">
        <f>B742+1</f>
        <v>14</v>
      </c>
      <c r="C803" s="5"/>
      <c r="D803" s="5"/>
      <c r="E803" s="5"/>
      <c r="F803" s="5"/>
      <c r="G803" s="5"/>
      <c r="H803" s="5"/>
      <c r="I803" s="5"/>
      <c r="J803" s="5"/>
      <c r="K803" s="5"/>
      <c r="L803" s="5"/>
      <c r="M803" s="5"/>
      <c r="N803" s="5"/>
      <c r="O803" s="1"/>
      <c r="P803" s="32"/>
      <c r="Q803" s="33"/>
      <c r="R803" s="29"/>
    </row>
    <row r="804" spans="1:19">
      <c r="A804" s="1" t="s">
        <v>46</v>
      </c>
      <c r="B804" s="1" t="s">
        <v>1</v>
      </c>
      <c r="C804" s="1" t="s">
        <v>2</v>
      </c>
      <c r="D804" s="1" t="s">
        <v>3</v>
      </c>
      <c r="E804" s="1" t="s">
        <v>2</v>
      </c>
      <c r="F804" s="1"/>
      <c r="G804" s="1"/>
      <c r="H804" s="112" t="s">
        <v>4</v>
      </c>
      <c r="I804" s="112"/>
      <c r="J804" s="113">
        <f>J743+1</f>
        <v>46225</v>
      </c>
      <c r="K804" s="113"/>
      <c r="L804" s="113"/>
      <c r="M804" s="114">
        <f>J804</f>
        <v>46225</v>
      </c>
      <c r="N804" s="114"/>
      <c r="O804" s="1"/>
      <c r="P804" s="32"/>
      <c r="Q804" s="33"/>
      <c r="R804" s="29"/>
    </row>
    <row r="805" spans="1:19">
      <c r="A805" s="8" t="s">
        <v>5</v>
      </c>
      <c r="B805" s="115">
        <f>B736</f>
        <v>0</v>
      </c>
      <c r="C805" s="116"/>
      <c r="D805" s="116"/>
      <c r="E805" s="116"/>
      <c r="F805" s="116"/>
      <c r="G805" s="117"/>
      <c r="H805" s="63" t="s">
        <v>6</v>
      </c>
      <c r="I805" s="63"/>
      <c r="J805" s="63"/>
      <c r="K805" s="63" t="s">
        <v>52</v>
      </c>
      <c r="L805" s="63"/>
      <c r="M805" s="63"/>
      <c r="N805" s="63"/>
      <c r="O805" s="1"/>
      <c r="P805" s="32"/>
      <c r="Q805" s="33"/>
      <c r="R805" s="29"/>
    </row>
    <row r="806" spans="1:19">
      <c r="A806" s="8" t="s">
        <v>32</v>
      </c>
      <c r="B806" s="10">
        <v>60</v>
      </c>
      <c r="C806" s="11" t="s">
        <v>43</v>
      </c>
      <c r="D806" s="71" t="s">
        <v>7</v>
      </c>
      <c r="E806" s="73"/>
      <c r="F806" s="10">
        <f>F745+1</f>
        <v>14</v>
      </c>
      <c r="G806" s="11" t="s">
        <v>8</v>
      </c>
      <c r="H806" s="9" t="s">
        <v>9</v>
      </c>
      <c r="I806" s="10">
        <f>B806-F806</f>
        <v>46</v>
      </c>
      <c r="J806" s="11" t="s">
        <v>8</v>
      </c>
      <c r="K806" s="118" t="s">
        <v>33</v>
      </c>
      <c r="L806" s="119"/>
      <c r="M806" s="12"/>
      <c r="N806" s="11" t="s">
        <v>8</v>
      </c>
      <c r="O806" s="1"/>
      <c r="P806" s="34"/>
      <c r="Q806" s="33"/>
      <c r="R806" s="29"/>
    </row>
    <row r="807" spans="1:19">
      <c r="A807" s="71" t="s">
        <v>34</v>
      </c>
      <c r="B807" s="72"/>
      <c r="C807" s="73"/>
      <c r="D807" s="120">
        <v>46212</v>
      </c>
      <c r="E807" s="121"/>
      <c r="F807" s="121"/>
      <c r="G807" s="122"/>
      <c r="H807" s="71" t="s">
        <v>35</v>
      </c>
      <c r="I807" s="72"/>
      <c r="J807" s="73"/>
      <c r="K807" s="120">
        <f>D807+59</f>
        <v>46271</v>
      </c>
      <c r="L807" s="121"/>
      <c r="M807" s="121"/>
      <c r="N807" s="122"/>
      <c r="O807" s="1"/>
      <c r="P807" s="32"/>
      <c r="Q807" s="33"/>
      <c r="R807" s="29"/>
    </row>
    <row r="808" spans="1:19">
      <c r="A808" s="92" t="s">
        <v>10</v>
      </c>
      <c r="B808" s="93"/>
      <c r="C808" s="94"/>
      <c r="D808" s="98">
        <f>D747+0.011/5</f>
        <v>1.43E-2</v>
      </c>
      <c r="E808" s="99"/>
      <c r="F808" s="99"/>
      <c r="G808" s="100"/>
      <c r="H808" s="104" t="s">
        <v>36</v>
      </c>
      <c r="I808" s="105"/>
      <c r="J808" s="106"/>
      <c r="K808" s="110">
        <f>R839</f>
        <v>0.12207496371372221</v>
      </c>
      <c r="L808" s="105"/>
      <c r="M808" s="105"/>
      <c r="N808" s="106"/>
      <c r="O808" s="1"/>
      <c r="P808" s="32"/>
      <c r="Q808" s="33"/>
      <c r="R808" s="29"/>
    </row>
    <row r="809" spans="1:19">
      <c r="A809" s="95"/>
      <c r="B809" s="96"/>
      <c r="C809" s="97"/>
      <c r="D809" s="101"/>
      <c r="E809" s="102"/>
      <c r="F809" s="102"/>
      <c r="G809" s="103"/>
      <c r="H809" s="107"/>
      <c r="I809" s="108"/>
      <c r="J809" s="109"/>
      <c r="K809" s="107"/>
      <c r="L809" s="108"/>
      <c r="M809" s="108"/>
      <c r="N809" s="109"/>
      <c r="O809" s="1"/>
      <c r="P809" s="32"/>
      <c r="Q809" s="33"/>
      <c r="R809" s="29"/>
    </row>
    <row r="810" spans="1:19">
      <c r="A810" s="62" t="s">
        <v>11</v>
      </c>
      <c r="B810" s="62"/>
      <c r="C810" s="62"/>
      <c r="D810" s="62"/>
      <c r="E810" s="62"/>
      <c r="F810" s="62"/>
      <c r="G810" s="62"/>
      <c r="H810" s="62"/>
      <c r="I810" s="62"/>
      <c r="J810" s="62"/>
      <c r="K810" s="62"/>
      <c r="L810" s="62"/>
      <c r="M810" s="62"/>
      <c r="N810" s="62"/>
      <c r="O810" s="1"/>
      <c r="P810" s="32"/>
      <c r="Q810" s="33"/>
      <c r="R810" s="29"/>
    </row>
    <row r="811" spans="1:19">
      <c r="A811" s="111" t="s">
        <v>12</v>
      </c>
      <c r="B811" s="111"/>
      <c r="C811" s="111"/>
      <c r="D811" s="111"/>
      <c r="E811" s="111"/>
      <c r="F811" s="14" t="s">
        <v>37</v>
      </c>
      <c r="G811" s="111" t="s">
        <v>38</v>
      </c>
      <c r="H811" s="111"/>
      <c r="I811" s="63" t="s">
        <v>39</v>
      </c>
      <c r="J811" s="63"/>
      <c r="K811" s="63"/>
      <c r="L811" s="63" t="s">
        <v>40</v>
      </c>
      <c r="M811" s="63"/>
      <c r="N811" s="9" t="s">
        <v>13</v>
      </c>
      <c r="O811" s="1"/>
      <c r="P811" s="28" t="s">
        <v>47</v>
      </c>
      <c r="Q811" s="29" t="s">
        <v>48</v>
      </c>
      <c r="R811" s="29" t="s">
        <v>49</v>
      </c>
    </row>
    <row r="812" spans="1:19">
      <c r="A812" s="83" t="s">
        <v>67</v>
      </c>
      <c r="B812" s="84"/>
      <c r="C812" s="84"/>
      <c r="D812" s="84"/>
      <c r="E812" s="85"/>
      <c r="F812" s="27" t="s">
        <v>60</v>
      </c>
      <c r="G812" s="67">
        <v>1</v>
      </c>
      <c r="H812" s="68"/>
      <c r="I812" s="86"/>
      <c r="J812" s="87"/>
      <c r="K812" s="88"/>
      <c r="L812" s="69">
        <f>I812+L751</f>
        <v>1</v>
      </c>
      <c r="M812" s="70"/>
      <c r="N812" s="8"/>
      <c r="O812" s="1"/>
      <c r="P812" s="30">
        <v>6000</v>
      </c>
      <c r="Q812" s="38">
        <f>P812*G812</f>
        <v>6000</v>
      </c>
      <c r="R812" s="28">
        <f>L812*P812</f>
        <v>6000</v>
      </c>
    </row>
    <row r="813" spans="1:19">
      <c r="A813" s="83" t="s">
        <v>68</v>
      </c>
      <c r="B813" s="84"/>
      <c r="C813" s="84"/>
      <c r="D813" s="84"/>
      <c r="E813" s="85"/>
      <c r="F813" s="20" t="s">
        <v>60</v>
      </c>
      <c r="G813" s="67">
        <v>1</v>
      </c>
      <c r="H813" s="68"/>
      <c r="I813" s="87"/>
      <c r="J813" s="87"/>
      <c r="K813" s="88"/>
      <c r="L813" s="69">
        <f t="shared" ref="L813:L837" si="44">I813+L752</f>
        <v>1</v>
      </c>
      <c r="M813" s="70"/>
      <c r="N813" s="8"/>
      <c r="O813" s="1"/>
      <c r="P813" s="30">
        <v>193300</v>
      </c>
      <c r="Q813" s="38">
        <f t="shared" ref="Q813:Q837" si="45">P813*G813</f>
        <v>193300</v>
      </c>
      <c r="R813" s="28">
        <f>L813*P813</f>
        <v>193300</v>
      </c>
    </row>
    <row r="814" spans="1:19">
      <c r="A814" s="89" t="s">
        <v>69</v>
      </c>
      <c r="B814" s="90"/>
      <c r="C814" s="90"/>
      <c r="D814" s="90"/>
      <c r="E814" s="91"/>
      <c r="F814" s="20" t="s">
        <v>60</v>
      </c>
      <c r="G814" s="67">
        <v>1</v>
      </c>
      <c r="H814" s="68"/>
      <c r="I814" s="87"/>
      <c r="J814" s="87"/>
      <c r="K814" s="88"/>
      <c r="L814" s="69">
        <f t="shared" si="44"/>
        <v>0.5</v>
      </c>
      <c r="M814" s="70"/>
      <c r="N814" s="8"/>
      <c r="O814" s="1"/>
      <c r="P814" s="30">
        <v>30000</v>
      </c>
      <c r="Q814" s="38">
        <f t="shared" si="45"/>
        <v>30000</v>
      </c>
      <c r="R814" s="28">
        <f>L814*P814</f>
        <v>15000</v>
      </c>
    </row>
    <row r="815" spans="1:19">
      <c r="A815" s="64" t="s">
        <v>70</v>
      </c>
      <c r="B815" s="65"/>
      <c r="C815" s="65"/>
      <c r="D815" s="65"/>
      <c r="E815" s="66"/>
      <c r="F815" s="20" t="s">
        <v>60</v>
      </c>
      <c r="G815" s="67">
        <v>1</v>
      </c>
      <c r="H815" s="68"/>
      <c r="I815" s="87"/>
      <c r="J815" s="87"/>
      <c r="K815" s="88"/>
      <c r="L815" s="69">
        <f t="shared" si="44"/>
        <v>1</v>
      </c>
      <c r="M815" s="70"/>
      <c r="N815" s="8"/>
      <c r="O815" s="1"/>
      <c r="P815" s="31">
        <v>10000</v>
      </c>
      <c r="Q815" s="38">
        <f t="shared" si="45"/>
        <v>10000</v>
      </c>
      <c r="R815" s="28">
        <f t="shared" ref="R815:R837" si="46">L815*P815</f>
        <v>10000</v>
      </c>
    </row>
    <row r="816" spans="1:19">
      <c r="A816" s="64" t="s">
        <v>71</v>
      </c>
      <c r="B816" s="65"/>
      <c r="C816" s="65"/>
      <c r="D816" s="65"/>
      <c r="E816" s="66"/>
      <c r="F816" s="20" t="s">
        <v>61</v>
      </c>
      <c r="G816" s="67">
        <v>9</v>
      </c>
      <c r="H816" s="68"/>
      <c r="I816" s="87"/>
      <c r="J816" s="87"/>
      <c r="K816" s="88"/>
      <c r="L816" s="69">
        <f t="shared" si="44"/>
        <v>9</v>
      </c>
      <c r="M816" s="70"/>
      <c r="N816" s="8"/>
      <c r="O816" s="1"/>
      <c r="P816" s="30">
        <v>21000</v>
      </c>
      <c r="Q816" s="38">
        <f t="shared" si="45"/>
        <v>189000</v>
      </c>
      <c r="R816" s="28">
        <f t="shared" si="46"/>
        <v>189000</v>
      </c>
    </row>
    <row r="817" spans="1:18">
      <c r="A817" s="64" t="s">
        <v>72</v>
      </c>
      <c r="B817" s="65"/>
      <c r="C817" s="65"/>
      <c r="D817" s="65"/>
      <c r="E817" s="66"/>
      <c r="F817" s="2" t="s">
        <v>60</v>
      </c>
      <c r="G817" s="67">
        <v>1</v>
      </c>
      <c r="H817" s="68"/>
      <c r="I817" s="87"/>
      <c r="J817" s="87"/>
      <c r="K817" s="88"/>
      <c r="L817" s="69">
        <f t="shared" si="44"/>
        <v>0</v>
      </c>
      <c r="M817" s="70"/>
      <c r="N817" s="8"/>
      <c r="O817" s="1"/>
      <c r="P817" s="30">
        <v>184468</v>
      </c>
      <c r="Q817" s="38">
        <f t="shared" si="45"/>
        <v>184468</v>
      </c>
      <c r="R817" s="28">
        <f t="shared" si="46"/>
        <v>0</v>
      </c>
    </row>
    <row r="818" spans="1:18">
      <c r="A818" s="83" t="s">
        <v>73</v>
      </c>
      <c r="B818" s="84"/>
      <c r="C818" s="84"/>
      <c r="D818" s="84"/>
      <c r="E818" s="85"/>
      <c r="F818" s="20" t="s">
        <v>62</v>
      </c>
      <c r="G818" s="67">
        <v>9</v>
      </c>
      <c r="H818" s="68"/>
      <c r="I818" s="87"/>
      <c r="J818" s="87"/>
      <c r="K818" s="88"/>
      <c r="L818" s="69">
        <f t="shared" si="44"/>
        <v>0</v>
      </c>
      <c r="M818" s="70"/>
      <c r="N818" s="8"/>
      <c r="O818" s="1"/>
      <c r="P818" s="30">
        <v>20000</v>
      </c>
      <c r="Q818" s="38">
        <f t="shared" si="45"/>
        <v>180000</v>
      </c>
      <c r="R818" s="28">
        <f t="shared" si="46"/>
        <v>0</v>
      </c>
    </row>
    <row r="819" spans="1:18">
      <c r="A819" s="83" t="s">
        <v>74</v>
      </c>
      <c r="B819" s="84"/>
      <c r="C819" s="84"/>
      <c r="D819" s="84"/>
      <c r="E819" s="85"/>
      <c r="F819" s="20" t="s">
        <v>63</v>
      </c>
      <c r="G819" s="67">
        <v>52</v>
      </c>
      <c r="H819" s="68"/>
      <c r="I819" s="87">
        <v>15</v>
      </c>
      <c r="J819" s="87"/>
      <c r="K819" s="88"/>
      <c r="L819" s="69">
        <f t="shared" si="44"/>
        <v>45</v>
      </c>
      <c r="M819" s="70"/>
      <c r="N819" s="8"/>
      <c r="O819" s="1"/>
      <c r="P819" s="31">
        <v>2500</v>
      </c>
      <c r="Q819" s="38">
        <f t="shared" si="45"/>
        <v>130000</v>
      </c>
      <c r="R819" s="28">
        <f t="shared" si="46"/>
        <v>112500</v>
      </c>
    </row>
    <row r="820" spans="1:18">
      <c r="A820" s="83" t="s">
        <v>75</v>
      </c>
      <c r="B820" s="84"/>
      <c r="C820" s="84"/>
      <c r="D820" s="84"/>
      <c r="E820" s="85"/>
      <c r="F820" s="20" t="s">
        <v>64</v>
      </c>
      <c r="G820" s="67">
        <v>1</v>
      </c>
      <c r="H820" s="68"/>
      <c r="I820" s="87"/>
      <c r="J820" s="87"/>
      <c r="K820" s="88"/>
      <c r="L820" s="69">
        <f t="shared" si="44"/>
        <v>0</v>
      </c>
      <c r="M820" s="70"/>
      <c r="N820" s="8"/>
      <c r="O820" s="1"/>
      <c r="P820" s="30">
        <v>80000</v>
      </c>
      <c r="Q820" s="38">
        <f t="shared" si="45"/>
        <v>80000</v>
      </c>
      <c r="R820" s="28">
        <f t="shared" si="46"/>
        <v>0</v>
      </c>
    </row>
    <row r="821" spans="1:18">
      <c r="A821" s="89" t="s">
        <v>76</v>
      </c>
      <c r="B821" s="90"/>
      <c r="C821" s="90"/>
      <c r="D821" s="90"/>
      <c r="E821" s="91"/>
      <c r="F821" s="20" t="s">
        <v>65</v>
      </c>
      <c r="G821" s="67">
        <v>31</v>
      </c>
      <c r="H821" s="68"/>
      <c r="I821" s="87"/>
      <c r="J821" s="87"/>
      <c r="K821" s="88"/>
      <c r="L821" s="69">
        <f t="shared" si="44"/>
        <v>0</v>
      </c>
      <c r="M821" s="70"/>
      <c r="N821" s="8"/>
      <c r="O821" s="1"/>
      <c r="P821" s="30">
        <v>400</v>
      </c>
      <c r="Q821" s="38">
        <f t="shared" si="45"/>
        <v>12400</v>
      </c>
      <c r="R821" s="28">
        <f t="shared" si="46"/>
        <v>0</v>
      </c>
    </row>
    <row r="822" spans="1:18">
      <c r="A822" s="64" t="s">
        <v>77</v>
      </c>
      <c r="B822" s="65"/>
      <c r="C822" s="65"/>
      <c r="D822" s="65"/>
      <c r="E822" s="66"/>
      <c r="F822" s="20" t="s">
        <v>65</v>
      </c>
      <c r="G822" s="67">
        <v>100</v>
      </c>
      <c r="H822" s="68"/>
      <c r="I822" s="87"/>
      <c r="J822" s="87"/>
      <c r="K822" s="88"/>
      <c r="L822" s="69">
        <f t="shared" si="44"/>
        <v>0</v>
      </c>
      <c r="M822" s="70"/>
      <c r="N822" s="8"/>
      <c r="O822" s="1"/>
      <c r="P822" s="30">
        <v>350</v>
      </c>
      <c r="Q822" s="38">
        <f t="shared" si="45"/>
        <v>35000</v>
      </c>
      <c r="R822" s="28">
        <f t="shared" si="46"/>
        <v>0</v>
      </c>
    </row>
    <row r="823" spans="1:18">
      <c r="A823" s="64" t="s">
        <v>78</v>
      </c>
      <c r="B823" s="65"/>
      <c r="C823" s="65"/>
      <c r="D823" s="65"/>
      <c r="E823" s="66"/>
      <c r="F823" s="20" t="s">
        <v>63</v>
      </c>
      <c r="G823" s="67">
        <v>35</v>
      </c>
      <c r="H823" s="68"/>
      <c r="I823" s="87"/>
      <c r="J823" s="87"/>
      <c r="K823" s="88"/>
      <c r="L823" s="69">
        <f t="shared" si="44"/>
        <v>0</v>
      </c>
      <c r="M823" s="70"/>
      <c r="N823" s="8"/>
      <c r="O823" s="1"/>
      <c r="P823" s="30">
        <v>1200</v>
      </c>
      <c r="Q823" s="38">
        <f t="shared" si="45"/>
        <v>42000</v>
      </c>
      <c r="R823" s="28">
        <f t="shared" si="46"/>
        <v>0</v>
      </c>
    </row>
    <row r="824" spans="1:18">
      <c r="A824" s="64" t="s">
        <v>79</v>
      </c>
      <c r="B824" s="65"/>
      <c r="C824" s="65"/>
      <c r="D824" s="65"/>
      <c r="E824" s="66"/>
      <c r="F824" s="20" t="s">
        <v>63</v>
      </c>
      <c r="G824" s="67">
        <v>282</v>
      </c>
      <c r="H824" s="68"/>
      <c r="I824" s="86"/>
      <c r="J824" s="87"/>
      <c r="K824" s="88"/>
      <c r="L824" s="69">
        <f t="shared" si="44"/>
        <v>0</v>
      </c>
      <c r="M824" s="70"/>
      <c r="N824" s="8"/>
      <c r="O824" s="1"/>
      <c r="P824" s="30">
        <v>1400</v>
      </c>
      <c r="Q824" s="38">
        <f t="shared" si="45"/>
        <v>394800</v>
      </c>
      <c r="R824" s="28">
        <f t="shared" si="46"/>
        <v>0</v>
      </c>
    </row>
    <row r="825" spans="1:18">
      <c r="A825" s="83" t="s">
        <v>80</v>
      </c>
      <c r="B825" s="84"/>
      <c r="C825" s="84"/>
      <c r="D825" s="84"/>
      <c r="E825" s="85"/>
      <c r="F825" s="21" t="s">
        <v>65</v>
      </c>
      <c r="G825" s="67">
        <v>58</v>
      </c>
      <c r="H825" s="68"/>
      <c r="I825" s="86"/>
      <c r="J825" s="87"/>
      <c r="K825" s="88"/>
      <c r="L825" s="69">
        <f t="shared" si="44"/>
        <v>0</v>
      </c>
      <c r="M825" s="70"/>
      <c r="N825" s="8"/>
      <c r="O825" s="1"/>
      <c r="P825" s="30">
        <v>3600</v>
      </c>
      <c r="Q825" s="38">
        <f t="shared" si="45"/>
        <v>208800</v>
      </c>
      <c r="R825" s="28">
        <f t="shared" si="46"/>
        <v>0</v>
      </c>
    </row>
    <row r="826" spans="1:18">
      <c r="A826" s="83" t="s">
        <v>81</v>
      </c>
      <c r="B826" s="84"/>
      <c r="C826" s="84"/>
      <c r="D826" s="84"/>
      <c r="E826" s="85"/>
      <c r="F826" s="21" t="s">
        <v>65</v>
      </c>
      <c r="G826" s="67">
        <v>360</v>
      </c>
      <c r="H826" s="68"/>
      <c r="I826" s="86"/>
      <c r="J826" s="87"/>
      <c r="K826" s="88"/>
      <c r="L826" s="69">
        <f t="shared" si="44"/>
        <v>0</v>
      </c>
      <c r="M826" s="70"/>
      <c r="N826" s="8"/>
      <c r="O826" s="1"/>
      <c r="P826" s="30">
        <v>230</v>
      </c>
      <c r="Q826" s="38">
        <f t="shared" si="45"/>
        <v>82800</v>
      </c>
      <c r="R826" s="28">
        <f t="shared" si="46"/>
        <v>0</v>
      </c>
    </row>
    <row r="827" spans="1:18">
      <c r="A827" s="83" t="s">
        <v>82</v>
      </c>
      <c r="B827" s="84"/>
      <c r="C827" s="84"/>
      <c r="D827" s="84"/>
      <c r="E827" s="85"/>
      <c r="F827" s="21" t="s">
        <v>65</v>
      </c>
      <c r="G827" s="67">
        <v>2400</v>
      </c>
      <c r="H827" s="68"/>
      <c r="I827" s="86"/>
      <c r="J827" s="87"/>
      <c r="K827" s="88"/>
      <c r="L827" s="69">
        <f t="shared" si="44"/>
        <v>0</v>
      </c>
      <c r="M827" s="70"/>
      <c r="N827" s="8"/>
      <c r="O827" s="1"/>
      <c r="P827" s="30">
        <v>80</v>
      </c>
      <c r="Q827" s="38">
        <f t="shared" si="45"/>
        <v>192000</v>
      </c>
      <c r="R827" s="28">
        <f t="shared" si="46"/>
        <v>0</v>
      </c>
    </row>
    <row r="828" spans="1:18">
      <c r="A828" s="89" t="s">
        <v>83</v>
      </c>
      <c r="B828" s="90"/>
      <c r="C828" s="90"/>
      <c r="D828" s="90"/>
      <c r="E828" s="91"/>
      <c r="F828" s="21" t="s">
        <v>65</v>
      </c>
      <c r="G828" s="67">
        <v>360</v>
      </c>
      <c r="H828" s="68"/>
      <c r="I828" s="86"/>
      <c r="J828" s="87"/>
      <c r="K828" s="88"/>
      <c r="L828" s="69">
        <f t="shared" si="44"/>
        <v>0</v>
      </c>
      <c r="M828" s="70"/>
      <c r="N828" s="8"/>
      <c r="O828" s="1"/>
      <c r="P828" s="30">
        <v>420</v>
      </c>
      <c r="Q828" s="38">
        <f t="shared" si="45"/>
        <v>151200</v>
      </c>
      <c r="R828" s="28">
        <f t="shared" si="46"/>
        <v>0</v>
      </c>
    </row>
    <row r="829" spans="1:18">
      <c r="A829" s="64" t="s">
        <v>84</v>
      </c>
      <c r="B829" s="65"/>
      <c r="C829" s="65"/>
      <c r="D829" s="65"/>
      <c r="E829" s="66"/>
      <c r="F829" s="21" t="s">
        <v>65</v>
      </c>
      <c r="G829" s="67">
        <v>2760</v>
      </c>
      <c r="H829" s="68"/>
      <c r="I829" s="86"/>
      <c r="J829" s="87"/>
      <c r="K829" s="88"/>
      <c r="L829" s="69">
        <f t="shared" si="44"/>
        <v>0</v>
      </c>
      <c r="M829" s="70"/>
      <c r="N829" s="8"/>
      <c r="O829" s="1"/>
      <c r="P829" s="30">
        <v>460</v>
      </c>
      <c r="Q829" s="38">
        <f t="shared" si="45"/>
        <v>1269600</v>
      </c>
      <c r="R829" s="28">
        <f t="shared" si="46"/>
        <v>0</v>
      </c>
    </row>
    <row r="830" spans="1:18">
      <c r="A830" s="64" t="s">
        <v>85</v>
      </c>
      <c r="B830" s="65"/>
      <c r="C830" s="65"/>
      <c r="D830" s="65"/>
      <c r="E830" s="66"/>
      <c r="F830" s="21" t="s">
        <v>65</v>
      </c>
      <c r="G830" s="67">
        <v>275</v>
      </c>
      <c r="H830" s="68"/>
      <c r="I830" s="86"/>
      <c r="J830" s="87"/>
      <c r="K830" s="88"/>
      <c r="L830" s="69">
        <f t="shared" si="44"/>
        <v>0</v>
      </c>
      <c r="M830" s="70"/>
      <c r="N830" s="8"/>
      <c r="O830" s="1"/>
      <c r="P830" s="31">
        <v>350</v>
      </c>
      <c r="Q830" s="38">
        <f t="shared" si="45"/>
        <v>96250</v>
      </c>
      <c r="R830" s="28">
        <f t="shared" si="46"/>
        <v>0</v>
      </c>
    </row>
    <row r="831" spans="1:18">
      <c r="A831" s="64" t="s">
        <v>86</v>
      </c>
      <c r="B831" s="65"/>
      <c r="C831" s="65"/>
      <c r="D831" s="65"/>
      <c r="E831" s="66"/>
      <c r="F831" s="21" t="s">
        <v>60</v>
      </c>
      <c r="G831" s="67">
        <v>1</v>
      </c>
      <c r="H831" s="68"/>
      <c r="I831" s="86"/>
      <c r="J831" s="87"/>
      <c r="K831" s="88"/>
      <c r="L831" s="69">
        <f t="shared" si="44"/>
        <v>0</v>
      </c>
      <c r="M831" s="70"/>
      <c r="N831" s="8"/>
      <c r="O831" s="2"/>
      <c r="P831" s="30">
        <v>40000</v>
      </c>
      <c r="Q831" s="38">
        <f t="shared" si="45"/>
        <v>40000</v>
      </c>
      <c r="R831" s="28">
        <f t="shared" si="46"/>
        <v>0</v>
      </c>
    </row>
    <row r="832" spans="1:18">
      <c r="A832" s="83" t="s">
        <v>87</v>
      </c>
      <c r="B832" s="84"/>
      <c r="C832" s="84"/>
      <c r="D832" s="84"/>
      <c r="E832" s="85"/>
      <c r="F832" s="20" t="s">
        <v>60</v>
      </c>
      <c r="G832" s="67">
        <v>1</v>
      </c>
      <c r="H832" s="68"/>
      <c r="I832" s="86"/>
      <c r="J832" s="87"/>
      <c r="K832" s="88"/>
      <c r="L832" s="69">
        <f t="shared" si="44"/>
        <v>0</v>
      </c>
      <c r="M832" s="70"/>
      <c r="N832" s="8"/>
      <c r="O832" s="1"/>
      <c r="P832" s="31">
        <v>276970</v>
      </c>
      <c r="Q832" s="38">
        <f t="shared" si="45"/>
        <v>276970</v>
      </c>
      <c r="R832" s="28">
        <f t="shared" si="46"/>
        <v>0</v>
      </c>
    </row>
    <row r="833" spans="1:19">
      <c r="A833" s="83" t="s">
        <v>88</v>
      </c>
      <c r="B833" s="84"/>
      <c r="C833" s="84"/>
      <c r="D833" s="84"/>
      <c r="E833" s="85"/>
      <c r="F833" s="20" t="s">
        <v>60</v>
      </c>
      <c r="G833" s="67">
        <v>1</v>
      </c>
      <c r="H833" s="68"/>
      <c r="I833" s="26"/>
      <c r="J833" s="23"/>
      <c r="K833" s="24"/>
      <c r="L833" s="69">
        <f t="shared" si="44"/>
        <v>0</v>
      </c>
      <c r="M833" s="70"/>
      <c r="N833" s="25"/>
      <c r="O833" s="1"/>
      <c r="P833" s="32">
        <v>60873</v>
      </c>
      <c r="Q833" s="38">
        <f t="shared" si="45"/>
        <v>60873</v>
      </c>
      <c r="R833" s="28">
        <f t="shared" si="46"/>
        <v>0</v>
      </c>
    </row>
    <row r="834" spans="1:19">
      <c r="A834" s="83" t="s">
        <v>89</v>
      </c>
      <c r="B834" s="84"/>
      <c r="C834" s="84"/>
      <c r="D834" s="84"/>
      <c r="E834" s="85"/>
      <c r="F834" s="20" t="s">
        <v>60</v>
      </c>
      <c r="G834" s="67">
        <v>1</v>
      </c>
      <c r="H834" s="68"/>
      <c r="I834" s="26"/>
      <c r="J834" s="23"/>
      <c r="K834" s="24"/>
      <c r="L834" s="69">
        <f t="shared" si="44"/>
        <v>0</v>
      </c>
      <c r="M834" s="70"/>
      <c r="N834" s="25"/>
      <c r="O834" s="1"/>
      <c r="P834" s="32">
        <v>60873</v>
      </c>
      <c r="Q834" s="38">
        <f t="shared" si="45"/>
        <v>60873</v>
      </c>
      <c r="R834" s="28">
        <f t="shared" si="46"/>
        <v>0</v>
      </c>
    </row>
    <row r="835" spans="1:19">
      <c r="A835" s="83" t="s">
        <v>90</v>
      </c>
      <c r="B835" s="84"/>
      <c r="C835" s="84"/>
      <c r="D835" s="84"/>
      <c r="E835" s="85"/>
      <c r="F835" s="20" t="s">
        <v>60</v>
      </c>
      <c r="G835" s="67">
        <v>1</v>
      </c>
      <c r="H835" s="68"/>
      <c r="I835" s="26"/>
      <c r="J835" s="23"/>
      <c r="K835" s="24"/>
      <c r="L835" s="69">
        <f t="shared" si="44"/>
        <v>0</v>
      </c>
      <c r="M835" s="70"/>
      <c r="N835" s="25"/>
      <c r="O835" s="1"/>
      <c r="P835" s="34">
        <v>266321</v>
      </c>
      <c r="Q835" s="38">
        <f t="shared" si="45"/>
        <v>266321</v>
      </c>
      <c r="R835" s="28">
        <f t="shared" si="46"/>
        <v>0</v>
      </c>
    </row>
    <row r="836" spans="1:19">
      <c r="A836" s="83" t="s">
        <v>91</v>
      </c>
      <c r="B836" s="84"/>
      <c r="C836" s="84"/>
      <c r="D836" s="84"/>
      <c r="E836" s="85"/>
      <c r="F836" s="2" t="s">
        <v>60</v>
      </c>
      <c r="G836" s="67">
        <v>1</v>
      </c>
      <c r="H836" s="68"/>
      <c r="I836" s="26"/>
      <c r="J836" s="23"/>
      <c r="K836" s="24"/>
      <c r="L836" s="69">
        <f t="shared" si="44"/>
        <v>1</v>
      </c>
      <c r="M836" s="70"/>
      <c r="N836" s="25"/>
      <c r="O836" s="1"/>
      <c r="P836" s="32">
        <v>13316</v>
      </c>
      <c r="Q836" s="38">
        <f t="shared" si="45"/>
        <v>13316</v>
      </c>
      <c r="R836" s="28">
        <f t="shared" si="46"/>
        <v>13316</v>
      </c>
    </row>
    <row r="837" spans="1:19">
      <c r="A837" s="83" t="s">
        <v>92</v>
      </c>
      <c r="B837" s="84"/>
      <c r="C837" s="84"/>
      <c r="D837" s="84"/>
      <c r="E837" s="85"/>
      <c r="F837" s="20" t="s">
        <v>60</v>
      </c>
      <c r="G837" s="67">
        <v>1</v>
      </c>
      <c r="H837" s="68"/>
      <c r="I837" s="26"/>
      <c r="J837" s="23"/>
      <c r="K837" s="24"/>
      <c r="L837" s="69">
        <f t="shared" si="44"/>
        <v>0</v>
      </c>
      <c r="M837" s="70"/>
      <c r="N837" s="25"/>
      <c r="O837" s="1"/>
      <c r="P837" s="32">
        <v>210299</v>
      </c>
      <c r="Q837" s="38">
        <f t="shared" si="45"/>
        <v>210299</v>
      </c>
      <c r="R837" s="28">
        <f t="shared" si="46"/>
        <v>0</v>
      </c>
    </row>
    <row r="838" spans="1:19">
      <c r="A838" s="64"/>
      <c r="B838" s="65"/>
      <c r="C838" s="65"/>
      <c r="D838" s="65"/>
      <c r="E838" s="66"/>
      <c r="F838" s="22"/>
      <c r="G838" s="67"/>
      <c r="H838" s="68"/>
      <c r="I838" s="26"/>
      <c r="J838" s="23"/>
      <c r="K838" s="24"/>
      <c r="L838" s="69"/>
      <c r="M838" s="70"/>
      <c r="N838" s="25"/>
      <c r="O838" s="3"/>
      <c r="P838" s="32"/>
      <c r="Q838" s="33">
        <f>SUM(Q812:Q837)</f>
        <v>4416270</v>
      </c>
      <c r="R838" s="29">
        <f>SUM(R812:R837)</f>
        <v>539116</v>
      </c>
    </row>
    <row r="839" spans="1:19">
      <c r="A839" s="64"/>
      <c r="B839" s="65"/>
      <c r="C839" s="65"/>
      <c r="D839" s="65"/>
      <c r="E839" s="66"/>
      <c r="F839" s="22"/>
      <c r="G839" s="67"/>
      <c r="H839" s="68"/>
      <c r="I839" s="26"/>
      <c r="J839" s="23"/>
      <c r="K839" s="24"/>
      <c r="L839" s="69"/>
      <c r="M839" s="70"/>
      <c r="N839" s="25"/>
      <c r="O839" s="3"/>
      <c r="P839" s="32"/>
      <c r="Q839" s="33"/>
      <c r="R839" s="37">
        <f>R838/Q838</f>
        <v>0.12207496371372221</v>
      </c>
    </row>
    <row r="840" spans="1:19">
      <c r="A840" s="62" t="s">
        <v>14</v>
      </c>
      <c r="B840" s="62"/>
      <c r="C840" s="62"/>
      <c r="D840" s="62"/>
      <c r="E840" s="62"/>
      <c r="F840" s="62"/>
      <c r="G840" s="62"/>
      <c r="H840" s="62"/>
      <c r="I840" s="62"/>
      <c r="J840" s="62"/>
      <c r="K840" s="62"/>
      <c r="L840" s="62"/>
      <c r="M840" s="62"/>
      <c r="N840" s="62"/>
      <c r="O840" s="1"/>
      <c r="P840" s="32"/>
      <c r="Q840" s="33"/>
      <c r="R840" s="29"/>
      <c r="S840" s="16"/>
    </row>
    <row r="841" spans="1:19">
      <c r="A841" s="71" t="s">
        <v>15</v>
      </c>
      <c r="B841" s="72"/>
      <c r="C841" s="72"/>
      <c r="D841" s="72"/>
      <c r="E841" s="73"/>
      <c r="F841" s="9" t="s">
        <v>37</v>
      </c>
      <c r="G841" s="71" t="s">
        <v>38</v>
      </c>
      <c r="H841" s="73"/>
      <c r="I841" s="71" t="s">
        <v>42</v>
      </c>
      <c r="J841" s="72"/>
      <c r="K841" s="73"/>
      <c r="L841" s="74" t="s">
        <v>17</v>
      </c>
      <c r="M841" s="75"/>
      <c r="N841" s="9" t="s">
        <v>13</v>
      </c>
      <c r="O841" s="1"/>
      <c r="P841" s="32"/>
      <c r="Q841" s="33"/>
      <c r="R841" s="29"/>
      <c r="S841" s="16"/>
    </row>
    <row r="842" spans="1:19">
      <c r="A842" s="71"/>
      <c r="B842" s="72"/>
      <c r="C842" s="72"/>
      <c r="D842" s="72"/>
      <c r="E842" s="73"/>
      <c r="F842" s="13"/>
      <c r="G842" s="76"/>
      <c r="H842" s="77"/>
      <c r="I842" s="78"/>
      <c r="J842" s="79"/>
      <c r="K842" s="80"/>
      <c r="L842" s="81"/>
      <c r="M842" s="82"/>
      <c r="N842" s="8"/>
      <c r="O842" s="1"/>
      <c r="P842" s="32"/>
      <c r="Q842" s="33"/>
      <c r="R842" s="29"/>
      <c r="S842" s="16"/>
    </row>
    <row r="843" spans="1:19">
      <c r="A843" s="62" t="s">
        <v>19</v>
      </c>
      <c r="B843" s="62"/>
      <c r="C843" s="62"/>
      <c r="D843" s="62"/>
      <c r="E843" s="62"/>
      <c r="F843" s="62"/>
      <c r="G843" s="62"/>
      <c r="H843" s="62"/>
      <c r="I843" s="62"/>
      <c r="J843" s="62"/>
      <c r="K843" s="62"/>
      <c r="L843" s="62"/>
      <c r="M843" s="62"/>
      <c r="N843" s="62"/>
      <c r="O843" s="1"/>
      <c r="P843" s="32"/>
      <c r="Q843" s="33"/>
      <c r="R843" s="29"/>
      <c r="S843" s="16"/>
    </row>
    <row r="844" spans="1:19">
      <c r="A844" s="63" t="s">
        <v>20</v>
      </c>
      <c r="B844" s="63"/>
      <c r="C844" s="63" t="s">
        <v>21</v>
      </c>
      <c r="D844" s="63"/>
      <c r="E844" s="63" t="s">
        <v>22</v>
      </c>
      <c r="F844" s="63"/>
      <c r="G844" s="63" t="s">
        <v>23</v>
      </c>
      <c r="H844" s="63"/>
      <c r="I844" s="63"/>
      <c r="J844" s="63" t="s">
        <v>16</v>
      </c>
      <c r="K844" s="63"/>
      <c r="L844" s="63"/>
      <c r="M844" s="63" t="s">
        <v>17</v>
      </c>
      <c r="N844" s="63"/>
      <c r="O844" s="1"/>
      <c r="Q844" s="32"/>
      <c r="R844" s="33"/>
      <c r="S844" s="16"/>
    </row>
    <row r="845" spans="1:19">
      <c r="A845" s="60" t="s">
        <v>24</v>
      </c>
      <c r="B845" s="52"/>
      <c r="C845" s="61">
        <v>3</v>
      </c>
      <c r="D845" s="61"/>
      <c r="E845" s="61">
        <f>C845+E784</f>
        <v>15</v>
      </c>
      <c r="F845" s="61"/>
      <c r="G845" s="60" t="s">
        <v>51</v>
      </c>
      <c r="H845" s="51"/>
      <c r="I845" s="52"/>
      <c r="J845" s="61"/>
      <c r="K845" s="61"/>
      <c r="L845" s="61"/>
      <c r="M845" s="61">
        <f>K845+M784</f>
        <v>1</v>
      </c>
      <c r="N845" s="61"/>
      <c r="O845" s="1"/>
      <c r="Q845" s="32"/>
      <c r="R845" s="33"/>
      <c r="S845" s="16"/>
    </row>
    <row r="846" spans="1:19">
      <c r="A846" s="60" t="s">
        <v>25</v>
      </c>
      <c r="B846" s="52"/>
      <c r="C846" s="61">
        <v>3</v>
      </c>
      <c r="D846" s="61"/>
      <c r="E846" s="61">
        <f>C846+E785</f>
        <v>14</v>
      </c>
      <c r="F846" s="61"/>
      <c r="G846" s="60" t="s">
        <v>50</v>
      </c>
      <c r="H846" s="51"/>
      <c r="I846" s="52"/>
      <c r="J846" s="61"/>
      <c r="K846" s="61"/>
      <c r="L846" s="61"/>
      <c r="M846" s="61">
        <f>K846+M785</f>
        <v>1</v>
      </c>
      <c r="N846" s="61"/>
      <c r="O846" s="1"/>
      <c r="Q846" s="32"/>
      <c r="R846" s="33"/>
      <c r="S846" s="16"/>
    </row>
    <row r="847" spans="1:19">
      <c r="A847" s="60"/>
      <c r="B847" s="52"/>
      <c r="C847" s="61"/>
      <c r="D847" s="61"/>
      <c r="E847" s="61"/>
      <c r="F847" s="61"/>
      <c r="G847" s="60" t="s">
        <v>55</v>
      </c>
      <c r="H847" s="51"/>
      <c r="I847" s="52"/>
      <c r="J847" s="61"/>
      <c r="K847" s="61"/>
      <c r="L847" s="61"/>
      <c r="M847" s="61">
        <f>K847+M786</f>
        <v>0</v>
      </c>
      <c r="N847" s="61"/>
      <c r="O847" s="2"/>
      <c r="P847" s="29"/>
      <c r="Q847" s="32"/>
      <c r="R847" s="33"/>
      <c r="S847" s="16"/>
    </row>
    <row r="848" spans="1:19">
      <c r="A848" s="53" t="s">
        <v>53</v>
      </c>
      <c r="B848" s="47"/>
      <c r="C848" s="53"/>
      <c r="D848" s="53"/>
      <c r="E848" s="53"/>
      <c r="F848" s="53"/>
      <c r="G848" s="53"/>
      <c r="H848" s="53"/>
      <c r="I848" s="53"/>
      <c r="J848" s="53"/>
      <c r="K848" s="53"/>
      <c r="L848" s="53"/>
      <c r="M848" s="53"/>
      <c r="N848" s="53"/>
      <c r="O848" s="1"/>
      <c r="P848" s="32"/>
      <c r="Q848" s="32"/>
      <c r="R848" s="33"/>
      <c r="S848" s="16"/>
    </row>
    <row r="849" spans="1:19">
      <c r="A849" s="45" t="s">
        <v>56</v>
      </c>
      <c r="B849" s="46"/>
      <c r="C849" s="46"/>
      <c r="D849" s="46"/>
      <c r="E849" s="46"/>
      <c r="F849" s="46"/>
      <c r="G849" s="46"/>
      <c r="H849" s="46"/>
      <c r="I849" s="46"/>
      <c r="J849" s="46"/>
      <c r="K849" s="46"/>
      <c r="L849" s="46"/>
      <c r="M849" s="46"/>
      <c r="N849" s="47"/>
      <c r="O849" s="1"/>
      <c r="P849" s="32"/>
      <c r="Q849" s="34"/>
      <c r="R849" s="33"/>
      <c r="S849" s="16"/>
    </row>
    <row r="850" spans="1:19">
      <c r="A850" s="54" t="s">
        <v>54</v>
      </c>
      <c r="B850" s="55"/>
      <c r="C850" s="55"/>
      <c r="D850" s="55"/>
      <c r="E850" s="55"/>
      <c r="F850" s="55"/>
      <c r="G850" s="55"/>
      <c r="H850" s="55"/>
      <c r="I850" s="55"/>
      <c r="J850" s="55"/>
      <c r="K850" s="55"/>
      <c r="L850" s="55"/>
      <c r="M850" s="55"/>
      <c r="N850" s="56"/>
      <c r="O850" s="1"/>
      <c r="P850" s="32"/>
      <c r="Q850" s="32"/>
      <c r="R850" s="33"/>
      <c r="S850" s="16"/>
    </row>
    <row r="851" spans="1:19">
      <c r="A851" s="40" t="s">
        <v>26</v>
      </c>
      <c r="B851" s="41"/>
      <c r="C851" s="40"/>
      <c r="D851" s="40"/>
      <c r="E851" s="40"/>
      <c r="F851" s="40"/>
      <c r="G851" s="40"/>
      <c r="H851" s="40"/>
      <c r="I851" s="40"/>
      <c r="J851" s="40"/>
      <c r="K851" s="40"/>
      <c r="L851" s="40"/>
      <c r="M851" s="40"/>
      <c r="N851" s="40"/>
      <c r="O851" s="1"/>
      <c r="P851" s="32"/>
      <c r="Q851" s="32"/>
      <c r="R851" s="33"/>
      <c r="S851" s="16"/>
    </row>
    <row r="852" spans="1:19">
      <c r="A852" s="57" t="s">
        <v>27</v>
      </c>
      <c r="B852" s="58"/>
      <c r="C852" s="58"/>
      <c r="D852" s="58"/>
      <c r="E852" s="58"/>
      <c r="F852" s="58"/>
      <c r="G852" s="58"/>
      <c r="H852" s="58"/>
      <c r="I852" s="58"/>
      <c r="J852" s="58"/>
      <c r="K852" s="58"/>
      <c r="L852" s="58"/>
      <c r="M852" s="58"/>
      <c r="N852" s="59"/>
      <c r="O852" s="1"/>
      <c r="P852" s="34"/>
      <c r="Q852" s="34"/>
      <c r="R852" s="33"/>
      <c r="S852" s="16"/>
    </row>
    <row r="853" spans="1:19">
      <c r="A853" s="57" t="s">
        <v>57</v>
      </c>
      <c r="B853" s="58"/>
      <c r="C853" s="58"/>
      <c r="D853" s="58"/>
      <c r="E853" s="58"/>
      <c r="F853" s="58"/>
      <c r="G853" s="58"/>
      <c r="H853" s="58"/>
      <c r="I853" s="58"/>
      <c r="J853" s="58"/>
      <c r="K853" s="58"/>
      <c r="L853" s="58"/>
      <c r="M853" s="58"/>
      <c r="N853" s="59"/>
      <c r="O853" s="1"/>
      <c r="P853" s="32"/>
      <c r="Q853" s="32"/>
      <c r="R853" s="33"/>
      <c r="S853" s="16"/>
    </row>
    <row r="854" spans="1:19">
      <c r="A854" s="57" t="s">
        <v>58</v>
      </c>
      <c r="B854" s="58"/>
      <c r="C854" s="58"/>
      <c r="D854" s="58"/>
      <c r="E854" s="58"/>
      <c r="F854" s="58"/>
      <c r="G854" s="58"/>
      <c r="H854" s="58"/>
      <c r="I854" s="58"/>
      <c r="J854" s="58"/>
      <c r="K854" s="58"/>
      <c r="L854" s="58"/>
      <c r="M854" s="58"/>
      <c r="N854" s="59"/>
      <c r="O854" s="1"/>
      <c r="P854" s="32"/>
      <c r="Q854" s="32"/>
      <c r="R854" s="33"/>
      <c r="S854" s="16"/>
    </row>
    <row r="855" spans="1:19">
      <c r="A855" s="57" t="s">
        <v>59</v>
      </c>
      <c r="B855" s="58"/>
      <c r="C855" s="58"/>
      <c r="D855" s="58"/>
      <c r="E855" s="58"/>
      <c r="F855" s="58"/>
      <c r="G855" s="58"/>
      <c r="H855" s="58"/>
      <c r="I855" s="58"/>
      <c r="J855" s="58"/>
      <c r="K855" s="58"/>
      <c r="L855" s="58"/>
      <c r="M855" s="58"/>
      <c r="N855" s="59"/>
      <c r="O855" s="1"/>
      <c r="P855" s="32"/>
      <c r="Q855" s="34"/>
      <c r="R855" s="33"/>
      <c r="S855" s="16"/>
    </row>
    <row r="856" spans="1:19">
      <c r="A856" s="57" t="s">
        <v>28</v>
      </c>
      <c r="B856" s="58"/>
      <c r="C856" s="58"/>
      <c r="D856" s="58"/>
      <c r="E856" s="58"/>
      <c r="F856" s="58"/>
      <c r="G856" s="58"/>
      <c r="H856" s="58"/>
      <c r="I856" s="58"/>
      <c r="J856" s="58"/>
      <c r="K856" s="58"/>
      <c r="L856" s="58"/>
      <c r="M856" s="58"/>
      <c r="N856" s="59"/>
      <c r="O856" s="1"/>
      <c r="P856" s="34"/>
      <c r="Q856" s="32"/>
      <c r="R856" s="33"/>
      <c r="S856" s="16"/>
    </row>
    <row r="857" spans="1:19">
      <c r="A857" s="40" t="s">
        <v>29</v>
      </c>
      <c r="B857" s="41"/>
      <c r="C857" s="40"/>
      <c r="D857" s="40"/>
      <c r="E857" s="40"/>
      <c r="F857" s="40"/>
      <c r="G857" s="40"/>
      <c r="H857" s="40"/>
      <c r="I857" s="40"/>
      <c r="J857" s="40"/>
      <c r="K857" s="40"/>
      <c r="L857" s="40"/>
      <c r="M857" s="40"/>
      <c r="N857" s="40"/>
      <c r="O857" s="1"/>
      <c r="P857" s="32"/>
      <c r="Q857" s="32"/>
      <c r="R857" s="33"/>
      <c r="S857" s="16"/>
    </row>
    <row r="858" spans="1:19">
      <c r="A858" s="42"/>
      <c r="B858" s="43"/>
      <c r="C858" s="43"/>
      <c r="D858" s="43"/>
      <c r="E858" s="43"/>
      <c r="F858" s="43"/>
      <c r="G858" s="43"/>
      <c r="H858" s="43"/>
      <c r="I858" s="43"/>
      <c r="J858" s="43"/>
      <c r="K858" s="43"/>
      <c r="L858" s="43"/>
      <c r="M858" s="43"/>
      <c r="N858" s="44"/>
      <c r="O858" s="1"/>
      <c r="P858" s="32"/>
      <c r="Q858" s="32"/>
      <c r="R858" s="33"/>
      <c r="S858" s="16"/>
    </row>
    <row r="859" spans="1:19">
      <c r="A859" s="40" t="s">
        <v>30</v>
      </c>
      <c r="B859" s="41"/>
      <c r="C859" s="40"/>
      <c r="D859" s="40"/>
      <c r="E859" s="40"/>
      <c r="F859" s="40"/>
      <c r="G859" s="40"/>
      <c r="H859" s="40"/>
      <c r="I859" s="40"/>
      <c r="J859" s="40"/>
      <c r="K859" s="40"/>
      <c r="L859" s="40"/>
      <c r="M859" s="40"/>
      <c r="N859" s="40"/>
      <c r="O859" s="1"/>
      <c r="P859" s="32"/>
      <c r="Q859" s="32"/>
      <c r="R859" s="33"/>
      <c r="S859" s="16"/>
    </row>
    <row r="860" spans="1:19">
      <c r="A860" s="42"/>
      <c r="B860" s="43"/>
      <c r="C860" s="43"/>
      <c r="D860" s="43"/>
      <c r="E860" s="43"/>
      <c r="F860" s="43"/>
      <c r="G860" s="43"/>
      <c r="H860" s="43"/>
      <c r="I860" s="43"/>
      <c r="J860" s="43"/>
      <c r="K860" s="43"/>
      <c r="L860" s="43"/>
      <c r="M860" s="43"/>
      <c r="N860" s="44"/>
      <c r="O860" s="1"/>
      <c r="P860" s="32"/>
      <c r="Q860" s="32"/>
      <c r="R860" s="33"/>
      <c r="S860" s="16"/>
    </row>
    <row r="861" spans="1:19">
      <c r="A861" s="40" t="s">
        <v>101</v>
      </c>
      <c r="B861" s="41"/>
      <c r="C861" s="40"/>
      <c r="D861" s="40"/>
      <c r="E861" s="40"/>
      <c r="F861" s="40"/>
      <c r="G861" s="40"/>
      <c r="H861" s="40"/>
      <c r="I861" s="40"/>
      <c r="J861" s="40"/>
      <c r="K861" s="40"/>
      <c r="L861" s="40"/>
      <c r="M861" s="40"/>
      <c r="N861" s="40"/>
      <c r="O861" s="1"/>
      <c r="P861" s="32"/>
      <c r="Q861" s="32"/>
      <c r="R861" s="33"/>
      <c r="S861" s="17"/>
    </row>
    <row r="862" spans="1:19">
      <c r="A862" s="45"/>
      <c r="B862" s="46"/>
      <c r="C862" s="46"/>
      <c r="D862" s="46"/>
      <c r="E862" s="46"/>
      <c r="F862" s="46"/>
      <c r="G862" s="46"/>
      <c r="H862" s="46"/>
      <c r="I862" s="46"/>
      <c r="J862" s="46"/>
      <c r="K862" s="46"/>
      <c r="L862" s="46"/>
      <c r="M862" s="46"/>
      <c r="N862" s="47"/>
      <c r="O862" s="1"/>
      <c r="P862" s="32"/>
      <c r="Q862" s="32"/>
      <c r="R862" s="33"/>
      <c r="S862" s="1"/>
    </row>
    <row r="863" spans="1:19">
      <c r="A863" s="48" t="s">
        <v>41</v>
      </c>
      <c r="B863" s="49"/>
      <c r="C863" s="50"/>
      <c r="D863" s="50"/>
      <c r="E863" s="50"/>
      <c r="F863" s="50"/>
      <c r="G863" s="50"/>
      <c r="H863" s="51"/>
      <c r="I863" s="51"/>
      <c r="J863" s="51"/>
      <c r="K863" s="51"/>
      <c r="L863" s="51"/>
      <c r="M863" s="51"/>
      <c r="N863" s="52"/>
      <c r="O863" s="1"/>
      <c r="P863" s="32"/>
      <c r="Q863" s="32"/>
      <c r="R863" s="33"/>
      <c r="S863" s="1"/>
    </row>
    <row r="864" spans="1:19" ht="28.2">
      <c r="A864" s="1" t="s">
        <v>45</v>
      </c>
      <c r="B864" s="7">
        <f>B803+1</f>
        <v>15</v>
      </c>
      <c r="C864" s="5"/>
      <c r="D864" s="5"/>
      <c r="E864" s="5"/>
      <c r="F864" s="5"/>
      <c r="G864" s="5"/>
      <c r="H864" s="5"/>
      <c r="I864" s="5"/>
      <c r="J864" s="5"/>
      <c r="K864" s="5"/>
      <c r="L864" s="5"/>
      <c r="M864" s="5"/>
      <c r="N864" s="5"/>
      <c r="O864" s="1"/>
      <c r="P864" s="32"/>
      <c r="Q864" s="33"/>
      <c r="R864" s="29"/>
    </row>
    <row r="865" spans="1:18">
      <c r="A865" s="1" t="s">
        <v>46</v>
      </c>
      <c r="B865" s="1" t="s">
        <v>1</v>
      </c>
      <c r="C865" s="1" t="s">
        <v>2</v>
      </c>
      <c r="D865" s="1" t="s">
        <v>3</v>
      </c>
      <c r="E865" s="1" t="s">
        <v>2</v>
      </c>
      <c r="F865" s="1"/>
      <c r="G865" s="1"/>
      <c r="H865" s="112" t="s">
        <v>4</v>
      </c>
      <c r="I865" s="112"/>
      <c r="J865" s="113">
        <f>J804+1</f>
        <v>46226</v>
      </c>
      <c r="K865" s="113"/>
      <c r="L865" s="113"/>
      <c r="M865" s="114">
        <f>J865</f>
        <v>46226</v>
      </c>
      <c r="N865" s="114"/>
      <c r="O865" s="1"/>
      <c r="P865" s="32"/>
      <c r="Q865" s="33"/>
      <c r="R865" s="29"/>
    </row>
    <row r="866" spans="1:18">
      <c r="A866" s="8" t="s">
        <v>5</v>
      </c>
      <c r="B866" s="115">
        <f>B797</f>
        <v>0</v>
      </c>
      <c r="C866" s="116"/>
      <c r="D866" s="116"/>
      <c r="E866" s="116"/>
      <c r="F866" s="116"/>
      <c r="G866" s="117"/>
      <c r="H866" s="63" t="s">
        <v>6</v>
      </c>
      <c r="I866" s="63"/>
      <c r="J866" s="63"/>
      <c r="K866" s="63" t="s">
        <v>52</v>
      </c>
      <c r="L866" s="63"/>
      <c r="M866" s="63"/>
      <c r="N866" s="63"/>
      <c r="O866" s="1"/>
      <c r="P866" s="32"/>
      <c r="Q866" s="33"/>
      <c r="R866" s="29"/>
    </row>
    <row r="867" spans="1:18">
      <c r="A867" s="8" t="s">
        <v>32</v>
      </c>
      <c r="B867" s="10">
        <v>60</v>
      </c>
      <c r="C867" s="11" t="s">
        <v>43</v>
      </c>
      <c r="D867" s="71" t="s">
        <v>7</v>
      </c>
      <c r="E867" s="73"/>
      <c r="F867" s="10">
        <f>F806+1</f>
        <v>15</v>
      </c>
      <c r="G867" s="11" t="s">
        <v>8</v>
      </c>
      <c r="H867" s="9" t="s">
        <v>9</v>
      </c>
      <c r="I867" s="10">
        <f>B867-F867</f>
        <v>45</v>
      </c>
      <c r="J867" s="11" t="s">
        <v>8</v>
      </c>
      <c r="K867" s="118" t="s">
        <v>33</v>
      </c>
      <c r="L867" s="119"/>
      <c r="M867" s="12"/>
      <c r="N867" s="11" t="s">
        <v>8</v>
      </c>
      <c r="O867" s="1"/>
      <c r="P867" s="34"/>
      <c r="Q867" s="33"/>
      <c r="R867" s="29"/>
    </row>
    <row r="868" spans="1:18">
      <c r="A868" s="71" t="s">
        <v>34</v>
      </c>
      <c r="B868" s="72"/>
      <c r="C868" s="73"/>
      <c r="D868" s="120">
        <v>46212</v>
      </c>
      <c r="E868" s="121"/>
      <c r="F868" s="121"/>
      <c r="G868" s="122"/>
      <c r="H868" s="71" t="s">
        <v>35</v>
      </c>
      <c r="I868" s="72"/>
      <c r="J868" s="73"/>
      <c r="K868" s="120">
        <f>D868+59</f>
        <v>46271</v>
      </c>
      <c r="L868" s="121"/>
      <c r="M868" s="121"/>
      <c r="N868" s="122"/>
      <c r="O868" s="1"/>
      <c r="P868" s="32"/>
      <c r="Q868" s="33"/>
      <c r="R868" s="29"/>
    </row>
    <row r="869" spans="1:18">
      <c r="A869" s="92" t="s">
        <v>10</v>
      </c>
      <c r="B869" s="93"/>
      <c r="C869" s="94"/>
      <c r="D869" s="98">
        <f>D808+0.011/5</f>
        <v>1.6500000000000001E-2</v>
      </c>
      <c r="E869" s="99"/>
      <c r="F869" s="99"/>
      <c r="G869" s="100"/>
      <c r="H869" s="104" t="s">
        <v>36</v>
      </c>
      <c r="I869" s="105"/>
      <c r="J869" s="106"/>
      <c r="K869" s="110">
        <f>R900</f>
        <v>0.12603758375280497</v>
      </c>
      <c r="L869" s="105"/>
      <c r="M869" s="105"/>
      <c r="N869" s="106"/>
      <c r="O869" s="1"/>
      <c r="P869" s="32"/>
      <c r="Q869" s="33"/>
      <c r="R869" s="29"/>
    </row>
    <row r="870" spans="1:18">
      <c r="A870" s="95"/>
      <c r="B870" s="96"/>
      <c r="C870" s="97"/>
      <c r="D870" s="101"/>
      <c r="E870" s="102"/>
      <c r="F870" s="102"/>
      <c r="G870" s="103"/>
      <c r="H870" s="107"/>
      <c r="I870" s="108"/>
      <c r="J870" s="109"/>
      <c r="K870" s="107"/>
      <c r="L870" s="108"/>
      <c r="M870" s="108"/>
      <c r="N870" s="109"/>
      <c r="O870" s="1"/>
      <c r="P870" s="32"/>
      <c r="Q870" s="33"/>
      <c r="R870" s="29"/>
    </row>
    <row r="871" spans="1:18">
      <c r="A871" s="62" t="s">
        <v>11</v>
      </c>
      <c r="B871" s="62"/>
      <c r="C871" s="62"/>
      <c r="D871" s="62"/>
      <c r="E871" s="62"/>
      <c r="F871" s="62"/>
      <c r="G871" s="62"/>
      <c r="H871" s="62"/>
      <c r="I871" s="62"/>
      <c r="J871" s="62"/>
      <c r="K871" s="62"/>
      <c r="L871" s="62"/>
      <c r="M871" s="62"/>
      <c r="N871" s="62"/>
      <c r="O871" s="1"/>
      <c r="P871" s="32"/>
      <c r="Q871" s="33"/>
      <c r="R871" s="29"/>
    </row>
    <row r="872" spans="1:18">
      <c r="A872" s="111" t="s">
        <v>12</v>
      </c>
      <c r="B872" s="111"/>
      <c r="C872" s="111"/>
      <c r="D872" s="111"/>
      <c r="E872" s="111"/>
      <c r="F872" s="14" t="s">
        <v>37</v>
      </c>
      <c r="G872" s="111" t="s">
        <v>38</v>
      </c>
      <c r="H872" s="111"/>
      <c r="I872" s="63" t="s">
        <v>39</v>
      </c>
      <c r="J872" s="63"/>
      <c r="K872" s="63"/>
      <c r="L872" s="63" t="s">
        <v>40</v>
      </c>
      <c r="M872" s="63"/>
      <c r="N872" s="9" t="s">
        <v>13</v>
      </c>
      <c r="O872" s="1"/>
      <c r="P872" s="28" t="s">
        <v>47</v>
      </c>
      <c r="Q872" s="29" t="s">
        <v>48</v>
      </c>
      <c r="R872" s="29" t="s">
        <v>49</v>
      </c>
    </row>
    <row r="873" spans="1:18">
      <c r="A873" s="83" t="s">
        <v>67</v>
      </c>
      <c r="B873" s="84"/>
      <c r="C873" s="84"/>
      <c r="D873" s="84"/>
      <c r="E873" s="85"/>
      <c r="F873" s="27" t="s">
        <v>60</v>
      </c>
      <c r="G873" s="67">
        <v>1</v>
      </c>
      <c r="H873" s="68"/>
      <c r="I873" s="86"/>
      <c r="J873" s="87"/>
      <c r="K873" s="88"/>
      <c r="L873" s="69">
        <f>I873+L812</f>
        <v>1</v>
      </c>
      <c r="M873" s="70"/>
      <c r="N873" s="8"/>
      <c r="O873" s="1"/>
      <c r="P873" s="30">
        <v>6000</v>
      </c>
      <c r="Q873" s="38">
        <f>P873*G873</f>
        <v>6000</v>
      </c>
      <c r="R873" s="28">
        <f>L873*P873</f>
        <v>6000</v>
      </c>
    </row>
    <row r="874" spans="1:18">
      <c r="A874" s="83" t="s">
        <v>68</v>
      </c>
      <c r="B874" s="84"/>
      <c r="C874" s="84"/>
      <c r="D874" s="84"/>
      <c r="E874" s="85"/>
      <c r="F874" s="20" t="s">
        <v>60</v>
      </c>
      <c r="G874" s="67">
        <v>1</v>
      </c>
      <c r="H874" s="68"/>
      <c r="I874" s="87"/>
      <c r="J874" s="87"/>
      <c r="K874" s="88"/>
      <c r="L874" s="69">
        <f t="shared" ref="L874:L898" si="47">I874+L813</f>
        <v>1</v>
      </c>
      <c r="M874" s="70"/>
      <c r="N874" s="8"/>
      <c r="O874" s="1"/>
      <c r="P874" s="30">
        <v>193300</v>
      </c>
      <c r="Q874" s="38">
        <f t="shared" ref="Q874:Q898" si="48">P874*G874</f>
        <v>193300</v>
      </c>
      <c r="R874" s="28">
        <f>L874*P874</f>
        <v>193300</v>
      </c>
    </row>
    <row r="875" spans="1:18">
      <c r="A875" s="89" t="s">
        <v>69</v>
      </c>
      <c r="B875" s="90"/>
      <c r="C875" s="90"/>
      <c r="D875" s="90"/>
      <c r="E875" s="91"/>
      <c r="F875" s="20" t="s">
        <v>60</v>
      </c>
      <c r="G875" s="67">
        <v>1</v>
      </c>
      <c r="H875" s="68"/>
      <c r="I875" s="87"/>
      <c r="J875" s="87"/>
      <c r="K875" s="88"/>
      <c r="L875" s="69">
        <f t="shared" si="47"/>
        <v>0.5</v>
      </c>
      <c r="M875" s="70"/>
      <c r="N875" s="8"/>
      <c r="O875" s="1"/>
      <c r="P875" s="30">
        <v>30000</v>
      </c>
      <c r="Q875" s="38">
        <f t="shared" si="48"/>
        <v>30000</v>
      </c>
      <c r="R875" s="28">
        <f>L875*P875</f>
        <v>15000</v>
      </c>
    </row>
    <row r="876" spans="1:18">
      <c r="A876" s="64" t="s">
        <v>70</v>
      </c>
      <c r="B876" s="65"/>
      <c r="C876" s="65"/>
      <c r="D876" s="65"/>
      <c r="E876" s="66"/>
      <c r="F876" s="20" t="s">
        <v>60</v>
      </c>
      <c r="G876" s="67">
        <v>1</v>
      </c>
      <c r="H876" s="68"/>
      <c r="I876" s="87"/>
      <c r="J876" s="87"/>
      <c r="K876" s="88"/>
      <c r="L876" s="69">
        <f t="shared" si="47"/>
        <v>1</v>
      </c>
      <c r="M876" s="70"/>
      <c r="N876" s="8"/>
      <c r="O876" s="1"/>
      <c r="P876" s="31">
        <v>10000</v>
      </c>
      <c r="Q876" s="38">
        <f t="shared" si="48"/>
        <v>10000</v>
      </c>
      <c r="R876" s="28">
        <f t="shared" ref="R876:R898" si="49">L876*P876</f>
        <v>10000</v>
      </c>
    </row>
    <row r="877" spans="1:18">
      <c r="A877" s="64" t="s">
        <v>71</v>
      </c>
      <c r="B877" s="65"/>
      <c r="C877" s="65"/>
      <c r="D877" s="65"/>
      <c r="E877" s="66"/>
      <c r="F877" s="20" t="s">
        <v>61</v>
      </c>
      <c r="G877" s="67">
        <v>9</v>
      </c>
      <c r="H877" s="68"/>
      <c r="I877" s="87"/>
      <c r="J877" s="87"/>
      <c r="K877" s="88"/>
      <c r="L877" s="69">
        <f t="shared" si="47"/>
        <v>9</v>
      </c>
      <c r="M877" s="70"/>
      <c r="N877" s="8"/>
      <c r="O877" s="1"/>
      <c r="P877" s="30">
        <v>21000</v>
      </c>
      <c r="Q877" s="38">
        <f t="shared" si="48"/>
        <v>189000</v>
      </c>
      <c r="R877" s="28">
        <f t="shared" si="49"/>
        <v>189000</v>
      </c>
    </row>
    <row r="878" spans="1:18">
      <c r="A878" s="64" t="s">
        <v>72</v>
      </c>
      <c r="B878" s="65"/>
      <c r="C878" s="65"/>
      <c r="D878" s="65"/>
      <c r="E878" s="66"/>
      <c r="F878" s="2" t="s">
        <v>60</v>
      </c>
      <c r="G878" s="67">
        <v>1</v>
      </c>
      <c r="H878" s="68"/>
      <c r="I878" s="87"/>
      <c r="J878" s="87"/>
      <c r="K878" s="88"/>
      <c r="L878" s="69">
        <f t="shared" si="47"/>
        <v>0</v>
      </c>
      <c r="M878" s="70"/>
      <c r="N878" s="8"/>
      <c r="O878" s="1"/>
      <c r="P878" s="30">
        <v>184468</v>
      </c>
      <c r="Q878" s="38">
        <f t="shared" si="48"/>
        <v>184468</v>
      </c>
      <c r="R878" s="28">
        <f t="shared" si="49"/>
        <v>0</v>
      </c>
    </row>
    <row r="879" spans="1:18">
      <c r="A879" s="83" t="s">
        <v>73</v>
      </c>
      <c r="B879" s="84"/>
      <c r="C879" s="84"/>
      <c r="D879" s="84"/>
      <c r="E879" s="85"/>
      <c r="F879" s="20" t="s">
        <v>62</v>
      </c>
      <c r="G879" s="67">
        <v>9</v>
      </c>
      <c r="H879" s="68"/>
      <c r="I879" s="87"/>
      <c r="J879" s="87"/>
      <c r="K879" s="88"/>
      <c r="L879" s="69">
        <f t="shared" si="47"/>
        <v>0</v>
      </c>
      <c r="M879" s="70"/>
      <c r="N879" s="8"/>
      <c r="O879" s="1"/>
      <c r="P879" s="30">
        <v>20000</v>
      </c>
      <c r="Q879" s="38">
        <f t="shared" si="48"/>
        <v>180000</v>
      </c>
      <c r="R879" s="28">
        <f t="shared" si="49"/>
        <v>0</v>
      </c>
    </row>
    <row r="880" spans="1:18">
      <c r="A880" s="83" t="s">
        <v>74</v>
      </c>
      <c r="B880" s="84"/>
      <c r="C880" s="84"/>
      <c r="D880" s="84"/>
      <c r="E880" s="85"/>
      <c r="F880" s="20" t="s">
        <v>63</v>
      </c>
      <c r="G880" s="67">
        <v>52</v>
      </c>
      <c r="H880" s="68"/>
      <c r="I880" s="87">
        <v>7</v>
      </c>
      <c r="J880" s="87"/>
      <c r="K880" s="88"/>
      <c r="L880" s="69">
        <f t="shared" si="47"/>
        <v>52</v>
      </c>
      <c r="M880" s="70"/>
      <c r="N880" s="8"/>
      <c r="O880" s="1"/>
      <c r="P880" s="31">
        <v>2500</v>
      </c>
      <c r="Q880" s="38">
        <f t="shared" si="48"/>
        <v>130000</v>
      </c>
      <c r="R880" s="28">
        <f t="shared" si="49"/>
        <v>130000</v>
      </c>
    </row>
    <row r="881" spans="1:18">
      <c r="A881" s="83" t="s">
        <v>75</v>
      </c>
      <c r="B881" s="84"/>
      <c r="C881" s="84"/>
      <c r="D881" s="84"/>
      <c r="E881" s="85"/>
      <c r="F881" s="20" t="s">
        <v>64</v>
      </c>
      <c r="G881" s="67">
        <v>1</v>
      </c>
      <c r="H881" s="68"/>
      <c r="I881" s="87"/>
      <c r="J881" s="87"/>
      <c r="K881" s="88"/>
      <c r="L881" s="69">
        <f t="shared" si="47"/>
        <v>0</v>
      </c>
      <c r="M881" s="70"/>
      <c r="N881" s="8"/>
      <c r="O881" s="1"/>
      <c r="P881" s="30">
        <v>80000</v>
      </c>
      <c r="Q881" s="38">
        <f t="shared" si="48"/>
        <v>80000</v>
      </c>
      <c r="R881" s="28">
        <f t="shared" si="49"/>
        <v>0</v>
      </c>
    </row>
    <row r="882" spans="1:18">
      <c r="A882" s="89" t="s">
        <v>102</v>
      </c>
      <c r="B882" s="90"/>
      <c r="C882" s="90"/>
      <c r="D882" s="90"/>
      <c r="E882" s="91"/>
      <c r="F882" s="20" t="s">
        <v>65</v>
      </c>
      <c r="G882" s="67">
        <v>31</v>
      </c>
      <c r="H882" s="68"/>
      <c r="I882" s="87"/>
      <c r="J882" s="87"/>
      <c r="K882" s="88"/>
      <c r="L882" s="69">
        <f t="shared" si="47"/>
        <v>0</v>
      </c>
      <c r="M882" s="70"/>
      <c r="N882" s="8"/>
      <c r="O882" s="1"/>
      <c r="P882" s="30">
        <v>400</v>
      </c>
      <c r="Q882" s="38">
        <f t="shared" si="48"/>
        <v>12400</v>
      </c>
      <c r="R882" s="28">
        <f t="shared" si="49"/>
        <v>0</v>
      </c>
    </row>
    <row r="883" spans="1:18">
      <c r="A883" s="64" t="s">
        <v>77</v>
      </c>
      <c r="B883" s="65"/>
      <c r="C883" s="65"/>
      <c r="D883" s="65"/>
      <c r="E883" s="66"/>
      <c r="F883" s="20" t="s">
        <v>65</v>
      </c>
      <c r="G883" s="67">
        <v>100</v>
      </c>
      <c r="H883" s="68"/>
      <c r="I883" s="87"/>
      <c r="J883" s="87"/>
      <c r="K883" s="88"/>
      <c r="L883" s="69">
        <f t="shared" si="47"/>
        <v>0</v>
      </c>
      <c r="M883" s="70"/>
      <c r="N883" s="8"/>
      <c r="O883" s="1"/>
      <c r="P883" s="30">
        <v>350</v>
      </c>
      <c r="Q883" s="38">
        <f t="shared" si="48"/>
        <v>35000</v>
      </c>
      <c r="R883" s="28">
        <f t="shared" si="49"/>
        <v>0</v>
      </c>
    </row>
    <row r="884" spans="1:18">
      <c r="A884" s="64" t="s">
        <v>78</v>
      </c>
      <c r="B884" s="65"/>
      <c r="C884" s="65"/>
      <c r="D884" s="65"/>
      <c r="E884" s="66"/>
      <c r="F884" s="20" t="s">
        <v>63</v>
      </c>
      <c r="G884" s="67">
        <v>35</v>
      </c>
      <c r="H884" s="68"/>
      <c r="I884" s="87"/>
      <c r="J884" s="87"/>
      <c r="K884" s="88"/>
      <c r="L884" s="69">
        <f t="shared" si="47"/>
        <v>0</v>
      </c>
      <c r="M884" s="70"/>
      <c r="N884" s="8"/>
      <c r="O884" s="1"/>
      <c r="P884" s="30">
        <v>1200</v>
      </c>
      <c r="Q884" s="38">
        <f t="shared" si="48"/>
        <v>42000</v>
      </c>
      <c r="R884" s="28">
        <f t="shared" si="49"/>
        <v>0</v>
      </c>
    </row>
    <row r="885" spans="1:18">
      <c r="A885" s="64" t="s">
        <v>79</v>
      </c>
      <c r="B885" s="65"/>
      <c r="C885" s="65"/>
      <c r="D885" s="65"/>
      <c r="E885" s="66"/>
      <c r="F885" s="20" t="s">
        <v>63</v>
      </c>
      <c r="G885" s="67">
        <v>282</v>
      </c>
      <c r="H885" s="68"/>
      <c r="I885" s="86"/>
      <c r="J885" s="87"/>
      <c r="K885" s="88"/>
      <c r="L885" s="69">
        <f t="shared" si="47"/>
        <v>0</v>
      </c>
      <c r="M885" s="70"/>
      <c r="N885" s="8"/>
      <c r="O885" s="1"/>
      <c r="P885" s="30">
        <v>1400</v>
      </c>
      <c r="Q885" s="38">
        <f t="shared" si="48"/>
        <v>394800</v>
      </c>
      <c r="R885" s="28">
        <f t="shared" si="49"/>
        <v>0</v>
      </c>
    </row>
    <row r="886" spans="1:18">
      <c r="A886" s="83" t="s">
        <v>80</v>
      </c>
      <c r="B886" s="84"/>
      <c r="C886" s="84"/>
      <c r="D886" s="84"/>
      <c r="E886" s="85"/>
      <c r="F886" s="21" t="s">
        <v>65</v>
      </c>
      <c r="G886" s="67">
        <v>58</v>
      </c>
      <c r="H886" s="68"/>
      <c r="I886" s="86"/>
      <c r="J886" s="87"/>
      <c r="K886" s="88"/>
      <c r="L886" s="69">
        <f t="shared" si="47"/>
        <v>0</v>
      </c>
      <c r="M886" s="70"/>
      <c r="N886" s="8"/>
      <c r="O886" s="1"/>
      <c r="P886" s="30">
        <v>3600</v>
      </c>
      <c r="Q886" s="38">
        <f t="shared" si="48"/>
        <v>208800</v>
      </c>
      <c r="R886" s="28">
        <f t="shared" si="49"/>
        <v>0</v>
      </c>
    </row>
    <row r="887" spans="1:18">
      <c r="A887" s="83" t="s">
        <v>81</v>
      </c>
      <c r="B887" s="84"/>
      <c r="C887" s="84"/>
      <c r="D887" s="84"/>
      <c r="E887" s="85"/>
      <c r="F887" s="21" t="s">
        <v>65</v>
      </c>
      <c r="G887" s="67">
        <v>360</v>
      </c>
      <c r="H887" s="68"/>
      <c r="I887" s="86"/>
      <c r="J887" s="87"/>
      <c r="K887" s="88"/>
      <c r="L887" s="69">
        <f t="shared" si="47"/>
        <v>0</v>
      </c>
      <c r="M887" s="70"/>
      <c r="N887" s="8"/>
      <c r="O887" s="1"/>
      <c r="P887" s="30">
        <v>230</v>
      </c>
      <c r="Q887" s="38">
        <f t="shared" si="48"/>
        <v>82800</v>
      </c>
      <c r="R887" s="28">
        <f t="shared" si="49"/>
        <v>0</v>
      </c>
    </row>
    <row r="888" spans="1:18">
      <c r="A888" s="83" t="s">
        <v>82</v>
      </c>
      <c r="B888" s="84"/>
      <c r="C888" s="84"/>
      <c r="D888" s="84"/>
      <c r="E888" s="85"/>
      <c r="F888" s="21" t="s">
        <v>65</v>
      </c>
      <c r="G888" s="67">
        <v>2400</v>
      </c>
      <c r="H888" s="68"/>
      <c r="I888" s="86"/>
      <c r="J888" s="87"/>
      <c r="K888" s="88"/>
      <c r="L888" s="69">
        <f t="shared" si="47"/>
        <v>0</v>
      </c>
      <c r="M888" s="70"/>
      <c r="N888" s="8"/>
      <c r="O888" s="1"/>
      <c r="P888" s="30">
        <v>80</v>
      </c>
      <c r="Q888" s="38">
        <f t="shared" si="48"/>
        <v>192000</v>
      </c>
      <c r="R888" s="28">
        <f t="shared" si="49"/>
        <v>0</v>
      </c>
    </row>
    <row r="889" spans="1:18">
      <c r="A889" s="89" t="s">
        <v>83</v>
      </c>
      <c r="B889" s="90"/>
      <c r="C889" s="90"/>
      <c r="D889" s="90"/>
      <c r="E889" s="91"/>
      <c r="F889" s="21" t="s">
        <v>65</v>
      </c>
      <c r="G889" s="67">
        <v>360</v>
      </c>
      <c r="H889" s="68"/>
      <c r="I889" s="86"/>
      <c r="J889" s="87"/>
      <c r="K889" s="88"/>
      <c r="L889" s="69">
        <f t="shared" si="47"/>
        <v>0</v>
      </c>
      <c r="M889" s="70"/>
      <c r="N889" s="8"/>
      <c r="O889" s="1"/>
      <c r="P889" s="30">
        <v>420</v>
      </c>
      <c r="Q889" s="38">
        <f t="shared" si="48"/>
        <v>151200</v>
      </c>
      <c r="R889" s="28">
        <f t="shared" si="49"/>
        <v>0</v>
      </c>
    </row>
    <row r="890" spans="1:18">
      <c r="A890" s="64" t="s">
        <v>84</v>
      </c>
      <c r="B890" s="65"/>
      <c r="C890" s="65"/>
      <c r="D890" s="65"/>
      <c r="E890" s="66"/>
      <c r="F890" s="21" t="s">
        <v>65</v>
      </c>
      <c r="G890" s="67">
        <v>2760</v>
      </c>
      <c r="H890" s="68"/>
      <c r="I890" s="86"/>
      <c r="J890" s="87"/>
      <c r="K890" s="88"/>
      <c r="L890" s="69">
        <f t="shared" si="47"/>
        <v>0</v>
      </c>
      <c r="M890" s="70"/>
      <c r="N890" s="8"/>
      <c r="O890" s="1"/>
      <c r="P890" s="30">
        <v>460</v>
      </c>
      <c r="Q890" s="38">
        <f t="shared" si="48"/>
        <v>1269600</v>
      </c>
      <c r="R890" s="28">
        <f t="shared" si="49"/>
        <v>0</v>
      </c>
    </row>
    <row r="891" spans="1:18">
      <c r="A891" s="64" t="s">
        <v>85</v>
      </c>
      <c r="B891" s="65"/>
      <c r="C891" s="65"/>
      <c r="D891" s="65"/>
      <c r="E891" s="66"/>
      <c r="F891" s="21" t="s">
        <v>65</v>
      </c>
      <c r="G891" s="67">
        <v>275</v>
      </c>
      <c r="H891" s="68"/>
      <c r="I891" s="86"/>
      <c r="J891" s="87"/>
      <c r="K891" s="88"/>
      <c r="L891" s="69">
        <f t="shared" si="47"/>
        <v>0</v>
      </c>
      <c r="M891" s="70"/>
      <c r="N891" s="8"/>
      <c r="O891" s="1"/>
      <c r="P891" s="31">
        <v>350</v>
      </c>
      <c r="Q891" s="38">
        <f t="shared" si="48"/>
        <v>96250</v>
      </c>
      <c r="R891" s="28">
        <f t="shared" si="49"/>
        <v>0</v>
      </c>
    </row>
    <row r="892" spans="1:18">
      <c r="A892" s="64" t="s">
        <v>86</v>
      </c>
      <c r="B892" s="65"/>
      <c r="C892" s="65"/>
      <c r="D892" s="65"/>
      <c r="E892" s="66"/>
      <c r="F892" s="21" t="s">
        <v>60</v>
      </c>
      <c r="G892" s="67">
        <v>1</v>
      </c>
      <c r="H892" s="68"/>
      <c r="I892" s="86"/>
      <c r="J892" s="87"/>
      <c r="K892" s="88"/>
      <c r="L892" s="69">
        <f t="shared" si="47"/>
        <v>0</v>
      </c>
      <c r="M892" s="70"/>
      <c r="N892" s="8"/>
      <c r="O892" s="2"/>
      <c r="P892" s="30">
        <v>40000</v>
      </c>
      <c r="Q892" s="38">
        <f t="shared" si="48"/>
        <v>40000</v>
      </c>
      <c r="R892" s="28">
        <f t="shared" si="49"/>
        <v>0</v>
      </c>
    </row>
    <row r="893" spans="1:18">
      <c r="A893" s="83" t="s">
        <v>87</v>
      </c>
      <c r="B893" s="84"/>
      <c r="C893" s="84"/>
      <c r="D893" s="84"/>
      <c r="E893" s="85"/>
      <c r="F893" s="20" t="s">
        <v>60</v>
      </c>
      <c r="G893" s="67">
        <v>1</v>
      </c>
      <c r="H893" s="68"/>
      <c r="I893" s="86"/>
      <c r="J893" s="87"/>
      <c r="K893" s="88"/>
      <c r="L893" s="69">
        <f t="shared" si="47"/>
        <v>0</v>
      </c>
      <c r="M893" s="70"/>
      <c r="N893" s="8"/>
      <c r="O893" s="1"/>
      <c r="P893" s="31">
        <v>276970</v>
      </c>
      <c r="Q893" s="38">
        <f t="shared" si="48"/>
        <v>276970</v>
      </c>
      <c r="R893" s="28">
        <f t="shared" si="49"/>
        <v>0</v>
      </c>
    </row>
    <row r="894" spans="1:18">
      <c r="A894" s="83" t="s">
        <v>88</v>
      </c>
      <c r="B894" s="84"/>
      <c r="C894" s="84"/>
      <c r="D894" s="84"/>
      <c r="E894" s="85"/>
      <c r="F894" s="20" t="s">
        <v>60</v>
      </c>
      <c r="G894" s="67">
        <v>1</v>
      </c>
      <c r="H894" s="68"/>
      <c r="I894" s="26"/>
      <c r="J894" s="23"/>
      <c r="K894" s="24"/>
      <c r="L894" s="69">
        <f t="shared" si="47"/>
        <v>0</v>
      </c>
      <c r="M894" s="70"/>
      <c r="N894" s="25"/>
      <c r="O894" s="1"/>
      <c r="P894" s="32">
        <v>60873</v>
      </c>
      <c r="Q894" s="38">
        <f t="shared" si="48"/>
        <v>60873</v>
      </c>
      <c r="R894" s="28">
        <f t="shared" si="49"/>
        <v>0</v>
      </c>
    </row>
    <row r="895" spans="1:18">
      <c r="A895" s="83" t="s">
        <v>89</v>
      </c>
      <c r="B895" s="84"/>
      <c r="C895" s="84"/>
      <c r="D895" s="84"/>
      <c r="E895" s="85"/>
      <c r="F895" s="20" t="s">
        <v>60</v>
      </c>
      <c r="G895" s="67">
        <v>1</v>
      </c>
      <c r="H895" s="68"/>
      <c r="I895" s="26"/>
      <c r="J895" s="23"/>
      <c r="K895" s="24"/>
      <c r="L895" s="69">
        <f t="shared" si="47"/>
        <v>0</v>
      </c>
      <c r="M895" s="70"/>
      <c r="N895" s="25"/>
      <c r="O895" s="1"/>
      <c r="P895" s="32">
        <v>60873</v>
      </c>
      <c r="Q895" s="38">
        <f t="shared" si="48"/>
        <v>60873</v>
      </c>
      <c r="R895" s="28">
        <f t="shared" si="49"/>
        <v>0</v>
      </c>
    </row>
    <row r="896" spans="1:18">
      <c r="A896" s="83" t="s">
        <v>90</v>
      </c>
      <c r="B896" s="84"/>
      <c r="C896" s="84"/>
      <c r="D896" s="84"/>
      <c r="E896" s="85"/>
      <c r="F896" s="20" t="s">
        <v>60</v>
      </c>
      <c r="G896" s="67">
        <v>1</v>
      </c>
      <c r="H896" s="68"/>
      <c r="I896" s="26"/>
      <c r="J896" s="23"/>
      <c r="K896" s="24"/>
      <c r="L896" s="69">
        <f t="shared" si="47"/>
        <v>0</v>
      </c>
      <c r="M896" s="70"/>
      <c r="N896" s="25"/>
      <c r="O896" s="1"/>
      <c r="P896" s="34">
        <v>266321</v>
      </c>
      <c r="Q896" s="38">
        <f t="shared" si="48"/>
        <v>266321</v>
      </c>
      <c r="R896" s="28">
        <f t="shared" si="49"/>
        <v>0</v>
      </c>
    </row>
    <row r="897" spans="1:19">
      <c r="A897" s="83" t="s">
        <v>91</v>
      </c>
      <c r="B897" s="84"/>
      <c r="C897" s="84"/>
      <c r="D897" s="84"/>
      <c r="E897" s="85"/>
      <c r="F897" s="2" t="s">
        <v>60</v>
      </c>
      <c r="G897" s="67">
        <v>1</v>
      </c>
      <c r="H897" s="68"/>
      <c r="I897" s="26"/>
      <c r="J897" s="23"/>
      <c r="K897" s="24"/>
      <c r="L897" s="69">
        <f t="shared" si="47"/>
        <v>1</v>
      </c>
      <c r="M897" s="70"/>
      <c r="N897" s="25"/>
      <c r="O897" s="1"/>
      <c r="P897" s="32">
        <v>13316</v>
      </c>
      <c r="Q897" s="38">
        <f t="shared" si="48"/>
        <v>13316</v>
      </c>
      <c r="R897" s="28">
        <f t="shared" si="49"/>
        <v>13316</v>
      </c>
    </row>
    <row r="898" spans="1:19">
      <c r="A898" s="83" t="s">
        <v>92</v>
      </c>
      <c r="B898" s="84"/>
      <c r="C898" s="84"/>
      <c r="D898" s="84"/>
      <c r="E898" s="85"/>
      <c r="F898" s="20" t="s">
        <v>60</v>
      </c>
      <c r="G898" s="67">
        <v>1</v>
      </c>
      <c r="H898" s="68"/>
      <c r="I898" s="26"/>
      <c r="J898" s="23"/>
      <c r="K898" s="24"/>
      <c r="L898" s="69">
        <f t="shared" si="47"/>
        <v>0</v>
      </c>
      <c r="M898" s="70"/>
      <c r="N898" s="25"/>
      <c r="O898" s="1"/>
      <c r="P898" s="32">
        <v>210299</v>
      </c>
      <c r="Q898" s="38">
        <f t="shared" si="48"/>
        <v>210299</v>
      </c>
      <c r="R898" s="28">
        <f t="shared" si="49"/>
        <v>0</v>
      </c>
    </row>
    <row r="899" spans="1:19">
      <c r="A899" s="64"/>
      <c r="B899" s="65"/>
      <c r="C899" s="65"/>
      <c r="D899" s="65"/>
      <c r="E899" s="66"/>
      <c r="F899" s="22"/>
      <c r="G899" s="67"/>
      <c r="H899" s="68"/>
      <c r="I899" s="26"/>
      <c r="J899" s="23"/>
      <c r="K899" s="24"/>
      <c r="L899" s="69"/>
      <c r="M899" s="70"/>
      <c r="N899" s="25"/>
      <c r="O899" s="3"/>
      <c r="P899" s="32"/>
      <c r="Q899" s="33">
        <f>SUM(Q873:Q898)</f>
        <v>4416270</v>
      </c>
      <c r="R899" s="29">
        <f>SUM(R873:R898)</f>
        <v>556616</v>
      </c>
    </row>
    <row r="900" spans="1:19">
      <c r="A900" s="64"/>
      <c r="B900" s="65"/>
      <c r="C900" s="65"/>
      <c r="D900" s="65"/>
      <c r="E900" s="66"/>
      <c r="F900" s="22"/>
      <c r="G900" s="67"/>
      <c r="H900" s="68"/>
      <c r="I900" s="26"/>
      <c r="J900" s="23"/>
      <c r="K900" s="24"/>
      <c r="L900" s="69"/>
      <c r="M900" s="70"/>
      <c r="N900" s="25"/>
      <c r="O900" s="3"/>
      <c r="P900" s="32"/>
      <c r="Q900" s="33"/>
      <c r="R900" s="37">
        <f>R899/Q899</f>
        <v>0.12603758375280497</v>
      </c>
    </row>
    <row r="901" spans="1:19">
      <c r="A901" s="62" t="s">
        <v>14</v>
      </c>
      <c r="B901" s="62"/>
      <c r="C901" s="62"/>
      <c r="D901" s="62"/>
      <c r="E901" s="62"/>
      <c r="F901" s="62"/>
      <c r="G901" s="62"/>
      <c r="H901" s="62"/>
      <c r="I901" s="62"/>
      <c r="J901" s="62"/>
      <c r="K901" s="62"/>
      <c r="L901" s="62"/>
      <c r="M901" s="62"/>
      <c r="N901" s="62"/>
      <c r="O901" s="1"/>
      <c r="P901" s="32"/>
      <c r="Q901" s="33"/>
      <c r="R901" s="29"/>
      <c r="S901" s="16"/>
    </row>
    <row r="902" spans="1:19">
      <c r="A902" s="71" t="s">
        <v>15</v>
      </c>
      <c r="B902" s="72"/>
      <c r="C902" s="72"/>
      <c r="D902" s="72"/>
      <c r="E902" s="73"/>
      <c r="F902" s="9" t="s">
        <v>37</v>
      </c>
      <c r="G902" s="71" t="s">
        <v>38</v>
      </c>
      <c r="H902" s="73"/>
      <c r="I902" s="71" t="s">
        <v>42</v>
      </c>
      <c r="J902" s="72"/>
      <c r="K902" s="73"/>
      <c r="L902" s="74" t="s">
        <v>17</v>
      </c>
      <c r="M902" s="75"/>
      <c r="N902" s="9" t="s">
        <v>13</v>
      </c>
      <c r="O902" s="1"/>
      <c r="P902" s="32"/>
      <c r="Q902" s="33"/>
      <c r="R902" s="29"/>
      <c r="S902" s="16"/>
    </row>
    <row r="903" spans="1:19">
      <c r="A903" s="71"/>
      <c r="B903" s="72"/>
      <c r="C903" s="72"/>
      <c r="D903" s="72"/>
      <c r="E903" s="73"/>
      <c r="F903" s="13"/>
      <c r="G903" s="76"/>
      <c r="H903" s="77"/>
      <c r="I903" s="78"/>
      <c r="J903" s="79"/>
      <c r="K903" s="80"/>
      <c r="L903" s="81"/>
      <c r="M903" s="82"/>
      <c r="N903" s="8"/>
      <c r="O903" s="1"/>
      <c r="P903" s="32"/>
      <c r="Q903" s="33"/>
      <c r="R903" s="29"/>
      <c r="S903" s="16"/>
    </row>
    <row r="904" spans="1:19">
      <c r="A904" s="62" t="s">
        <v>19</v>
      </c>
      <c r="B904" s="62"/>
      <c r="C904" s="62"/>
      <c r="D904" s="62"/>
      <c r="E904" s="62"/>
      <c r="F904" s="62"/>
      <c r="G904" s="62"/>
      <c r="H904" s="62"/>
      <c r="I904" s="62"/>
      <c r="J904" s="62"/>
      <c r="K904" s="62"/>
      <c r="L904" s="62"/>
      <c r="M904" s="62"/>
      <c r="N904" s="62"/>
      <c r="O904" s="1"/>
      <c r="P904" s="32"/>
      <c r="Q904" s="33"/>
      <c r="R904" s="29"/>
      <c r="S904" s="16"/>
    </row>
    <row r="905" spans="1:19">
      <c r="A905" s="63" t="s">
        <v>20</v>
      </c>
      <c r="B905" s="63"/>
      <c r="C905" s="63" t="s">
        <v>21</v>
      </c>
      <c r="D905" s="63"/>
      <c r="E905" s="63" t="s">
        <v>22</v>
      </c>
      <c r="F905" s="63"/>
      <c r="G905" s="63" t="s">
        <v>23</v>
      </c>
      <c r="H905" s="63"/>
      <c r="I905" s="63"/>
      <c r="J905" s="63" t="s">
        <v>16</v>
      </c>
      <c r="K905" s="63"/>
      <c r="L905" s="63"/>
      <c r="M905" s="63" t="s">
        <v>17</v>
      </c>
      <c r="N905" s="63"/>
      <c r="O905" s="1"/>
      <c r="Q905" s="32"/>
      <c r="R905" s="33"/>
      <c r="S905" s="16"/>
    </row>
    <row r="906" spans="1:19">
      <c r="A906" s="60" t="s">
        <v>24</v>
      </c>
      <c r="B906" s="52"/>
      <c r="C906" s="61">
        <v>3</v>
      </c>
      <c r="D906" s="61"/>
      <c r="E906" s="61">
        <f>C906+E845</f>
        <v>18</v>
      </c>
      <c r="F906" s="61"/>
      <c r="G906" s="60" t="s">
        <v>51</v>
      </c>
      <c r="H906" s="51"/>
      <c r="I906" s="52"/>
      <c r="J906" s="61"/>
      <c r="K906" s="61"/>
      <c r="L906" s="61"/>
      <c r="M906" s="61">
        <f>K906+M845</f>
        <v>1</v>
      </c>
      <c r="N906" s="61"/>
      <c r="O906" s="1"/>
      <c r="Q906" s="32"/>
      <c r="R906" s="33"/>
      <c r="S906" s="16"/>
    </row>
    <row r="907" spans="1:19">
      <c r="A907" s="60" t="s">
        <v>25</v>
      </c>
      <c r="B907" s="52"/>
      <c r="C907" s="61">
        <v>3</v>
      </c>
      <c r="D907" s="61"/>
      <c r="E907" s="61">
        <f>C907+E846</f>
        <v>17</v>
      </c>
      <c r="F907" s="61"/>
      <c r="G907" s="60" t="s">
        <v>50</v>
      </c>
      <c r="H907" s="51"/>
      <c r="I907" s="52"/>
      <c r="J907" s="61"/>
      <c r="K907" s="61"/>
      <c r="L907" s="61"/>
      <c r="M907" s="61">
        <f>K907+M846</f>
        <v>1</v>
      </c>
      <c r="N907" s="61"/>
      <c r="O907" s="1"/>
      <c r="Q907" s="32"/>
      <c r="R907" s="33"/>
      <c r="S907" s="16"/>
    </row>
    <row r="908" spans="1:19">
      <c r="A908" s="60"/>
      <c r="B908" s="52"/>
      <c r="C908" s="61"/>
      <c r="D908" s="61"/>
      <c r="E908" s="61"/>
      <c r="F908" s="61"/>
      <c r="G908" s="60" t="s">
        <v>55</v>
      </c>
      <c r="H908" s="51"/>
      <c r="I908" s="52"/>
      <c r="J908" s="61"/>
      <c r="K908" s="61"/>
      <c r="L908" s="61"/>
      <c r="M908" s="61">
        <f>K908+M847</f>
        <v>0</v>
      </c>
      <c r="N908" s="61"/>
      <c r="O908" s="2"/>
      <c r="P908" s="29"/>
      <c r="Q908" s="32"/>
      <c r="R908" s="33"/>
      <c r="S908" s="16"/>
    </row>
    <row r="909" spans="1:19">
      <c r="A909" s="53" t="s">
        <v>53</v>
      </c>
      <c r="B909" s="47"/>
      <c r="C909" s="53"/>
      <c r="D909" s="53"/>
      <c r="E909" s="53"/>
      <c r="F909" s="53"/>
      <c r="G909" s="53"/>
      <c r="H909" s="53"/>
      <c r="I909" s="53"/>
      <c r="J909" s="53"/>
      <c r="K909" s="53"/>
      <c r="L909" s="53"/>
      <c r="M909" s="53"/>
      <c r="N909" s="53"/>
      <c r="O909" s="1"/>
      <c r="P909" s="32"/>
      <c r="Q909" s="32"/>
      <c r="R909" s="33"/>
      <c r="S909" s="16"/>
    </row>
    <row r="910" spans="1:19">
      <c r="A910" s="45" t="s">
        <v>56</v>
      </c>
      <c r="B910" s="46"/>
      <c r="C910" s="46"/>
      <c r="D910" s="46"/>
      <c r="E910" s="46"/>
      <c r="F910" s="46"/>
      <c r="G910" s="46"/>
      <c r="H910" s="46"/>
      <c r="I910" s="46"/>
      <c r="J910" s="46"/>
      <c r="K910" s="46"/>
      <c r="L910" s="46"/>
      <c r="M910" s="46"/>
      <c r="N910" s="47"/>
      <c r="O910" s="1"/>
      <c r="P910" s="32"/>
      <c r="Q910" s="34"/>
      <c r="R910" s="33"/>
      <c r="S910" s="16"/>
    </row>
    <row r="911" spans="1:19">
      <c r="A911" s="54" t="s">
        <v>54</v>
      </c>
      <c r="B911" s="55"/>
      <c r="C911" s="55"/>
      <c r="D911" s="55"/>
      <c r="E911" s="55"/>
      <c r="F911" s="55"/>
      <c r="G911" s="55"/>
      <c r="H911" s="55"/>
      <c r="I911" s="55"/>
      <c r="J911" s="55"/>
      <c r="K911" s="55"/>
      <c r="L911" s="55"/>
      <c r="M911" s="55"/>
      <c r="N911" s="56"/>
      <c r="O911" s="1"/>
      <c r="P911" s="32"/>
      <c r="Q911" s="32"/>
      <c r="R911" s="33"/>
      <c r="S911" s="16"/>
    </row>
    <row r="912" spans="1:19">
      <c r="A912" s="40" t="s">
        <v>26</v>
      </c>
      <c r="B912" s="41"/>
      <c r="C912" s="40"/>
      <c r="D912" s="40"/>
      <c r="E912" s="40"/>
      <c r="F912" s="40"/>
      <c r="G912" s="40"/>
      <c r="H912" s="40"/>
      <c r="I912" s="40"/>
      <c r="J912" s="40"/>
      <c r="K912" s="40"/>
      <c r="L912" s="40"/>
      <c r="M912" s="40"/>
      <c r="N912" s="40"/>
      <c r="O912" s="1"/>
      <c r="P912" s="32"/>
      <c r="Q912" s="32"/>
      <c r="R912" s="33"/>
      <c r="S912" s="16"/>
    </row>
    <row r="913" spans="1:19">
      <c r="A913" s="57" t="s">
        <v>27</v>
      </c>
      <c r="B913" s="58"/>
      <c r="C913" s="58"/>
      <c r="D913" s="58"/>
      <c r="E913" s="58"/>
      <c r="F913" s="58"/>
      <c r="G913" s="58"/>
      <c r="H913" s="58"/>
      <c r="I913" s="58"/>
      <c r="J913" s="58"/>
      <c r="K913" s="58"/>
      <c r="L913" s="58"/>
      <c r="M913" s="58"/>
      <c r="N913" s="59"/>
      <c r="O913" s="1"/>
      <c r="P913" s="34"/>
      <c r="Q913" s="34"/>
      <c r="R913" s="33"/>
      <c r="S913" s="16"/>
    </row>
    <row r="914" spans="1:19">
      <c r="A914" s="57" t="s">
        <v>57</v>
      </c>
      <c r="B914" s="58"/>
      <c r="C914" s="58"/>
      <c r="D914" s="58"/>
      <c r="E914" s="58"/>
      <c r="F914" s="58"/>
      <c r="G914" s="58"/>
      <c r="H914" s="58"/>
      <c r="I914" s="58"/>
      <c r="J914" s="58"/>
      <c r="K914" s="58"/>
      <c r="L914" s="58"/>
      <c r="M914" s="58"/>
      <c r="N914" s="59"/>
      <c r="O914" s="1"/>
      <c r="P914" s="32"/>
      <c r="Q914" s="32"/>
      <c r="R914" s="33"/>
      <c r="S914" s="16"/>
    </row>
    <row r="915" spans="1:19">
      <c r="A915" s="57" t="s">
        <v>58</v>
      </c>
      <c r="B915" s="58"/>
      <c r="C915" s="58"/>
      <c r="D915" s="58"/>
      <c r="E915" s="58"/>
      <c r="F915" s="58"/>
      <c r="G915" s="58"/>
      <c r="H915" s="58"/>
      <c r="I915" s="58"/>
      <c r="J915" s="58"/>
      <c r="K915" s="58"/>
      <c r="L915" s="58"/>
      <c r="M915" s="58"/>
      <c r="N915" s="59"/>
      <c r="O915" s="1"/>
      <c r="P915" s="32"/>
      <c r="Q915" s="32"/>
      <c r="R915" s="33"/>
      <c r="S915" s="16"/>
    </row>
    <row r="916" spans="1:19">
      <c r="A916" s="57" t="s">
        <v>59</v>
      </c>
      <c r="B916" s="58"/>
      <c r="C916" s="58"/>
      <c r="D916" s="58"/>
      <c r="E916" s="58"/>
      <c r="F916" s="58"/>
      <c r="G916" s="58"/>
      <c r="H916" s="58"/>
      <c r="I916" s="58"/>
      <c r="J916" s="58"/>
      <c r="K916" s="58"/>
      <c r="L916" s="58"/>
      <c r="M916" s="58"/>
      <c r="N916" s="59"/>
      <c r="O916" s="1"/>
      <c r="P916" s="32"/>
      <c r="Q916" s="34"/>
      <c r="R916" s="33"/>
      <c r="S916" s="16"/>
    </row>
    <row r="917" spans="1:19">
      <c r="A917" s="57" t="s">
        <v>28</v>
      </c>
      <c r="B917" s="58"/>
      <c r="C917" s="58"/>
      <c r="D917" s="58"/>
      <c r="E917" s="58"/>
      <c r="F917" s="58"/>
      <c r="G917" s="58"/>
      <c r="H917" s="58"/>
      <c r="I917" s="58"/>
      <c r="J917" s="58"/>
      <c r="K917" s="58"/>
      <c r="L917" s="58"/>
      <c r="M917" s="58"/>
      <c r="N917" s="59"/>
      <c r="O917" s="1"/>
      <c r="P917" s="34"/>
      <c r="Q917" s="32"/>
      <c r="R917" s="33"/>
      <c r="S917" s="16"/>
    </row>
    <row r="918" spans="1:19">
      <c r="A918" s="40" t="s">
        <v>29</v>
      </c>
      <c r="B918" s="41"/>
      <c r="C918" s="40"/>
      <c r="D918" s="40"/>
      <c r="E918" s="40"/>
      <c r="F918" s="40"/>
      <c r="G918" s="40"/>
      <c r="H918" s="40"/>
      <c r="I918" s="40"/>
      <c r="J918" s="40"/>
      <c r="K918" s="40"/>
      <c r="L918" s="40"/>
      <c r="M918" s="40"/>
      <c r="N918" s="40"/>
      <c r="O918" s="1"/>
      <c r="P918" s="32"/>
      <c r="Q918" s="32"/>
      <c r="R918" s="33"/>
      <c r="S918" s="16"/>
    </row>
    <row r="919" spans="1:19">
      <c r="A919" s="42"/>
      <c r="B919" s="43"/>
      <c r="C919" s="43"/>
      <c r="D919" s="43"/>
      <c r="E919" s="43"/>
      <c r="F919" s="43"/>
      <c r="G919" s="43"/>
      <c r="H919" s="43"/>
      <c r="I919" s="43"/>
      <c r="J919" s="43"/>
      <c r="K919" s="43"/>
      <c r="L919" s="43"/>
      <c r="M919" s="43"/>
      <c r="N919" s="44"/>
      <c r="O919" s="1"/>
      <c r="P919" s="32"/>
      <c r="Q919" s="32"/>
      <c r="R919" s="33"/>
      <c r="S919" s="16"/>
    </row>
    <row r="920" spans="1:19">
      <c r="A920" s="40" t="s">
        <v>30</v>
      </c>
      <c r="B920" s="41"/>
      <c r="C920" s="40"/>
      <c r="D920" s="40"/>
      <c r="E920" s="40"/>
      <c r="F920" s="40"/>
      <c r="G920" s="40"/>
      <c r="H920" s="40"/>
      <c r="I920" s="40"/>
      <c r="J920" s="40"/>
      <c r="K920" s="40"/>
      <c r="L920" s="40"/>
      <c r="M920" s="40"/>
      <c r="N920" s="40"/>
      <c r="O920" s="1"/>
      <c r="P920" s="32"/>
      <c r="Q920" s="32"/>
      <c r="R920" s="33"/>
      <c r="S920" s="16"/>
    </row>
    <row r="921" spans="1:19">
      <c r="A921" s="42"/>
      <c r="B921" s="43"/>
      <c r="C921" s="43"/>
      <c r="D921" s="43"/>
      <c r="E921" s="43"/>
      <c r="F921" s="43"/>
      <c r="G921" s="43"/>
      <c r="H921" s="43"/>
      <c r="I921" s="43"/>
      <c r="J921" s="43"/>
      <c r="K921" s="43"/>
      <c r="L921" s="43"/>
      <c r="M921" s="43"/>
      <c r="N921" s="44"/>
      <c r="O921" s="1"/>
      <c r="P921" s="32"/>
      <c r="Q921" s="32"/>
      <c r="R921" s="33"/>
      <c r="S921" s="16"/>
    </row>
    <row r="922" spans="1:19">
      <c r="A922" s="40" t="s">
        <v>103</v>
      </c>
      <c r="B922" s="41"/>
      <c r="C922" s="40"/>
      <c r="D922" s="40"/>
      <c r="E922" s="40"/>
      <c r="F922" s="40"/>
      <c r="G922" s="40"/>
      <c r="H922" s="40"/>
      <c r="I922" s="40"/>
      <c r="J922" s="40"/>
      <c r="K922" s="40"/>
      <c r="L922" s="40"/>
      <c r="M922" s="40"/>
      <c r="N922" s="40"/>
      <c r="O922" s="1"/>
      <c r="P922" s="32"/>
      <c r="Q922" s="32"/>
      <c r="R922" s="33"/>
      <c r="S922" s="17"/>
    </row>
    <row r="923" spans="1:19">
      <c r="A923" s="45"/>
      <c r="B923" s="46"/>
      <c r="C923" s="46"/>
      <c r="D923" s="46"/>
      <c r="E923" s="46"/>
      <c r="F923" s="46"/>
      <c r="G923" s="46"/>
      <c r="H923" s="46"/>
      <c r="I923" s="46"/>
      <c r="J923" s="46"/>
      <c r="K923" s="46"/>
      <c r="L923" s="46"/>
      <c r="M923" s="46"/>
      <c r="N923" s="47"/>
      <c r="O923" s="1"/>
      <c r="P923" s="32"/>
      <c r="Q923" s="32"/>
      <c r="R923" s="33"/>
      <c r="S923" s="1"/>
    </row>
    <row r="924" spans="1:19">
      <c r="A924" s="48" t="s">
        <v>41</v>
      </c>
      <c r="B924" s="49"/>
      <c r="C924" s="50"/>
      <c r="D924" s="50"/>
      <c r="E924" s="50"/>
      <c r="F924" s="50"/>
      <c r="G924" s="50"/>
      <c r="H924" s="51"/>
      <c r="I924" s="51"/>
      <c r="J924" s="51"/>
      <c r="K924" s="51"/>
      <c r="L924" s="51"/>
      <c r="M924" s="51"/>
      <c r="N924" s="52"/>
      <c r="O924" s="1"/>
      <c r="P924" s="32"/>
      <c r="Q924" s="32"/>
      <c r="R924" s="33"/>
      <c r="S924" s="1"/>
    </row>
    <row r="925" spans="1:19" ht="28.2">
      <c r="A925" s="1" t="s">
        <v>45</v>
      </c>
      <c r="B925" s="7">
        <f>B864+1</f>
        <v>16</v>
      </c>
      <c r="C925" s="5"/>
      <c r="D925" s="5"/>
      <c r="E925" s="5"/>
      <c r="F925" s="5"/>
      <c r="G925" s="5"/>
      <c r="H925" s="5"/>
      <c r="I925" s="5"/>
      <c r="J925" s="5"/>
      <c r="K925" s="5"/>
      <c r="L925" s="5"/>
      <c r="M925" s="5"/>
      <c r="N925" s="5"/>
      <c r="O925" s="1"/>
      <c r="P925" s="32"/>
      <c r="Q925" s="33"/>
      <c r="R925" s="29"/>
    </row>
    <row r="926" spans="1:19">
      <c r="A926" s="1" t="s">
        <v>46</v>
      </c>
      <c r="B926" s="1" t="s">
        <v>1</v>
      </c>
      <c r="C926" s="1" t="s">
        <v>2</v>
      </c>
      <c r="D926" s="1" t="s">
        <v>3</v>
      </c>
      <c r="E926" s="1" t="s">
        <v>2</v>
      </c>
      <c r="F926" s="1"/>
      <c r="G926" s="1"/>
      <c r="H926" s="112" t="s">
        <v>4</v>
      </c>
      <c r="I926" s="112"/>
      <c r="J926" s="113">
        <f>J865+1</f>
        <v>46227</v>
      </c>
      <c r="K926" s="113"/>
      <c r="L926" s="113"/>
      <c r="M926" s="114">
        <f>J926</f>
        <v>46227</v>
      </c>
      <c r="N926" s="114"/>
      <c r="O926" s="1"/>
      <c r="P926" s="32"/>
      <c r="Q926" s="33"/>
      <c r="R926" s="29"/>
    </row>
    <row r="927" spans="1:19">
      <c r="A927" s="8" t="s">
        <v>5</v>
      </c>
      <c r="B927" s="115">
        <f>B858</f>
        <v>0</v>
      </c>
      <c r="C927" s="116"/>
      <c r="D927" s="116"/>
      <c r="E927" s="116"/>
      <c r="F927" s="116"/>
      <c r="G927" s="117"/>
      <c r="H927" s="63" t="s">
        <v>6</v>
      </c>
      <c r="I927" s="63"/>
      <c r="J927" s="63"/>
      <c r="K927" s="63" t="s">
        <v>52</v>
      </c>
      <c r="L927" s="63"/>
      <c r="M927" s="63"/>
      <c r="N927" s="63"/>
      <c r="O927" s="1"/>
      <c r="P927" s="32"/>
      <c r="Q927" s="33"/>
      <c r="R927" s="29"/>
    </row>
    <row r="928" spans="1:19">
      <c r="A928" s="8" t="s">
        <v>32</v>
      </c>
      <c r="B928" s="10">
        <v>60</v>
      </c>
      <c r="C928" s="11" t="s">
        <v>43</v>
      </c>
      <c r="D928" s="71" t="s">
        <v>7</v>
      </c>
      <c r="E928" s="73"/>
      <c r="F928" s="10">
        <f>F867+1</f>
        <v>16</v>
      </c>
      <c r="G928" s="11" t="s">
        <v>8</v>
      </c>
      <c r="H928" s="9" t="s">
        <v>9</v>
      </c>
      <c r="I928" s="10">
        <f>B928-F928</f>
        <v>44</v>
      </c>
      <c r="J928" s="11" t="s">
        <v>8</v>
      </c>
      <c r="K928" s="118" t="s">
        <v>33</v>
      </c>
      <c r="L928" s="119"/>
      <c r="M928" s="12"/>
      <c r="N928" s="11" t="s">
        <v>8</v>
      </c>
      <c r="O928" s="1"/>
      <c r="P928" s="34"/>
      <c r="Q928" s="33"/>
      <c r="R928" s="29"/>
    </row>
    <row r="929" spans="1:18">
      <c r="A929" s="71" t="s">
        <v>34</v>
      </c>
      <c r="B929" s="72"/>
      <c r="C929" s="73"/>
      <c r="D929" s="120">
        <v>46212</v>
      </c>
      <c r="E929" s="121"/>
      <c r="F929" s="121"/>
      <c r="G929" s="122"/>
      <c r="H929" s="71" t="s">
        <v>35</v>
      </c>
      <c r="I929" s="72"/>
      <c r="J929" s="73"/>
      <c r="K929" s="120">
        <f>D929+59</f>
        <v>46271</v>
      </c>
      <c r="L929" s="121"/>
      <c r="M929" s="121"/>
      <c r="N929" s="122"/>
      <c r="O929" s="1"/>
      <c r="P929" s="32"/>
      <c r="Q929" s="33"/>
      <c r="R929" s="29"/>
    </row>
    <row r="930" spans="1:18">
      <c r="A930" s="92" t="s">
        <v>10</v>
      </c>
      <c r="B930" s="93"/>
      <c r="C930" s="94"/>
      <c r="D930" s="98">
        <f>D869+0.0455/5</f>
        <v>2.5600000000000001E-2</v>
      </c>
      <c r="E930" s="99"/>
      <c r="F930" s="99"/>
      <c r="G930" s="100"/>
      <c r="H930" s="104" t="s">
        <v>36</v>
      </c>
      <c r="I930" s="105"/>
      <c r="J930" s="106"/>
      <c r="K930" s="110">
        <f>R961</f>
        <v>0.12603758375280497</v>
      </c>
      <c r="L930" s="105"/>
      <c r="M930" s="105"/>
      <c r="N930" s="106"/>
      <c r="O930" s="1"/>
      <c r="P930" s="32"/>
      <c r="Q930" s="33"/>
      <c r="R930" s="29"/>
    </row>
    <row r="931" spans="1:18">
      <c r="A931" s="95"/>
      <c r="B931" s="96"/>
      <c r="C931" s="97"/>
      <c r="D931" s="101"/>
      <c r="E931" s="102"/>
      <c r="F931" s="102"/>
      <c r="G931" s="103"/>
      <c r="H931" s="107"/>
      <c r="I931" s="108"/>
      <c r="J931" s="109"/>
      <c r="K931" s="107"/>
      <c r="L931" s="108"/>
      <c r="M931" s="108"/>
      <c r="N931" s="109"/>
      <c r="O931" s="1"/>
      <c r="P931" s="32"/>
      <c r="Q931" s="33"/>
      <c r="R931" s="29"/>
    </row>
    <row r="932" spans="1:18">
      <c r="A932" s="62" t="s">
        <v>11</v>
      </c>
      <c r="B932" s="62"/>
      <c r="C932" s="62"/>
      <c r="D932" s="62"/>
      <c r="E932" s="62"/>
      <c r="F932" s="62"/>
      <c r="G932" s="62"/>
      <c r="H932" s="62"/>
      <c r="I932" s="62"/>
      <c r="J932" s="62"/>
      <c r="K932" s="62"/>
      <c r="L932" s="62"/>
      <c r="M932" s="62"/>
      <c r="N932" s="62"/>
      <c r="O932" s="1"/>
      <c r="P932" s="32"/>
      <c r="Q932" s="33"/>
      <c r="R932" s="29"/>
    </row>
    <row r="933" spans="1:18">
      <c r="A933" s="111" t="s">
        <v>12</v>
      </c>
      <c r="B933" s="111"/>
      <c r="C933" s="111"/>
      <c r="D933" s="111"/>
      <c r="E933" s="111"/>
      <c r="F933" s="14" t="s">
        <v>37</v>
      </c>
      <c r="G933" s="111" t="s">
        <v>38</v>
      </c>
      <c r="H933" s="111"/>
      <c r="I933" s="63" t="s">
        <v>39</v>
      </c>
      <c r="J933" s="63"/>
      <c r="K933" s="63"/>
      <c r="L933" s="63" t="s">
        <v>40</v>
      </c>
      <c r="M933" s="63"/>
      <c r="N933" s="9" t="s">
        <v>13</v>
      </c>
      <c r="O933" s="1"/>
      <c r="P933" s="28" t="s">
        <v>47</v>
      </c>
      <c r="Q933" s="29" t="s">
        <v>48</v>
      </c>
      <c r="R933" s="29" t="s">
        <v>49</v>
      </c>
    </row>
    <row r="934" spans="1:18">
      <c r="A934" s="83" t="s">
        <v>67</v>
      </c>
      <c r="B934" s="84"/>
      <c r="C934" s="84"/>
      <c r="D934" s="84"/>
      <c r="E934" s="85"/>
      <c r="F934" s="27" t="s">
        <v>60</v>
      </c>
      <c r="G934" s="67">
        <v>1</v>
      </c>
      <c r="H934" s="68"/>
      <c r="I934" s="86"/>
      <c r="J934" s="87"/>
      <c r="K934" s="88"/>
      <c r="L934" s="69">
        <f>I934+L873</f>
        <v>1</v>
      </c>
      <c r="M934" s="70"/>
      <c r="N934" s="8"/>
      <c r="O934" s="1"/>
      <c r="P934" s="30">
        <v>6000</v>
      </c>
      <c r="Q934" s="38">
        <f>P934*G934</f>
        <v>6000</v>
      </c>
      <c r="R934" s="28">
        <f>L934*P934</f>
        <v>6000</v>
      </c>
    </row>
    <row r="935" spans="1:18">
      <c r="A935" s="83" t="s">
        <v>68</v>
      </c>
      <c r="B935" s="84"/>
      <c r="C935" s="84"/>
      <c r="D935" s="84"/>
      <c r="E935" s="85"/>
      <c r="F935" s="20" t="s">
        <v>60</v>
      </c>
      <c r="G935" s="67">
        <v>1</v>
      </c>
      <c r="H935" s="68"/>
      <c r="I935" s="87"/>
      <c r="J935" s="87"/>
      <c r="K935" s="88"/>
      <c r="L935" s="69">
        <f t="shared" ref="L935:L959" si="50">I935+L874</f>
        <v>1</v>
      </c>
      <c r="M935" s="70"/>
      <c r="N935" s="8"/>
      <c r="O935" s="1"/>
      <c r="P935" s="30">
        <v>193300</v>
      </c>
      <c r="Q935" s="38">
        <f t="shared" ref="Q935:Q959" si="51">P935*G935</f>
        <v>193300</v>
      </c>
      <c r="R935" s="28">
        <f>L935*P935</f>
        <v>193300</v>
      </c>
    </row>
    <row r="936" spans="1:18">
      <c r="A936" s="89" t="s">
        <v>69</v>
      </c>
      <c r="B936" s="90"/>
      <c r="C936" s="90"/>
      <c r="D936" s="90"/>
      <c r="E936" s="91"/>
      <c r="F936" s="20" t="s">
        <v>60</v>
      </c>
      <c r="G936" s="67">
        <v>1</v>
      </c>
      <c r="H936" s="68"/>
      <c r="I936" s="87"/>
      <c r="J936" s="87"/>
      <c r="K936" s="88"/>
      <c r="L936" s="69">
        <f t="shared" si="50"/>
        <v>0.5</v>
      </c>
      <c r="M936" s="70"/>
      <c r="N936" s="8"/>
      <c r="O936" s="1"/>
      <c r="P936" s="30">
        <v>30000</v>
      </c>
      <c r="Q936" s="38">
        <f t="shared" si="51"/>
        <v>30000</v>
      </c>
      <c r="R936" s="28">
        <f>L936*P936</f>
        <v>15000</v>
      </c>
    </row>
    <row r="937" spans="1:18">
      <c r="A937" s="64" t="s">
        <v>70</v>
      </c>
      <c r="B937" s="65"/>
      <c r="C937" s="65"/>
      <c r="D937" s="65"/>
      <c r="E937" s="66"/>
      <c r="F937" s="20" t="s">
        <v>60</v>
      </c>
      <c r="G937" s="67">
        <v>1</v>
      </c>
      <c r="H937" s="68"/>
      <c r="I937" s="87"/>
      <c r="J937" s="87"/>
      <c r="K937" s="88"/>
      <c r="L937" s="69">
        <f t="shared" si="50"/>
        <v>1</v>
      </c>
      <c r="M937" s="70"/>
      <c r="N937" s="8"/>
      <c r="O937" s="1"/>
      <c r="P937" s="31">
        <v>10000</v>
      </c>
      <c r="Q937" s="38">
        <f t="shared" si="51"/>
        <v>10000</v>
      </c>
      <c r="R937" s="28">
        <f t="shared" ref="R937:R959" si="52">L937*P937</f>
        <v>10000</v>
      </c>
    </row>
    <row r="938" spans="1:18">
      <c r="A938" s="64" t="s">
        <v>71</v>
      </c>
      <c r="B938" s="65"/>
      <c r="C938" s="65"/>
      <c r="D938" s="65"/>
      <c r="E938" s="66"/>
      <c r="F938" s="20" t="s">
        <v>61</v>
      </c>
      <c r="G938" s="67">
        <v>9</v>
      </c>
      <c r="H938" s="68"/>
      <c r="I938" s="87"/>
      <c r="J938" s="87"/>
      <c r="K938" s="88"/>
      <c r="L938" s="69">
        <f t="shared" si="50"/>
        <v>9</v>
      </c>
      <c r="M938" s="70"/>
      <c r="N938" s="8"/>
      <c r="O938" s="1"/>
      <c r="P938" s="30">
        <v>21000</v>
      </c>
      <c r="Q938" s="38">
        <f t="shared" si="51"/>
        <v>189000</v>
      </c>
      <c r="R938" s="28">
        <f t="shared" si="52"/>
        <v>189000</v>
      </c>
    </row>
    <row r="939" spans="1:18">
      <c r="A939" s="64" t="s">
        <v>72</v>
      </c>
      <c r="B939" s="65"/>
      <c r="C939" s="65"/>
      <c r="D939" s="65"/>
      <c r="E939" s="66"/>
      <c r="F939" s="2" t="s">
        <v>60</v>
      </c>
      <c r="G939" s="67">
        <v>1</v>
      </c>
      <c r="H939" s="68"/>
      <c r="I939" s="87"/>
      <c r="J939" s="87"/>
      <c r="K939" s="88"/>
      <c r="L939" s="69">
        <f t="shared" si="50"/>
        <v>0</v>
      </c>
      <c r="M939" s="70"/>
      <c r="N939" s="8"/>
      <c r="O939" s="1"/>
      <c r="P939" s="30">
        <v>184468</v>
      </c>
      <c r="Q939" s="38">
        <f t="shared" si="51"/>
        <v>184468</v>
      </c>
      <c r="R939" s="28">
        <f t="shared" si="52"/>
        <v>0</v>
      </c>
    </row>
    <row r="940" spans="1:18">
      <c r="A940" s="83" t="s">
        <v>73</v>
      </c>
      <c r="B940" s="84"/>
      <c r="C940" s="84"/>
      <c r="D940" s="84"/>
      <c r="E940" s="85"/>
      <c r="F940" s="20" t="s">
        <v>62</v>
      </c>
      <c r="G940" s="67">
        <v>9</v>
      </c>
      <c r="H940" s="68"/>
      <c r="I940" s="87"/>
      <c r="J940" s="87"/>
      <c r="K940" s="88"/>
      <c r="L940" s="69">
        <f t="shared" si="50"/>
        <v>0</v>
      </c>
      <c r="M940" s="70"/>
      <c r="N940" s="8"/>
      <c r="O940" s="1"/>
      <c r="P940" s="30">
        <v>20000</v>
      </c>
      <c r="Q940" s="38">
        <f t="shared" si="51"/>
        <v>180000</v>
      </c>
      <c r="R940" s="28">
        <f t="shared" si="52"/>
        <v>0</v>
      </c>
    </row>
    <row r="941" spans="1:18">
      <c r="A941" s="83" t="s">
        <v>74</v>
      </c>
      <c r="B941" s="84"/>
      <c r="C941" s="84"/>
      <c r="D941" s="84"/>
      <c r="E941" s="85"/>
      <c r="F941" s="20" t="s">
        <v>63</v>
      </c>
      <c r="G941" s="67">
        <v>52</v>
      </c>
      <c r="H941" s="68"/>
      <c r="I941" s="87"/>
      <c r="J941" s="87"/>
      <c r="K941" s="88"/>
      <c r="L941" s="69">
        <f t="shared" si="50"/>
        <v>52</v>
      </c>
      <c r="M941" s="70"/>
      <c r="N941" s="8"/>
      <c r="O941" s="1"/>
      <c r="P941" s="31">
        <v>2500</v>
      </c>
      <c r="Q941" s="38">
        <f t="shared" si="51"/>
        <v>130000</v>
      </c>
      <c r="R941" s="28">
        <f t="shared" si="52"/>
        <v>130000</v>
      </c>
    </row>
    <row r="942" spans="1:18">
      <c r="A942" s="83" t="s">
        <v>75</v>
      </c>
      <c r="B942" s="84"/>
      <c r="C942" s="84"/>
      <c r="D942" s="84"/>
      <c r="E942" s="85"/>
      <c r="F942" s="20" t="s">
        <v>64</v>
      </c>
      <c r="G942" s="67">
        <v>1</v>
      </c>
      <c r="H942" s="68"/>
      <c r="I942" s="87"/>
      <c r="J942" s="87"/>
      <c r="K942" s="88"/>
      <c r="L942" s="69">
        <f t="shared" si="50"/>
        <v>0</v>
      </c>
      <c r="M942" s="70"/>
      <c r="N942" s="8"/>
      <c r="O942" s="1"/>
      <c r="P942" s="30">
        <v>80000</v>
      </c>
      <c r="Q942" s="38">
        <f t="shared" si="51"/>
        <v>80000</v>
      </c>
      <c r="R942" s="28">
        <f t="shared" si="52"/>
        <v>0</v>
      </c>
    </row>
    <row r="943" spans="1:18">
      <c r="A943" s="89" t="s">
        <v>76</v>
      </c>
      <c r="B943" s="90"/>
      <c r="C943" s="90"/>
      <c r="D943" s="90"/>
      <c r="E943" s="91"/>
      <c r="F943" s="20" t="s">
        <v>65</v>
      </c>
      <c r="G943" s="67">
        <v>31</v>
      </c>
      <c r="H943" s="68"/>
      <c r="I943" s="87"/>
      <c r="J943" s="87"/>
      <c r="K943" s="88"/>
      <c r="L943" s="69">
        <f t="shared" si="50"/>
        <v>0</v>
      </c>
      <c r="M943" s="70"/>
      <c r="N943" s="8"/>
      <c r="O943" s="1"/>
      <c r="P943" s="30">
        <v>400</v>
      </c>
      <c r="Q943" s="38">
        <f t="shared" si="51"/>
        <v>12400</v>
      </c>
      <c r="R943" s="28">
        <f t="shared" si="52"/>
        <v>0</v>
      </c>
    </row>
    <row r="944" spans="1:18">
      <c r="A944" s="64" t="s">
        <v>77</v>
      </c>
      <c r="B944" s="65"/>
      <c r="C944" s="65"/>
      <c r="D944" s="65"/>
      <c r="E944" s="66"/>
      <c r="F944" s="20" t="s">
        <v>65</v>
      </c>
      <c r="G944" s="67">
        <v>100</v>
      </c>
      <c r="H944" s="68"/>
      <c r="I944" s="87"/>
      <c r="J944" s="87"/>
      <c r="K944" s="88"/>
      <c r="L944" s="69">
        <f t="shared" si="50"/>
        <v>0</v>
      </c>
      <c r="M944" s="70"/>
      <c r="N944" s="8"/>
      <c r="O944" s="1"/>
      <c r="P944" s="30">
        <v>350</v>
      </c>
      <c r="Q944" s="38">
        <f t="shared" si="51"/>
        <v>35000</v>
      </c>
      <c r="R944" s="28">
        <f t="shared" si="52"/>
        <v>0</v>
      </c>
    </row>
    <row r="945" spans="1:18">
      <c r="A945" s="64" t="s">
        <v>78</v>
      </c>
      <c r="B945" s="65"/>
      <c r="C945" s="65"/>
      <c r="D945" s="65"/>
      <c r="E945" s="66"/>
      <c r="F945" s="20" t="s">
        <v>63</v>
      </c>
      <c r="G945" s="67">
        <v>35</v>
      </c>
      <c r="H945" s="68"/>
      <c r="I945" s="87"/>
      <c r="J945" s="87"/>
      <c r="K945" s="88"/>
      <c r="L945" s="69">
        <f t="shared" si="50"/>
        <v>0</v>
      </c>
      <c r="M945" s="70"/>
      <c r="N945" s="8"/>
      <c r="O945" s="1"/>
      <c r="P945" s="30">
        <v>1200</v>
      </c>
      <c r="Q945" s="38">
        <f t="shared" si="51"/>
        <v>42000</v>
      </c>
      <c r="R945" s="28">
        <f t="shared" si="52"/>
        <v>0</v>
      </c>
    </row>
    <row r="946" spans="1:18">
      <c r="A946" s="64" t="s">
        <v>79</v>
      </c>
      <c r="B946" s="65"/>
      <c r="C946" s="65"/>
      <c r="D946" s="65"/>
      <c r="E946" s="66"/>
      <c r="F946" s="20" t="s">
        <v>63</v>
      </c>
      <c r="G946" s="67">
        <v>282</v>
      </c>
      <c r="H946" s="68"/>
      <c r="I946" s="86"/>
      <c r="J946" s="87"/>
      <c r="K946" s="88"/>
      <c r="L946" s="69">
        <f t="shared" si="50"/>
        <v>0</v>
      </c>
      <c r="M946" s="70"/>
      <c r="N946" s="8"/>
      <c r="O946" s="1"/>
      <c r="P946" s="30">
        <v>1400</v>
      </c>
      <c r="Q946" s="38">
        <f t="shared" si="51"/>
        <v>394800</v>
      </c>
      <c r="R946" s="28">
        <f t="shared" si="52"/>
        <v>0</v>
      </c>
    </row>
    <row r="947" spans="1:18">
      <c r="A947" s="83" t="s">
        <v>80</v>
      </c>
      <c r="B947" s="84"/>
      <c r="C947" s="84"/>
      <c r="D947" s="84"/>
      <c r="E947" s="85"/>
      <c r="F947" s="21" t="s">
        <v>65</v>
      </c>
      <c r="G947" s="67">
        <v>58</v>
      </c>
      <c r="H947" s="68"/>
      <c r="I947" s="86"/>
      <c r="J947" s="87"/>
      <c r="K947" s="88"/>
      <c r="L947" s="69">
        <f t="shared" si="50"/>
        <v>0</v>
      </c>
      <c r="M947" s="70"/>
      <c r="N947" s="8"/>
      <c r="O947" s="1"/>
      <c r="P947" s="30">
        <v>3600</v>
      </c>
      <c r="Q947" s="38">
        <f t="shared" si="51"/>
        <v>208800</v>
      </c>
      <c r="R947" s="28">
        <f t="shared" si="52"/>
        <v>0</v>
      </c>
    </row>
    <row r="948" spans="1:18">
      <c r="A948" s="83" t="s">
        <v>81</v>
      </c>
      <c r="B948" s="84"/>
      <c r="C948" s="84"/>
      <c r="D948" s="84"/>
      <c r="E948" s="85"/>
      <c r="F948" s="21" t="s">
        <v>65</v>
      </c>
      <c r="G948" s="67">
        <v>360</v>
      </c>
      <c r="H948" s="68"/>
      <c r="I948" s="86"/>
      <c r="J948" s="87"/>
      <c r="K948" s="88"/>
      <c r="L948" s="69">
        <f t="shared" si="50"/>
        <v>0</v>
      </c>
      <c r="M948" s="70"/>
      <c r="N948" s="8"/>
      <c r="O948" s="1"/>
      <c r="P948" s="30">
        <v>230</v>
      </c>
      <c r="Q948" s="38">
        <f t="shared" si="51"/>
        <v>82800</v>
      </c>
      <c r="R948" s="28">
        <f t="shared" si="52"/>
        <v>0</v>
      </c>
    </row>
    <row r="949" spans="1:18">
      <c r="A949" s="83" t="s">
        <v>82</v>
      </c>
      <c r="B949" s="84"/>
      <c r="C949" s="84"/>
      <c r="D949" s="84"/>
      <c r="E949" s="85"/>
      <c r="F949" s="21" t="s">
        <v>65</v>
      </c>
      <c r="G949" s="67">
        <v>2400</v>
      </c>
      <c r="H949" s="68"/>
      <c r="I949" s="86"/>
      <c r="J949" s="87"/>
      <c r="K949" s="88"/>
      <c r="L949" s="69">
        <f t="shared" si="50"/>
        <v>0</v>
      </c>
      <c r="M949" s="70"/>
      <c r="N949" s="8"/>
      <c r="O949" s="1"/>
      <c r="P949" s="30">
        <v>80</v>
      </c>
      <c r="Q949" s="38">
        <f t="shared" si="51"/>
        <v>192000</v>
      </c>
      <c r="R949" s="28">
        <f t="shared" si="52"/>
        <v>0</v>
      </c>
    </row>
    <row r="950" spans="1:18">
      <c r="A950" s="89" t="s">
        <v>83</v>
      </c>
      <c r="B950" s="90"/>
      <c r="C950" s="90"/>
      <c r="D950" s="90"/>
      <c r="E950" s="91"/>
      <c r="F950" s="21" t="s">
        <v>65</v>
      </c>
      <c r="G950" s="67">
        <v>360</v>
      </c>
      <c r="H950" s="68"/>
      <c r="I950" s="86"/>
      <c r="J950" s="87"/>
      <c r="K950" s="88"/>
      <c r="L950" s="69">
        <f t="shared" si="50"/>
        <v>0</v>
      </c>
      <c r="M950" s="70"/>
      <c r="N950" s="8"/>
      <c r="O950" s="1"/>
      <c r="P950" s="30">
        <v>420</v>
      </c>
      <c r="Q950" s="38">
        <f t="shared" si="51"/>
        <v>151200</v>
      </c>
      <c r="R950" s="28">
        <f t="shared" si="52"/>
        <v>0</v>
      </c>
    </row>
    <row r="951" spans="1:18">
      <c r="A951" s="64" t="s">
        <v>84</v>
      </c>
      <c r="B951" s="65"/>
      <c r="C951" s="65"/>
      <c r="D951" s="65"/>
      <c r="E951" s="66"/>
      <c r="F951" s="21" t="s">
        <v>65</v>
      </c>
      <c r="G951" s="67">
        <v>2760</v>
      </c>
      <c r="H951" s="68"/>
      <c r="I951" s="86"/>
      <c r="J951" s="87"/>
      <c r="K951" s="88"/>
      <c r="L951" s="69">
        <f t="shared" si="50"/>
        <v>0</v>
      </c>
      <c r="M951" s="70"/>
      <c r="N951" s="8"/>
      <c r="O951" s="1"/>
      <c r="P951" s="30">
        <v>460</v>
      </c>
      <c r="Q951" s="38">
        <f t="shared" si="51"/>
        <v>1269600</v>
      </c>
      <c r="R951" s="28">
        <f t="shared" si="52"/>
        <v>0</v>
      </c>
    </row>
    <row r="952" spans="1:18">
      <c r="A952" s="64" t="s">
        <v>85</v>
      </c>
      <c r="B952" s="65"/>
      <c r="C952" s="65"/>
      <c r="D952" s="65"/>
      <c r="E952" s="66"/>
      <c r="F952" s="21" t="s">
        <v>65</v>
      </c>
      <c r="G952" s="67">
        <v>275</v>
      </c>
      <c r="H952" s="68"/>
      <c r="I952" s="86"/>
      <c r="J952" s="87"/>
      <c r="K952" s="88"/>
      <c r="L952" s="69">
        <f t="shared" si="50"/>
        <v>0</v>
      </c>
      <c r="M952" s="70"/>
      <c r="N952" s="8"/>
      <c r="O952" s="1"/>
      <c r="P952" s="31">
        <v>350</v>
      </c>
      <c r="Q952" s="38">
        <f t="shared" si="51"/>
        <v>96250</v>
      </c>
      <c r="R952" s="28">
        <f t="shared" si="52"/>
        <v>0</v>
      </c>
    </row>
    <row r="953" spans="1:18">
      <c r="A953" s="64" t="s">
        <v>86</v>
      </c>
      <c r="B953" s="65"/>
      <c r="C953" s="65"/>
      <c r="D953" s="65"/>
      <c r="E953" s="66"/>
      <c r="F953" s="21" t="s">
        <v>60</v>
      </c>
      <c r="G953" s="67">
        <v>1</v>
      </c>
      <c r="H953" s="68"/>
      <c r="I953" s="86"/>
      <c r="J953" s="87"/>
      <c r="K953" s="88"/>
      <c r="L953" s="69">
        <f t="shared" si="50"/>
        <v>0</v>
      </c>
      <c r="M953" s="70"/>
      <c r="N953" s="8"/>
      <c r="O953" s="2"/>
      <c r="P953" s="30">
        <v>40000</v>
      </c>
      <c r="Q953" s="38">
        <f t="shared" si="51"/>
        <v>40000</v>
      </c>
      <c r="R953" s="28">
        <f t="shared" si="52"/>
        <v>0</v>
      </c>
    </row>
    <row r="954" spans="1:18">
      <c r="A954" s="83" t="s">
        <v>87</v>
      </c>
      <c r="B954" s="84"/>
      <c r="C954" s="84"/>
      <c r="D954" s="84"/>
      <c r="E954" s="85"/>
      <c r="F954" s="20" t="s">
        <v>60</v>
      </c>
      <c r="G954" s="67">
        <v>1</v>
      </c>
      <c r="H954" s="68"/>
      <c r="I954" s="86"/>
      <c r="J954" s="87"/>
      <c r="K954" s="88"/>
      <c r="L954" s="69">
        <f t="shared" si="50"/>
        <v>0</v>
      </c>
      <c r="M954" s="70"/>
      <c r="N954" s="8"/>
      <c r="O954" s="1"/>
      <c r="P954" s="31">
        <v>276970</v>
      </c>
      <c r="Q954" s="38">
        <f t="shared" si="51"/>
        <v>276970</v>
      </c>
      <c r="R954" s="28">
        <f t="shared" si="52"/>
        <v>0</v>
      </c>
    </row>
    <row r="955" spans="1:18">
      <c r="A955" s="83" t="s">
        <v>88</v>
      </c>
      <c r="B955" s="84"/>
      <c r="C955" s="84"/>
      <c r="D955" s="84"/>
      <c r="E955" s="85"/>
      <c r="F955" s="20" t="s">
        <v>60</v>
      </c>
      <c r="G955" s="67">
        <v>1</v>
      </c>
      <c r="H955" s="68"/>
      <c r="I955" s="26"/>
      <c r="J955" s="23"/>
      <c r="K955" s="24"/>
      <c r="L955" s="69">
        <f t="shared" si="50"/>
        <v>0</v>
      </c>
      <c r="M955" s="70"/>
      <c r="N955" s="25"/>
      <c r="O955" s="1"/>
      <c r="P955" s="32">
        <v>60873</v>
      </c>
      <c r="Q955" s="38">
        <f t="shared" si="51"/>
        <v>60873</v>
      </c>
      <c r="R955" s="28">
        <f t="shared" si="52"/>
        <v>0</v>
      </c>
    </row>
    <row r="956" spans="1:18">
      <c r="A956" s="83" t="s">
        <v>89</v>
      </c>
      <c r="B956" s="84"/>
      <c r="C956" s="84"/>
      <c r="D956" s="84"/>
      <c r="E956" s="85"/>
      <c r="F956" s="20" t="s">
        <v>60</v>
      </c>
      <c r="G956" s="67">
        <v>1</v>
      </c>
      <c r="H956" s="68"/>
      <c r="I956" s="26"/>
      <c r="J956" s="23"/>
      <c r="K956" s="24"/>
      <c r="L956" s="69">
        <f t="shared" si="50"/>
        <v>0</v>
      </c>
      <c r="M956" s="70"/>
      <c r="N956" s="25"/>
      <c r="O956" s="1"/>
      <c r="P956" s="32">
        <v>60873</v>
      </c>
      <c r="Q956" s="38">
        <f t="shared" si="51"/>
        <v>60873</v>
      </c>
      <c r="R956" s="28">
        <f t="shared" si="52"/>
        <v>0</v>
      </c>
    </row>
    <row r="957" spans="1:18">
      <c r="A957" s="83" t="s">
        <v>90</v>
      </c>
      <c r="B957" s="84"/>
      <c r="C957" s="84"/>
      <c r="D957" s="84"/>
      <c r="E957" s="85"/>
      <c r="F957" s="20" t="s">
        <v>60</v>
      </c>
      <c r="G957" s="67">
        <v>1</v>
      </c>
      <c r="H957" s="68"/>
      <c r="I957" s="26"/>
      <c r="J957" s="23"/>
      <c r="K957" s="24"/>
      <c r="L957" s="69">
        <f t="shared" si="50"/>
        <v>0</v>
      </c>
      <c r="M957" s="70"/>
      <c r="N957" s="25"/>
      <c r="O957" s="1"/>
      <c r="P957" s="34">
        <v>266321</v>
      </c>
      <c r="Q957" s="38">
        <f t="shared" si="51"/>
        <v>266321</v>
      </c>
      <c r="R957" s="28">
        <f t="shared" si="52"/>
        <v>0</v>
      </c>
    </row>
    <row r="958" spans="1:18">
      <c r="A958" s="83" t="s">
        <v>91</v>
      </c>
      <c r="B958" s="84"/>
      <c r="C958" s="84"/>
      <c r="D958" s="84"/>
      <c r="E958" s="85"/>
      <c r="F958" s="2" t="s">
        <v>60</v>
      </c>
      <c r="G958" s="67">
        <v>1</v>
      </c>
      <c r="H958" s="68"/>
      <c r="I958" s="26"/>
      <c r="J958" s="23"/>
      <c r="K958" s="24"/>
      <c r="L958" s="69">
        <f t="shared" si="50"/>
        <v>1</v>
      </c>
      <c r="M958" s="70"/>
      <c r="N958" s="25"/>
      <c r="O958" s="1"/>
      <c r="P958" s="32">
        <v>13316</v>
      </c>
      <c r="Q958" s="38">
        <f t="shared" si="51"/>
        <v>13316</v>
      </c>
      <c r="R958" s="28">
        <f t="shared" si="52"/>
        <v>13316</v>
      </c>
    </row>
    <row r="959" spans="1:18">
      <c r="A959" s="83" t="s">
        <v>92</v>
      </c>
      <c r="B959" s="84"/>
      <c r="C959" s="84"/>
      <c r="D959" s="84"/>
      <c r="E959" s="85"/>
      <c r="F959" s="20" t="s">
        <v>60</v>
      </c>
      <c r="G959" s="67">
        <v>1</v>
      </c>
      <c r="H959" s="68"/>
      <c r="I959" s="26"/>
      <c r="J959" s="23"/>
      <c r="K959" s="24"/>
      <c r="L959" s="69">
        <f t="shared" si="50"/>
        <v>0</v>
      </c>
      <c r="M959" s="70"/>
      <c r="N959" s="25"/>
      <c r="O959" s="1"/>
      <c r="P959" s="32">
        <v>210299</v>
      </c>
      <c r="Q959" s="38">
        <f t="shared" si="51"/>
        <v>210299</v>
      </c>
      <c r="R959" s="28">
        <f t="shared" si="52"/>
        <v>0</v>
      </c>
    </row>
    <row r="960" spans="1:18">
      <c r="A960" s="64"/>
      <c r="B960" s="65"/>
      <c r="C960" s="65"/>
      <c r="D960" s="65"/>
      <c r="E960" s="66"/>
      <c r="F960" s="22"/>
      <c r="G960" s="67"/>
      <c r="H960" s="68"/>
      <c r="I960" s="26"/>
      <c r="J960" s="23"/>
      <c r="K960" s="24"/>
      <c r="L960" s="69"/>
      <c r="M960" s="70"/>
      <c r="N960" s="25"/>
      <c r="O960" s="3"/>
      <c r="P960" s="32"/>
      <c r="Q960" s="33">
        <f>SUM(Q934:Q959)</f>
        <v>4416270</v>
      </c>
      <c r="R960" s="29">
        <f>SUM(R934:R959)</f>
        <v>556616</v>
      </c>
    </row>
    <row r="961" spans="1:19">
      <c r="A961" s="64"/>
      <c r="B961" s="65"/>
      <c r="C961" s="65"/>
      <c r="D961" s="65"/>
      <c r="E961" s="66"/>
      <c r="F961" s="22"/>
      <c r="G961" s="67"/>
      <c r="H961" s="68"/>
      <c r="I961" s="26"/>
      <c r="J961" s="23"/>
      <c r="K961" s="24"/>
      <c r="L961" s="69"/>
      <c r="M961" s="70"/>
      <c r="N961" s="25"/>
      <c r="O961" s="3"/>
      <c r="P961" s="32"/>
      <c r="Q961" s="33"/>
      <c r="R961" s="37">
        <f>R960/Q960</f>
        <v>0.12603758375280497</v>
      </c>
    </row>
    <row r="962" spans="1:19">
      <c r="A962" s="62" t="s">
        <v>14</v>
      </c>
      <c r="B962" s="62"/>
      <c r="C962" s="62"/>
      <c r="D962" s="62"/>
      <c r="E962" s="62"/>
      <c r="F962" s="62"/>
      <c r="G962" s="62"/>
      <c r="H962" s="62"/>
      <c r="I962" s="62"/>
      <c r="J962" s="62"/>
      <c r="K962" s="62"/>
      <c r="L962" s="62"/>
      <c r="M962" s="62"/>
      <c r="N962" s="62"/>
      <c r="O962" s="1"/>
      <c r="P962" s="32"/>
      <c r="Q962" s="33"/>
      <c r="R962" s="29"/>
      <c r="S962" s="16"/>
    </row>
    <row r="963" spans="1:19">
      <c r="A963" s="71" t="s">
        <v>15</v>
      </c>
      <c r="B963" s="72"/>
      <c r="C963" s="72"/>
      <c r="D963" s="72"/>
      <c r="E963" s="73"/>
      <c r="F963" s="9" t="s">
        <v>37</v>
      </c>
      <c r="G963" s="71" t="s">
        <v>38</v>
      </c>
      <c r="H963" s="73"/>
      <c r="I963" s="71" t="s">
        <v>42</v>
      </c>
      <c r="J963" s="72"/>
      <c r="K963" s="73"/>
      <c r="L963" s="74" t="s">
        <v>17</v>
      </c>
      <c r="M963" s="75"/>
      <c r="N963" s="9" t="s">
        <v>13</v>
      </c>
      <c r="O963" s="1"/>
      <c r="P963" s="32"/>
      <c r="Q963" s="33"/>
      <c r="R963" s="29"/>
      <c r="S963" s="16"/>
    </row>
    <row r="964" spans="1:19">
      <c r="A964" s="71"/>
      <c r="B964" s="72"/>
      <c r="C964" s="72"/>
      <c r="D964" s="72"/>
      <c r="E964" s="73"/>
      <c r="F964" s="13"/>
      <c r="G964" s="76"/>
      <c r="H964" s="77"/>
      <c r="I964" s="78"/>
      <c r="J964" s="79"/>
      <c r="K964" s="80"/>
      <c r="L964" s="81"/>
      <c r="M964" s="82"/>
      <c r="N964" s="8"/>
      <c r="O964" s="1"/>
      <c r="P964" s="32"/>
      <c r="Q964" s="33"/>
      <c r="R964" s="29"/>
      <c r="S964" s="16"/>
    </row>
    <row r="965" spans="1:19">
      <c r="A965" s="62" t="s">
        <v>19</v>
      </c>
      <c r="B965" s="62"/>
      <c r="C965" s="62"/>
      <c r="D965" s="62"/>
      <c r="E965" s="62"/>
      <c r="F965" s="62"/>
      <c r="G965" s="62"/>
      <c r="H965" s="62"/>
      <c r="I965" s="62"/>
      <c r="J965" s="62"/>
      <c r="K965" s="62"/>
      <c r="L965" s="62"/>
      <c r="M965" s="62"/>
      <c r="N965" s="62"/>
      <c r="O965" s="1"/>
      <c r="P965" s="32"/>
      <c r="Q965" s="33"/>
      <c r="R965" s="29"/>
      <c r="S965" s="16"/>
    </row>
    <row r="966" spans="1:19">
      <c r="A966" s="63" t="s">
        <v>20</v>
      </c>
      <c r="B966" s="63"/>
      <c r="C966" s="63" t="s">
        <v>21</v>
      </c>
      <c r="D966" s="63"/>
      <c r="E966" s="63" t="s">
        <v>22</v>
      </c>
      <c r="F966" s="63"/>
      <c r="G966" s="63" t="s">
        <v>23</v>
      </c>
      <c r="H966" s="63"/>
      <c r="I966" s="63"/>
      <c r="J966" s="63" t="s">
        <v>16</v>
      </c>
      <c r="K966" s="63"/>
      <c r="L966" s="63"/>
      <c r="M966" s="63" t="s">
        <v>17</v>
      </c>
      <c r="N966" s="63"/>
      <c r="O966" s="1"/>
      <c r="Q966" s="32"/>
      <c r="R966" s="33"/>
      <c r="S966" s="16"/>
    </row>
    <row r="967" spans="1:19">
      <c r="A967" s="60" t="s">
        <v>24</v>
      </c>
      <c r="B967" s="52"/>
      <c r="C967" s="61"/>
      <c r="D967" s="61"/>
      <c r="E967" s="61">
        <f>C967+E906</f>
        <v>18</v>
      </c>
      <c r="F967" s="61"/>
      <c r="G967" s="60" t="s">
        <v>51</v>
      </c>
      <c r="H967" s="51"/>
      <c r="I967" s="52"/>
      <c r="J967" s="61"/>
      <c r="K967" s="61"/>
      <c r="L967" s="61"/>
      <c r="M967" s="61">
        <f>K967+M906</f>
        <v>1</v>
      </c>
      <c r="N967" s="61"/>
      <c r="O967" s="1"/>
      <c r="Q967" s="32"/>
      <c r="R967" s="33"/>
      <c r="S967" s="16"/>
    </row>
    <row r="968" spans="1:19">
      <c r="A968" s="60" t="s">
        <v>25</v>
      </c>
      <c r="B968" s="52"/>
      <c r="C968" s="61"/>
      <c r="D968" s="61"/>
      <c r="E968" s="61">
        <f>C968+E907</f>
        <v>17</v>
      </c>
      <c r="F968" s="61"/>
      <c r="G968" s="60" t="s">
        <v>50</v>
      </c>
      <c r="H968" s="51"/>
      <c r="I968" s="52"/>
      <c r="J968" s="61"/>
      <c r="K968" s="61"/>
      <c r="L968" s="61"/>
      <c r="M968" s="61">
        <f>K968+M907</f>
        <v>1</v>
      </c>
      <c r="N968" s="61"/>
      <c r="O968" s="1"/>
      <c r="Q968" s="32"/>
      <c r="R968" s="33"/>
      <c r="S968" s="16"/>
    </row>
    <row r="969" spans="1:19">
      <c r="A969" s="60"/>
      <c r="B969" s="52"/>
      <c r="C969" s="61"/>
      <c r="D969" s="61"/>
      <c r="E969" s="61"/>
      <c r="F969" s="61"/>
      <c r="G969" s="60" t="s">
        <v>55</v>
      </c>
      <c r="H969" s="51"/>
      <c r="I969" s="52"/>
      <c r="J969" s="61"/>
      <c r="K969" s="61"/>
      <c r="L969" s="61"/>
      <c r="M969" s="61">
        <f>K969+M908</f>
        <v>0</v>
      </c>
      <c r="N969" s="61"/>
      <c r="O969" s="2"/>
      <c r="P969" s="29"/>
      <c r="Q969" s="32"/>
      <c r="R969" s="33"/>
      <c r="S969" s="16"/>
    </row>
    <row r="970" spans="1:19">
      <c r="A970" s="53" t="s">
        <v>53</v>
      </c>
      <c r="B970" s="47"/>
      <c r="C970" s="53"/>
      <c r="D970" s="53"/>
      <c r="E970" s="53"/>
      <c r="F970" s="53"/>
      <c r="G970" s="53"/>
      <c r="H970" s="53"/>
      <c r="I970" s="53"/>
      <c r="J970" s="53"/>
      <c r="K970" s="53"/>
      <c r="L970" s="53"/>
      <c r="M970" s="53"/>
      <c r="N970" s="53"/>
      <c r="O970" s="1"/>
      <c r="P970" s="32"/>
      <c r="Q970" s="32"/>
      <c r="R970" s="33"/>
      <c r="S970" s="16"/>
    </row>
    <row r="971" spans="1:19">
      <c r="A971" s="45" t="s">
        <v>56</v>
      </c>
      <c r="B971" s="46"/>
      <c r="C971" s="46"/>
      <c r="D971" s="46"/>
      <c r="E971" s="46"/>
      <c r="F971" s="46"/>
      <c r="G971" s="46"/>
      <c r="H971" s="46"/>
      <c r="I971" s="46"/>
      <c r="J971" s="46"/>
      <c r="K971" s="46"/>
      <c r="L971" s="46"/>
      <c r="M971" s="46"/>
      <c r="N971" s="47"/>
      <c r="O971" s="1"/>
      <c r="P971" s="32"/>
      <c r="Q971" s="34"/>
      <c r="R971" s="33"/>
      <c r="S971" s="16"/>
    </row>
    <row r="972" spans="1:19">
      <c r="A972" s="54" t="s">
        <v>54</v>
      </c>
      <c r="B972" s="55"/>
      <c r="C972" s="55"/>
      <c r="D972" s="55"/>
      <c r="E972" s="55"/>
      <c r="F972" s="55"/>
      <c r="G972" s="55"/>
      <c r="H972" s="55"/>
      <c r="I972" s="55"/>
      <c r="J972" s="55"/>
      <c r="K972" s="55"/>
      <c r="L972" s="55"/>
      <c r="M972" s="55"/>
      <c r="N972" s="56"/>
      <c r="O972" s="1"/>
      <c r="P972" s="32"/>
      <c r="Q972" s="32"/>
      <c r="R972" s="33"/>
      <c r="S972" s="16"/>
    </row>
    <row r="973" spans="1:19">
      <c r="A973" s="40" t="s">
        <v>26</v>
      </c>
      <c r="B973" s="41"/>
      <c r="C973" s="40"/>
      <c r="D973" s="40"/>
      <c r="E973" s="40"/>
      <c r="F973" s="40"/>
      <c r="G973" s="40"/>
      <c r="H973" s="40"/>
      <c r="I973" s="40"/>
      <c r="J973" s="40"/>
      <c r="K973" s="40"/>
      <c r="L973" s="40"/>
      <c r="M973" s="40"/>
      <c r="N973" s="40"/>
      <c r="O973" s="1"/>
      <c r="P973" s="32"/>
      <c r="Q973" s="32"/>
      <c r="R973" s="33"/>
      <c r="S973" s="16"/>
    </row>
    <row r="974" spans="1:19">
      <c r="A974" s="57" t="s">
        <v>27</v>
      </c>
      <c r="B974" s="58"/>
      <c r="C974" s="58"/>
      <c r="D974" s="58"/>
      <c r="E974" s="58"/>
      <c r="F974" s="58"/>
      <c r="G974" s="58"/>
      <c r="H974" s="58"/>
      <c r="I974" s="58"/>
      <c r="J974" s="58"/>
      <c r="K974" s="58"/>
      <c r="L974" s="58"/>
      <c r="M974" s="58"/>
      <c r="N974" s="59"/>
      <c r="O974" s="1"/>
      <c r="P974" s="34"/>
      <c r="Q974" s="34"/>
      <c r="R974" s="33"/>
      <c r="S974" s="16"/>
    </row>
    <row r="975" spans="1:19">
      <c r="A975" s="57" t="s">
        <v>57</v>
      </c>
      <c r="B975" s="58"/>
      <c r="C975" s="58"/>
      <c r="D975" s="58"/>
      <c r="E975" s="58"/>
      <c r="F975" s="58"/>
      <c r="G975" s="58"/>
      <c r="H975" s="58"/>
      <c r="I975" s="58"/>
      <c r="J975" s="58"/>
      <c r="K975" s="58"/>
      <c r="L975" s="58"/>
      <c r="M975" s="58"/>
      <c r="N975" s="59"/>
      <c r="O975" s="1"/>
      <c r="P975" s="32"/>
      <c r="Q975" s="32"/>
      <c r="R975" s="33"/>
      <c r="S975" s="16"/>
    </row>
    <row r="976" spans="1:19">
      <c r="A976" s="57" t="s">
        <v>58</v>
      </c>
      <c r="B976" s="58"/>
      <c r="C976" s="58"/>
      <c r="D976" s="58"/>
      <c r="E976" s="58"/>
      <c r="F976" s="58"/>
      <c r="G976" s="58"/>
      <c r="H976" s="58"/>
      <c r="I976" s="58"/>
      <c r="J976" s="58"/>
      <c r="K976" s="58"/>
      <c r="L976" s="58"/>
      <c r="M976" s="58"/>
      <c r="N976" s="59"/>
      <c r="O976" s="1"/>
      <c r="P976" s="32"/>
      <c r="Q976" s="32"/>
      <c r="R976" s="33"/>
      <c r="S976" s="16"/>
    </row>
    <row r="977" spans="1:19">
      <c r="A977" s="57" t="s">
        <v>59</v>
      </c>
      <c r="B977" s="58"/>
      <c r="C977" s="58"/>
      <c r="D977" s="58"/>
      <c r="E977" s="58"/>
      <c r="F977" s="58"/>
      <c r="G977" s="58"/>
      <c r="H977" s="58"/>
      <c r="I977" s="58"/>
      <c r="J977" s="58"/>
      <c r="K977" s="58"/>
      <c r="L977" s="58"/>
      <c r="M977" s="58"/>
      <c r="N977" s="59"/>
      <c r="O977" s="1"/>
      <c r="P977" s="32"/>
      <c r="Q977" s="34"/>
      <c r="R977" s="33"/>
      <c r="S977" s="16"/>
    </row>
    <row r="978" spans="1:19">
      <c r="A978" s="57" t="s">
        <v>28</v>
      </c>
      <c r="B978" s="58"/>
      <c r="C978" s="58"/>
      <c r="D978" s="58"/>
      <c r="E978" s="58"/>
      <c r="F978" s="58"/>
      <c r="G978" s="58"/>
      <c r="H978" s="58"/>
      <c r="I978" s="58"/>
      <c r="J978" s="58"/>
      <c r="K978" s="58"/>
      <c r="L978" s="58"/>
      <c r="M978" s="58"/>
      <c r="N978" s="59"/>
      <c r="O978" s="1"/>
      <c r="P978" s="34"/>
      <c r="Q978" s="32"/>
      <c r="R978" s="33"/>
      <c r="S978" s="16"/>
    </row>
    <row r="979" spans="1:19">
      <c r="A979" s="40" t="s">
        <v>29</v>
      </c>
      <c r="B979" s="41"/>
      <c r="C979" s="40"/>
      <c r="D979" s="40"/>
      <c r="E979" s="40"/>
      <c r="F979" s="40"/>
      <c r="G979" s="40"/>
      <c r="H979" s="40"/>
      <c r="I979" s="40"/>
      <c r="J979" s="40"/>
      <c r="K979" s="40"/>
      <c r="L979" s="40"/>
      <c r="M979" s="40"/>
      <c r="N979" s="40"/>
      <c r="O979" s="1"/>
      <c r="P979" s="32"/>
      <c r="Q979" s="32"/>
      <c r="R979" s="33"/>
      <c r="S979" s="16"/>
    </row>
    <row r="980" spans="1:19">
      <c r="A980" s="42"/>
      <c r="B980" s="43"/>
      <c r="C980" s="43"/>
      <c r="D980" s="43"/>
      <c r="E980" s="43"/>
      <c r="F980" s="43"/>
      <c r="G980" s="43"/>
      <c r="H980" s="43"/>
      <c r="I980" s="43"/>
      <c r="J980" s="43"/>
      <c r="K980" s="43"/>
      <c r="L980" s="43"/>
      <c r="M980" s="43"/>
      <c r="N980" s="44"/>
      <c r="O980" s="1"/>
      <c r="P980" s="32"/>
      <c r="Q980" s="32"/>
      <c r="R980" s="33"/>
      <c r="S980" s="16"/>
    </row>
    <row r="981" spans="1:19">
      <c r="A981" s="40" t="s">
        <v>30</v>
      </c>
      <c r="B981" s="41"/>
      <c r="C981" s="40"/>
      <c r="D981" s="40"/>
      <c r="E981" s="40"/>
      <c r="F981" s="40"/>
      <c r="G981" s="40"/>
      <c r="H981" s="40"/>
      <c r="I981" s="40"/>
      <c r="J981" s="40"/>
      <c r="K981" s="40"/>
      <c r="L981" s="40"/>
      <c r="M981" s="40"/>
      <c r="N981" s="40"/>
      <c r="O981" s="1"/>
      <c r="P981" s="32"/>
      <c r="Q981" s="32"/>
      <c r="R981" s="33"/>
      <c r="S981" s="16"/>
    </row>
    <row r="982" spans="1:19">
      <c r="A982" s="42"/>
      <c r="B982" s="43"/>
      <c r="C982" s="43"/>
      <c r="D982" s="43"/>
      <c r="E982" s="43"/>
      <c r="F982" s="43"/>
      <c r="G982" s="43"/>
      <c r="H982" s="43"/>
      <c r="I982" s="43"/>
      <c r="J982" s="43"/>
      <c r="K982" s="43"/>
      <c r="L982" s="43"/>
      <c r="M982" s="43"/>
      <c r="N982" s="44"/>
      <c r="O982" s="1"/>
      <c r="P982" s="32"/>
      <c r="Q982" s="32"/>
      <c r="R982" s="33"/>
      <c r="S982" s="16"/>
    </row>
    <row r="983" spans="1:19">
      <c r="A983" s="40" t="s">
        <v>97</v>
      </c>
      <c r="B983" s="41"/>
      <c r="C983" s="40"/>
      <c r="D983" s="40"/>
      <c r="E983" s="40"/>
      <c r="F983" s="40"/>
      <c r="G983" s="40"/>
      <c r="H983" s="40"/>
      <c r="I983" s="40"/>
      <c r="J983" s="40"/>
      <c r="K983" s="40"/>
      <c r="L983" s="40"/>
      <c r="M983" s="40"/>
      <c r="N983" s="40"/>
      <c r="O983" s="1"/>
      <c r="P983" s="32"/>
      <c r="Q983" s="32"/>
      <c r="R983" s="33"/>
      <c r="S983" s="17"/>
    </row>
    <row r="984" spans="1:19">
      <c r="A984" s="45"/>
      <c r="B984" s="46"/>
      <c r="C984" s="46"/>
      <c r="D984" s="46"/>
      <c r="E984" s="46"/>
      <c r="F984" s="46"/>
      <c r="G984" s="46"/>
      <c r="H984" s="46"/>
      <c r="I984" s="46"/>
      <c r="J984" s="46"/>
      <c r="K984" s="46"/>
      <c r="L984" s="46"/>
      <c r="M984" s="46"/>
      <c r="N984" s="47"/>
      <c r="O984" s="1"/>
      <c r="P984" s="32"/>
      <c r="Q984" s="32"/>
      <c r="R984" s="33"/>
      <c r="S984" s="1"/>
    </row>
    <row r="985" spans="1:19">
      <c r="A985" s="48" t="s">
        <v>41</v>
      </c>
      <c r="B985" s="49"/>
      <c r="C985" s="50"/>
      <c r="D985" s="50"/>
      <c r="E985" s="50"/>
      <c r="F985" s="50"/>
      <c r="G985" s="50"/>
      <c r="H985" s="51"/>
      <c r="I985" s="51"/>
      <c r="J985" s="51"/>
      <c r="K985" s="51"/>
      <c r="L985" s="51"/>
      <c r="M985" s="51"/>
      <c r="N985" s="52"/>
      <c r="O985" s="1"/>
      <c r="P985" s="32"/>
      <c r="Q985" s="32"/>
      <c r="R985" s="33"/>
      <c r="S985" s="1"/>
    </row>
    <row r="986" spans="1:19" ht="28.2">
      <c r="A986" s="1" t="s">
        <v>45</v>
      </c>
      <c r="B986" s="7">
        <f>B925+1</f>
        <v>17</v>
      </c>
      <c r="C986" s="5"/>
      <c r="D986" s="5"/>
      <c r="E986" s="5"/>
      <c r="F986" s="5"/>
      <c r="G986" s="5"/>
      <c r="H986" s="5"/>
      <c r="I986" s="5"/>
      <c r="J986" s="5"/>
      <c r="K986" s="5"/>
      <c r="L986" s="5"/>
      <c r="M986" s="5"/>
      <c r="N986" s="5"/>
      <c r="O986" s="1"/>
      <c r="P986" s="32"/>
      <c r="Q986" s="33"/>
      <c r="R986" s="29"/>
    </row>
    <row r="987" spans="1:19">
      <c r="A987" s="1" t="s">
        <v>46</v>
      </c>
      <c r="B987" s="1" t="s">
        <v>1</v>
      </c>
      <c r="C987" s="1" t="s">
        <v>2</v>
      </c>
      <c r="D987" s="1" t="s">
        <v>3</v>
      </c>
      <c r="E987" s="1" t="s">
        <v>2</v>
      </c>
      <c r="F987" s="1"/>
      <c r="G987" s="1"/>
      <c r="H987" s="112" t="s">
        <v>4</v>
      </c>
      <c r="I987" s="112"/>
      <c r="J987" s="113">
        <f>J926+1</f>
        <v>46228</v>
      </c>
      <c r="K987" s="113"/>
      <c r="L987" s="113"/>
      <c r="M987" s="114">
        <f>J987</f>
        <v>46228</v>
      </c>
      <c r="N987" s="114"/>
      <c r="O987" s="1"/>
      <c r="P987" s="32"/>
      <c r="Q987" s="33"/>
      <c r="R987" s="29"/>
    </row>
    <row r="988" spans="1:19">
      <c r="A988" s="8" t="s">
        <v>5</v>
      </c>
      <c r="B988" s="115">
        <f>B919</f>
        <v>0</v>
      </c>
      <c r="C988" s="116"/>
      <c r="D988" s="116"/>
      <c r="E988" s="116"/>
      <c r="F988" s="116"/>
      <c r="G988" s="117"/>
      <c r="H988" s="63" t="s">
        <v>6</v>
      </c>
      <c r="I988" s="63"/>
      <c r="J988" s="63"/>
      <c r="K988" s="63" t="s">
        <v>52</v>
      </c>
      <c r="L988" s="63"/>
      <c r="M988" s="63"/>
      <c r="N988" s="63"/>
      <c r="O988" s="1"/>
      <c r="P988" s="32"/>
      <c r="Q988" s="33"/>
      <c r="R988" s="29"/>
    </row>
    <row r="989" spans="1:19">
      <c r="A989" s="8" t="s">
        <v>32</v>
      </c>
      <c r="B989" s="10">
        <v>60</v>
      </c>
      <c r="C989" s="11" t="s">
        <v>43</v>
      </c>
      <c r="D989" s="71" t="s">
        <v>7</v>
      </c>
      <c r="E989" s="73"/>
      <c r="F989" s="10">
        <f>F928+1</f>
        <v>17</v>
      </c>
      <c r="G989" s="11" t="s">
        <v>8</v>
      </c>
      <c r="H989" s="9" t="s">
        <v>9</v>
      </c>
      <c r="I989" s="10">
        <f>B989-F989</f>
        <v>43</v>
      </c>
      <c r="J989" s="11" t="s">
        <v>8</v>
      </c>
      <c r="K989" s="118" t="s">
        <v>33</v>
      </c>
      <c r="L989" s="119"/>
      <c r="M989" s="12"/>
      <c r="N989" s="11" t="s">
        <v>8</v>
      </c>
      <c r="O989" s="1"/>
      <c r="P989" s="34"/>
      <c r="Q989" s="33"/>
      <c r="R989" s="29"/>
    </row>
    <row r="990" spans="1:19">
      <c r="A990" s="71" t="s">
        <v>34</v>
      </c>
      <c r="B990" s="72"/>
      <c r="C990" s="73"/>
      <c r="D990" s="120">
        <v>46212</v>
      </c>
      <c r="E990" s="121"/>
      <c r="F990" s="121"/>
      <c r="G990" s="122"/>
      <c r="H990" s="71" t="s">
        <v>35</v>
      </c>
      <c r="I990" s="72"/>
      <c r="J990" s="73"/>
      <c r="K990" s="120">
        <f>D990+59</f>
        <v>46271</v>
      </c>
      <c r="L990" s="121"/>
      <c r="M990" s="121"/>
      <c r="N990" s="122"/>
      <c r="O990" s="1"/>
      <c r="P990" s="32"/>
      <c r="Q990" s="33"/>
      <c r="R990" s="29"/>
    </row>
    <row r="991" spans="1:19">
      <c r="A991" s="92" t="s">
        <v>10</v>
      </c>
      <c r="B991" s="93"/>
      <c r="C991" s="94"/>
      <c r="D991" s="98">
        <f>D930+0.0455/5</f>
        <v>3.4700000000000002E-2</v>
      </c>
      <c r="E991" s="99"/>
      <c r="F991" s="99"/>
      <c r="G991" s="100"/>
      <c r="H991" s="104" t="s">
        <v>36</v>
      </c>
      <c r="I991" s="105"/>
      <c r="J991" s="106"/>
      <c r="K991" s="110">
        <f>R1022</f>
        <v>0.12603758375280497</v>
      </c>
      <c r="L991" s="105"/>
      <c r="M991" s="105"/>
      <c r="N991" s="106"/>
      <c r="O991" s="1"/>
      <c r="P991" s="32"/>
      <c r="Q991" s="33"/>
      <c r="R991" s="29"/>
    </row>
    <row r="992" spans="1:19">
      <c r="A992" s="95"/>
      <c r="B992" s="96"/>
      <c r="C992" s="97"/>
      <c r="D992" s="101"/>
      <c r="E992" s="102"/>
      <c r="F992" s="102"/>
      <c r="G992" s="103"/>
      <c r="H992" s="107"/>
      <c r="I992" s="108"/>
      <c r="J992" s="109"/>
      <c r="K992" s="107"/>
      <c r="L992" s="108"/>
      <c r="M992" s="108"/>
      <c r="N992" s="109"/>
      <c r="O992" s="1"/>
      <c r="P992" s="32"/>
      <c r="Q992" s="33"/>
      <c r="R992" s="29"/>
    </row>
    <row r="993" spans="1:18">
      <c r="A993" s="62" t="s">
        <v>11</v>
      </c>
      <c r="B993" s="62"/>
      <c r="C993" s="62"/>
      <c r="D993" s="62"/>
      <c r="E993" s="62"/>
      <c r="F993" s="62"/>
      <c r="G993" s="62"/>
      <c r="H993" s="62"/>
      <c r="I993" s="62"/>
      <c r="J993" s="62"/>
      <c r="K993" s="62"/>
      <c r="L993" s="62"/>
      <c r="M993" s="62"/>
      <c r="N993" s="62"/>
      <c r="O993" s="1"/>
      <c r="P993" s="32"/>
      <c r="Q993" s="33"/>
      <c r="R993" s="29"/>
    </row>
    <row r="994" spans="1:18">
      <c r="A994" s="111" t="s">
        <v>12</v>
      </c>
      <c r="B994" s="111"/>
      <c r="C994" s="111"/>
      <c r="D994" s="111"/>
      <c r="E994" s="111"/>
      <c r="F994" s="14" t="s">
        <v>37</v>
      </c>
      <c r="G994" s="111" t="s">
        <v>38</v>
      </c>
      <c r="H994" s="111"/>
      <c r="I994" s="63" t="s">
        <v>39</v>
      </c>
      <c r="J994" s="63"/>
      <c r="K994" s="63"/>
      <c r="L994" s="63" t="s">
        <v>40</v>
      </c>
      <c r="M994" s="63"/>
      <c r="N994" s="9" t="s">
        <v>13</v>
      </c>
      <c r="O994" s="1"/>
      <c r="P994" s="28" t="s">
        <v>47</v>
      </c>
      <c r="Q994" s="29" t="s">
        <v>48</v>
      </c>
      <c r="R994" s="29" t="s">
        <v>49</v>
      </c>
    </row>
    <row r="995" spans="1:18">
      <c r="A995" s="83" t="s">
        <v>67</v>
      </c>
      <c r="B995" s="84"/>
      <c r="C995" s="84"/>
      <c r="D995" s="84"/>
      <c r="E995" s="85"/>
      <c r="F995" s="27" t="s">
        <v>60</v>
      </c>
      <c r="G995" s="67">
        <v>1</v>
      </c>
      <c r="H995" s="68"/>
      <c r="I995" s="86"/>
      <c r="J995" s="87"/>
      <c r="K995" s="88"/>
      <c r="L995" s="69">
        <f>I995+L934</f>
        <v>1</v>
      </c>
      <c r="M995" s="70"/>
      <c r="N995" s="8"/>
      <c r="O995" s="1"/>
      <c r="P995" s="30">
        <v>6000</v>
      </c>
      <c r="Q995" s="38">
        <f>P995*G995</f>
        <v>6000</v>
      </c>
      <c r="R995" s="28">
        <f>L995*P995</f>
        <v>6000</v>
      </c>
    </row>
    <row r="996" spans="1:18">
      <c r="A996" s="83" t="s">
        <v>68</v>
      </c>
      <c r="B996" s="84"/>
      <c r="C996" s="84"/>
      <c r="D996" s="84"/>
      <c r="E996" s="85"/>
      <c r="F996" s="20" t="s">
        <v>60</v>
      </c>
      <c r="G996" s="67">
        <v>1</v>
      </c>
      <c r="H996" s="68"/>
      <c r="I996" s="87"/>
      <c r="J996" s="87"/>
      <c r="K996" s="88"/>
      <c r="L996" s="69">
        <f t="shared" ref="L996:L1020" si="53">I996+L935</f>
        <v>1</v>
      </c>
      <c r="M996" s="70"/>
      <c r="N996" s="8"/>
      <c r="O996" s="1"/>
      <c r="P996" s="30">
        <v>193300</v>
      </c>
      <c r="Q996" s="38">
        <f t="shared" ref="Q996:Q1020" si="54">P996*G996</f>
        <v>193300</v>
      </c>
      <c r="R996" s="28">
        <f>L996*P996</f>
        <v>193300</v>
      </c>
    </row>
    <row r="997" spans="1:18">
      <c r="A997" s="89" t="s">
        <v>69</v>
      </c>
      <c r="B997" s="90"/>
      <c r="C997" s="90"/>
      <c r="D997" s="90"/>
      <c r="E997" s="91"/>
      <c r="F997" s="20" t="s">
        <v>60</v>
      </c>
      <c r="G997" s="67">
        <v>1</v>
      </c>
      <c r="H997" s="68"/>
      <c r="I997" s="87"/>
      <c r="J997" s="87"/>
      <c r="K997" s="88"/>
      <c r="L997" s="69">
        <f t="shared" si="53"/>
        <v>0.5</v>
      </c>
      <c r="M997" s="70"/>
      <c r="N997" s="8"/>
      <c r="O997" s="1"/>
      <c r="P997" s="30">
        <v>30000</v>
      </c>
      <c r="Q997" s="38">
        <f t="shared" si="54"/>
        <v>30000</v>
      </c>
      <c r="R997" s="28">
        <f>L997*P997</f>
        <v>15000</v>
      </c>
    </row>
    <row r="998" spans="1:18">
      <c r="A998" s="64" t="s">
        <v>70</v>
      </c>
      <c r="B998" s="65"/>
      <c r="C998" s="65"/>
      <c r="D998" s="65"/>
      <c r="E998" s="66"/>
      <c r="F998" s="20" t="s">
        <v>60</v>
      </c>
      <c r="G998" s="67">
        <v>1</v>
      </c>
      <c r="H998" s="68"/>
      <c r="I998" s="87"/>
      <c r="J998" s="87"/>
      <c r="K998" s="88"/>
      <c r="L998" s="69">
        <f t="shared" si="53"/>
        <v>1</v>
      </c>
      <c r="M998" s="70"/>
      <c r="N998" s="8"/>
      <c r="O998" s="1"/>
      <c r="P998" s="31">
        <v>10000</v>
      </c>
      <c r="Q998" s="38">
        <f t="shared" si="54"/>
        <v>10000</v>
      </c>
      <c r="R998" s="28">
        <f t="shared" ref="R998:R1020" si="55">L998*P998</f>
        <v>10000</v>
      </c>
    </row>
    <row r="999" spans="1:18">
      <c r="A999" s="64" t="s">
        <v>71</v>
      </c>
      <c r="B999" s="65"/>
      <c r="C999" s="65"/>
      <c r="D999" s="65"/>
      <c r="E999" s="66"/>
      <c r="F999" s="20" t="s">
        <v>61</v>
      </c>
      <c r="G999" s="67">
        <v>9</v>
      </c>
      <c r="H999" s="68"/>
      <c r="I999" s="87"/>
      <c r="J999" s="87"/>
      <c r="K999" s="88"/>
      <c r="L999" s="69">
        <f t="shared" si="53"/>
        <v>9</v>
      </c>
      <c r="M999" s="70"/>
      <c r="N999" s="8"/>
      <c r="O999" s="1"/>
      <c r="P999" s="30">
        <v>21000</v>
      </c>
      <c r="Q999" s="38">
        <f t="shared" si="54"/>
        <v>189000</v>
      </c>
      <c r="R999" s="28">
        <f t="shared" si="55"/>
        <v>189000</v>
      </c>
    </row>
    <row r="1000" spans="1:18">
      <c r="A1000" s="64" t="s">
        <v>72</v>
      </c>
      <c r="B1000" s="65"/>
      <c r="C1000" s="65"/>
      <c r="D1000" s="65"/>
      <c r="E1000" s="66"/>
      <c r="F1000" s="2" t="s">
        <v>60</v>
      </c>
      <c r="G1000" s="67">
        <v>1</v>
      </c>
      <c r="H1000" s="68"/>
      <c r="I1000" s="87"/>
      <c r="J1000" s="87"/>
      <c r="K1000" s="88"/>
      <c r="L1000" s="69">
        <f t="shared" si="53"/>
        <v>0</v>
      </c>
      <c r="M1000" s="70"/>
      <c r="N1000" s="8"/>
      <c r="O1000" s="1"/>
      <c r="P1000" s="30">
        <v>184468</v>
      </c>
      <c r="Q1000" s="38">
        <f t="shared" si="54"/>
        <v>184468</v>
      </c>
      <c r="R1000" s="28">
        <f t="shared" si="55"/>
        <v>0</v>
      </c>
    </row>
    <row r="1001" spans="1:18">
      <c r="A1001" s="83" t="s">
        <v>73</v>
      </c>
      <c r="B1001" s="84"/>
      <c r="C1001" s="84"/>
      <c r="D1001" s="84"/>
      <c r="E1001" s="85"/>
      <c r="F1001" s="20" t="s">
        <v>62</v>
      </c>
      <c r="G1001" s="67">
        <v>9</v>
      </c>
      <c r="H1001" s="68"/>
      <c r="I1001" s="87"/>
      <c r="J1001" s="87"/>
      <c r="K1001" s="88"/>
      <c r="L1001" s="69">
        <f t="shared" si="53"/>
        <v>0</v>
      </c>
      <c r="M1001" s="70"/>
      <c r="N1001" s="8"/>
      <c r="O1001" s="1"/>
      <c r="P1001" s="30">
        <v>20000</v>
      </c>
      <c r="Q1001" s="38">
        <f t="shared" si="54"/>
        <v>180000</v>
      </c>
      <c r="R1001" s="28">
        <f t="shared" si="55"/>
        <v>0</v>
      </c>
    </row>
    <row r="1002" spans="1:18">
      <c r="A1002" s="83" t="s">
        <v>74</v>
      </c>
      <c r="B1002" s="84"/>
      <c r="C1002" s="84"/>
      <c r="D1002" s="84"/>
      <c r="E1002" s="85"/>
      <c r="F1002" s="20" t="s">
        <v>63</v>
      </c>
      <c r="G1002" s="67">
        <v>52</v>
      </c>
      <c r="H1002" s="68"/>
      <c r="I1002" s="87"/>
      <c r="J1002" s="87"/>
      <c r="K1002" s="88"/>
      <c r="L1002" s="69">
        <f t="shared" si="53"/>
        <v>52</v>
      </c>
      <c r="M1002" s="70"/>
      <c r="N1002" s="8"/>
      <c r="O1002" s="1"/>
      <c r="P1002" s="31">
        <v>2500</v>
      </c>
      <c r="Q1002" s="38">
        <f t="shared" si="54"/>
        <v>130000</v>
      </c>
      <c r="R1002" s="28">
        <f t="shared" si="55"/>
        <v>130000</v>
      </c>
    </row>
    <row r="1003" spans="1:18">
      <c r="A1003" s="83" t="s">
        <v>75</v>
      </c>
      <c r="B1003" s="84"/>
      <c r="C1003" s="84"/>
      <c r="D1003" s="84"/>
      <c r="E1003" s="85"/>
      <c r="F1003" s="20" t="s">
        <v>64</v>
      </c>
      <c r="G1003" s="67">
        <v>1</v>
      </c>
      <c r="H1003" s="68"/>
      <c r="I1003" s="87"/>
      <c r="J1003" s="87"/>
      <c r="K1003" s="88"/>
      <c r="L1003" s="69">
        <f t="shared" si="53"/>
        <v>0</v>
      </c>
      <c r="M1003" s="70"/>
      <c r="N1003" s="8"/>
      <c r="O1003" s="1"/>
      <c r="P1003" s="30">
        <v>80000</v>
      </c>
      <c r="Q1003" s="38">
        <f t="shared" si="54"/>
        <v>80000</v>
      </c>
      <c r="R1003" s="28">
        <f t="shared" si="55"/>
        <v>0</v>
      </c>
    </row>
    <row r="1004" spans="1:18">
      <c r="A1004" s="89" t="s">
        <v>76</v>
      </c>
      <c r="B1004" s="90"/>
      <c r="C1004" s="90"/>
      <c r="D1004" s="90"/>
      <c r="E1004" s="91"/>
      <c r="F1004" s="20" t="s">
        <v>65</v>
      </c>
      <c r="G1004" s="67">
        <v>31</v>
      </c>
      <c r="H1004" s="68"/>
      <c r="I1004" s="87"/>
      <c r="J1004" s="87"/>
      <c r="K1004" s="88"/>
      <c r="L1004" s="69">
        <f t="shared" si="53"/>
        <v>0</v>
      </c>
      <c r="M1004" s="70"/>
      <c r="N1004" s="8"/>
      <c r="O1004" s="1"/>
      <c r="P1004" s="30">
        <v>400</v>
      </c>
      <c r="Q1004" s="38">
        <f t="shared" si="54"/>
        <v>12400</v>
      </c>
      <c r="R1004" s="28">
        <f t="shared" si="55"/>
        <v>0</v>
      </c>
    </row>
    <row r="1005" spans="1:18">
      <c r="A1005" s="64" t="s">
        <v>77</v>
      </c>
      <c r="B1005" s="65"/>
      <c r="C1005" s="65"/>
      <c r="D1005" s="65"/>
      <c r="E1005" s="66"/>
      <c r="F1005" s="20" t="s">
        <v>65</v>
      </c>
      <c r="G1005" s="67">
        <v>100</v>
      </c>
      <c r="H1005" s="68"/>
      <c r="I1005" s="87"/>
      <c r="J1005" s="87"/>
      <c r="K1005" s="88"/>
      <c r="L1005" s="69">
        <f t="shared" si="53"/>
        <v>0</v>
      </c>
      <c r="M1005" s="70"/>
      <c r="N1005" s="8"/>
      <c r="O1005" s="1"/>
      <c r="P1005" s="30">
        <v>350</v>
      </c>
      <c r="Q1005" s="38">
        <f t="shared" si="54"/>
        <v>35000</v>
      </c>
      <c r="R1005" s="28">
        <f t="shared" si="55"/>
        <v>0</v>
      </c>
    </row>
    <row r="1006" spans="1:18">
      <c r="A1006" s="64" t="s">
        <v>78</v>
      </c>
      <c r="B1006" s="65"/>
      <c r="C1006" s="65"/>
      <c r="D1006" s="65"/>
      <c r="E1006" s="66"/>
      <c r="F1006" s="20" t="s">
        <v>63</v>
      </c>
      <c r="G1006" s="67">
        <v>35</v>
      </c>
      <c r="H1006" s="68"/>
      <c r="I1006" s="87"/>
      <c r="J1006" s="87"/>
      <c r="K1006" s="88"/>
      <c r="L1006" s="69">
        <f t="shared" si="53"/>
        <v>0</v>
      </c>
      <c r="M1006" s="70"/>
      <c r="N1006" s="8"/>
      <c r="O1006" s="1"/>
      <c r="P1006" s="30">
        <v>1200</v>
      </c>
      <c r="Q1006" s="38">
        <f t="shared" si="54"/>
        <v>42000</v>
      </c>
      <c r="R1006" s="28">
        <f t="shared" si="55"/>
        <v>0</v>
      </c>
    </row>
    <row r="1007" spans="1:18">
      <c r="A1007" s="64" t="s">
        <v>79</v>
      </c>
      <c r="B1007" s="65"/>
      <c r="C1007" s="65"/>
      <c r="D1007" s="65"/>
      <c r="E1007" s="66"/>
      <c r="F1007" s="20" t="s">
        <v>63</v>
      </c>
      <c r="G1007" s="67">
        <v>282</v>
      </c>
      <c r="H1007" s="68"/>
      <c r="I1007" s="86"/>
      <c r="J1007" s="87"/>
      <c r="K1007" s="88"/>
      <c r="L1007" s="69">
        <f t="shared" si="53"/>
        <v>0</v>
      </c>
      <c r="M1007" s="70"/>
      <c r="N1007" s="8"/>
      <c r="O1007" s="1"/>
      <c r="P1007" s="30">
        <v>1400</v>
      </c>
      <c r="Q1007" s="38">
        <f t="shared" si="54"/>
        <v>394800</v>
      </c>
      <c r="R1007" s="28">
        <f t="shared" si="55"/>
        <v>0</v>
      </c>
    </row>
    <row r="1008" spans="1:18">
      <c r="A1008" s="83" t="s">
        <v>80</v>
      </c>
      <c r="B1008" s="84"/>
      <c r="C1008" s="84"/>
      <c r="D1008" s="84"/>
      <c r="E1008" s="85"/>
      <c r="F1008" s="21" t="s">
        <v>65</v>
      </c>
      <c r="G1008" s="67">
        <v>58</v>
      </c>
      <c r="H1008" s="68"/>
      <c r="I1008" s="86"/>
      <c r="J1008" s="87"/>
      <c r="K1008" s="88"/>
      <c r="L1008" s="69">
        <f t="shared" si="53"/>
        <v>0</v>
      </c>
      <c r="M1008" s="70"/>
      <c r="N1008" s="8"/>
      <c r="O1008" s="1"/>
      <c r="P1008" s="30">
        <v>3600</v>
      </c>
      <c r="Q1008" s="38">
        <f t="shared" si="54"/>
        <v>208800</v>
      </c>
      <c r="R1008" s="28">
        <f t="shared" si="55"/>
        <v>0</v>
      </c>
    </row>
    <row r="1009" spans="1:19">
      <c r="A1009" s="83" t="s">
        <v>81</v>
      </c>
      <c r="B1009" s="84"/>
      <c r="C1009" s="84"/>
      <c r="D1009" s="84"/>
      <c r="E1009" s="85"/>
      <c r="F1009" s="21" t="s">
        <v>65</v>
      </c>
      <c r="G1009" s="67">
        <v>360</v>
      </c>
      <c r="H1009" s="68"/>
      <c r="I1009" s="86"/>
      <c r="J1009" s="87"/>
      <c r="K1009" s="88"/>
      <c r="L1009" s="69">
        <f t="shared" si="53"/>
        <v>0</v>
      </c>
      <c r="M1009" s="70"/>
      <c r="N1009" s="8"/>
      <c r="O1009" s="1"/>
      <c r="P1009" s="30">
        <v>230</v>
      </c>
      <c r="Q1009" s="38">
        <f t="shared" si="54"/>
        <v>82800</v>
      </c>
      <c r="R1009" s="28">
        <f t="shared" si="55"/>
        <v>0</v>
      </c>
    </row>
    <row r="1010" spans="1:19">
      <c r="A1010" s="83" t="s">
        <v>82</v>
      </c>
      <c r="B1010" s="84"/>
      <c r="C1010" s="84"/>
      <c r="D1010" s="84"/>
      <c r="E1010" s="85"/>
      <c r="F1010" s="21" t="s">
        <v>65</v>
      </c>
      <c r="G1010" s="67">
        <v>2400</v>
      </c>
      <c r="H1010" s="68"/>
      <c r="I1010" s="86"/>
      <c r="J1010" s="87"/>
      <c r="K1010" s="88"/>
      <c r="L1010" s="69">
        <f t="shared" si="53"/>
        <v>0</v>
      </c>
      <c r="M1010" s="70"/>
      <c r="N1010" s="8"/>
      <c r="O1010" s="1"/>
      <c r="P1010" s="30">
        <v>80</v>
      </c>
      <c r="Q1010" s="38">
        <f t="shared" si="54"/>
        <v>192000</v>
      </c>
      <c r="R1010" s="28">
        <f t="shared" si="55"/>
        <v>0</v>
      </c>
    </row>
    <row r="1011" spans="1:19">
      <c r="A1011" s="89" t="s">
        <v>83</v>
      </c>
      <c r="B1011" s="90"/>
      <c r="C1011" s="90"/>
      <c r="D1011" s="90"/>
      <c r="E1011" s="91"/>
      <c r="F1011" s="21" t="s">
        <v>65</v>
      </c>
      <c r="G1011" s="67">
        <v>360</v>
      </c>
      <c r="H1011" s="68"/>
      <c r="I1011" s="86"/>
      <c r="J1011" s="87"/>
      <c r="K1011" s="88"/>
      <c r="L1011" s="69">
        <f t="shared" si="53"/>
        <v>0</v>
      </c>
      <c r="M1011" s="70"/>
      <c r="N1011" s="8"/>
      <c r="O1011" s="1"/>
      <c r="P1011" s="30">
        <v>420</v>
      </c>
      <c r="Q1011" s="38">
        <f t="shared" si="54"/>
        <v>151200</v>
      </c>
      <c r="R1011" s="28">
        <f t="shared" si="55"/>
        <v>0</v>
      </c>
    </row>
    <row r="1012" spans="1:19">
      <c r="A1012" s="64" t="s">
        <v>84</v>
      </c>
      <c r="B1012" s="65"/>
      <c r="C1012" s="65"/>
      <c r="D1012" s="65"/>
      <c r="E1012" s="66"/>
      <c r="F1012" s="21" t="s">
        <v>65</v>
      </c>
      <c r="G1012" s="67">
        <v>2760</v>
      </c>
      <c r="H1012" s="68"/>
      <c r="I1012" s="86"/>
      <c r="J1012" s="87"/>
      <c r="K1012" s="88"/>
      <c r="L1012" s="69">
        <f t="shared" si="53"/>
        <v>0</v>
      </c>
      <c r="M1012" s="70"/>
      <c r="N1012" s="8"/>
      <c r="O1012" s="1"/>
      <c r="P1012" s="30">
        <v>460</v>
      </c>
      <c r="Q1012" s="38">
        <f t="shared" si="54"/>
        <v>1269600</v>
      </c>
      <c r="R1012" s="28">
        <f t="shared" si="55"/>
        <v>0</v>
      </c>
    </row>
    <row r="1013" spans="1:19">
      <c r="A1013" s="64" t="s">
        <v>85</v>
      </c>
      <c r="B1013" s="65"/>
      <c r="C1013" s="65"/>
      <c r="D1013" s="65"/>
      <c r="E1013" s="66"/>
      <c r="F1013" s="21" t="s">
        <v>65</v>
      </c>
      <c r="G1013" s="67">
        <v>275</v>
      </c>
      <c r="H1013" s="68"/>
      <c r="I1013" s="86"/>
      <c r="J1013" s="87"/>
      <c r="K1013" s="88"/>
      <c r="L1013" s="69">
        <f t="shared" si="53"/>
        <v>0</v>
      </c>
      <c r="M1013" s="70"/>
      <c r="N1013" s="8"/>
      <c r="O1013" s="1"/>
      <c r="P1013" s="31">
        <v>350</v>
      </c>
      <c r="Q1013" s="38">
        <f t="shared" si="54"/>
        <v>96250</v>
      </c>
      <c r="R1013" s="28">
        <f t="shared" si="55"/>
        <v>0</v>
      </c>
    </row>
    <row r="1014" spans="1:19">
      <c r="A1014" s="64" t="s">
        <v>86</v>
      </c>
      <c r="B1014" s="65"/>
      <c r="C1014" s="65"/>
      <c r="D1014" s="65"/>
      <c r="E1014" s="66"/>
      <c r="F1014" s="21" t="s">
        <v>60</v>
      </c>
      <c r="G1014" s="67">
        <v>1</v>
      </c>
      <c r="H1014" s="68"/>
      <c r="I1014" s="86"/>
      <c r="J1014" s="87"/>
      <c r="K1014" s="88"/>
      <c r="L1014" s="69">
        <f t="shared" si="53"/>
        <v>0</v>
      </c>
      <c r="M1014" s="70"/>
      <c r="N1014" s="8"/>
      <c r="O1014" s="2"/>
      <c r="P1014" s="30">
        <v>40000</v>
      </c>
      <c r="Q1014" s="38">
        <f t="shared" si="54"/>
        <v>40000</v>
      </c>
      <c r="R1014" s="28">
        <f t="shared" si="55"/>
        <v>0</v>
      </c>
    </row>
    <row r="1015" spans="1:19">
      <c r="A1015" s="83" t="s">
        <v>87</v>
      </c>
      <c r="B1015" s="84"/>
      <c r="C1015" s="84"/>
      <c r="D1015" s="84"/>
      <c r="E1015" s="85"/>
      <c r="F1015" s="20" t="s">
        <v>60</v>
      </c>
      <c r="G1015" s="67">
        <v>1</v>
      </c>
      <c r="H1015" s="68"/>
      <c r="I1015" s="86"/>
      <c r="J1015" s="87"/>
      <c r="K1015" s="88"/>
      <c r="L1015" s="69">
        <f t="shared" si="53"/>
        <v>0</v>
      </c>
      <c r="M1015" s="70"/>
      <c r="N1015" s="8"/>
      <c r="O1015" s="1"/>
      <c r="P1015" s="31">
        <v>276970</v>
      </c>
      <c r="Q1015" s="38">
        <f t="shared" si="54"/>
        <v>276970</v>
      </c>
      <c r="R1015" s="28">
        <f t="shared" si="55"/>
        <v>0</v>
      </c>
    </row>
    <row r="1016" spans="1:19">
      <c r="A1016" s="83" t="s">
        <v>88</v>
      </c>
      <c r="B1016" s="84"/>
      <c r="C1016" s="84"/>
      <c r="D1016" s="84"/>
      <c r="E1016" s="85"/>
      <c r="F1016" s="20" t="s">
        <v>60</v>
      </c>
      <c r="G1016" s="67">
        <v>1</v>
      </c>
      <c r="H1016" s="68"/>
      <c r="I1016" s="26"/>
      <c r="J1016" s="23"/>
      <c r="K1016" s="24"/>
      <c r="L1016" s="69">
        <f t="shared" si="53"/>
        <v>0</v>
      </c>
      <c r="M1016" s="70"/>
      <c r="N1016" s="25"/>
      <c r="O1016" s="1"/>
      <c r="P1016" s="32">
        <v>60873</v>
      </c>
      <c r="Q1016" s="38">
        <f t="shared" si="54"/>
        <v>60873</v>
      </c>
      <c r="R1016" s="28">
        <f t="shared" si="55"/>
        <v>0</v>
      </c>
    </row>
    <row r="1017" spans="1:19">
      <c r="A1017" s="83" t="s">
        <v>89</v>
      </c>
      <c r="B1017" s="84"/>
      <c r="C1017" s="84"/>
      <c r="D1017" s="84"/>
      <c r="E1017" s="85"/>
      <c r="F1017" s="20" t="s">
        <v>60</v>
      </c>
      <c r="G1017" s="67">
        <v>1</v>
      </c>
      <c r="H1017" s="68"/>
      <c r="I1017" s="26"/>
      <c r="J1017" s="23"/>
      <c r="K1017" s="24"/>
      <c r="L1017" s="69">
        <f t="shared" si="53"/>
        <v>0</v>
      </c>
      <c r="M1017" s="70"/>
      <c r="N1017" s="25"/>
      <c r="O1017" s="1"/>
      <c r="P1017" s="32">
        <v>60873</v>
      </c>
      <c r="Q1017" s="38">
        <f t="shared" si="54"/>
        <v>60873</v>
      </c>
      <c r="R1017" s="28">
        <f t="shared" si="55"/>
        <v>0</v>
      </c>
    </row>
    <row r="1018" spans="1:19">
      <c r="A1018" s="83" t="s">
        <v>90</v>
      </c>
      <c r="B1018" s="84"/>
      <c r="C1018" s="84"/>
      <c r="D1018" s="84"/>
      <c r="E1018" s="85"/>
      <c r="F1018" s="20" t="s">
        <v>60</v>
      </c>
      <c r="G1018" s="67">
        <v>1</v>
      </c>
      <c r="H1018" s="68"/>
      <c r="I1018" s="26"/>
      <c r="J1018" s="23"/>
      <c r="K1018" s="24"/>
      <c r="L1018" s="69">
        <f t="shared" si="53"/>
        <v>0</v>
      </c>
      <c r="M1018" s="70"/>
      <c r="N1018" s="25"/>
      <c r="O1018" s="1"/>
      <c r="P1018" s="34">
        <v>266321</v>
      </c>
      <c r="Q1018" s="38">
        <f t="shared" si="54"/>
        <v>266321</v>
      </c>
      <c r="R1018" s="28">
        <f t="shared" si="55"/>
        <v>0</v>
      </c>
    </row>
    <row r="1019" spans="1:19">
      <c r="A1019" s="83" t="s">
        <v>91</v>
      </c>
      <c r="B1019" s="84"/>
      <c r="C1019" s="84"/>
      <c r="D1019" s="84"/>
      <c r="E1019" s="85"/>
      <c r="F1019" s="2" t="s">
        <v>60</v>
      </c>
      <c r="G1019" s="67">
        <v>1</v>
      </c>
      <c r="H1019" s="68"/>
      <c r="I1019" s="26"/>
      <c r="J1019" s="23"/>
      <c r="K1019" s="24"/>
      <c r="L1019" s="69">
        <f t="shared" si="53"/>
        <v>1</v>
      </c>
      <c r="M1019" s="70"/>
      <c r="N1019" s="25"/>
      <c r="O1019" s="1"/>
      <c r="P1019" s="32">
        <v>13316</v>
      </c>
      <c r="Q1019" s="38">
        <f t="shared" si="54"/>
        <v>13316</v>
      </c>
      <c r="R1019" s="28">
        <f t="shared" si="55"/>
        <v>13316</v>
      </c>
    </row>
    <row r="1020" spans="1:19">
      <c r="A1020" s="83" t="s">
        <v>92</v>
      </c>
      <c r="B1020" s="84"/>
      <c r="C1020" s="84"/>
      <c r="D1020" s="84"/>
      <c r="E1020" s="85"/>
      <c r="F1020" s="20" t="s">
        <v>60</v>
      </c>
      <c r="G1020" s="67">
        <v>1</v>
      </c>
      <c r="H1020" s="68"/>
      <c r="I1020" s="26"/>
      <c r="J1020" s="23"/>
      <c r="K1020" s="24"/>
      <c r="L1020" s="69">
        <f t="shared" si="53"/>
        <v>0</v>
      </c>
      <c r="M1020" s="70"/>
      <c r="N1020" s="25"/>
      <c r="O1020" s="1"/>
      <c r="P1020" s="32">
        <v>210299</v>
      </c>
      <c r="Q1020" s="38">
        <f t="shared" si="54"/>
        <v>210299</v>
      </c>
      <c r="R1020" s="28">
        <f t="shared" si="55"/>
        <v>0</v>
      </c>
    </row>
    <row r="1021" spans="1:19">
      <c r="A1021" s="64"/>
      <c r="B1021" s="65"/>
      <c r="C1021" s="65"/>
      <c r="D1021" s="65"/>
      <c r="E1021" s="66"/>
      <c r="F1021" s="22"/>
      <c r="G1021" s="67"/>
      <c r="H1021" s="68"/>
      <c r="I1021" s="26"/>
      <c r="J1021" s="23"/>
      <c r="K1021" s="24"/>
      <c r="L1021" s="69"/>
      <c r="M1021" s="70"/>
      <c r="N1021" s="25"/>
      <c r="O1021" s="3"/>
      <c r="P1021" s="32"/>
      <c r="Q1021" s="33">
        <f>SUM(Q995:Q1020)</f>
        <v>4416270</v>
      </c>
      <c r="R1021" s="29">
        <f>SUM(R995:R1020)</f>
        <v>556616</v>
      </c>
    </row>
    <row r="1022" spans="1:19">
      <c r="A1022" s="64"/>
      <c r="B1022" s="65"/>
      <c r="C1022" s="65"/>
      <c r="D1022" s="65"/>
      <c r="E1022" s="66"/>
      <c r="F1022" s="22"/>
      <c r="G1022" s="67"/>
      <c r="H1022" s="68"/>
      <c r="I1022" s="26"/>
      <c r="J1022" s="23"/>
      <c r="K1022" s="24"/>
      <c r="L1022" s="69"/>
      <c r="M1022" s="70"/>
      <c r="N1022" s="25"/>
      <c r="O1022" s="3"/>
      <c r="P1022" s="32"/>
      <c r="Q1022" s="33"/>
      <c r="R1022" s="37">
        <f>R1021/Q1021</f>
        <v>0.12603758375280497</v>
      </c>
    </row>
    <row r="1023" spans="1:19">
      <c r="A1023" s="62" t="s">
        <v>14</v>
      </c>
      <c r="B1023" s="62"/>
      <c r="C1023" s="62"/>
      <c r="D1023" s="62"/>
      <c r="E1023" s="62"/>
      <c r="F1023" s="62"/>
      <c r="G1023" s="62"/>
      <c r="H1023" s="62"/>
      <c r="I1023" s="62"/>
      <c r="J1023" s="62"/>
      <c r="K1023" s="62"/>
      <c r="L1023" s="62"/>
      <c r="M1023" s="62"/>
      <c r="N1023" s="62"/>
      <c r="O1023" s="1"/>
      <c r="P1023" s="32"/>
      <c r="Q1023" s="33"/>
      <c r="R1023" s="29"/>
      <c r="S1023" s="16"/>
    </row>
    <row r="1024" spans="1:19">
      <c r="A1024" s="71" t="s">
        <v>15</v>
      </c>
      <c r="B1024" s="72"/>
      <c r="C1024" s="72"/>
      <c r="D1024" s="72"/>
      <c r="E1024" s="73"/>
      <c r="F1024" s="9" t="s">
        <v>37</v>
      </c>
      <c r="G1024" s="71" t="s">
        <v>38</v>
      </c>
      <c r="H1024" s="73"/>
      <c r="I1024" s="71" t="s">
        <v>42</v>
      </c>
      <c r="J1024" s="72"/>
      <c r="K1024" s="73"/>
      <c r="L1024" s="74" t="s">
        <v>17</v>
      </c>
      <c r="M1024" s="75"/>
      <c r="N1024" s="9" t="s">
        <v>13</v>
      </c>
      <c r="O1024" s="1"/>
      <c r="P1024" s="32"/>
      <c r="Q1024" s="33"/>
      <c r="R1024" s="29"/>
      <c r="S1024" s="16"/>
    </row>
    <row r="1025" spans="1:19">
      <c r="A1025" s="71"/>
      <c r="B1025" s="72"/>
      <c r="C1025" s="72"/>
      <c r="D1025" s="72"/>
      <c r="E1025" s="73"/>
      <c r="F1025" s="13"/>
      <c r="G1025" s="76"/>
      <c r="H1025" s="77"/>
      <c r="I1025" s="78"/>
      <c r="J1025" s="79"/>
      <c r="K1025" s="80"/>
      <c r="L1025" s="81"/>
      <c r="M1025" s="82"/>
      <c r="N1025" s="8"/>
      <c r="O1025" s="1"/>
      <c r="P1025" s="32"/>
      <c r="Q1025" s="33"/>
      <c r="R1025" s="29"/>
      <c r="S1025" s="16"/>
    </row>
    <row r="1026" spans="1:19">
      <c r="A1026" s="62" t="s">
        <v>19</v>
      </c>
      <c r="B1026" s="62"/>
      <c r="C1026" s="62"/>
      <c r="D1026" s="62"/>
      <c r="E1026" s="62"/>
      <c r="F1026" s="62"/>
      <c r="G1026" s="62"/>
      <c r="H1026" s="62"/>
      <c r="I1026" s="62"/>
      <c r="J1026" s="62"/>
      <c r="K1026" s="62"/>
      <c r="L1026" s="62"/>
      <c r="M1026" s="62"/>
      <c r="N1026" s="62"/>
      <c r="O1026" s="1"/>
      <c r="P1026" s="32"/>
      <c r="Q1026" s="33"/>
      <c r="R1026" s="29"/>
      <c r="S1026" s="16"/>
    </row>
    <row r="1027" spans="1:19">
      <c r="A1027" s="63" t="s">
        <v>20</v>
      </c>
      <c r="B1027" s="63"/>
      <c r="C1027" s="63" t="s">
        <v>21</v>
      </c>
      <c r="D1027" s="63"/>
      <c r="E1027" s="63" t="s">
        <v>22</v>
      </c>
      <c r="F1027" s="63"/>
      <c r="G1027" s="63" t="s">
        <v>23</v>
      </c>
      <c r="H1027" s="63"/>
      <c r="I1027" s="63"/>
      <c r="J1027" s="63" t="s">
        <v>16</v>
      </c>
      <c r="K1027" s="63"/>
      <c r="L1027" s="63"/>
      <c r="M1027" s="63" t="s">
        <v>17</v>
      </c>
      <c r="N1027" s="63"/>
      <c r="O1027" s="1"/>
      <c r="Q1027" s="32"/>
      <c r="R1027" s="33"/>
      <c r="S1027" s="16"/>
    </row>
    <row r="1028" spans="1:19">
      <c r="A1028" s="60" t="s">
        <v>24</v>
      </c>
      <c r="B1028" s="52"/>
      <c r="C1028" s="61"/>
      <c r="D1028" s="61"/>
      <c r="E1028" s="61">
        <f>C1028+E967</f>
        <v>18</v>
      </c>
      <c r="F1028" s="61"/>
      <c r="G1028" s="60" t="s">
        <v>51</v>
      </c>
      <c r="H1028" s="51"/>
      <c r="I1028" s="52"/>
      <c r="J1028" s="61"/>
      <c r="K1028" s="61"/>
      <c r="L1028" s="61"/>
      <c r="M1028" s="61">
        <f>K1028+M967</f>
        <v>1</v>
      </c>
      <c r="N1028" s="61"/>
      <c r="O1028" s="1"/>
      <c r="Q1028" s="32"/>
      <c r="R1028" s="33"/>
      <c r="S1028" s="16"/>
    </row>
    <row r="1029" spans="1:19">
      <c r="A1029" s="60" t="s">
        <v>25</v>
      </c>
      <c r="B1029" s="52"/>
      <c r="C1029" s="61"/>
      <c r="D1029" s="61"/>
      <c r="E1029" s="61">
        <f>C1029+E968</f>
        <v>17</v>
      </c>
      <c r="F1029" s="61"/>
      <c r="G1029" s="60" t="s">
        <v>50</v>
      </c>
      <c r="H1029" s="51"/>
      <c r="I1029" s="52"/>
      <c r="J1029" s="61"/>
      <c r="K1029" s="61"/>
      <c r="L1029" s="61"/>
      <c r="M1029" s="61">
        <f>K1029+M968</f>
        <v>1</v>
      </c>
      <c r="N1029" s="61"/>
      <c r="O1029" s="1"/>
      <c r="Q1029" s="32"/>
      <c r="R1029" s="33"/>
      <c r="S1029" s="16"/>
    </row>
    <row r="1030" spans="1:19">
      <c r="A1030" s="60"/>
      <c r="B1030" s="52"/>
      <c r="C1030" s="61"/>
      <c r="D1030" s="61"/>
      <c r="E1030" s="61"/>
      <c r="F1030" s="61"/>
      <c r="G1030" s="60" t="s">
        <v>55</v>
      </c>
      <c r="H1030" s="51"/>
      <c r="I1030" s="52"/>
      <c r="J1030" s="61"/>
      <c r="K1030" s="61"/>
      <c r="L1030" s="61"/>
      <c r="M1030" s="61">
        <f>K1030+M969</f>
        <v>0</v>
      </c>
      <c r="N1030" s="61"/>
      <c r="O1030" s="2"/>
      <c r="P1030" s="29"/>
      <c r="Q1030" s="32"/>
      <c r="R1030" s="33"/>
      <c r="S1030" s="16"/>
    </row>
    <row r="1031" spans="1:19">
      <c r="A1031" s="53" t="s">
        <v>53</v>
      </c>
      <c r="B1031" s="47"/>
      <c r="C1031" s="53"/>
      <c r="D1031" s="53"/>
      <c r="E1031" s="53"/>
      <c r="F1031" s="53"/>
      <c r="G1031" s="53"/>
      <c r="H1031" s="53"/>
      <c r="I1031" s="53"/>
      <c r="J1031" s="53"/>
      <c r="K1031" s="53"/>
      <c r="L1031" s="53"/>
      <c r="M1031" s="53"/>
      <c r="N1031" s="53"/>
      <c r="O1031" s="1"/>
      <c r="P1031" s="32"/>
      <c r="Q1031" s="32"/>
      <c r="R1031" s="33"/>
      <c r="S1031" s="16"/>
    </row>
    <row r="1032" spans="1:19">
      <c r="A1032" s="45" t="s">
        <v>56</v>
      </c>
      <c r="B1032" s="46"/>
      <c r="C1032" s="46"/>
      <c r="D1032" s="46"/>
      <c r="E1032" s="46"/>
      <c r="F1032" s="46"/>
      <c r="G1032" s="46"/>
      <c r="H1032" s="46"/>
      <c r="I1032" s="46"/>
      <c r="J1032" s="46"/>
      <c r="K1032" s="46"/>
      <c r="L1032" s="46"/>
      <c r="M1032" s="46"/>
      <c r="N1032" s="47"/>
      <c r="O1032" s="1"/>
      <c r="P1032" s="32"/>
      <c r="Q1032" s="34"/>
      <c r="R1032" s="33"/>
      <c r="S1032" s="16"/>
    </row>
    <row r="1033" spans="1:19">
      <c r="A1033" s="54" t="s">
        <v>54</v>
      </c>
      <c r="B1033" s="55"/>
      <c r="C1033" s="55"/>
      <c r="D1033" s="55"/>
      <c r="E1033" s="55"/>
      <c r="F1033" s="55"/>
      <c r="G1033" s="55"/>
      <c r="H1033" s="55"/>
      <c r="I1033" s="55"/>
      <c r="J1033" s="55"/>
      <c r="K1033" s="55"/>
      <c r="L1033" s="55"/>
      <c r="M1033" s="55"/>
      <c r="N1033" s="56"/>
      <c r="O1033" s="1"/>
      <c r="P1033" s="32"/>
      <c r="Q1033" s="32"/>
      <c r="R1033" s="33"/>
      <c r="S1033" s="16"/>
    </row>
    <row r="1034" spans="1:19">
      <c r="A1034" s="40" t="s">
        <v>26</v>
      </c>
      <c r="B1034" s="41"/>
      <c r="C1034" s="40"/>
      <c r="D1034" s="40"/>
      <c r="E1034" s="40"/>
      <c r="F1034" s="40"/>
      <c r="G1034" s="40"/>
      <c r="H1034" s="40"/>
      <c r="I1034" s="40"/>
      <c r="J1034" s="40"/>
      <c r="K1034" s="40"/>
      <c r="L1034" s="40"/>
      <c r="M1034" s="40"/>
      <c r="N1034" s="40"/>
      <c r="O1034" s="1"/>
      <c r="P1034" s="32"/>
      <c r="Q1034" s="32"/>
      <c r="R1034" s="33"/>
      <c r="S1034" s="16"/>
    </row>
    <row r="1035" spans="1:19">
      <c r="A1035" s="57" t="s">
        <v>27</v>
      </c>
      <c r="B1035" s="58"/>
      <c r="C1035" s="58"/>
      <c r="D1035" s="58"/>
      <c r="E1035" s="58"/>
      <c r="F1035" s="58"/>
      <c r="G1035" s="58"/>
      <c r="H1035" s="58"/>
      <c r="I1035" s="58"/>
      <c r="J1035" s="58"/>
      <c r="K1035" s="58"/>
      <c r="L1035" s="58"/>
      <c r="M1035" s="58"/>
      <c r="N1035" s="59"/>
      <c r="O1035" s="1"/>
      <c r="P1035" s="34"/>
      <c r="Q1035" s="34"/>
      <c r="R1035" s="33"/>
      <c r="S1035" s="16"/>
    </row>
    <row r="1036" spans="1:19">
      <c r="A1036" s="57" t="s">
        <v>57</v>
      </c>
      <c r="B1036" s="58"/>
      <c r="C1036" s="58"/>
      <c r="D1036" s="58"/>
      <c r="E1036" s="58"/>
      <c r="F1036" s="58"/>
      <c r="G1036" s="58"/>
      <c r="H1036" s="58"/>
      <c r="I1036" s="58"/>
      <c r="J1036" s="58"/>
      <c r="K1036" s="58"/>
      <c r="L1036" s="58"/>
      <c r="M1036" s="58"/>
      <c r="N1036" s="59"/>
      <c r="O1036" s="1"/>
      <c r="P1036" s="32"/>
      <c r="Q1036" s="32"/>
      <c r="R1036" s="33"/>
      <c r="S1036" s="16"/>
    </row>
    <row r="1037" spans="1:19">
      <c r="A1037" s="57" t="s">
        <v>58</v>
      </c>
      <c r="B1037" s="58"/>
      <c r="C1037" s="58"/>
      <c r="D1037" s="58"/>
      <c r="E1037" s="58"/>
      <c r="F1037" s="58"/>
      <c r="G1037" s="58"/>
      <c r="H1037" s="58"/>
      <c r="I1037" s="58"/>
      <c r="J1037" s="58"/>
      <c r="K1037" s="58"/>
      <c r="L1037" s="58"/>
      <c r="M1037" s="58"/>
      <c r="N1037" s="59"/>
      <c r="O1037" s="1"/>
      <c r="P1037" s="32"/>
      <c r="Q1037" s="32"/>
      <c r="R1037" s="33"/>
      <c r="S1037" s="16"/>
    </row>
    <row r="1038" spans="1:19">
      <c r="A1038" s="57" t="s">
        <v>59</v>
      </c>
      <c r="B1038" s="58"/>
      <c r="C1038" s="58"/>
      <c r="D1038" s="58"/>
      <c r="E1038" s="58"/>
      <c r="F1038" s="58"/>
      <c r="G1038" s="58"/>
      <c r="H1038" s="58"/>
      <c r="I1038" s="58"/>
      <c r="J1038" s="58"/>
      <c r="K1038" s="58"/>
      <c r="L1038" s="58"/>
      <c r="M1038" s="58"/>
      <c r="N1038" s="59"/>
      <c r="O1038" s="1"/>
      <c r="P1038" s="32"/>
      <c r="Q1038" s="34"/>
      <c r="R1038" s="33"/>
      <c r="S1038" s="16"/>
    </row>
    <row r="1039" spans="1:19">
      <c r="A1039" s="57" t="s">
        <v>28</v>
      </c>
      <c r="B1039" s="58"/>
      <c r="C1039" s="58"/>
      <c r="D1039" s="58"/>
      <c r="E1039" s="58"/>
      <c r="F1039" s="58"/>
      <c r="G1039" s="58"/>
      <c r="H1039" s="58"/>
      <c r="I1039" s="58"/>
      <c r="J1039" s="58"/>
      <c r="K1039" s="58"/>
      <c r="L1039" s="58"/>
      <c r="M1039" s="58"/>
      <c r="N1039" s="59"/>
      <c r="O1039" s="1"/>
      <c r="P1039" s="34"/>
      <c r="Q1039" s="32"/>
      <c r="R1039" s="33"/>
      <c r="S1039" s="16"/>
    </row>
    <row r="1040" spans="1:19">
      <c r="A1040" s="40" t="s">
        <v>29</v>
      </c>
      <c r="B1040" s="41"/>
      <c r="C1040" s="40"/>
      <c r="D1040" s="40"/>
      <c r="E1040" s="40"/>
      <c r="F1040" s="40"/>
      <c r="G1040" s="40"/>
      <c r="H1040" s="40"/>
      <c r="I1040" s="40"/>
      <c r="J1040" s="40"/>
      <c r="K1040" s="40"/>
      <c r="L1040" s="40"/>
      <c r="M1040" s="40"/>
      <c r="N1040" s="40"/>
      <c r="O1040" s="1"/>
      <c r="P1040" s="32"/>
      <c r="Q1040" s="32"/>
      <c r="R1040" s="33"/>
      <c r="S1040" s="16"/>
    </row>
    <row r="1041" spans="1:19">
      <c r="A1041" s="42"/>
      <c r="B1041" s="43"/>
      <c r="C1041" s="43"/>
      <c r="D1041" s="43"/>
      <c r="E1041" s="43"/>
      <c r="F1041" s="43"/>
      <c r="G1041" s="43"/>
      <c r="H1041" s="43"/>
      <c r="I1041" s="43"/>
      <c r="J1041" s="43"/>
      <c r="K1041" s="43"/>
      <c r="L1041" s="43"/>
      <c r="M1041" s="43"/>
      <c r="N1041" s="44"/>
      <c r="O1041" s="1"/>
      <c r="P1041" s="32"/>
      <c r="Q1041" s="32"/>
      <c r="R1041" s="33"/>
      <c r="S1041" s="16"/>
    </row>
    <row r="1042" spans="1:19">
      <c r="A1042" s="40" t="s">
        <v>30</v>
      </c>
      <c r="B1042" s="41"/>
      <c r="C1042" s="40"/>
      <c r="D1042" s="40"/>
      <c r="E1042" s="40"/>
      <c r="F1042" s="40"/>
      <c r="G1042" s="40"/>
      <c r="H1042" s="40"/>
      <c r="I1042" s="40"/>
      <c r="J1042" s="40"/>
      <c r="K1042" s="40"/>
      <c r="L1042" s="40"/>
      <c r="M1042" s="40"/>
      <c r="N1042" s="40"/>
      <c r="O1042" s="1"/>
      <c r="P1042" s="32"/>
      <c r="Q1042" s="32"/>
      <c r="R1042" s="33"/>
      <c r="S1042" s="16"/>
    </row>
    <row r="1043" spans="1:19">
      <c r="A1043" s="42"/>
      <c r="B1043" s="43"/>
      <c r="C1043" s="43"/>
      <c r="D1043" s="43"/>
      <c r="E1043" s="43"/>
      <c r="F1043" s="43"/>
      <c r="G1043" s="43"/>
      <c r="H1043" s="43"/>
      <c r="I1043" s="43"/>
      <c r="J1043" s="43"/>
      <c r="K1043" s="43"/>
      <c r="L1043" s="43"/>
      <c r="M1043" s="43"/>
      <c r="N1043" s="44"/>
      <c r="O1043" s="1"/>
      <c r="P1043" s="32"/>
      <c r="Q1043" s="32"/>
      <c r="R1043" s="33"/>
      <c r="S1043" s="16"/>
    </row>
    <row r="1044" spans="1:19">
      <c r="A1044" s="40" t="s">
        <v>97</v>
      </c>
      <c r="B1044" s="41"/>
      <c r="C1044" s="40"/>
      <c r="D1044" s="40"/>
      <c r="E1044" s="40"/>
      <c r="F1044" s="40"/>
      <c r="G1044" s="40"/>
      <c r="H1044" s="40"/>
      <c r="I1044" s="40"/>
      <c r="J1044" s="40"/>
      <c r="K1044" s="40"/>
      <c r="L1044" s="40"/>
      <c r="M1044" s="40"/>
      <c r="N1044" s="40"/>
      <c r="O1044" s="1"/>
      <c r="P1044" s="32"/>
      <c r="Q1044" s="32"/>
      <c r="R1044" s="33"/>
      <c r="S1044" s="17"/>
    </row>
    <row r="1045" spans="1:19">
      <c r="A1045" s="45"/>
      <c r="B1045" s="46"/>
      <c r="C1045" s="46"/>
      <c r="D1045" s="46"/>
      <c r="E1045" s="46"/>
      <c r="F1045" s="46"/>
      <c r="G1045" s="46"/>
      <c r="H1045" s="46"/>
      <c r="I1045" s="46"/>
      <c r="J1045" s="46"/>
      <c r="K1045" s="46"/>
      <c r="L1045" s="46"/>
      <c r="M1045" s="46"/>
      <c r="N1045" s="47"/>
      <c r="O1045" s="1"/>
      <c r="P1045" s="32"/>
      <c r="Q1045" s="32"/>
      <c r="R1045" s="33"/>
      <c r="S1045" s="1"/>
    </row>
    <row r="1046" spans="1:19">
      <c r="A1046" s="48" t="s">
        <v>41</v>
      </c>
      <c r="B1046" s="49"/>
      <c r="C1046" s="50"/>
      <c r="D1046" s="50"/>
      <c r="E1046" s="50"/>
      <c r="F1046" s="50"/>
      <c r="G1046" s="50"/>
      <c r="H1046" s="51"/>
      <c r="I1046" s="51"/>
      <c r="J1046" s="51"/>
      <c r="K1046" s="51"/>
      <c r="L1046" s="51"/>
      <c r="M1046" s="51"/>
      <c r="N1046" s="52"/>
      <c r="O1046" s="1"/>
      <c r="P1046" s="32"/>
      <c r="Q1046" s="32"/>
      <c r="R1046" s="33"/>
      <c r="S1046" s="1"/>
    </row>
    <row r="1047" spans="1:19" ht="28.2">
      <c r="A1047" s="1" t="s">
        <v>45</v>
      </c>
      <c r="B1047" s="7">
        <f>B986+1</f>
        <v>18</v>
      </c>
      <c r="C1047" s="5"/>
      <c r="D1047" s="5"/>
      <c r="E1047" s="5"/>
      <c r="F1047" s="5"/>
      <c r="G1047" s="5"/>
      <c r="H1047" s="5"/>
      <c r="I1047" s="5"/>
      <c r="J1047" s="5"/>
      <c r="K1047" s="5"/>
      <c r="L1047" s="5"/>
      <c r="M1047" s="5"/>
      <c r="N1047" s="5"/>
      <c r="O1047" s="1"/>
      <c r="P1047" s="32"/>
      <c r="Q1047" s="33"/>
      <c r="R1047" s="29"/>
    </row>
    <row r="1048" spans="1:19">
      <c r="A1048" s="1" t="s">
        <v>46</v>
      </c>
      <c r="B1048" s="1" t="s">
        <v>1</v>
      </c>
      <c r="C1048" s="1" t="s">
        <v>2</v>
      </c>
      <c r="D1048" s="1" t="s">
        <v>3</v>
      </c>
      <c r="E1048" s="1" t="s">
        <v>2</v>
      </c>
      <c r="F1048" s="1"/>
      <c r="G1048" s="1"/>
      <c r="H1048" s="112" t="s">
        <v>4</v>
      </c>
      <c r="I1048" s="112"/>
      <c r="J1048" s="113">
        <f>J987+1</f>
        <v>46229</v>
      </c>
      <c r="K1048" s="113"/>
      <c r="L1048" s="113"/>
      <c r="M1048" s="114">
        <f>J1048</f>
        <v>46229</v>
      </c>
      <c r="N1048" s="114"/>
      <c r="O1048" s="1"/>
      <c r="P1048" s="32"/>
      <c r="Q1048" s="33"/>
      <c r="R1048" s="29"/>
    </row>
    <row r="1049" spans="1:19">
      <c r="A1049" s="8" t="s">
        <v>5</v>
      </c>
      <c r="B1049" s="115">
        <f>B980</f>
        <v>0</v>
      </c>
      <c r="C1049" s="116"/>
      <c r="D1049" s="116"/>
      <c r="E1049" s="116"/>
      <c r="F1049" s="116"/>
      <c r="G1049" s="117"/>
      <c r="H1049" s="63" t="s">
        <v>6</v>
      </c>
      <c r="I1049" s="63"/>
      <c r="J1049" s="63"/>
      <c r="K1049" s="63" t="s">
        <v>52</v>
      </c>
      <c r="L1049" s="63"/>
      <c r="M1049" s="63"/>
      <c r="N1049" s="63"/>
      <c r="O1049" s="1"/>
      <c r="P1049" s="32"/>
      <c r="Q1049" s="33"/>
      <c r="R1049" s="29"/>
    </row>
    <row r="1050" spans="1:19">
      <c r="A1050" s="8" t="s">
        <v>32</v>
      </c>
      <c r="B1050" s="10">
        <v>60</v>
      </c>
      <c r="C1050" s="11" t="s">
        <v>43</v>
      </c>
      <c r="D1050" s="71" t="s">
        <v>7</v>
      </c>
      <c r="E1050" s="73"/>
      <c r="F1050" s="10">
        <f>F989+1</f>
        <v>18</v>
      </c>
      <c r="G1050" s="11" t="s">
        <v>8</v>
      </c>
      <c r="H1050" s="9" t="s">
        <v>9</v>
      </c>
      <c r="I1050" s="10">
        <f>B1050-F1050</f>
        <v>42</v>
      </c>
      <c r="J1050" s="11" t="s">
        <v>8</v>
      </c>
      <c r="K1050" s="118" t="s">
        <v>33</v>
      </c>
      <c r="L1050" s="119"/>
      <c r="M1050" s="12"/>
      <c r="N1050" s="11" t="s">
        <v>8</v>
      </c>
      <c r="O1050" s="1"/>
      <c r="P1050" s="34"/>
      <c r="Q1050" s="33"/>
      <c r="R1050" s="29"/>
    </row>
    <row r="1051" spans="1:19">
      <c r="A1051" s="71" t="s">
        <v>34</v>
      </c>
      <c r="B1051" s="72"/>
      <c r="C1051" s="73"/>
      <c r="D1051" s="120">
        <v>46212</v>
      </c>
      <c r="E1051" s="121"/>
      <c r="F1051" s="121"/>
      <c r="G1051" s="122"/>
      <c r="H1051" s="71" t="s">
        <v>35</v>
      </c>
      <c r="I1051" s="72"/>
      <c r="J1051" s="73"/>
      <c r="K1051" s="120">
        <f>D1051+59</f>
        <v>46271</v>
      </c>
      <c r="L1051" s="121"/>
      <c r="M1051" s="121"/>
      <c r="N1051" s="122"/>
      <c r="O1051" s="1"/>
      <c r="P1051" s="32"/>
      <c r="Q1051" s="33"/>
      <c r="R1051" s="29"/>
    </row>
    <row r="1052" spans="1:19">
      <c r="A1052" s="92" t="s">
        <v>10</v>
      </c>
      <c r="B1052" s="93"/>
      <c r="C1052" s="94"/>
      <c r="D1052" s="98">
        <f>D991+0.0455/5</f>
        <v>4.3800000000000006E-2</v>
      </c>
      <c r="E1052" s="99"/>
      <c r="F1052" s="99"/>
      <c r="G1052" s="100"/>
      <c r="H1052" s="104" t="s">
        <v>36</v>
      </c>
      <c r="I1052" s="105"/>
      <c r="J1052" s="106"/>
      <c r="K1052" s="110">
        <f>R1083</f>
        <v>0.12603758375280497</v>
      </c>
      <c r="L1052" s="105"/>
      <c r="M1052" s="105"/>
      <c r="N1052" s="106"/>
      <c r="O1052" s="1"/>
      <c r="P1052" s="32"/>
      <c r="Q1052" s="33"/>
      <c r="R1052" s="29"/>
    </row>
    <row r="1053" spans="1:19">
      <c r="A1053" s="95"/>
      <c r="B1053" s="96"/>
      <c r="C1053" s="97"/>
      <c r="D1053" s="101"/>
      <c r="E1053" s="102"/>
      <c r="F1053" s="102"/>
      <c r="G1053" s="103"/>
      <c r="H1053" s="107"/>
      <c r="I1053" s="108"/>
      <c r="J1053" s="109"/>
      <c r="K1053" s="107"/>
      <c r="L1053" s="108"/>
      <c r="M1053" s="108"/>
      <c r="N1053" s="109"/>
      <c r="O1053" s="1"/>
      <c r="P1053" s="32"/>
      <c r="Q1053" s="33"/>
      <c r="R1053" s="29"/>
    </row>
    <row r="1054" spans="1:19">
      <c r="A1054" s="62" t="s">
        <v>11</v>
      </c>
      <c r="B1054" s="62"/>
      <c r="C1054" s="62"/>
      <c r="D1054" s="62"/>
      <c r="E1054" s="62"/>
      <c r="F1054" s="62"/>
      <c r="G1054" s="62"/>
      <c r="H1054" s="62"/>
      <c r="I1054" s="62"/>
      <c r="J1054" s="62"/>
      <c r="K1054" s="62"/>
      <c r="L1054" s="62"/>
      <c r="M1054" s="62"/>
      <c r="N1054" s="62"/>
      <c r="O1054" s="1"/>
      <c r="P1054" s="32"/>
      <c r="Q1054" s="33"/>
      <c r="R1054" s="29"/>
    </row>
    <row r="1055" spans="1:19">
      <c r="A1055" s="111" t="s">
        <v>12</v>
      </c>
      <c r="B1055" s="111"/>
      <c r="C1055" s="111"/>
      <c r="D1055" s="111"/>
      <c r="E1055" s="111"/>
      <c r="F1055" s="14" t="s">
        <v>37</v>
      </c>
      <c r="G1055" s="111" t="s">
        <v>38</v>
      </c>
      <c r="H1055" s="111"/>
      <c r="I1055" s="63" t="s">
        <v>39</v>
      </c>
      <c r="J1055" s="63"/>
      <c r="K1055" s="63"/>
      <c r="L1055" s="63" t="s">
        <v>40</v>
      </c>
      <c r="M1055" s="63"/>
      <c r="N1055" s="9" t="s">
        <v>13</v>
      </c>
      <c r="O1055" s="1"/>
      <c r="P1055" s="28" t="s">
        <v>47</v>
      </c>
      <c r="Q1055" s="29" t="s">
        <v>48</v>
      </c>
      <c r="R1055" s="29" t="s">
        <v>49</v>
      </c>
    </row>
    <row r="1056" spans="1:19">
      <c r="A1056" s="83" t="s">
        <v>67</v>
      </c>
      <c r="B1056" s="84"/>
      <c r="C1056" s="84"/>
      <c r="D1056" s="84"/>
      <c r="E1056" s="85"/>
      <c r="F1056" s="27" t="s">
        <v>60</v>
      </c>
      <c r="G1056" s="67">
        <v>1</v>
      </c>
      <c r="H1056" s="68"/>
      <c r="I1056" s="86"/>
      <c r="J1056" s="87"/>
      <c r="K1056" s="88"/>
      <c r="L1056" s="69">
        <f>I1056+L995</f>
        <v>1</v>
      </c>
      <c r="M1056" s="70"/>
      <c r="N1056" s="8"/>
      <c r="O1056" s="1"/>
      <c r="P1056" s="30">
        <v>6000</v>
      </c>
      <c r="Q1056" s="38">
        <f>P1056*G1056</f>
        <v>6000</v>
      </c>
      <c r="R1056" s="28">
        <f>L1056*P1056</f>
        <v>6000</v>
      </c>
    </row>
    <row r="1057" spans="1:18">
      <c r="A1057" s="83" t="s">
        <v>68</v>
      </c>
      <c r="B1057" s="84"/>
      <c r="C1057" s="84"/>
      <c r="D1057" s="84"/>
      <c r="E1057" s="85"/>
      <c r="F1057" s="20" t="s">
        <v>60</v>
      </c>
      <c r="G1057" s="67">
        <v>1</v>
      </c>
      <c r="H1057" s="68"/>
      <c r="I1057" s="87"/>
      <c r="J1057" s="87"/>
      <c r="K1057" s="88"/>
      <c r="L1057" s="69">
        <f t="shared" ref="L1057:L1081" si="56">I1057+L996</f>
        <v>1</v>
      </c>
      <c r="M1057" s="70"/>
      <c r="N1057" s="8"/>
      <c r="O1057" s="1"/>
      <c r="P1057" s="30">
        <v>193300</v>
      </c>
      <c r="Q1057" s="38">
        <f t="shared" ref="Q1057:Q1081" si="57">P1057*G1057</f>
        <v>193300</v>
      </c>
      <c r="R1057" s="28">
        <f>L1057*P1057</f>
        <v>193300</v>
      </c>
    </row>
    <row r="1058" spans="1:18">
      <c r="A1058" s="89" t="s">
        <v>69</v>
      </c>
      <c r="B1058" s="90"/>
      <c r="C1058" s="90"/>
      <c r="D1058" s="90"/>
      <c r="E1058" s="91"/>
      <c r="F1058" s="20" t="s">
        <v>60</v>
      </c>
      <c r="G1058" s="67">
        <v>1</v>
      </c>
      <c r="H1058" s="68"/>
      <c r="I1058" s="87"/>
      <c r="J1058" s="87"/>
      <c r="K1058" s="88"/>
      <c r="L1058" s="69">
        <f t="shared" si="56"/>
        <v>0.5</v>
      </c>
      <c r="M1058" s="70"/>
      <c r="N1058" s="8"/>
      <c r="O1058" s="1"/>
      <c r="P1058" s="30">
        <v>30000</v>
      </c>
      <c r="Q1058" s="38">
        <f t="shared" si="57"/>
        <v>30000</v>
      </c>
      <c r="R1058" s="28">
        <f>L1058*P1058</f>
        <v>15000</v>
      </c>
    </row>
    <row r="1059" spans="1:18">
      <c r="A1059" s="64" t="s">
        <v>70</v>
      </c>
      <c r="B1059" s="65"/>
      <c r="C1059" s="65"/>
      <c r="D1059" s="65"/>
      <c r="E1059" s="66"/>
      <c r="F1059" s="20" t="s">
        <v>60</v>
      </c>
      <c r="G1059" s="67">
        <v>1</v>
      </c>
      <c r="H1059" s="68"/>
      <c r="I1059" s="87"/>
      <c r="J1059" s="87"/>
      <c r="K1059" s="88"/>
      <c r="L1059" s="69">
        <f t="shared" si="56"/>
        <v>1</v>
      </c>
      <c r="M1059" s="70"/>
      <c r="N1059" s="8"/>
      <c r="O1059" s="1"/>
      <c r="P1059" s="31">
        <v>10000</v>
      </c>
      <c r="Q1059" s="38">
        <f t="shared" si="57"/>
        <v>10000</v>
      </c>
      <c r="R1059" s="28">
        <f t="shared" ref="R1059:R1081" si="58">L1059*P1059</f>
        <v>10000</v>
      </c>
    </row>
    <row r="1060" spans="1:18">
      <c r="A1060" s="64" t="s">
        <v>71</v>
      </c>
      <c r="B1060" s="65"/>
      <c r="C1060" s="65"/>
      <c r="D1060" s="65"/>
      <c r="E1060" s="66"/>
      <c r="F1060" s="20" t="s">
        <v>61</v>
      </c>
      <c r="G1060" s="67">
        <v>9</v>
      </c>
      <c r="H1060" s="68"/>
      <c r="I1060" s="87"/>
      <c r="J1060" s="87"/>
      <c r="K1060" s="88"/>
      <c r="L1060" s="69">
        <f t="shared" si="56"/>
        <v>9</v>
      </c>
      <c r="M1060" s="70"/>
      <c r="N1060" s="8"/>
      <c r="O1060" s="1"/>
      <c r="P1060" s="30">
        <v>21000</v>
      </c>
      <c r="Q1060" s="38">
        <f t="shared" si="57"/>
        <v>189000</v>
      </c>
      <c r="R1060" s="28">
        <f t="shared" si="58"/>
        <v>189000</v>
      </c>
    </row>
    <row r="1061" spans="1:18">
      <c r="A1061" s="64" t="s">
        <v>72</v>
      </c>
      <c r="B1061" s="65"/>
      <c r="C1061" s="65"/>
      <c r="D1061" s="65"/>
      <c r="E1061" s="66"/>
      <c r="F1061" s="2" t="s">
        <v>60</v>
      </c>
      <c r="G1061" s="67">
        <v>1</v>
      </c>
      <c r="H1061" s="68"/>
      <c r="I1061" s="87"/>
      <c r="J1061" s="87"/>
      <c r="K1061" s="88"/>
      <c r="L1061" s="69">
        <f t="shared" si="56"/>
        <v>0</v>
      </c>
      <c r="M1061" s="70"/>
      <c r="N1061" s="8"/>
      <c r="O1061" s="1"/>
      <c r="P1061" s="30">
        <v>184468</v>
      </c>
      <c r="Q1061" s="38">
        <f t="shared" si="57"/>
        <v>184468</v>
      </c>
      <c r="R1061" s="28">
        <f t="shared" si="58"/>
        <v>0</v>
      </c>
    </row>
    <row r="1062" spans="1:18">
      <c r="A1062" s="83" t="s">
        <v>73</v>
      </c>
      <c r="B1062" s="84"/>
      <c r="C1062" s="84"/>
      <c r="D1062" s="84"/>
      <c r="E1062" s="85"/>
      <c r="F1062" s="20" t="s">
        <v>62</v>
      </c>
      <c r="G1062" s="67">
        <v>9</v>
      </c>
      <c r="H1062" s="68"/>
      <c r="I1062" s="87"/>
      <c r="J1062" s="87"/>
      <c r="K1062" s="88"/>
      <c r="L1062" s="69">
        <f t="shared" si="56"/>
        <v>0</v>
      </c>
      <c r="M1062" s="70"/>
      <c r="N1062" s="8"/>
      <c r="O1062" s="1"/>
      <c r="P1062" s="30">
        <v>20000</v>
      </c>
      <c r="Q1062" s="38">
        <f t="shared" si="57"/>
        <v>180000</v>
      </c>
      <c r="R1062" s="28">
        <f t="shared" si="58"/>
        <v>0</v>
      </c>
    </row>
    <row r="1063" spans="1:18">
      <c r="A1063" s="83" t="s">
        <v>74</v>
      </c>
      <c r="B1063" s="84"/>
      <c r="C1063" s="84"/>
      <c r="D1063" s="84"/>
      <c r="E1063" s="85"/>
      <c r="F1063" s="20" t="s">
        <v>63</v>
      </c>
      <c r="G1063" s="67">
        <v>52</v>
      </c>
      <c r="H1063" s="68"/>
      <c r="I1063" s="87"/>
      <c r="J1063" s="87"/>
      <c r="K1063" s="88"/>
      <c r="L1063" s="69">
        <f t="shared" si="56"/>
        <v>52</v>
      </c>
      <c r="M1063" s="70"/>
      <c r="N1063" s="8"/>
      <c r="O1063" s="1"/>
      <c r="P1063" s="31">
        <v>2500</v>
      </c>
      <c r="Q1063" s="38">
        <f t="shared" si="57"/>
        <v>130000</v>
      </c>
      <c r="R1063" s="28">
        <f t="shared" si="58"/>
        <v>130000</v>
      </c>
    </row>
    <row r="1064" spans="1:18">
      <c r="A1064" s="83" t="s">
        <v>75</v>
      </c>
      <c r="B1064" s="84"/>
      <c r="C1064" s="84"/>
      <c r="D1064" s="84"/>
      <c r="E1064" s="85"/>
      <c r="F1064" s="20" t="s">
        <v>64</v>
      </c>
      <c r="G1064" s="67">
        <v>1</v>
      </c>
      <c r="H1064" s="68"/>
      <c r="I1064" s="87"/>
      <c r="J1064" s="87"/>
      <c r="K1064" s="88"/>
      <c r="L1064" s="69">
        <f t="shared" si="56"/>
        <v>0</v>
      </c>
      <c r="M1064" s="70"/>
      <c r="N1064" s="8"/>
      <c r="O1064" s="1"/>
      <c r="P1064" s="30">
        <v>80000</v>
      </c>
      <c r="Q1064" s="38">
        <f t="shared" si="57"/>
        <v>80000</v>
      </c>
      <c r="R1064" s="28">
        <f t="shared" si="58"/>
        <v>0</v>
      </c>
    </row>
    <row r="1065" spans="1:18">
      <c r="A1065" s="89" t="s">
        <v>76</v>
      </c>
      <c r="B1065" s="90"/>
      <c r="C1065" s="90"/>
      <c r="D1065" s="90"/>
      <c r="E1065" s="91"/>
      <c r="F1065" s="20" t="s">
        <v>65</v>
      </c>
      <c r="G1065" s="67">
        <v>31</v>
      </c>
      <c r="H1065" s="68"/>
      <c r="I1065" s="87"/>
      <c r="J1065" s="87"/>
      <c r="K1065" s="88"/>
      <c r="L1065" s="69">
        <f t="shared" si="56"/>
        <v>0</v>
      </c>
      <c r="M1065" s="70"/>
      <c r="N1065" s="8"/>
      <c r="O1065" s="1"/>
      <c r="P1065" s="30">
        <v>400</v>
      </c>
      <c r="Q1065" s="38">
        <f t="shared" si="57"/>
        <v>12400</v>
      </c>
      <c r="R1065" s="28">
        <f t="shared" si="58"/>
        <v>0</v>
      </c>
    </row>
    <row r="1066" spans="1:18">
      <c r="A1066" s="64" t="s">
        <v>77</v>
      </c>
      <c r="B1066" s="65"/>
      <c r="C1066" s="65"/>
      <c r="D1066" s="65"/>
      <c r="E1066" s="66"/>
      <c r="F1066" s="20" t="s">
        <v>65</v>
      </c>
      <c r="G1066" s="67">
        <v>100</v>
      </c>
      <c r="H1066" s="68"/>
      <c r="I1066" s="87"/>
      <c r="J1066" s="87"/>
      <c r="K1066" s="88"/>
      <c r="L1066" s="69">
        <f t="shared" si="56"/>
        <v>0</v>
      </c>
      <c r="M1066" s="70"/>
      <c r="N1066" s="8"/>
      <c r="O1066" s="1"/>
      <c r="P1066" s="30">
        <v>350</v>
      </c>
      <c r="Q1066" s="38">
        <f t="shared" si="57"/>
        <v>35000</v>
      </c>
      <c r="R1066" s="28">
        <f t="shared" si="58"/>
        <v>0</v>
      </c>
    </row>
    <row r="1067" spans="1:18">
      <c r="A1067" s="64" t="s">
        <v>78</v>
      </c>
      <c r="B1067" s="65"/>
      <c r="C1067" s="65"/>
      <c r="D1067" s="65"/>
      <c r="E1067" s="66"/>
      <c r="F1067" s="20" t="s">
        <v>63</v>
      </c>
      <c r="G1067" s="67">
        <v>35</v>
      </c>
      <c r="H1067" s="68"/>
      <c r="I1067" s="87"/>
      <c r="J1067" s="87"/>
      <c r="K1067" s="88"/>
      <c r="L1067" s="69">
        <f t="shared" si="56"/>
        <v>0</v>
      </c>
      <c r="M1067" s="70"/>
      <c r="N1067" s="8"/>
      <c r="O1067" s="1"/>
      <c r="P1067" s="30">
        <v>1200</v>
      </c>
      <c r="Q1067" s="38">
        <f t="shared" si="57"/>
        <v>42000</v>
      </c>
      <c r="R1067" s="28">
        <f t="shared" si="58"/>
        <v>0</v>
      </c>
    </row>
    <row r="1068" spans="1:18">
      <c r="A1068" s="64" t="s">
        <v>79</v>
      </c>
      <c r="B1068" s="65"/>
      <c r="C1068" s="65"/>
      <c r="D1068" s="65"/>
      <c r="E1068" s="66"/>
      <c r="F1068" s="20" t="s">
        <v>63</v>
      </c>
      <c r="G1068" s="67">
        <v>282</v>
      </c>
      <c r="H1068" s="68"/>
      <c r="I1068" s="86"/>
      <c r="J1068" s="87"/>
      <c r="K1068" s="88"/>
      <c r="L1068" s="69">
        <f t="shared" si="56"/>
        <v>0</v>
      </c>
      <c r="M1068" s="70"/>
      <c r="N1068" s="8"/>
      <c r="O1068" s="1"/>
      <c r="P1068" s="30">
        <v>1400</v>
      </c>
      <c r="Q1068" s="38">
        <f t="shared" si="57"/>
        <v>394800</v>
      </c>
      <c r="R1068" s="28">
        <f t="shared" si="58"/>
        <v>0</v>
      </c>
    </row>
    <row r="1069" spans="1:18">
      <c r="A1069" s="83" t="s">
        <v>80</v>
      </c>
      <c r="B1069" s="84"/>
      <c r="C1069" s="84"/>
      <c r="D1069" s="84"/>
      <c r="E1069" s="85"/>
      <c r="F1069" s="21" t="s">
        <v>65</v>
      </c>
      <c r="G1069" s="67">
        <v>58</v>
      </c>
      <c r="H1069" s="68"/>
      <c r="I1069" s="86"/>
      <c r="J1069" s="87"/>
      <c r="K1069" s="88"/>
      <c r="L1069" s="69">
        <f t="shared" si="56"/>
        <v>0</v>
      </c>
      <c r="M1069" s="70"/>
      <c r="N1069" s="8"/>
      <c r="O1069" s="1"/>
      <c r="P1069" s="30">
        <v>3600</v>
      </c>
      <c r="Q1069" s="38">
        <f t="shared" si="57"/>
        <v>208800</v>
      </c>
      <c r="R1069" s="28">
        <f t="shared" si="58"/>
        <v>0</v>
      </c>
    </row>
    <row r="1070" spans="1:18">
      <c r="A1070" s="83" t="s">
        <v>81</v>
      </c>
      <c r="B1070" s="84"/>
      <c r="C1070" s="84"/>
      <c r="D1070" s="84"/>
      <c r="E1070" s="85"/>
      <c r="F1070" s="21" t="s">
        <v>65</v>
      </c>
      <c r="G1070" s="67">
        <v>360</v>
      </c>
      <c r="H1070" s="68"/>
      <c r="I1070" s="86"/>
      <c r="J1070" s="87"/>
      <c r="K1070" s="88"/>
      <c r="L1070" s="69">
        <f t="shared" si="56"/>
        <v>0</v>
      </c>
      <c r="M1070" s="70"/>
      <c r="N1070" s="8"/>
      <c r="O1070" s="1"/>
      <c r="P1070" s="30">
        <v>230</v>
      </c>
      <c r="Q1070" s="38">
        <f t="shared" si="57"/>
        <v>82800</v>
      </c>
      <c r="R1070" s="28">
        <f t="shared" si="58"/>
        <v>0</v>
      </c>
    </row>
    <row r="1071" spans="1:18">
      <c r="A1071" s="83" t="s">
        <v>82</v>
      </c>
      <c r="B1071" s="84"/>
      <c r="C1071" s="84"/>
      <c r="D1071" s="84"/>
      <c r="E1071" s="85"/>
      <c r="F1071" s="21" t="s">
        <v>65</v>
      </c>
      <c r="G1071" s="67">
        <v>2400</v>
      </c>
      <c r="H1071" s="68"/>
      <c r="I1071" s="86"/>
      <c r="J1071" s="87"/>
      <c r="K1071" s="88"/>
      <c r="L1071" s="69">
        <f t="shared" si="56"/>
        <v>0</v>
      </c>
      <c r="M1071" s="70"/>
      <c r="N1071" s="8"/>
      <c r="O1071" s="1"/>
      <c r="P1071" s="30">
        <v>80</v>
      </c>
      <c r="Q1071" s="38">
        <f t="shared" si="57"/>
        <v>192000</v>
      </c>
      <c r="R1071" s="28">
        <f t="shared" si="58"/>
        <v>0</v>
      </c>
    </row>
    <row r="1072" spans="1:18">
      <c r="A1072" s="89" t="s">
        <v>83</v>
      </c>
      <c r="B1072" s="90"/>
      <c r="C1072" s="90"/>
      <c r="D1072" s="90"/>
      <c r="E1072" s="91"/>
      <c r="F1072" s="21" t="s">
        <v>65</v>
      </c>
      <c r="G1072" s="67">
        <v>360</v>
      </c>
      <c r="H1072" s="68"/>
      <c r="I1072" s="86"/>
      <c r="J1072" s="87"/>
      <c r="K1072" s="88"/>
      <c r="L1072" s="69">
        <f t="shared" si="56"/>
        <v>0</v>
      </c>
      <c r="M1072" s="70"/>
      <c r="N1072" s="8"/>
      <c r="O1072" s="1"/>
      <c r="P1072" s="30">
        <v>420</v>
      </c>
      <c r="Q1072" s="38">
        <f t="shared" si="57"/>
        <v>151200</v>
      </c>
      <c r="R1072" s="28">
        <f t="shared" si="58"/>
        <v>0</v>
      </c>
    </row>
    <row r="1073" spans="1:19">
      <c r="A1073" s="64" t="s">
        <v>84</v>
      </c>
      <c r="B1073" s="65"/>
      <c r="C1073" s="65"/>
      <c r="D1073" s="65"/>
      <c r="E1073" s="66"/>
      <c r="F1073" s="21" t="s">
        <v>65</v>
      </c>
      <c r="G1073" s="67">
        <v>2760</v>
      </c>
      <c r="H1073" s="68"/>
      <c r="I1073" s="86"/>
      <c r="J1073" s="87"/>
      <c r="K1073" s="88"/>
      <c r="L1073" s="69">
        <f t="shared" si="56"/>
        <v>0</v>
      </c>
      <c r="M1073" s="70"/>
      <c r="N1073" s="8"/>
      <c r="O1073" s="1"/>
      <c r="P1073" s="30">
        <v>460</v>
      </c>
      <c r="Q1073" s="38">
        <f t="shared" si="57"/>
        <v>1269600</v>
      </c>
      <c r="R1073" s="28">
        <f t="shared" si="58"/>
        <v>0</v>
      </c>
    </row>
    <row r="1074" spans="1:19">
      <c r="A1074" s="64" t="s">
        <v>85</v>
      </c>
      <c r="B1074" s="65"/>
      <c r="C1074" s="65"/>
      <c r="D1074" s="65"/>
      <c r="E1074" s="66"/>
      <c r="F1074" s="21" t="s">
        <v>65</v>
      </c>
      <c r="G1074" s="67">
        <v>275</v>
      </c>
      <c r="H1074" s="68"/>
      <c r="I1074" s="86"/>
      <c r="J1074" s="87"/>
      <c r="K1074" s="88"/>
      <c r="L1074" s="69">
        <f t="shared" si="56"/>
        <v>0</v>
      </c>
      <c r="M1074" s="70"/>
      <c r="N1074" s="8"/>
      <c r="O1074" s="1"/>
      <c r="P1074" s="31">
        <v>350</v>
      </c>
      <c r="Q1074" s="38">
        <f t="shared" si="57"/>
        <v>96250</v>
      </c>
      <c r="R1074" s="28">
        <f t="shared" si="58"/>
        <v>0</v>
      </c>
    </row>
    <row r="1075" spans="1:19">
      <c r="A1075" s="64" t="s">
        <v>86</v>
      </c>
      <c r="B1075" s="65"/>
      <c r="C1075" s="65"/>
      <c r="D1075" s="65"/>
      <c r="E1075" s="66"/>
      <c r="F1075" s="21" t="s">
        <v>60</v>
      </c>
      <c r="G1075" s="67">
        <v>1</v>
      </c>
      <c r="H1075" s="68"/>
      <c r="I1075" s="86"/>
      <c r="J1075" s="87"/>
      <c r="K1075" s="88"/>
      <c r="L1075" s="69">
        <f t="shared" si="56"/>
        <v>0</v>
      </c>
      <c r="M1075" s="70"/>
      <c r="N1075" s="8"/>
      <c r="O1075" s="2"/>
      <c r="P1075" s="30">
        <v>40000</v>
      </c>
      <c r="Q1075" s="38">
        <f t="shared" si="57"/>
        <v>40000</v>
      </c>
      <c r="R1075" s="28">
        <f t="shared" si="58"/>
        <v>0</v>
      </c>
    </row>
    <row r="1076" spans="1:19">
      <c r="A1076" s="83" t="s">
        <v>87</v>
      </c>
      <c r="B1076" s="84"/>
      <c r="C1076" s="84"/>
      <c r="D1076" s="84"/>
      <c r="E1076" s="85"/>
      <c r="F1076" s="20" t="s">
        <v>60</v>
      </c>
      <c r="G1076" s="67">
        <v>1</v>
      </c>
      <c r="H1076" s="68"/>
      <c r="I1076" s="86"/>
      <c r="J1076" s="87"/>
      <c r="K1076" s="88"/>
      <c r="L1076" s="69">
        <f t="shared" si="56"/>
        <v>0</v>
      </c>
      <c r="M1076" s="70"/>
      <c r="N1076" s="8"/>
      <c r="O1076" s="1"/>
      <c r="P1076" s="31">
        <v>276970</v>
      </c>
      <c r="Q1076" s="38">
        <f t="shared" si="57"/>
        <v>276970</v>
      </c>
      <c r="R1076" s="28">
        <f t="shared" si="58"/>
        <v>0</v>
      </c>
    </row>
    <row r="1077" spans="1:19">
      <c r="A1077" s="83" t="s">
        <v>88</v>
      </c>
      <c r="B1077" s="84"/>
      <c r="C1077" s="84"/>
      <c r="D1077" s="84"/>
      <c r="E1077" s="85"/>
      <c r="F1077" s="20" t="s">
        <v>60</v>
      </c>
      <c r="G1077" s="67">
        <v>1</v>
      </c>
      <c r="H1077" s="68"/>
      <c r="I1077" s="26"/>
      <c r="J1077" s="23"/>
      <c r="K1077" s="24"/>
      <c r="L1077" s="69">
        <f t="shared" si="56"/>
        <v>0</v>
      </c>
      <c r="M1077" s="70"/>
      <c r="N1077" s="25"/>
      <c r="O1077" s="1"/>
      <c r="P1077" s="32">
        <v>60873</v>
      </c>
      <c r="Q1077" s="38">
        <f t="shared" si="57"/>
        <v>60873</v>
      </c>
      <c r="R1077" s="28">
        <f t="shared" si="58"/>
        <v>0</v>
      </c>
    </row>
    <row r="1078" spans="1:19">
      <c r="A1078" s="83" t="s">
        <v>89</v>
      </c>
      <c r="B1078" s="84"/>
      <c r="C1078" s="84"/>
      <c r="D1078" s="84"/>
      <c r="E1078" s="85"/>
      <c r="F1078" s="20" t="s">
        <v>60</v>
      </c>
      <c r="G1078" s="67">
        <v>1</v>
      </c>
      <c r="H1078" s="68"/>
      <c r="I1078" s="26"/>
      <c r="J1078" s="23"/>
      <c r="K1078" s="24"/>
      <c r="L1078" s="69">
        <f t="shared" si="56"/>
        <v>0</v>
      </c>
      <c r="M1078" s="70"/>
      <c r="N1078" s="25"/>
      <c r="O1078" s="1"/>
      <c r="P1078" s="32">
        <v>60873</v>
      </c>
      <c r="Q1078" s="38">
        <f t="shared" si="57"/>
        <v>60873</v>
      </c>
      <c r="R1078" s="28">
        <f t="shared" si="58"/>
        <v>0</v>
      </c>
    </row>
    <row r="1079" spans="1:19">
      <c r="A1079" s="83" t="s">
        <v>90</v>
      </c>
      <c r="B1079" s="84"/>
      <c r="C1079" s="84"/>
      <c r="D1079" s="84"/>
      <c r="E1079" s="85"/>
      <c r="F1079" s="20" t="s">
        <v>60</v>
      </c>
      <c r="G1079" s="67">
        <v>1</v>
      </c>
      <c r="H1079" s="68"/>
      <c r="I1079" s="26"/>
      <c r="J1079" s="23"/>
      <c r="K1079" s="24"/>
      <c r="L1079" s="69">
        <f t="shared" si="56"/>
        <v>0</v>
      </c>
      <c r="M1079" s="70"/>
      <c r="N1079" s="25"/>
      <c r="O1079" s="1"/>
      <c r="P1079" s="34">
        <v>266321</v>
      </c>
      <c r="Q1079" s="38">
        <f t="shared" si="57"/>
        <v>266321</v>
      </c>
      <c r="R1079" s="28">
        <f t="shared" si="58"/>
        <v>0</v>
      </c>
    </row>
    <row r="1080" spans="1:19">
      <c r="A1080" s="83" t="s">
        <v>91</v>
      </c>
      <c r="B1080" s="84"/>
      <c r="C1080" s="84"/>
      <c r="D1080" s="84"/>
      <c r="E1080" s="85"/>
      <c r="F1080" s="2" t="s">
        <v>60</v>
      </c>
      <c r="G1080" s="67">
        <v>1</v>
      </c>
      <c r="H1080" s="68"/>
      <c r="I1080" s="26"/>
      <c r="J1080" s="23"/>
      <c r="K1080" s="24"/>
      <c r="L1080" s="69">
        <f t="shared" si="56"/>
        <v>1</v>
      </c>
      <c r="M1080" s="70"/>
      <c r="N1080" s="25"/>
      <c r="O1080" s="1"/>
      <c r="P1080" s="32">
        <v>13316</v>
      </c>
      <c r="Q1080" s="38">
        <f t="shared" si="57"/>
        <v>13316</v>
      </c>
      <c r="R1080" s="28">
        <f t="shared" si="58"/>
        <v>13316</v>
      </c>
    </row>
    <row r="1081" spans="1:19">
      <c r="A1081" s="83" t="s">
        <v>92</v>
      </c>
      <c r="B1081" s="84"/>
      <c r="C1081" s="84"/>
      <c r="D1081" s="84"/>
      <c r="E1081" s="85"/>
      <c r="F1081" s="20" t="s">
        <v>60</v>
      </c>
      <c r="G1081" s="67">
        <v>1</v>
      </c>
      <c r="H1081" s="68"/>
      <c r="I1081" s="26"/>
      <c r="J1081" s="23"/>
      <c r="K1081" s="24"/>
      <c r="L1081" s="69">
        <f t="shared" si="56"/>
        <v>0</v>
      </c>
      <c r="M1081" s="70"/>
      <c r="N1081" s="25"/>
      <c r="O1081" s="1"/>
      <c r="P1081" s="32">
        <v>210299</v>
      </c>
      <c r="Q1081" s="38">
        <f t="shared" si="57"/>
        <v>210299</v>
      </c>
      <c r="R1081" s="28">
        <f t="shared" si="58"/>
        <v>0</v>
      </c>
    </row>
    <row r="1082" spans="1:19">
      <c r="A1082" s="64"/>
      <c r="B1082" s="65"/>
      <c r="C1082" s="65"/>
      <c r="D1082" s="65"/>
      <c r="E1082" s="66"/>
      <c r="F1082" s="22"/>
      <c r="G1082" s="67"/>
      <c r="H1082" s="68"/>
      <c r="I1082" s="26"/>
      <c r="J1082" s="23"/>
      <c r="K1082" s="24"/>
      <c r="L1082" s="69"/>
      <c r="M1082" s="70"/>
      <c r="N1082" s="25"/>
      <c r="O1082" s="3"/>
      <c r="P1082" s="32"/>
      <c r="Q1082" s="33">
        <f>SUM(Q1056:Q1081)</f>
        <v>4416270</v>
      </c>
      <c r="R1082" s="29">
        <f>SUM(R1056:R1081)</f>
        <v>556616</v>
      </c>
    </row>
    <row r="1083" spans="1:19">
      <c r="A1083" s="64"/>
      <c r="B1083" s="65"/>
      <c r="C1083" s="65"/>
      <c r="D1083" s="65"/>
      <c r="E1083" s="66"/>
      <c r="F1083" s="22"/>
      <c r="G1083" s="67"/>
      <c r="H1083" s="68"/>
      <c r="I1083" s="26"/>
      <c r="J1083" s="23"/>
      <c r="K1083" s="24"/>
      <c r="L1083" s="69"/>
      <c r="M1083" s="70"/>
      <c r="N1083" s="25"/>
      <c r="O1083" s="3"/>
      <c r="P1083" s="32"/>
      <c r="Q1083" s="33"/>
      <c r="R1083" s="37">
        <f>R1082/Q1082</f>
        <v>0.12603758375280497</v>
      </c>
    </row>
    <row r="1084" spans="1:19">
      <c r="A1084" s="62" t="s">
        <v>14</v>
      </c>
      <c r="B1084" s="62"/>
      <c r="C1084" s="62"/>
      <c r="D1084" s="62"/>
      <c r="E1084" s="62"/>
      <c r="F1084" s="62"/>
      <c r="G1084" s="62"/>
      <c r="H1084" s="62"/>
      <c r="I1084" s="62"/>
      <c r="J1084" s="62"/>
      <c r="K1084" s="62"/>
      <c r="L1084" s="62"/>
      <c r="M1084" s="62"/>
      <c r="N1084" s="62"/>
      <c r="O1084" s="1"/>
      <c r="P1084" s="32"/>
      <c r="Q1084" s="33"/>
      <c r="R1084" s="29"/>
      <c r="S1084" s="16"/>
    </row>
    <row r="1085" spans="1:19">
      <c r="A1085" s="71" t="s">
        <v>15</v>
      </c>
      <c r="B1085" s="72"/>
      <c r="C1085" s="72"/>
      <c r="D1085" s="72"/>
      <c r="E1085" s="73"/>
      <c r="F1085" s="9" t="s">
        <v>37</v>
      </c>
      <c r="G1085" s="71" t="s">
        <v>38</v>
      </c>
      <c r="H1085" s="73"/>
      <c r="I1085" s="71" t="s">
        <v>42</v>
      </c>
      <c r="J1085" s="72"/>
      <c r="K1085" s="73"/>
      <c r="L1085" s="74" t="s">
        <v>17</v>
      </c>
      <c r="M1085" s="75"/>
      <c r="N1085" s="9" t="s">
        <v>13</v>
      </c>
      <c r="O1085" s="1"/>
      <c r="P1085" s="32"/>
      <c r="Q1085" s="33"/>
      <c r="R1085" s="29"/>
      <c r="S1085" s="16"/>
    </row>
    <row r="1086" spans="1:19">
      <c r="A1086" s="71"/>
      <c r="B1086" s="72"/>
      <c r="C1086" s="72"/>
      <c r="D1086" s="72"/>
      <c r="E1086" s="73"/>
      <c r="F1086" s="13"/>
      <c r="G1086" s="76"/>
      <c r="H1086" s="77"/>
      <c r="I1086" s="78"/>
      <c r="J1086" s="79"/>
      <c r="K1086" s="80"/>
      <c r="L1086" s="81"/>
      <c r="M1086" s="82"/>
      <c r="N1086" s="8"/>
      <c r="O1086" s="1"/>
      <c r="P1086" s="32"/>
      <c r="Q1086" s="33"/>
      <c r="R1086" s="29"/>
      <c r="S1086" s="16"/>
    </row>
    <row r="1087" spans="1:19">
      <c r="A1087" s="62" t="s">
        <v>19</v>
      </c>
      <c r="B1087" s="62"/>
      <c r="C1087" s="62"/>
      <c r="D1087" s="62"/>
      <c r="E1087" s="62"/>
      <c r="F1087" s="62"/>
      <c r="G1087" s="62"/>
      <c r="H1087" s="62"/>
      <c r="I1087" s="62"/>
      <c r="J1087" s="62"/>
      <c r="K1087" s="62"/>
      <c r="L1087" s="62"/>
      <c r="M1087" s="62"/>
      <c r="N1087" s="62"/>
      <c r="O1087" s="1"/>
      <c r="P1087" s="32"/>
      <c r="Q1087" s="33"/>
      <c r="R1087" s="29"/>
      <c r="S1087" s="16"/>
    </row>
    <row r="1088" spans="1:19">
      <c r="A1088" s="63" t="s">
        <v>20</v>
      </c>
      <c r="B1088" s="63"/>
      <c r="C1088" s="63" t="s">
        <v>21</v>
      </c>
      <c r="D1088" s="63"/>
      <c r="E1088" s="63" t="s">
        <v>22</v>
      </c>
      <c r="F1088" s="63"/>
      <c r="G1088" s="63" t="s">
        <v>23</v>
      </c>
      <c r="H1088" s="63"/>
      <c r="I1088" s="63"/>
      <c r="J1088" s="63" t="s">
        <v>16</v>
      </c>
      <c r="K1088" s="63"/>
      <c r="L1088" s="63"/>
      <c r="M1088" s="63" t="s">
        <v>17</v>
      </c>
      <c r="N1088" s="63"/>
      <c r="O1088" s="1"/>
      <c r="Q1088" s="32"/>
      <c r="R1088" s="33"/>
      <c r="S1088" s="16"/>
    </row>
    <row r="1089" spans="1:19">
      <c r="A1089" s="60" t="s">
        <v>24</v>
      </c>
      <c r="B1089" s="52"/>
      <c r="C1089" s="61"/>
      <c r="D1089" s="61"/>
      <c r="E1089" s="61">
        <f>C1089+E1028</f>
        <v>18</v>
      </c>
      <c r="F1089" s="61"/>
      <c r="G1089" s="60" t="s">
        <v>51</v>
      </c>
      <c r="H1089" s="51"/>
      <c r="I1089" s="52"/>
      <c r="J1089" s="61"/>
      <c r="K1089" s="61"/>
      <c r="L1089" s="61"/>
      <c r="M1089" s="61">
        <f>K1089+M1028</f>
        <v>1</v>
      </c>
      <c r="N1089" s="61"/>
      <c r="O1089" s="1"/>
      <c r="Q1089" s="32"/>
      <c r="R1089" s="33"/>
      <c r="S1089" s="16"/>
    </row>
    <row r="1090" spans="1:19">
      <c r="A1090" s="60" t="s">
        <v>25</v>
      </c>
      <c r="B1090" s="52"/>
      <c r="C1090" s="61"/>
      <c r="D1090" s="61"/>
      <c r="E1090" s="61">
        <f>C1090+E1029</f>
        <v>17</v>
      </c>
      <c r="F1090" s="61"/>
      <c r="G1090" s="60" t="s">
        <v>50</v>
      </c>
      <c r="H1090" s="51"/>
      <c r="I1090" s="52"/>
      <c r="J1090" s="61"/>
      <c r="K1090" s="61"/>
      <c r="L1090" s="61"/>
      <c r="M1090" s="61">
        <f>K1090+M1029</f>
        <v>1</v>
      </c>
      <c r="N1090" s="61"/>
      <c r="O1090" s="1"/>
      <c r="Q1090" s="32"/>
      <c r="R1090" s="33"/>
      <c r="S1090" s="16"/>
    </row>
    <row r="1091" spans="1:19">
      <c r="A1091" s="60"/>
      <c r="B1091" s="52"/>
      <c r="C1091" s="61"/>
      <c r="D1091" s="61"/>
      <c r="E1091" s="61"/>
      <c r="F1091" s="61"/>
      <c r="G1091" s="60" t="s">
        <v>55</v>
      </c>
      <c r="H1091" s="51"/>
      <c r="I1091" s="52"/>
      <c r="J1091" s="61"/>
      <c r="K1091" s="61"/>
      <c r="L1091" s="61"/>
      <c r="M1091" s="61">
        <f>K1091+M1030</f>
        <v>0</v>
      </c>
      <c r="N1091" s="61"/>
      <c r="O1091" s="2"/>
      <c r="P1091" s="29"/>
      <c r="Q1091" s="32"/>
      <c r="R1091" s="33"/>
      <c r="S1091" s="16"/>
    </row>
    <row r="1092" spans="1:19">
      <c r="A1092" s="53" t="s">
        <v>53</v>
      </c>
      <c r="B1092" s="47"/>
      <c r="C1092" s="53"/>
      <c r="D1092" s="53"/>
      <c r="E1092" s="53"/>
      <c r="F1092" s="53"/>
      <c r="G1092" s="53"/>
      <c r="H1092" s="53"/>
      <c r="I1092" s="53"/>
      <c r="J1092" s="53"/>
      <c r="K1092" s="53"/>
      <c r="L1092" s="53"/>
      <c r="M1092" s="53"/>
      <c r="N1092" s="53"/>
      <c r="O1092" s="1"/>
      <c r="P1092" s="32"/>
      <c r="Q1092" s="32"/>
      <c r="R1092" s="33"/>
      <c r="S1092" s="16"/>
    </row>
    <row r="1093" spans="1:19">
      <c r="A1093" s="45" t="s">
        <v>56</v>
      </c>
      <c r="B1093" s="46"/>
      <c r="C1093" s="46"/>
      <c r="D1093" s="46"/>
      <c r="E1093" s="46"/>
      <c r="F1093" s="46"/>
      <c r="G1093" s="46"/>
      <c r="H1093" s="46"/>
      <c r="I1093" s="46"/>
      <c r="J1093" s="46"/>
      <c r="K1093" s="46"/>
      <c r="L1093" s="46"/>
      <c r="M1093" s="46"/>
      <c r="N1093" s="47"/>
      <c r="O1093" s="1"/>
      <c r="P1093" s="32"/>
      <c r="Q1093" s="34"/>
      <c r="R1093" s="33"/>
      <c r="S1093" s="16"/>
    </row>
    <row r="1094" spans="1:19">
      <c r="A1094" s="54" t="s">
        <v>54</v>
      </c>
      <c r="B1094" s="55"/>
      <c r="C1094" s="55"/>
      <c r="D1094" s="55"/>
      <c r="E1094" s="55"/>
      <c r="F1094" s="55"/>
      <c r="G1094" s="55"/>
      <c r="H1094" s="55"/>
      <c r="I1094" s="55"/>
      <c r="J1094" s="55"/>
      <c r="K1094" s="55"/>
      <c r="L1094" s="55"/>
      <c r="M1094" s="55"/>
      <c r="N1094" s="56"/>
      <c r="O1094" s="1"/>
      <c r="P1094" s="32"/>
      <c r="Q1094" s="32"/>
      <c r="R1094" s="33"/>
      <c r="S1094" s="16"/>
    </row>
    <row r="1095" spans="1:19">
      <c r="A1095" s="40" t="s">
        <v>26</v>
      </c>
      <c r="B1095" s="41"/>
      <c r="C1095" s="40"/>
      <c r="D1095" s="40"/>
      <c r="E1095" s="40"/>
      <c r="F1095" s="40"/>
      <c r="G1095" s="40"/>
      <c r="H1095" s="40"/>
      <c r="I1095" s="40"/>
      <c r="J1095" s="40"/>
      <c r="K1095" s="40"/>
      <c r="L1095" s="40"/>
      <c r="M1095" s="40"/>
      <c r="N1095" s="40"/>
      <c r="O1095" s="1"/>
      <c r="P1095" s="32"/>
      <c r="Q1095" s="32"/>
      <c r="R1095" s="33"/>
      <c r="S1095" s="16"/>
    </row>
    <row r="1096" spans="1:19">
      <c r="A1096" s="57" t="s">
        <v>27</v>
      </c>
      <c r="B1096" s="58"/>
      <c r="C1096" s="58"/>
      <c r="D1096" s="58"/>
      <c r="E1096" s="58"/>
      <c r="F1096" s="58"/>
      <c r="G1096" s="58"/>
      <c r="H1096" s="58"/>
      <c r="I1096" s="58"/>
      <c r="J1096" s="58"/>
      <c r="K1096" s="58"/>
      <c r="L1096" s="58"/>
      <c r="M1096" s="58"/>
      <c r="N1096" s="59"/>
      <c r="O1096" s="1"/>
      <c r="P1096" s="34"/>
      <c r="Q1096" s="34"/>
      <c r="R1096" s="33"/>
      <c r="S1096" s="16"/>
    </row>
    <row r="1097" spans="1:19">
      <c r="A1097" s="57" t="s">
        <v>57</v>
      </c>
      <c r="B1097" s="58"/>
      <c r="C1097" s="58"/>
      <c r="D1097" s="58"/>
      <c r="E1097" s="58"/>
      <c r="F1097" s="58"/>
      <c r="G1097" s="58"/>
      <c r="H1097" s="58"/>
      <c r="I1097" s="58"/>
      <c r="J1097" s="58"/>
      <c r="K1097" s="58"/>
      <c r="L1097" s="58"/>
      <c r="M1097" s="58"/>
      <c r="N1097" s="59"/>
      <c r="O1097" s="1"/>
      <c r="P1097" s="32"/>
      <c r="Q1097" s="32"/>
      <c r="R1097" s="33"/>
      <c r="S1097" s="16"/>
    </row>
    <row r="1098" spans="1:19">
      <c r="A1098" s="57" t="s">
        <v>58</v>
      </c>
      <c r="B1098" s="58"/>
      <c r="C1098" s="58"/>
      <c r="D1098" s="58"/>
      <c r="E1098" s="58"/>
      <c r="F1098" s="58"/>
      <c r="G1098" s="58"/>
      <c r="H1098" s="58"/>
      <c r="I1098" s="58"/>
      <c r="J1098" s="58"/>
      <c r="K1098" s="58"/>
      <c r="L1098" s="58"/>
      <c r="M1098" s="58"/>
      <c r="N1098" s="59"/>
      <c r="O1098" s="1"/>
      <c r="P1098" s="32"/>
      <c r="Q1098" s="32"/>
      <c r="R1098" s="33"/>
      <c r="S1098" s="16"/>
    </row>
    <row r="1099" spans="1:19">
      <c r="A1099" s="57" t="s">
        <v>59</v>
      </c>
      <c r="B1099" s="58"/>
      <c r="C1099" s="58"/>
      <c r="D1099" s="58"/>
      <c r="E1099" s="58"/>
      <c r="F1099" s="58"/>
      <c r="G1099" s="58"/>
      <c r="H1099" s="58"/>
      <c r="I1099" s="58"/>
      <c r="J1099" s="58"/>
      <c r="K1099" s="58"/>
      <c r="L1099" s="58"/>
      <c r="M1099" s="58"/>
      <c r="N1099" s="59"/>
      <c r="O1099" s="1"/>
      <c r="P1099" s="32"/>
      <c r="Q1099" s="34"/>
      <c r="R1099" s="33"/>
      <c r="S1099" s="16"/>
    </row>
    <row r="1100" spans="1:19">
      <c r="A1100" s="57" t="s">
        <v>28</v>
      </c>
      <c r="B1100" s="58"/>
      <c r="C1100" s="58"/>
      <c r="D1100" s="58"/>
      <c r="E1100" s="58"/>
      <c r="F1100" s="58"/>
      <c r="G1100" s="58"/>
      <c r="H1100" s="58"/>
      <c r="I1100" s="58"/>
      <c r="J1100" s="58"/>
      <c r="K1100" s="58"/>
      <c r="L1100" s="58"/>
      <c r="M1100" s="58"/>
      <c r="N1100" s="59"/>
      <c r="O1100" s="1"/>
      <c r="P1100" s="34"/>
      <c r="Q1100" s="32"/>
      <c r="R1100" s="33"/>
      <c r="S1100" s="16"/>
    </row>
    <row r="1101" spans="1:19">
      <c r="A1101" s="40" t="s">
        <v>29</v>
      </c>
      <c r="B1101" s="41"/>
      <c r="C1101" s="40"/>
      <c r="D1101" s="40"/>
      <c r="E1101" s="40"/>
      <c r="F1101" s="40"/>
      <c r="G1101" s="40"/>
      <c r="H1101" s="40"/>
      <c r="I1101" s="40"/>
      <c r="J1101" s="40"/>
      <c r="K1101" s="40"/>
      <c r="L1101" s="40"/>
      <c r="M1101" s="40"/>
      <c r="N1101" s="40"/>
      <c r="O1101" s="1"/>
      <c r="P1101" s="32"/>
      <c r="Q1101" s="32"/>
      <c r="R1101" s="33"/>
      <c r="S1101" s="16"/>
    </row>
    <row r="1102" spans="1:19">
      <c r="A1102" s="42"/>
      <c r="B1102" s="43"/>
      <c r="C1102" s="43"/>
      <c r="D1102" s="43"/>
      <c r="E1102" s="43"/>
      <c r="F1102" s="43"/>
      <c r="G1102" s="43"/>
      <c r="H1102" s="43"/>
      <c r="I1102" s="43"/>
      <c r="J1102" s="43"/>
      <c r="K1102" s="43"/>
      <c r="L1102" s="43"/>
      <c r="M1102" s="43"/>
      <c r="N1102" s="44"/>
      <c r="O1102" s="1"/>
      <c r="P1102" s="32"/>
      <c r="Q1102" s="32"/>
      <c r="R1102" s="33"/>
      <c r="S1102" s="16"/>
    </row>
    <row r="1103" spans="1:19">
      <c r="A1103" s="40" t="s">
        <v>30</v>
      </c>
      <c r="B1103" s="41"/>
      <c r="C1103" s="40"/>
      <c r="D1103" s="40"/>
      <c r="E1103" s="40"/>
      <c r="F1103" s="40"/>
      <c r="G1103" s="40"/>
      <c r="H1103" s="40"/>
      <c r="I1103" s="40"/>
      <c r="J1103" s="40"/>
      <c r="K1103" s="40"/>
      <c r="L1103" s="40"/>
      <c r="M1103" s="40"/>
      <c r="N1103" s="40"/>
      <c r="O1103" s="1"/>
      <c r="P1103" s="32"/>
      <c r="Q1103" s="32"/>
      <c r="R1103" s="33"/>
      <c r="S1103" s="16"/>
    </row>
    <row r="1104" spans="1:19">
      <c r="A1104" s="42"/>
      <c r="B1104" s="43"/>
      <c r="C1104" s="43"/>
      <c r="D1104" s="43"/>
      <c r="E1104" s="43"/>
      <c r="F1104" s="43"/>
      <c r="G1104" s="43"/>
      <c r="H1104" s="43"/>
      <c r="I1104" s="43"/>
      <c r="J1104" s="43"/>
      <c r="K1104" s="43"/>
      <c r="L1104" s="43"/>
      <c r="M1104" s="43"/>
      <c r="N1104" s="44"/>
      <c r="O1104" s="1"/>
      <c r="P1104" s="32"/>
      <c r="Q1104" s="32"/>
      <c r="R1104" s="33"/>
      <c r="S1104" s="16"/>
    </row>
    <row r="1105" spans="1:19">
      <c r="A1105" s="40" t="s">
        <v>97</v>
      </c>
      <c r="B1105" s="41"/>
      <c r="C1105" s="40"/>
      <c r="D1105" s="40"/>
      <c r="E1105" s="40"/>
      <c r="F1105" s="40"/>
      <c r="G1105" s="40"/>
      <c r="H1105" s="40"/>
      <c r="I1105" s="40"/>
      <c r="J1105" s="40"/>
      <c r="K1105" s="40"/>
      <c r="L1105" s="40"/>
      <c r="M1105" s="40"/>
      <c r="N1105" s="40"/>
      <c r="O1105" s="1"/>
      <c r="P1105" s="32"/>
      <c r="Q1105" s="32"/>
      <c r="R1105" s="33"/>
      <c r="S1105" s="17"/>
    </row>
    <row r="1106" spans="1:19">
      <c r="A1106" s="45"/>
      <c r="B1106" s="46"/>
      <c r="C1106" s="46"/>
      <c r="D1106" s="46"/>
      <c r="E1106" s="46"/>
      <c r="F1106" s="46"/>
      <c r="G1106" s="46"/>
      <c r="H1106" s="46"/>
      <c r="I1106" s="46"/>
      <c r="J1106" s="46"/>
      <c r="K1106" s="46"/>
      <c r="L1106" s="46"/>
      <c r="M1106" s="46"/>
      <c r="N1106" s="47"/>
      <c r="O1106" s="1"/>
      <c r="P1106" s="32"/>
      <c r="Q1106" s="32"/>
      <c r="R1106" s="33"/>
      <c r="S1106" s="1"/>
    </row>
    <row r="1107" spans="1:19">
      <c r="A1107" s="48" t="s">
        <v>41</v>
      </c>
      <c r="B1107" s="49"/>
      <c r="C1107" s="50"/>
      <c r="D1107" s="50"/>
      <c r="E1107" s="50"/>
      <c r="F1107" s="50"/>
      <c r="G1107" s="50"/>
      <c r="H1107" s="51"/>
      <c r="I1107" s="51"/>
      <c r="J1107" s="51"/>
      <c r="K1107" s="51"/>
      <c r="L1107" s="51"/>
      <c r="M1107" s="51"/>
      <c r="N1107" s="52"/>
      <c r="O1107" s="1"/>
      <c r="P1107" s="32"/>
      <c r="Q1107" s="32"/>
      <c r="R1107" s="33"/>
      <c r="S1107" s="1"/>
    </row>
    <row r="1108" spans="1:19" ht="28.2">
      <c r="A1108" s="1" t="s">
        <v>45</v>
      </c>
      <c r="B1108" s="7">
        <f>B1047+1</f>
        <v>19</v>
      </c>
      <c r="C1108" s="5"/>
      <c r="D1108" s="5"/>
      <c r="E1108" s="5"/>
      <c r="F1108" s="5"/>
      <c r="G1108" s="5"/>
      <c r="H1108" s="5"/>
      <c r="I1108" s="5"/>
      <c r="J1108" s="5"/>
      <c r="K1108" s="5"/>
      <c r="L1108" s="5"/>
      <c r="M1108" s="5"/>
      <c r="N1108" s="5"/>
      <c r="O1108" s="1"/>
      <c r="P1108" s="32"/>
      <c r="Q1108" s="33"/>
      <c r="R1108" s="29"/>
    </row>
    <row r="1109" spans="1:19">
      <c r="A1109" s="1" t="s">
        <v>46</v>
      </c>
      <c r="B1109" s="1" t="s">
        <v>1</v>
      </c>
      <c r="C1109" s="1" t="s">
        <v>2</v>
      </c>
      <c r="D1109" s="1" t="s">
        <v>3</v>
      </c>
      <c r="E1109" s="1" t="s">
        <v>2</v>
      </c>
      <c r="F1109" s="1"/>
      <c r="G1109" s="1"/>
      <c r="H1109" s="112" t="s">
        <v>4</v>
      </c>
      <c r="I1109" s="112"/>
      <c r="J1109" s="113">
        <f>J1048+1</f>
        <v>46230</v>
      </c>
      <c r="K1109" s="113"/>
      <c r="L1109" s="113"/>
      <c r="M1109" s="114">
        <f>J1109</f>
        <v>46230</v>
      </c>
      <c r="N1109" s="114"/>
      <c r="O1109" s="1"/>
      <c r="P1109" s="32"/>
      <c r="Q1109" s="33"/>
      <c r="R1109" s="29"/>
    </row>
    <row r="1110" spans="1:19">
      <c r="A1110" s="8" t="s">
        <v>5</v>
      </c>
      <c r="B1110" s="115">
        <f>B1041</f>
        <v>0</v>
      </c>
      <c r="C1110" s="116"/>
      <c r="D1110" s="116"/>
      <c r="E1110" s="116"/>
      <c r="F1110" s="116"/>
      <c r="G1110" s="117"/>
      <c r="H1110" s="63" t="s">
        <v>6</v>
      </c>
      <c r="I1110" s="63"/>
      <c r="J1110" s="63"/>
      <c r="K1110" s="63" t="s">
        <v>52</v>
      </c>
      <c r="L1110" s="63"/>
      <c r="M1110" s="63"/>
      <c r="N1110" s="63"/>
      <c r="O1110" s="1"/>
      <c r="P1110" s="32"/>
      <c r="Q1110" s="33"/>
      <c r="R1110" s="29"/>
    </row>
    <row r="1111" spans="1:19">
      <c r="A1111" s="8" t="s">
        <v>32</v>
      </c>
      <c r="B1111" s="10">
        <v>60</v>
      </c>
      <c r="C1111" s="11" t="s">
        <v>43</v>
      </c>
      <c r="D1111" s="71" t="s">
        <v>7</v>
      </c>
      <c r="E1111" s="73"/>
      <c r="F1111" s="10">
        <f>F1050+1</f>
        <v>19</v>
      </c>
      <c r="G1111" s="11" t="s">
        <v>8</v>
      </c>
      <c r="H1111" s="9" t="s">
        <v>9</v>
      </c>
      <c r="I1111" s="10">
        <f>B1111-F1111</f>
        <v>41</v>
      </c>
      <c r="J1111" s="11" t="s">
        <v>8</v>
      </c>
      <c r="K1111" s="118" t="s">
        <v>33</v>
      </c>
      <c r="L1111" s="119"/>
      <c r="M1111" s="12"/>
      <c r="N1111" s="11" t="s">
        <v>8</v>
      </c>
      <c r="O1111" s="1"/>
      <c r="P1111" s="34"/>
      <c r="Q1111" s="33"/>
      <c r="R1111" s="29"/>
    </row>
    <row r="1112" spans="1:19">
      <c r="A1112" s="71" t="s">
        <v>34</v>
      </c>
      <c r="B1112" s="72"/>
      <c r="C1112" s="73"/>
      <c r="D1112" s="120">
        <v>46212</v>
      </c>
      <c r="E1112" s="121"/>
      <c r="F1112" s="121"/>
      <c r="G1112" s="122"/>
      <c r="H1112" s="71" t="s">
        <v>35</v>
      </c>
      <c r="I1112" s="72"/>
      <c r="J1112" s="73"/>
      <c r="K1112" s="120">
        <f>D1112+59</f>
        <v>46271</v>
      </c>
      <c r="L1112" s="121"/>
      <c r="M1112" s="121"/>
      <c r="N1112" s="122"/>
      <c r="O1112" s="1"/>
      <c r="P1112" s="32"/>
      <c r="Q1112" s="33"/>
      <c r="R1112" s="29"/>
    </row>
    <row r="1113" spans="1:19">
      <c r="A1113" s="92" t="s">
        <v>10</v>
      </c>
      <c r="B1113" s="93"/>
      <c r="C1113" s="94"/>
      <c r="D1113" s="98">
        <f>D1052+0.0455/5</f>
        <v>5.2900000000000003E-2</v>
      </c>
      <c r="E1113" s="99"/>
      <c r="F1113" s="99"/>
      <c r="G1113" s="100"/>
      <c r="H1113" s="104" t="s">
        <v>36</v>
      </c>
      <c r="I1113" s="105"/>
      <c r="J1113" s="106"/>
      <c r="K1113" s="110">
        <f>R1144</f>
        <v>0.1364536135698225</v>
      </c>
      <c r="L1113" s="105"/>
      <c r="M1113" s="105"/>
      <c r="N1113" s="106"/>
      <c r="O1113" s="1"/>
      <c r="P1113" s="32"/>
      <c r="Q1113" s="33"/>
      <c r="R1113" s="29"/>
    </row>
    <row r="1114" spans="1:19">
      <c r="A1114" s="95"/>
      <c r="B1114" s="96"/>
      <c r="C1114" s="97"/>
      <c r="D1114" s="101"/>
      <c r="E1114" s="102"/>
      <c r="F1114" s="102"/>
      <c r="G1114" s="103"/>
      <c r="H1114" s="107"/>
      <c r="I1114" s="108"/>
      <c r="J1114" s="109"/>
      <c r="K1114" s="107"/>
      <c r="L1114" s="108"/>
      <c r="M1114" s="108"/>
      <c r="N1114" s="109"/>
      <c r="O1114" s="1"/>
      <c r="P1114" s="32"/>
      <c r="Q1114" s="33"/>
      <c r="R1114" s="29"/>
    </row>
    <row r="1115" spans="1:19">
      <c r="A1115" s="62" t="s">
        <v>11</v>
      </c>
      <c r="B1115" s="62"/>
      <c r="C1115" s="62"/>
      <c r="D1115" s="62"/>
      <c r="E1115" s="62"/>
      <c r="F1115" s="62"/>
      <c r="G1115" s="62"/>
      <c r="H1115" s="62"/>
      <c r="I1115" s="62"/>
      <c r="J1115" s="62"/>
      <c r="K1115" s="62"/>
      <c r="L1115" s="62"/>
      <c r="M1115" s="62"/>
      <c r="N1115" s="62"/>
      <c r="O1115" s="1"/>
      <c r="P1115" s="32"/>
      <c r="Q1115" s="33"/>
      <c r="R1115" s="29"/>
    </row>
    <row r="1116" spans="1:19">
      <c r="A1116" s="111" t="s">
        <v>12</v>
      </c>
      <c r="B1116" s="111"/>
      <c r="C1116" s="111"/>
      <c r="D1116" s="111"/>
      <c r="E1116" s="111"/>
      <c r="F1116" s="14" t="s">
        <v>37</v>
      </c>
      <c r="G1116" s="111" t="s">
        <v>38</v>
      </c>
      <c r="H1116" s="111"/>
      <c r="I1116" s="63" t="s">
        <v>39</v>
      </c>
      <c r="J1116" s="63"/>
      <c r="K1116" s="63"/>
      <c r="L1116" s="63" t="s">
        <v>40</v>
      </c>
      <c r="M1116" s="63"/>
      <c r="N1116" s="9" t="s">
        <v>13</v>
      </c>
      <c r="O1116" s="1"/>
      <c r="P1116" s="28" t="s">
        <v>47</v>
      </c>
      <c r="Q1116" s="29" t="s">
        <v>48</v>
      </c>
      <c r="R1116" s="29" t="s">
        <v>49</v>
      </c>
    </row>
    <row r="1117" spans="1:19">
      <c r="A1117" s="83" t="s">
        <v>67</v>
      </c>
      <c r="B1117" s="84"/>
      <c r="C1117" s="84"/>
      <c r="D1117" s="84"/>
      <c r="E1117" s="85"/>
      <c r="F1117" s="27" t="s">
        <v>60</v>
      </c>
      <c r="G1117" s="67">
        <v>1</v>
      </c>
      <c r="H1117" s="68"/>
      <c r="I1117" s="86"/>
      <c r="J1117" s="87"/>
      <c r="K1117" s="88"/>
      <c r="L1117" s="69">
        <f>I1117+L1056</f>
        <v>1</v>
      </c>
      <c r="M1117" s="70"/>
      <c r="N1117" s="8"/>
      <c r="O1117" s="1"/>
      <c r="P1117" s="30">
        <v>6000</v>
      </c>
      <c r="Q1117" s="38">
        <f>P1117*G1117</f>
        <v>6000</v>
      </c>
      <c r="R1117" s="28">
        <f>L1117*P1117</f>
        <v>6000</v>
      </c>
    </row>
    <row r="1118" spans="1:19">
      <c r="A1118" s="83" t="s">
        <v>68</v>
      </c>
      <c r="B1118" s="84"/>
      <c r="C1118" s="84"/>
      <c r="D1118" s="84"/>
      <c r="E1118" s="85"/>
      <c r="F1118" s="20" t="s">
        <v>60</v>
      </c>
      <c r="G1118" s="67">
        <v>1</v>
      </c>
      <c r="H1118" s="68"/>
      <c r="I1118" s="87"/>
      <c r="J1118" s="87"/>
      <c r="K1118" s="88"/>
      <c r="L1118" s="69">
        <f t="shared" ref="L1118:L1142" si="59">I1118+L1057</f>
        <v>1</v>
      </c>
      <c r="M1118" s="70"/>
      <c r="N1118" s="8"/>
      <c r="O1118" s="1"/>
      <c r="P1118" s="30">
        <v>193300</v>
      </c>
      <c r="Q1118" s="38">
        <f t="shared" ref="Q1118:Q1142" si="60">P1118*G1118</f>
        <v>193300</v>
      </c>
      <c r="R1118" s="28">
        <f>L1118*P1118</f>
        <v>193300</v>
      </c>
    </row>
    <row r="1119" spans="1:19">
      <c r="A1119" s="89" t="s">
        <v>69</v>
      </c>
      <c r="B1119" s="90"/>
      <c r="C1119" s="90"/>
      <c r="D1119" s="90"/>
      <c r="E1119" s="91"/>
      <c r="F1119" s="20" t="s">
        <v>60</v>
      </c>
      <c r="G1119" s="67">
        <v>1</v>
      </c>
      <c r="H1119" s="68"/>
      <c r="I1119" s="87"/>
      <c r="J1119" s="87"/>
      <c r="K1119" s="88"/>
      <c r="L1119" s="69">
        <f t="shared" si="59"/>
        <v>0.5</v>
      </c>
      <c r="M1119" s="70"/>
      <c r="N1119" s="8"/>
      <c r="O1119" s="1"/>
      <c r="P1119" s="30">
        <v>30000</v>
      </c>
      <c r="Q1119" s="38">
        <f t="shared" si="60"/>
        <v>30000</v>
      </c>
      <c r="R1119" s="28">
        <f>L1119*P1119</f>
        <v>15000</v>
      </c>
    </row>
    <row r="1120" spans="1:19">
      <c r="A1120" s="64" t="s">
        <v>70</v>
      </c>
      <c r="B1120" s="65"/>
      <c r="C1120" s="65"/>
      <c r="D1120" s="65"/>
      <c r="E1120" s="66"/>
      <c r="F1120" s="20" t="s">
        <v>60</v>
      </c>
      <c r="G1120" s="67">
        <v>1</v>
      </c>
      <c r="H1120" s="68"/>
      <c r="I1120" s="87"/>
      <c r="J1120" s="87"/>
      <c r="K1120" s="88"/>
      <c r="L1120" s="69">
        <f t="shared" si="59"/>
        <v>1</v>
      </c>
      <c r="M1120" s="70"/>
      <c r="N1120" s="8"/>
      <c r="O1120" s="1"/>
      <c r="P1120" s="31">
        <v>10000</v>
      </c>
      <c r="Q1120" s="38">
        <f t="shared" si="60"/>
        <v>10000</v>
      </c>
      <c r="R1120" s="28">
        <f t="shared" ref="R1120:R1142" si="61">L1120*P1120</f>
        <v>10000</v>
      </c>
    </row>
    <row r="1121" spans="1:18">
      <c r="A1121" s="64" t="s">
        <v>71</v>
      </c>
      <c r="B1121" s="65"/>
      <c r="C1121" s="65"/>
      <c r="D1121" s="65"/>
      <c r="E1121" s="66"/>
      <c r="F1121" s="20" t="s">
        <v>61</v>
      </c>
      <c r="G1121" s="67">
        <v>9</v>
      </c>
      <c r="H1121" s="68"/>
      <c r="I1121" s="87"/>
      <c r="J1121" s="87"/>
      <c r="K1121" s="88"/>
      <c r="L1121" s="69">
        <f t="shared" si="59"/>
        <v>9</v>
      </c>
      <c r="M1121" s="70"/>
      <c r="N1121" s="8"/>
      <c r="O1121" s="1"/>
      <c r="P1121" s="30">
        <v>21000</v>
      </c>
      <c r="Q1121" s="38">
        <f t="shared" si="60"/>
        <v>189000</v>
      </c>
      <c r="R1121" s="28">
        <f t="shared" si="61"/>
        <v>189000</v>
      </c>
    </row>
    <row r="1122" spans="1:18">
      <c r="A1122" s="64" t="s">
        <v>72</v>
      </c>
      <c r="B1122" s="65"/>
      <c r="C1122" s="65"/>
      <c r="D1122" s="65"/>
      <c r="E1122" s="66"/>
      <c r="F1122" s="2" t="s">
        <v>60</v>
      </c>
      <c r="G1122" s="67">
        <v>1</v>
      </c>
      <c r="H1122" s="68"/>
      <c r="I1122" s="87"/>
      <c r="J1122" s="87"/>
      <c r="K1122" s="88"/>
      <c r="L1122" s="69">
        <f t="shared" si="59"/>
        <v>0</v>
      </c>
      <c r="M1122" s="70"/>
      <c r="N1122" s="8"/>
      <c r="O1122" s="1"/>
      <c r="P1122" s="30">
        <v>184468</v>
      </c>
      <c r="Q1122" s="38">
        <f t="shared" si="60"/>
        <v>184468</v>
      </c>
      <c r="R1122" s="28">
        <f t="shared" si="61"/>
        <v>0</v>
      </c>
    </row>
    <row r="1123" spans="1:18">
      <c r="A1123" s="83" t="s">
        <v>73</v>
      </c>
      <c r="B1123" s="84"/>
      <c r="C1123" s="84"/>
      <c r="D1123" s="84"/>
      <c r="E1123" s="85"/>
      <c r="F1123" s="20" t="s">
        <v>62</v>
      </c>
      <c r="G1123" s="67">
        <v>9</v>
      </c>
      <c r="H1123" s="68"/>
      <c r="I1123" s="87"/>
      <c r="J1123" s="87"/>
      <c r="K1123" s="88"/>
      <c r="L1123" s="69">
        <f t="shared" si="59"/>
        <v>0</v>
      </c>
      <c r="M1123" s="70"/>
      <c r="N1123" s="8"/>
      <c r="O1123" s="1"/>
      <c r="P1123" s="30">
        <v>20000</v>
      </c>
      <c r="Q1123" s="38">
        <f t="shared" si="60"/>
        <v>180000</v>
      </c>
      <c r="R1123" s="28">
        <f t="shared" si="61"/>
        <v>0</v>
      </c>
    </row>
    <row r="1124" spans="1:18">
      <c r="A1124" s="83" t="s">
        <v>74</v>
      </c>
      <c r="B1124" s="84"/>
      <c r="C1124" s="84"/>
      <c r="D1124" s="84"/>
      <c r="E1124" s="85"/>
      <c r="F1124" s="20" t="s">
        <v>63</v>
      </c>
      <c r="G1124" s="67">
        <v>52</v>
      </c>
      <c r="H1124" s="68"/>
      <c r="I1124" s="87"/>
      <c r="J1124" s="87"/>
      <c r="K1124" s="88"/>
      <c r="L1124" s="69">
        <f t="shared" si="59"/>
        <v>52</v>
      </c>
      <c r="M1124" s="70"/>
      <c r="N1124" s="8"/>
      <c r="O1124" s="1"/>
      <c r="P1124" s="31">
        <v>2500</v>
      </c>
      <c r="Q1124" s="38">
        <f t="shared" si="60"/>
        <v>130000</v>
      </c>
      <c r="R1124" s="28">
        <f t="shared" si="61"/>
        <v>130000</v>
      </c>
    </row>
    <row r="1125" spans="1:18">
      <c r="A1125" s="83" t="s">
        <v>75</v>
      </c>
      <c r="B1125" s="84"/>
      <c r="C1125" s="84"/>
      <c r="D1125" s="84"/>
      <c r="E1125" s="85"/>
      <c r="F1125" s="20" t="s">
        <v>64</v>
      </c>
      <c r="G1125" s="67">
        <v>1</v>
      </c>
      <c r="H1125" s="68"/>
      <c r="I1125" s="87"/>
      <c r="J1125" s="87"/>
      <c r="K1125" s="88"/>
      <c r="L1125" s="69">
        <f t="shared" si="59"/>
        <v>0</v>
      </c>
      <c r="M1125" s="70"/>
      <c r="N1125" s="8"/>
      <c r="O1125" s="1"/>
      <c r="P1125" s="30">
        <v>80000</v>
      </c>
      <c r="Q1125" s="38">
        <f t="shared" si="60"/>
        <v>80000</v>
      </c>
      <c r="R1125" s="28">
        <f t="shared" si="61"/>
        <v>0</v>
      </c>
    </row>
    <row r="1126" spans="1:18">
      <c r="A1126" s="89" t="s">
        <v>102</v>
      </c>
      <c r="B1126" s="90"/>
      <c r="C1126" s="90"/>
      <c r="D1126" s="90"/>
      <c r="E1126" s="91"/>
      <c r="F1126" s="20" t="s">
        <v>65</v>
      </c>
      <c r="G1126" s="67">
        <v>31</v>
      </c>
      <c r="H1126" s="68"/>
      <c r="I1126" s="87">
        <v>10</v>
      </c>
      <c r="J1126" s="87"/>
      <c r="K1126" s="88"/>
      <c r="L1126" s="69">
        <f t="shared" si="59"/>
        <v>10</v>
      </c>
      <c r="M1126" s="70"/>
      <c r="N1126" s="8"/>
      <c r="O1126" s="1"/>
      <c r="P1126" s="30">
        <v>400</v>
      </c>
      <c r="Q1126" s="38">
        <f t="shared" si="60"/>
        <v>12400</v>
      </c>
      <c r="R1126" s="28">
        <f t="shared" si="61"/>
        <v>4000</v>
      </c>
    </row>
    <row r="1127" spans="1:18">
      <c r="A1127" s="64" t="s">
        <v>77</v>
      </c>
      <c r="B1127" s="65"/>
      <c r="C1127" s="65"/>
      <c r="D1127" s="65"/>
      <c r="E1127" s="66"/>
      <c r="F1127" s="20" t="s">
        <v>65</v>
      </c>
      <c r="G1127" s="67">
        <v>100</v>
      </c>
      <c r="H1127" s="68"/>
      <c r="I1127" s="87"/>
      <c r="J1127" s="87"/>
      <c r="K1127" s="88"/>
      <c r="L1127" s="69">
        <f t="shared" si="59"/>
        <v>0</v>
      </c>
      <c r="M1127" s="70"/>
      <c r="N1127" s="8"/>
      <c r="O1127" s="1"/>
      <c r="P1127" s="30">
        <v>350</v>
      </c>
      <c r="Q1127" s="38">
        <f t="shared" si="60"/>
        <v>35000</v>
      </c>
      <c r="R1127" s="28">
        <f t="shared" si="61"/>
        <v>0</v>
      </c>
    </row>
    <row r="1128" spans="1:18">
      <c r="A1128" s="64" t="s">
        <v>78</v>
      </c>
      <c r="B1128" s="65"/>
      <c r="C1128" s="65"/>
      <c r="D1128" s="65"/>
      <c r="E1128" s="66"/>
      <c r="F1128" s="20" t="s">
        <v>63</v>
      </c>
      <c r="G1128" s="67">
        <v>35</v>
      </c>
      <c r="H1128" s="68"/>
      <c r="I1128" s="87"/>
      <c r="J1128" s="87"/>
      <c r="K1128" s="88"/>
      <c r="L1128" s="69">
        <f t="shared" si="59"/>
        <v>0</v>
      </c>
      <c r="M1128" s="70"/>
      <c r="N1128" s="8"/>
      <c r="O1128" s="1"/>
      <c r="P1128" s="30">
        <v>1200</v>
      </c>
      <c r="Q1128" s="38">
        <f t="shared" si="60"/>
        <v>42000</v>
      </c>
      <c r="R1128" s="28">
        <f t="shared" si="61"/>
        <v>0</v>
      </c>
    </row>
    <row r="1129" spans="1:18">
      <c r="A1129" s="64" t="s">
        <v>104</v>
      </c>
      <c r="B1129" s="65"/>
      <c r="C1129" s="65"/>
      <c r="D1129" s="65"/>
      <c r="E1129" s="66"/>
      <c r="F1129" s="20" t="s">
        <v>63</v>
      </c>
      <c r="G1129" s="67">
        <v>282</v>
      </c>
      <c r="H1129" s="68"/>
      <c r="I1129" s="86">
        <v>30</v>
      </c>
      <c r="J1129" s="87"/>
      <c r="K1129" s="88"/>
      <c r="L1129" s="69">
        <f t="shared" si="59"/>
        <v>30</v>
      </c>
      <c r="M1129" s="70"/>
      <c r="N1129" s="8"/>
      <c r="O1129" s="1"/>
      <c r="P1129" s="30">
        <v>1400</v>
      </c>
      <c r="Q1129" s="38">
        <f t="shared" si="60"/>
        <v>394800</v>
      </c>
      <c r="R1129" s="28">
        <f t="shared" si="61"/>
        <v>42000</v>
      </c>
    </row>
    <row r="1130" spans="1:18">
      <c r="A1130" s="83" t="s">
        <v>80</v>
      </c>
      <c r="B1130" s="84"/>
      <c r="C1130" s="84"/>
      <c r="D1130" s="84"/>
      <c r="E1130" s="85"/>
      <c r="F1130" s="21" t="s">
        <v>65</v>
      </c>
      <c r="G1130" s="67">
        <v>58</v>
      </c>
      <c r="H1130" s="68"/>
      <c r="I1130" s="86"/>
      <c r="J1130" s="87"/>
      <c r="K1130" s="88"/>
      <c r="L1130" s="69">
        <f t="shared" si="59"/>
        <v>0</v>
      </c>
      <c r="M1130" s="70"/>
      <c r="N1130" s="8"/>
      <c r="O1130" s="1"/>
      <c r="P1130" s="30">
        <v>3600</v>
      </c>
      <c r="Q1130" s="38">
        <f t="shared" si="60"/>
        <v>208800</v>
      </c>
      <c r="R1130" s="28">
        <f t="shared" si="61"/>
        <v>0</v>
      </c>
    </row>
    <row r="1131" spans="1:18">
      <c r="A1131" s="83" t="s">
        <v>81</v>
      </c>
      <c r="B1131" s="84"/>
      <c r="C1131" s="84"/>
      <c r="D1131" s="84"/>
      <c r="E1131" s="85"/>
      <c r="F1131" s="21" t="s">
        <v>65</v>
      </c>
      <c r="G1131" s="67">
        <v>360</v>
      </c>
      <c r="H1131" s="68"/>
      <c r="I1131" s="86"/>
      <c r="J1131" s="87"/>
      <c r="K1131" s="88"/>
      <c r="L1131" s="69">
        <f t="shared" si="59"/>
        <v>0</v>
      </c>
      <c r="M1131" s="70"/>
      <c r="N1131" s="8"/>
      <c r="O1131" s="1"/>
      <c r="P1131" s="30">
        <v>230</v>
      </c>
      <c r="Q1131" s="38">
        <f t="shared" si="60"/>
        <v>82800</v>
      </c>
      <c r="R1131" s="28">
        <f t="shared" si="61"/>
        <v>0</v>
      </c>
    </row>
    <row r="1132" spans="1:18">
      <c r="A1132" s="83" t="s">
        <v>82</v>
      </c>
      <c r="B1132" s="84"/>
      <c r="C1132" s="84"/>
      <c r="D1132" s="84"/>
      <c r="E1132" s="85"/>
      <c r="F1132" s="21" t="s">
        <v>65</v>
      </c>
      <c r="G1132" s="67">
        <v>2400</v>
      </c>
      <c r="H1132" s="68"/>
      <c r="I1132" s="86"/>
      <c r="J1132" s="87"/>
      <c r="K1132" s="88"/>
      <c r="L1132" s="69">
        <f t="shared" si="59"/>
        <v>0</v>
      </c>
      <c r="M1132" s="70"/>
      <c r="N1132" s="8"/>
      <c r="O1132" s="1"/>
      <c r="P1132" s="30">
        <v>80</v>
      </c>
      <c r="Q1132" s="38">
        <f t="shared" si="60"/>
        <v>192000</v>
      </c>
      <c r="R1132" s="28">
        <f t="shared" si="61"/>
        <v>0</v>
      </c>
    </row>
    <row r="1133" spans="1:18">
      <c r="A1133" s="89" t="s">
        <v>83</v>
      </c>
      <c r="B1133" s="90"/>
      <c r="C1133" s="90"/>
      <c r="D1133" s="90"/>
      <c r="E1133" s="91"/>
      <c r="F1133" s="21" t="s">
        <v>65</v>
      </c>
      <c r="G1133" s="67">
        <v>360</v>
      </c>
      <c r="H1133" s="68"/>
      <c r="I1133" s="86"/>
      <c r="J1133" s="87"/>
      <c r="K1133" s="88"/>
      <c r="L1133" s="69">
        <f t="shared" si="59"/>
        <v>0</v>
      </c>
      <c r="M1133" s="70"/>
      <c r="N1133" s="8"/>
      <c r="O1133" s="1"/>
      <c r="P1133" s="30">
        <v>420</v>
      </c>
      <c r="Q1133" s="38">
        <f t="shared" si="60"/>
        <v>151200</v>
      </c>
      <c r="R1133" s="28">
        <f t="shared" si="61"/>
        <v>0</v>
      </c>
    </row>
    <row r="1134" spans="1:18">
      <c r="A1134" s="64" t="s">
        <v>84</v>
      </c>
      <c r="B1134" s="65"/>
      <c r="C1134" s="65"/>
      <c r="D1134" s="65"/>
      <c r="E1134" s="66"/>
      <c r="F1134" s="21" t="s">
        <v>65</v>
      </c>
      <c r="G1134" s="67">
        <v>2760</v>
      </c>
      <c r="H1134" s="68"/>
      <c r="I1134" s="86"/>
      <c r="J1134" s="87"/>
      <c r="K1134" s="88"/>
      <c r="L1134" s="69">
        <f t="shared" si="59"/>
        <v>0</v>
      </c>
      <c r="M1134" s="70"/>
      <c r="N1134" s="8"/>
      <c r="O1134" s="1"/>
      <c r="P1134" s="30">
        <v>460</v>
      </c>
      <c r="Q1134" s="38">
        <f t="shared" si="60"/>
        <v>1269600</v>
      </c>
      <c r="R1134" s="28">
        <f t="shared" si="61"/>
        <v>0</v>
      </c>
    </row>
    <row r="1135" spans="1:18">
      <c r="A1135" s="64" t="s">
        <v>85</v>
      </c>
      <c r="B1135" s="65"/>
      <c r="C1135" s="65"/>
      <c r="D1135" s="65"/>
      <c r="E1135" s="66"/>
      <c r="F1135" s="21" t="s">
        <v>65</v>
      </c>
      <c r="G1135" s="67">
        <v>275</v>
      </c>
      <c r="H1135" s="68"/>
      <c r="I1135" s="86"/>
      <c r="J1135" s="87"/>
      <c r="K1135" s="88"/>
      <c r="L1135" s="69">
        <f t="shared" si="59"/>
        <v>0</v>
      </c>
      <c r="M1135" s="70"/>
      <c r="N1135" s="8"/>
      <c r="O1135" s="1"/>
      <c r="P1135" s="31">
        <v>350</v>
      </c>
      <c r="Q1135" s="38">
        <f t="shared" si="60"/>
        <v>96250</v>
      </c>
      <c r="R1135" s="28">
        <f t="shared" si="61"/>
        <v>0</v>
      </c>
    </row>
    <row r="1136" spans="1:18">
      <c r="A1136" s="64" t="s">
        <v>86</v>
      </c>
      <c r="B1136" s="65"/>
      <c r="C1136" s="65"/>
      <c r="D1136" s="65"/>
      <c r="E1136" s="66"/>
      <c r="F1136" s="21" t="s">
        <v>60</v>
      </c>
      <c r="G1136" s="67">
        <v>1</v>
      </c>
      <c r="H1136" s="68"/>
      <c r="I1136" s="86"/>
      <c r="J1136" s="87"/>
      <c r="K1136" s="88"/>
      <c r="L1136" s="69">
        <f t="shared" si="59"/>
        <v>0</v>
      </c>
      <c r="M1136" s="70"/>
      <c r="N1136" s="8"/>
      <c r="O1136" s="2"/>
      <c r="P1136" s="30">
        <v>40000</v>
      </c>
      <c r="Q1136" s="38">
        <f t="shared" si="60"/>
        <v>40000</v>
      </c>
      <c r="R1136" s="28">
        <f t="shared" si="61"/>
        <v>0</v>
      </c>
    </row>
    <row r="1137" spans="1:19">
      <c r="A1137" s="83" t="s">
        <v>87</v>
      </c>
      <c r="B1137" s="84"/>
      <c r="C1137" s="84"/>
      <c r="D1137" s="84"/>
      <c r="E1137" s="85"/>
      <c r="F1137" s="20" t="s">
        <v>60</v>
      </c>
      <c r="G1137" s="67">
        <v>1</v>
      </c>
      <c r="H1137" s="68"/>
      <c r="I1137" s="86"/>
      <c r="J1137" s="87"/>
      <c r="K1137" s="88"/>
      <c r="L1137" s="69">
        <f t="shared" si="59"/>
        <v>0</v>
      </c>
      <c r="M1137" s="70"/>
      <c r="N1137" s="8"/>
      <c r="O1137" s="1"/>
      <c r="P1137" s="31">
        <v>276970</v>
      </c>
      <c r="Q1137" s="38">
        <f t="shared" si="60"/>
        <v>276970</v>
      </c>
      <c r="R1137" s="28">
        <f t="shared" si="61"/>
        <v>0</v>
      </c>
    </row>
    <row r="1138" spans="1:19">
      <c r="A1138" s="83" t="s">
        <v>88</v>
      </c>
      <c r="B1138" s="84"/>
      <c r="C1138" s="84"/>
      <c r="D1138" s="84"/>
      <c r="E1138" s="85"/>
      <c r="F1138" s="20" t="s">
        <v>60</v>
      </c>
      <c r="G1138" s="67">
        <v>1</v>
      </c>
      <c r="H1138" s="68"/>
      <c r="I1138" s="26"/>
      <c r="J1138" s="23"/>
      <c r="K1138" s="24"/>
      <c r="L1138" s="69">
        <f t="shared" si="59"/>
        <v>0</v>
      </c>
      <c r="M1138" s="70"/>
      <c r="N1138" s="25"/>
      <c r="O1138" s="1"/>
      <c r="P1138" s="32">
        <v>60873</v>
      </c>
      <c r="Q1138" s="38">
        <f t="shared" si="60"/>
        <v>60873</v>
      </c>
      <c r="R1138" s="28">
        <f t="shared" si="61"/>
        <v>0</v>
      </c>
    </row>
    <row r="1139" spans="1:19">
      <c r="A1139" s="83" t="s">
        <v>89</v>
      </c>
      <c r="B1139" s="84"/>
      <c r="C1139" s="84"/>
      <c r="D1139" s="84"/>
      <c r="E1139" s="85"/>
      <c r="F1139" s="20" t="s">
        <v>60</v>
      </c>
      <c r="G1139" s="67">
        <v>1</v>
      </c>
      <c r="H1139" s="68"/>
      <c r="I1139" s="26"/>
      <c r="J1139" s="23"/>
      <c r="K1139" s="24"/>
      <c r="L1139" s="69">
        <f t="shared" si="59"/>
        <v>0</v>
      </c>
      <c r="M1139" s="70"/>
      <c r="N1139" s="25"/>
      <c r="O1139" s="1"/>
      <c r="P1139" s="32">
        <v>60873</v>
      </c>
      <c r="Q1139" s="38">
        <f t="shared" si="60"/>
        <v>60873</v>
      </c>
      <c r="R1139" s="28">
        <f t="shared" si="61"/>
        <v>0</v>
      </c>
    </row>
    <row r="1140" spans="1:19">
      <c r="A1140" s="83" t="s">
        <v>90</v>
      </c>
      <c r="B1140" s="84"/>
      <c r="C1140" s="84"/>
      <c r="D1140" s="84"/>
      <c r="E1140" s="85"/>
      <c r="F1140" s="20" t="s">
        <v>60</v>
      </c>
      <c r="G1140" s="67">
        <v>1</v>
      </c>
      <c r="H1140" s="68"/>
      <c r="I1140" s="26"/>
      <c r="J1140" s="23"/>
      <c r="K1140" s="24"/>
      <c r="L1140" s="69">
        <f t="shared" si="59"/>
        <v>0</v>
      </c>
      <c r="M1140" s="70"/>
      <c r="N1140" s="25"/>
      <c r="O1140" s="1"/>
      <c r="P1140" s="34">
        <v>266321</v>
      </c>
      <c r="Q1140" s="38">
        <f t="shared" si="60"/>
        <v>266321</v>
      </c>
      <c r="R1140" s="28">
        <f t="shared" si="61"/>
        <v>0</v>
      </c>
    </row>
    <row r="1141" spans="1:19">
      <c r="A1141" s="83" t="s">
        <v>91</v>
      </c>
      <c r="B1141" s="84"/>
      <c r="C1141" s="84"/>
      <c r="D1141" s="84"/>
      <c r="E1141" s="85"/>
      <c r="F1141" s="2" t="s">
        <v>60</v>
      </c>
      <c r="G1141" s="67">
        <v>1</v>
      </c>
      <c r="H1141" s="68"/>
      <c r="I1141" s="26"/>
      <c r="J1141" s="23"/>
      <c r="K1141" s="24"/>
      <c r="L1141" s="69">
        <f t="shared" si="59"/>
        <v>1</v>
      </c>
      <c r="M1141" s="70"/>
      <c r="N1141" s="25"/>
      <c r="O1141" s="1"/>
      <c r="P1141" s="32">
        <v>13316</v>
      </c>
      <c r="Q1141" s="38">
        <f t="shared" si="60"/>
        <v>13316</v>
      </c>
      <c r="R1141" s="28">
        <f t="shared" si="61"/>
        <v>13316</v>
      </c>
    </row>
    <row r="1142" spans="1:19">
      <c r="A1142" s="83" t="s">
        <v>92</v>
      </c>
      <c r="B1142" s="84"/>
      <c r="C1142" s="84"/>
      <c r="D1142" s="84"/>
      <c r="E1142" s="85"/>
      <c r="F1142" s="20" t="s">
        <v>60</v>
      </c>
      <c r="G1142" s="67">
        <v>1</v>
      </c>
      <c r="H1142" s="68"/>
      <c r="I1142" s="26"/>
      <c r="J1142" s="23"/>
      <c r="K1142" s="24"/>
      <c r="L1142" s="69">
        <f t="shared" si="59"/>
        <v>0</v>
      </c>
      <c r="M1142" s="70"/>
      <c r="N1142" s="25"/>
      <c r="O1142" s="1"/>
      <c r="P1142" s="32">
        <v>210299</v>
      </c>
      <c r="Q1142" s="38">
        <f t="shared" si="60"/>
        <v>210299</v>
      </c>
      <c r="R1142" s="28">
        <f t="shared" si="61"/>
        <v>0</v>
      </c>
    </row>
    <row r="1143" spans="1:19">
      <c r="A1143" s="64"/>
      <c r="B1143" s="65"/>
      <c r="C1143" s="65"/>
      <c r="D1143" s="65"/>
      <c r="E1143" s="66"/>
      <c r="F1143" s="22"/>
      <c r="G1143" s="67"/>
      <c r="H1143" s="68"/>
      <c r="I1143" s="26"/>
      <c r="J1143" s="23"/>
      <c r="K1143" s="24"/>
      <c r="L1143" s="69"/>
      <c r="M1143" s="70"/>
      <c r="N1143" s="25"/>
      <c r="O1143" s="3"/>
      <c r="P1143" s="32"/>
      <c r="Q1143" s="33">
        <f>SUM(Q1117:Q1142)</f>
        <v>4416270</v>
      </c>
      <c r="R1143" s="29">
        <f>SUM(R1117:R1142)</f>
        <v>602616</v>
      </c>
    </row>
    <row r="1144" spans="1:19">
      <c r="A1144" s="64"/>
      <c r="B1144" s="65"/>
      <c r="C1144" s="65"/>
      <c r="D1144" s="65"/>
      <c r="E1144" s="66"/>
      <c r="F1144" s="22"/>
      <c r="G1144" s="67"/>
      <c r="H1144" s="68"/>
      <c r="I1144" s="26"/>
      <c r="J1144" s="23"/>
      <c r="K1144" s="24"/>
      <c r="L1144" s="69"/>
      <c r="M1144" s="70"/>
      <c r="N1144" s="25"/>
      <c r="O1144" s="3"/>
      <c r="P1144" s="32"/>
      <c r="Q1144" s="33"/>
      <c r="R1144" s="37">
        <f>R1143/Q1143</f>
        <v>0.1364536135698225</v>
      </c>
    </row>
    <row r="1145" spans="1:19">
      <c r="A1145" s="62" t="s">
        <v>14</v>
      </c>
      <c r="B1145" s="62"/>
      <c r="C1145" s="62"/>
      <c r="D1145" s="62"/>
      <c r="E1145" s="62"/>
      <c r="F1145" s="62"/>
      <c r="G1145" s="62"/>
      <c r="H1145" s="62"/>
      <c r="I1145" s="62"/>
      <c r="J1145" s="62"/>
      <c r="K1145" s="62"/>
      <c r="L1145" s="62"/>
      <c r="M1145" s="62"/>
      <c r="N1145" s="62"/>
      <c r="O1145" s="1"/>
      <c r="P1145" s="32"/>
      <c r="Q1145" s="33"/>
      <c r="R1145" s="29"/>
      <c r="S1145" s="16"/>
    </row>
    <row r="1146" spans="1:19">
      <c r="A1146" s="71" t="s">
        <v>15</v>
      </c>
      <c r="B1146" s="72"/>
      <c r="C1146" s="72"/>
      <c r="D1146" s="72"/>
      <c r="E1146" s="73"/>
      <c r="F1146" s="9" t="s">
        <v>37</v>
      </c>
      <c r="G1146" s="71" t="s">
        <v>38</v>
      </c>
      <c r="H1146" s="73"/>
      <c r="I1146" s="71" t="s">
        <v>42</v>
      </c>
      <c r="J1146" s="72"/>
      <c r="K1146" s="73"/>
      <c r="L1146" s="74" t="s">
        <v>17</v>
      </c>
      <c r="M1146" s="75"/>
      <c r="N1146" s="9" t="s">
        <v>13</v>
      </c>
      <c r="O1146" s="1"/>
      <c r="P1146" s="32"/>
      <c r="Q1146" s="33"/>
      <c r="R1146" s="29"/>
      <c r="S1146" s="16"/>
    </row>
    <row r="1147" spans="1:19">
      <c r="A1147" s="71"/>
      <c r="B1147" s="72"/>
      <c r="C1147" s="72"/>
      <c r="D1147" s="72"/>
      <c r="E1147" s="73"/>
      <c r="F1147" s="13"/>
      <c r="G1147" s="76"/>
      <c r="H1147" s="77"/>
      <c r="I1147" s="78"/>
      <c r="J1147" s="79"/>
      <c r="K1147" s="80"/>
      <c r="L1147" s="81"/>
      <c r="M1147" s="82"/>
      <c r="N1147" s="8"/>
      <c r="O1147" s="1"/>
      <c r="P1147" s="32"/>
      <c r="Q1147" s="33"/>
      <c r="R1147" s="29"/>
      <c r="S1147" s="16"/>
    </row>
    <row r="1148" spans="1:19">
      <c r="A1148" s="62" t="s">
        <v>19</v>
      </c>
      <c r="B1148" s="62"/>
      <c r="C1148" s="62"/>
      <c r="D1148" s="62"/>
      <c r="E1148" s="62"/>
      <c r="F1148" s="62"/>
      <c r="G1148" s="62"/>
      <c r="H1148" s="62"/>
      <c r="I1148" s="62"/>
      <c r="J1148" s="62"/>
      <c r="K1148" s="62"/>
      <c r="L1148" s="62"/>
      <c r="M1148" s="62"/>
      <c r="N1148" s="62"/>
      <c r="O1148" s="1"/>
      <c r="P1148" s="32"/>
      <c r="Q1148" s="33"/>
      <c r="R1148" s="29"/>
      <c r="S1148" s="16"/>
    </row>
    <row r="1149" spans="1:19">
      <c r="A1149" s="63" t="s">
        <v>20</v>
      </c>
      <c r="B1149" s="63"/>
      <c r="C1149" s="63" t="s">
        <v>21</v>
      </c>
      <c r="D1149" s="63"/>
      <c r="E1149" s="63" t="s">
        <v>22</v>
      </c>
      <c r="F1149" s="63"/>
      <c r="G1149" s="63" t="s">
        <v>23</v>
      </c>
      <c r="H1149" s="63"/>
      <c r="I1149" s="63"/>
      <c r="J1149" s="63" t="s">
        <v>16</v>
      </c>
      <c r="K1149" s="63"/>
      <c r="L1149" s="63"/>
      <c r="M1149" s="63" t="s">
        <v>17</v>
      </c>
      <c r="N1149" s="63"/>
      <c r="O1149" s="1"/>
      <c r="Q1149" s="32"/>
      <c r="R1149" s="33"/>
      <c r="S1149" s="16"/>
    </row>
    <row r="1150" spans="1:19">
      <c r="A1150" s="60" t="s">
        <v>24</v>
      </c>
      <c r="B1150" s="52"/>
      <c r="C1150" s="61">
        <v>6</v>
      </c>
      <c r="D1150" s="61"/>
      <c r="E1150" s="61">
        <f>C1150+E1089</f>
        <v>24</v>
      </c>
      <c r="F1150" s="61"/>
      <c r="G1150" s="60" t="s">
        <v>51</v>
      </c>
      <c r="H1150" s="51"/>
      <c r="I1150" s="52"/>
      <c r="J1150" s="61"/>
      <c r="K1150" s="61"/>
      <c r="L1150" s="61"/>
      <c r="M1150" s="61">
        <f>K1150+M1089</f>
        <v>1</v>
      </c>
      <c r="N1150" s="61"/>
      <c r="O1150" s="1"/>
      <c r="Q1150" s="32"/>
      <c r="R1150" s="33"/>
      <c r="S1150" s="16"/>
    </row>
    <row r="1151" spans="1:19">
      <c r="A1151" s="60" t="s">
        <v>25</v>
      </c>
      <c r="B1151" s="52"/>
      <c r="C1151" s="61">
        <v>5</v>
      </c>
      <c r="D1151" s="61"/>
      <c r="E1151" s="61">
        <f>C1151+E1090</f>
        <v>22</v>
      </c>
      <c r="F1151" s="61"/>
      <c r="G1151" s="60" t="s">
        <v>50</v>
      </c>
      <c r="H1151" s="51"/>
      <c r="I1151" s="52"/>
      <c r="J1151" s="61"/>
      <c r="K1151" s="61"/>
      <c r="L1151" s="61"/>
      <c r="M1151" s="61">
        <f>K1151+M1090</f>
        <v>1</v>
      </c>
      <c r="N1151" s="61"/>
      <c r="O1151" s="1"/>
      <c r="Q1151" s="32"/>
      <c r="R1151" s="33"/>
      <c r="S1151" s="16"/>
    </row>
    <row r="1152" spans="1:19">
      <c r="A1152" s="60"/>
      <c r="B1152" s="52"/>
      <c r="C1152" s="61"/>
      <c r="D1152" s="61"/>
      <c r="E1152" s="61"/>
      <c r="F1152" s="61"/>
      <c r="G1152" s="60" t="s">
        <v>55</v>
      </c>
      <c r="H1152" s="51"/>
      <c r="I1152" s="52"/>
      <c r="J1152" s="61"/>
      <c r="K1152" s="61"/>
      <c r="L1152" s="61"/>
      <c r="M1152" s="61">
        <f>K1152+M1091</f>
        <v>0</v>
      </c>
      <c r="N1152" s="61"/>
      <c r="O1152" s="2"/>
      <c r="P1152" s="29"/>
      <c r="Q1152" s="32"/>
      <c r="R1152" s="33"/>
      <c r="S1152" s="16"/>
    </row>
    <row r="1153" spans="1:19">
      <c r="A1153" s="53" t="s">
        <v>53</v>
      </c>
      <c r="B1153" s="47"/>
      <c r="C1153" s="53"/>
      <c r="D1153" s="53"/>
      <c r="E1153" s="53"/>
      <c r="F1153" s="53"/>
      <c r="G1153" s="53"/>
      <c r="H1153" s="53"/>
      <c r="I1153" s="53"/>
      <c r="J1153" s="53"/>
      <c r="K1153" s="53"/>
      <c r="L1153" s="53"/>
      <c r="M1153" s="53"/>
      <c r="N1153" s="53"/>
      <c r="O1153" s="1"/>
      <c r="P1153" s="32"/>
      <c r="Q1153" s="32"/>
      <c r="R1153" s="33"/>
      <c r="S1153" s="16"/>
    </row>
    <row r="1154" spans="1:19">
      <c r="A1154" s="45" t="s">
        <v>56</v>
      </c>
      <c r="B1154" s="46"/>
      <c r="C1154" s="46"/>
      <c r="D1154" s="46"/>
      <c r="E1154" s="46"/>
      <c r="F1154" s="46"/>
      <c r="G1154" s="46"/>
      <c r="H1154" s="46"/>
      <c r="I1154" s="46"/>
      <c r="J1154" s="46"/>
      <c r="K1154" s="46"/>
      <c r="L1154" s="46"/>
      <c r="M1154" s="46"/>
      <c r="N1154" s="47"/>
      <c r="O1154" s="1"/>
      <c r="P1154" s="32"/>
      <c r="Q1154" s="34"/>
      <c r="R1154" s="33"/>
      <c r="S1154" s="16"/>
    </row>
    <row r="1155" spans="1:19">
      <c r="A1155" s="54" t="s">
        <v>54</v>
      </c>
      <c r="B1155" s="55"/>
      <c r="C1155" s="55"/>
      <c r="D1155" s="55"/>
      <c r="E1155" s="55"/>
      <c r="F1155" s="55"/>
      <c r="G1155" s="55"/>
      <c r="H1155" s="55"/>
      <c r="I1155" s="55"/>
      <c r="J1155" s="55"/>
      <c r="K1155" s="55"/>
      <c r="L1155" s="55"/>
      <c r="M1155" s="55"/>
      <c r="N1155" s="56"/>
      <c r="O1155" s="1"/>
      <c r="P1155" s="32"/>
      <c r="Q1155" s="32"/>
      <c r="R1155" s="33"/>
      <c r="S1155" s="16"/>
    </row>
    <row r="1156" spans="1:19">
      <c r="A1156" s="40" t="s">
        <v>26</v>
      </c>
      <c r="B1156" s="41"/>
      <c r="C1156" s="40"/>
      <c r="D1156" s="40"/>
      <c r="E1156" s="40"/>
      <c r="F1156" s="40"/>
      <c r="G1156" s="40"/>
      <c r="H1156" s="40"/>
      <c r="I1156" s="40"/>
      <c r="J1156" s="40"/>
      <c r="K1156" s="40"/>
      <c r="L1156" s="40"/>
      <c r="M1156" s="40"/>
      <c r="N1156" s="40"/>
      <c r="O1156" s="1"/>
      <c r="P1156" s="32"/>
      <c r="Q1156" s="32"/>
      <c r="R1156" s="33"/>
      <c r="S1156" s="16"/>
    </row>
    <row r="1157" spans="1:19">
      <c r="A1157" s="57" t="s">
        <v>27</v>
      </c>
      <c r="B1157" s="58"/>
      <c r="C1157" s="58"/>
      <c r="D1157" s="58"/>
      <c r="E1157" s="58"/>
      <c r="F1157" s="58"/>
      <c r="G1157" s="58"/>
      <c r="H1157" s="58"/>
      <c r="I1157" s="58"/>
      <c r="J1157" s="58"/>
      <c r="K1157" s="58"/>
      <c r="L1157" s="58"/>
      <c r="M1157" s="58"/>
      <c r="N1157" s="59"/>
      <c r="O1157" s="1"/>
      <c r="P1157" s="34"/>
      <c r="Q1157" s="34"/>
      <c r="R1157" s="33"/>
      <c r="S1157" s="16"/>
    </row>
    <row r="1158" spans="1:19">
      <c r="A1158" s="57" t="s">
        <v>57</v>
      </c>
      <c r="B1158" s="58"/>
      <c r="C1158" s="58"/>
      <c r="D1158" s="58"/>
      <c r="E1158" s="58"/>
      <c r="F1158" s="58"/>
      <c r="G1158" s="58"/>
      <c r="H1158" s="58"/>
      <c r="I1158" s="58"/>
      <c r="J1158" s="58"/>
      <c r="K1158" s="58"/>
      <c r="L1158" s="58"/>
      <c r="M1158" s="58"/>
      <c r="N1158" s="59"/>
      <c r="O1158" s="1"/>
      <c r="P1158" s="32"/>
      <c r="Q1158" s="32"/>
      <c r="R1158" s="33"/>
      <c r="S1158" s="16"/>
    </row>
    <row r="1159" spans="1:19">
      <c r="A1159" s="57" t="s">
        <v>58</v>
      </c>
      <c r="B1159" s="58"/>
      <c r="C1159" s="58"/>
      <c r="D1159" s="58"/>
      <c r="E1159" s="58"/>
      <c r="F1159" s="58"/>
      <c r="G1159" s="58"/>
      <c r="H1159" s="58"/>
      <c r="I1159" s="58"/>
      <c r="J1159" s="58"/>
      <c r="K1159" s="58"/>
      <c r="L1159" s="58"/>
      <c r="M1159" s="58"/>
      <c r="N1159" s="59"/>
      <c r="O1159" s="1"/>
      <c r="P1159" s="32"/>
      <c r="Q1159" s="32"/>
      <c r="R1159" s="33"/>
      <c r="S1159" s="16"/>
    </row>
    <row r="1160" spans="1:19">
      <c r="A1160" s="57" t="s">
        <v>59</v>
      </c>
      <c r="B1160" s="58"/>
      <c r="C1160" s="58"/>
      <c r="D1160" s="58"/>
      <c r="E1160" s="58"/>
      <c r="F1160" s="58"/>
      <c r="G1160" s="58"/>
      <c r="H1160" s="58"/>
      <c r="I1160" s="58"/>
      <c r="J1160" s="58"/>
      <c r="K1160" s="58"/>
      <c r="L1160" s="58"/>
      <c r="M1160" s="58"/>
      <c r="N1160" s="59"/>
      <c r="O1160" s="1"/>
      <c r="P1160" s="32"/>
      <c r="Q1160" s="34"/>
      <c r="R1160" s="33"/>
      <c r="S1160" s="16"/>
    </row>
    <row r="1161" spans="1:19">
      <c r="A1161" s="57" t="s">
        <v>28</v>
      </c>
      <c r="B1161" s="58"/>
      <c r="C1161" s="58"/>
      <c r="D1161" s="58"/>
      <c r="E1161" s="58"/>
      <c r="F1161" s="58"/>
      <c r="G1161" s="58"/>
      <c r="H1161" s="58"/>
      <c r="I1161" s="58"/>
      <c r="J1161" s="58"/>
      <c r="K1161" s="58"/>
      <c r="L1161" s="58"/>
      <c r="M1161" s="58"/>
      <c r="N1161" s="59"/>
      <c r="O1161" s="1"/>
      <c r="P1161" s="34"/>
      <c r="Q1161" s="32"/>
      <c r="R1161" s="33"/>
      <c r="S1161" s="16"/>
    </row>
    <row r="1162" spans="1:19">
      <c r="A1162" s="40" t="s">
        <v>29</v>
      </c>
      <c r="B1162" s="41"/>
      <c r="C1162" s="40"/>
      <c r="D1162" s="40"/>
      <c r="E1162" s="40"/>
      <c r="F1162" s="40"/>
      <c r="G1162" s="40"/>
      <c r="H1162" s="40"/>
      <c r="I1162" s="40"/>
      <c r="J1162" s="40"/>
      <c r="K1162" s="40"/>
      <c r="L1162" s="40"/>
      <c r="M1162" s="40"/>
      <c r="N1162" s="40"/>
      <c r="O1162" s="1"/>
      <c r="P1162" s="32"/>
      <c r="Q1162" s="32"/>
      <c r="R1162" s="33"/>
      <c r="S1162" s="16"/>
    </row>
    <row r="1163" spans="1:19">
      <c r="A1163" s="42"/>
      <c r="B1163" s="43"/>
      <c r="C1163" s="43"/>
      <c r="D1163" s="43"/>
      <c r="E1163" s="43"/>
      <c r="F1163" s="43"/>
      <c r="G1163" s="43"/>
      <c r="H1163" s="43"/>
      <c r="I1163" s="43"/>
      <c r="J1163" s="43"/>
      <c r="K1163" s="43"/>
      <c r="L1163" s="43"/>
      <c r="M1163" s="43"/>
      <c r="N1163" s="44"/>
      <c r="O1163" s="1"/>
      <c r="P1163" s="32"/>
      <c r="Q1163" s="32"/>
      <c r="R1163" s="33"/>
      <c r="S1163" s="16"/>
    </row>
    <row r="1164" spans="1:19">
      <c r="A1164" s="40" t="s">
        <v>30</v>
      </c>
      <c r="B1164" s="41"/>
      <c r="C1164" s="40"/>
      <c r="D1164" s="40"/>
      <c r="E1164" s="40"/>
      <c r="F1164" s="40"/>
      <c r="G1164" s="40"/>
      <c r="H1164" s="40"/>
      <c r="I1164" s="40"/>
      <c r="J1164" s="40"/>
      <c r="K1164" s="40"/>
      <c r="L1164" s="40"/>
      <c r="M1164" s="40"/>
      <c r="N1164" s="40"/>
      <c r="O1164" s="1"/>
      <c r="P1164" s="32"/>
      <c r="Q1164" s="32"/>
      <c r="R1164" s="33"/>
      <c r="S1164" s="16"/>
    </row>
    <row r="1165" spans="1:19">
      <c r="A1165" s="42"/>
      <c r="B1165" s="43"/>
      <c r="C1165" s="43"/>
      <c r="D1165" s="43"/>
      <c r="E1165" s="43"/>
      <c r="F1165" s="43"/>
      <c r="G1165" s="43"/>
      <c r="H1165" s="43"/>
      <c r="I1165" s="43"/>
      <c r="J1165" s="43"/>
      <c r="K1165" s="43"/>
      <c r="L1165" s="43"/>
      <c r="M1165" s="43"/>
      <c r="N1165" s="44"/>
      <c r="O1165" s="1"/>
      <c r="P1165" s="32"/>
      <c r="Q1165" s="32"/>
      <c r="R1165" s="33"/>
      <c r="S1165" s="16"/>
    </row>
    <row r="1166" spans="1:19">
      <c r="A1166" s="40" t="s">
        <v>105</v>
      </c>
      <c r="B1166" s="41"/>
      <c r="C1166" s="40"/>
      <c r="D1166" s="40"/>
      <c r="E1166" s="40"/>
      <c r="F1166" s="40"/>
      <c r="G1166" s="40"/>
      <c r="H1166" s="40"/>
      <c r="I1166" s="40"/>
      <c r="J1166" s="40"/>
      <c r="K1166" s="40"/>
      <c r="L1166" s="40"/>
      <c r="M1166" s="40"/>
      <c r="N1166" s="40"/>
      <c r="O1166" s="1"/>
      <c r="P1166" s="32"/>
      <c r="Q1166" s="32"/>
      <c r="R1166" s="33"/>
      <c r="S1166" s="17"/>
    </row>
    <row r="1167" spans="1:19">
      <c r="A1167" s="45"/>
      <c r="B1167" s="46"/>
      <c r="C1167" s="46"/>
      <c r="D1167" s="46"/>
      <c r="E1167" s="46"/>
      <c r="F1167" s="46"/>
      <c r="G1167" s="46"/>
      <c r="H1167" s="46"/>
      <c r="I1167" s="46"/>
      <c r="J1167" s="46"/>
      <c r="K1167" s="46"/>
      <c r="L1167" s="46"/>
      <c r="M1167" s="46"/>
      <c r="N1167" s="47"/>
      <c r="O1167" s="1"/>
      <c r="P1167" s="32"/>
      <c r="Q1167" s="32"/>
      <c r="R1167" s="33"/>
      <c r="S1167" s="1"/>
    </row>
    <row r="1168" spans="1:19">
      <c r="A1168" s="48" t="s">
        <v>41</v>
      </c>
      <c r="B1168" s="49"/>
      <c r="C1168" s="50"/>
      <c r="D1168" s="50"/>
      <c r="E1168" s="50"/>
      <c r="F1168" s="50"/>
      <c r="G1168" s="50"/>
      <c r="H1168" s="51"/>
      <c r="I1168" s="51"/>
      <c r="J1168" s="51"/>
      <c r="K1168" s="51"/>
      <c r="L1168" s="51"/>
      <c r="M1168" s="51"/>
      <c r="N1168" s="52"/>
      <c r="O1168" s="1"/>
      <c r="P1168" s="32"/>
      <c r="Q1168" s="32"/>
      <c r="R1168" s="33"/>
      <c r="S1168" s="1"/>
    </row>
    <row r="1169" spans="1:18" ht="28.2">
      <c r="A1169" s="1" t="s">
        <v>45</v>
      </c>
      <c r="B1169" s="7">
        <f>B1108+1</f>
        <v>20</v>
      </c>
      <c r="C1169" s="5"/>
      <c r="D1169" s="5"/>
      <c r="E1169" s="5"/>
      <c r="F1169" s="5"/>
      <c r="G1169" s="5"/>
      <c r="H1169" s="5"/>
      <c r="I1169" s="5"/>
      <c r="J1169" s="5"/>
      <c r="K1169" s="5"/>
      <c r="L1169" s="5"/>
      <c r="M1169" s="5"/>
      <c r="N1169" s="5"/>
      <c r="O1169" s="1"/>
      <c r="P1169" s="32"/>
      <c r="Q1169" s="33"/>
      <c r="R1169" s="29"/>
    </row>
    <row r="1170" spans="1:18">
      <c r="A1170" s="1" t="s">
        <v>46</v>
      </c>
      <c r="B1170" s="1" t="s">
        <v>1</v>
      </c>
      <c r="C1170" s="1" t="s">
        <v>2</v>
      </c>
      <c r="D1170" s="1" t="s">
        <v>3</v>
      </c>
      <c r="E1170" s="1" t="s">
        <v>2</v>
      </c>
      <c r="F1170" s="1"/>
      <c r="G1170" s="1"/>
      <c r="H1170" s="112" t="s">
        <v>4</v>
      </c>
      <c r="I1170" s="112"/>
      <c r="J1170" s="113">
        <f>J1109+1</f>
        <v>46231</v>
      </c>
      <c r="K1170" s="113"/>
      <c r="L1170" s="113"/>
      <c r="M1170" s="114">
        <f>J1170</f>
        <v>46231</v>
      </c>
      <c r="N1170" s="114"/>
      <c r="O1170" s="1"/>
      <c r="P1170" s="32"/>
      <c r="Q1170" s="33"/>
      <c r="R1170" s="29"/>
    </row>
    <row r="1171" spans="1:18">
      <c r="A1171" s="8" t="s">
        <v>5</v>
      </c>
      <c r="B1171" s="115">
        <f>B1102</f>
        <v>0</v>
      </c>
      <c r="C1171" s="116"/>
      <c r="D1171" s="116"/>
      <c r="E1171" s="116"/>
      <c r="F1171" s="116"/>
      <c r="G1171" s="117"/>
      <c r="H1171" s="63" t="s">
        <v>6</v>
      </c>
      <c r="I1171" s="63"/>
      <c r="J1171" s="63"/>
      <c r="K1171" s="63" t="s">
        <v>52</v>
      </c>
      <c r="L1171" s="63"/>
      <c r="M1171" s="63"/>
      <c r="N1171" s="63"/>
      <c r="O1171" s="1"/>
      <c r="P1171" s="32"/>
      <c r="Q1171" s="33"/>
      <c r="R1171" s="29"/>
    </row>
    <row r="1172" spans="1:18">
      <c r="A1172" s="8" t="s">
        <v>32</v>
      </c>
      <c r="B1172" s="10">
        <v>60</v>
      </c>
      <c r="C1172" s="11" t="s">
        <v>43</v>
      </c>
      <c r="D1172" s="71" t="s">
        <v>7</v>
      </c>
      <c r="E1172" s="73"/>
      <c r="F1172" s="10">
        <f>F1111+1</f>
        <v>20</v>
      </c>
      <c r="G1172" s="11" t="s">
        <v>8</v>
      </c>
      <c r="H1172" s="9" t="s">
        <v>9</v>
      </c>
      <c r="I1172" s="10">
        <f>B1172-F1172</f>
        <v>40</v>
      </c>
      <c r="J1172" s="11" t="s">
        <v>8</v>
      </c>
      <c r="K1172" s="118" t="s">
        <v>33</v>
      </c>
      <c r="L1172" s="119"/>
      <c r="M1172" s="12"/>
      <c r="N1172" s="11" t="s">
        <v>8</v>
      </c>
      <c r="O1172" s="1"/>
      <c r="P1172" s="34"/>
      <c r="Q1172" s="33"/>
      <c r="R1172" s="29"/>
    </row>
    <row r="1173" spans="1:18">
      <c r="A1173" s="71" t="s">
        <v>34</v>
      </c>
      <c r="B1173" s="72"/>
      <c r="C1173" s="73"/>
      <c r="D1173" s="120">
        <v>46212</v>
      </c>
      <c r="E1173" s="121"/>
      <c r="F1173" s="121"/>
      <c r="G1173" s="122"/>
      <c r="H1173" s="71" t="s">
        <v>35</v>
      </c>
      <c r="I1173" s="72"/>
      <c r="J1173" s="73"/>
      <c r="K1173" s="120">
        <f>D1173+59</f>
        <v>46271</v>
      </c>
      <c r="L1173" s="121"/>
      <c r="M1173" s="121"/>
      <c r="N1173" s="122"/>
      <c r="O1173" s="1"/>
      <c r="P1173" s="32"/>
      <c r="Q1173" s="33"/>
      <c r="R1173" s="29"/>
    </row>
    <row r="1174" spans="1:18">
      <c r="A1174" s="92" t="s">
        <v>10</v>
      </c>
      <c r="B1174" s="93"/>
      <c r="C1174" s="94"/>
      <c r="D1174" s="98">
        <f>D1113+0.0455/5</f>
        <v>6.2E-2</v>
      </c>
      <c r="E1174" s="99"/>
      <c r="F1174" s="99"/>
      <c r="G1174" s="100"/>
      <c r="H1174" s="104" t="s">
        <v>36</v>
      </c>
      <c r="I1174" s="105"/>
      <c r="J1174" s="106"/>
      <c r="K1174" s="110">
        <f>R1205</f>
        <v>0.14786595928238083</v>
      </c>
      <c r="L1174" s="105"/>
      <c r="M1174" s="105"/>
      <c r="N1174" s="106"/>
      <c r="O1174" s="1"/>
      <c r="P1174" s="32"/>
      <c r="Q1174" s="33"/>
      <c r="R1174" s="29"/>
    </row>
    <row r="1175" spans="1:18">
      <c r="A1175" s="95"/>
      <c r="B1175" s="96"/>
      <c r="C1175" s="97"/>
      <c r="D1175" s="101"/>
      <c r="E1175" s="102"/>
      <c r="F1175" s="102"/>
      <c r="G1175" s="103"/>
      <c r="H1175" s="107"/>
      <c r="I1175" s="108"/>
      <c r="J1175" s="109"/>
      <c r="K1175" s="107"/>
      <c r="L1175" s="108"/>
      <c r="M1175" s="108"/>
      <c r="N1175" s="109"/>
      <c r="O1175" s="1"/>
      <c r="P1175" s="32"/>
      <c r="Q1175" s="33"/>
      <c r="R1175" s="29"/>
    </row>
    <row r="1176" spans="1:18">
      <c r="A1176" s="62" t="s">
        <v>11</v>
      </c>
      <c r="B1176" s="62"/>
      <c r="C1176" s="62"/>
      <c r="D1176" s="62"/>
      <c r="E1176" s="62"/>
      <c r="F1176" s="62"/>
      <c r="G1176" s="62"/>
      <c r="H1176" s="62"/>
      <c r="I1176" s="62"/>
      <c r="J1176" s="62"/>
      <c r="K1176" s="62"/>
      <c r="L1176" s="62"/>
      <c r="M1176" s="62"/>
      <c r="N1176" s="62"/>
      <c r="O1176" s="1"/>
      <c r="P1176" s="32"/>
      <c r="Q1176" s="33"/>
      <c r="R1176" s="29"/>
    </row>
    <row r="1177" spans="1:18">
      <c r="A1177" s="111" t="s">
        <v>12</v>
      </c>
      <c r="B1177" s="111"/>
      <c r="C1177" s="111"/>
      <c r="D1177" s="111"/>
      <c r="E1177" s="111"/>
      <c r="F1177" s="14" t="s">
        <v>37</v>
      </c>
      <c r="G1177" s="111" t="s">
        <v>38</v>
      </c>
      <c r="H1177" s="111"/>
      <c r="I1177" s="63" t="s">
        <v>39</v>
      </c>
      <c r="J1177" s="63"/>
      <c r="K1177" s="63"/>
      <c r="L1177" s="63" t="s">
        <v>40</v>
      </c>
      <c r="M1177" s="63"/>
      <c r="N1177" s="9" t="s">
        <v>13</v>
      </c>
      <c r="O1177" s="1"/>
      <c r="P1177" s="28" t="s">
        <v>47</v>
      </c>
      <c r="Q1177" s="29" t="s">
        <v>48</v>
      </c>
      <c r="R1177" s="29" t="s">
        <v>49</v>
      </c>
    </row>
    <row r="1178" spans="1:18">
      <c r="A1178" s="83" t="s">
        <v>67</v>
      </c>
      <c r="B1178" s="84"/>
      <c r="C1178" s="84"/>
      <c r="D1178" s="84"/>
      <c r="E1178" s="85"/>
      <c r="F1178" s="27" t="s">
        <v>60</v>
      </c>
      <c r="G1178" s="67">
        <v>1</v>
      </c>
      <c r="H1178" s="68"/>
      <c r="I1178" s="86"/>
      <c r="J1178" s="87"/>
      <c r="K1178" s="88"/>
      <c r="L1178" s="69">
        <f>I1178+L1117</f>
        <v>1</v>
      </c>
      <c r="M1178" s="70"/>
      <c r="N1178" s="8"/>
      <c r="O1178" s="1"/>
      <c r="P1178" s="30">
        <v>6000</v>
      </c>
      <c r="Q1178" s="38">
        <f>P1178*G1178</f>
        <v>6000</v>
      </c>
      <c r="R1178" s="28">
        <f>L1178*P1178</f>
        <v>6000</v>
      </c>
    </row>
    <row r="1179" spans="1:18">
      <c r="A1179" s="83" t="s">
        <v>68</v>
      </c>
      <c r="B1179" s="84"/>
      <c r="C1179" s="84"/>
      <c r="D1179" s="84"/>
      <c r="E1179" s="85"/>
      <c r="F1179" s="20" t="s">
        <v>60</v>
      </c>
      <c r="G1179" s="67">
        <v>1</v>
      </c>
      <c r="H1179" s="68"/>
      <c r="I1179" s="87"/>
      <c r="J1179" s="87"/>
      <c r="K1179" s="88"/>
      <c r="L1179" s="69">
        <f t="shared" ref="L1179:L1203" si="62">I1179+L1118</f>
        <v>1</v>
      </c>
      <c r="M1179" s="70"/>
      <c r="N1179" s="8"/>
      <c r="O1179" s="1"/>
      <c r="P1179" s="30">
        <v>193300</v>
      </c>
      <c r="Q1179" s="38">
        <f t="shared" ref="Q1179:Q1203" si="63">P1179*G1179</f>
        <v>193300</v>
      </c>
      <c r="R1179" s="28">
        <f>L1179*P1179</f>
        <v>193300</v>
      </c>
    </row>
    <row r="1180" spans="1:18">
      <c r="A1180" s="89" t="s">
        <v>69</v>
      </c>
      <c r="B1180" s="90"/>
      <c r="C1180" s="90"/>
      <c r="D1180" s="90"/>
      <c r="E1180" s="91"/>
      <c r="F1180" s="20" t="s">
        <v>60</v>
      </c>
      <c r="G1180" s="67">
        <v>1</v>
      </c>
      <c r="H1180" s="68"/>
      <c r="I1180" s="87"/>
      <c r="J1180" s="87"/>
      <c r="K1180" s="88"/>
      <c r="L1180" s="69">
        <f t="shared" si="62"/>
        <v>0.5</v>
      </c>
      <c r="M1180" s="70"/>
      <c r="N1180" s="8"/>
      <c r="O1180" s="1"/>
      <c r="P1180" s="30">
        <v>30000</v>
      </c>
      <c r="Q1180" s="38">
        <f t="shared" si="63"/>
        <v>30000</v>
      </c>
      <c r="R1180" s="28">
        <f>L1180*P1180</f>
        <v>15000</v>
      </c>
    </row>
    <row r="1181" spans="1:18">
      <c r="A1181" s="64" t="s">
        <v>70</v>
      </c>
      <c r="B1181" s="65"/>
      <c r="C1181" s="65"/>
      <c r="D1181" s="65"/>
      <c r="E1181" s="66"/>
      <c r="F1181" s="20" t="s">
        <v>60</v>
      </c>
      <c r="G1181" s="67">
        <v>1</v>
      </c>
      <c r="H1181" s="68"/>
      <c r="I1181" s="87"/>
      <c r="J1181" s="87"/>
      <c r="K1181" s="88"/>
      <c r="L1181" s="69">
        <f t="shared" si="62"/>
        <v>1</v>
      </c>
      <c r="M1181" s="70"/>
      <c r="N1181" s="8"/>
      <c r="O1181" s="1"/>
      <c r="P1181" s="31">
        <v>10000</v>
      </c>
      <c r="Q1181" s="38">
        <f t="shared" si="63"/>
        <v>10000</v>
      </c>
      <c r="R1181" s="28">
        <f t="shared" ref="R1181:R1203" si="64">L1181*P1181</f>
        <v>10000</v>
      </c>
    </row>
    <row r="1182" spans="1:18">
      <c r="A1182" s="64" t="s">
        <v>71</v>
      </c>
      <c r="B1182" s="65"/>
      <c r="C1182" s="65"/>
      <c r="D1182" s="65"/>
      <c r="E1182" s="66"/>
      <c r="F1182" s="20" t="s">
        <v>61</v>
      </c>
      <c r="G1182" s="67">
        <v>9</v>
      </c>
      <c r="H1182" s="68"/>
      <c r="I1182" s="87"/>
      <c r="J1182" s="87"/>
      <c r="K1182" s="88"/>
      <c r="L1182" s="69">
        <f t="shared" si="62"/>
        <v>9</v>
      </c>
      <c r="M1182" s="70"/>
      <c r="N1182" s="8"/>
      <c r="O1182" s="1"/>
      <c r="P1182" s="30">
        <v>21000</v>
      </c>
      <c r="Q1182" s="38">
        <f t="shared" si="63"/>
        <v>189000</v>
      </c>
      <c r="R1182" s="28">
        <f t="shared" si="64"/>
        <v>189000</v>
      </c>
    </row>
    <row r="1183" spans="1:18">
      <c r="A1183" s="64" t="s">
        <v>72</v>
      </c>
      <c r="B1183" s="65"/>
      <c r="C1183" s="65"/>
      <c r="D1183" s="65"/>
      <c r="E1183" s="66"/>
      <c r="F1183" s="2" t="s">
        <v>60</v>
      </c>
      <c r="G1183" s="67">
        <v>1</v>
      </c>
      <c r="H1183" s="68"/>
      <c r="I1183" s="87"/>
      <c r="J1183" s="87"/>
      <c r="K1183" s="88"/>
      <c r="L1183" s="69">
        <f t="shared" si="62"/>
        <v>0</v>
      </c>
      <c r="M1183" s="70"/>
      <c r="N1183" s="8"/>
      <c r="O1183" s="1"/>
      <c r="P1183" s="30">
        <v>184468</v>
      </c>
      <c r="Q1183" s="38">
        <f t="shared" si="63"/>
        <v>184468</v>
      </c>
      <c r="R1183" s="28">
        <f t="shared" si="64"/>
        <v>0</v>
      </c>
    </row>
    <row r="1184" spans="1:18">
      <c r="A1184" s="83" t="s">
        <v>73</v>
      </c>
      <c r="B1184" s="84"/>
      <c r="C1184" s="84"/>
      <c r="D1184" s="84"/>
      <c r="E1184" s="85"/>
      <c r="F1184" s="20" t="s">
        <v>62</v>
      </c>
      <c r="G1184" s="67">
        <v>9</v>
      </c>
      <c r="H1184" s="68"/>
      <c r="I1184" s="87"/>
      <c r="J1184" s="87"/>
      <c r="K1184" s="88"/>
      <c r="L1184" s="69">
        <f t="shared" si="62"/>
        <v>0</v>
      </c>
      <c r="M1184" s="70"/>
      <c r="N1184" s="8"/>
      <c r="O1184" s="1"/>
      <c r="P1184" s="30">
        <v>20000</v>
      </c>
      <c r="Q1184" s="38">
        <f t="shared" si="63"/>
        <v>180000</v>
      </c>
      <c r="R1184" s="28">
        <f t="shared" si="64"/>
        <v>0</v>
      </c>
    </row>
    <row r="1185" spans="1:18">
      <c r="A1185" s="83" t="s">
        <v>74</v>
      </c>
      <c r="B1185" s="84"/>
      <c r="C1185" s="84"/>
      <c r="D1185" s="84"/>
      <c r="E1185" s="85"/>
      <c r="F1185" s="20" t="s">
        <v>63</v>
      </c>
      <c r="G1185" s="67">
        <v>52</v>
      </c>
      <c r="H1185" s="68"/>
      <c r="I1185" s="87"/>
      <c r="J1185" s="87"/>
      <c r="K1185" s="88"/>
      <c r="L1185" s="69">
        <f t="shared" si="62"/>
        <v>52</v>
      </c>
      <c r="M1185" s="70"/>
      <c r="N1185" s="8"/>
      <c r="O1185" s="1"/>
      <c r="P1185" s="31">
        <v>2500</v>
      </c>
      <c r="Q1185" s="38">
        <f t="shared" si="63"/>
        <v>130000</v>
      </c>
      <c r="R1185" s="28">
        <f t="shared" si="64"/>
        <v>130000</v>
      </c>
    </row>
    <row r="1186" spans="1:18">
      <c r="A1186" s="83" t="s">
        <v>75</v>
      </c>
      <c r="B1186" s="84"/>
      <c r="C1186" s="84"/>
      <c r="D1186" s="84"/>
      <c r="E1186" s="85"/>
      <c r="F1186" s="20" t="s">
        <v>64</v>
      </c>
      <c r="G1186" s="67">
        <v>1</v>
      </c>
      <c r="H1186" s="68"/>
      <c r="I1186" s="87"/>
      <c r="J1186" s="87"/>
      <c r="K1186" s="88"/>
      <c r="L1186" s="69">
        <f t="shared" si="62"/>
        <v>0</v>
      </c>
      <c r="M1186" s="70"/>
      <c r="N1186" s="8"/>
      <c r="O1186" s="1"/>
      <c r="P1186" s="30">
        <v>80000</v>
      </c>
      <c r="Q1186" s="38">
        <f t="shared" si="63"/>
        <v>80000</v>
      </c>
      <c r="R1186" s="28">
        <f t="shared" si="64"/>
        <v>0</v>
      </c>
    </row>
    <row r="1187" spans="1:18">
      <c r="A1187" s="89" t="s">
        <v>76</v>
      </c>
      <c r="B1187" s="90"/>
      <c r="C1187" s="90"/>
      <c r="D1187" s="90"/>
      <c r="E1187" s="91"/>
      <c r="F1187" s="20" t="s">
        <v>65</v>
      </c>
      <c r="G1187" s="67">
        <v>31</v>
      </c>
      <c r="H1187" s="68"/>
      <c r="I1187" s="87">
        <v>21</v>
      </c>
      <c r="J1187" s="87"/>
      <c r="K1187" s="88"/>
      <c r="L1187" s="69">
        <f t="shared" si="62"/>
        <v>31</v>
      </c>
      <c r="M1187" s="70"/>
      <c r="N1187" s="8"/>
      <c r="O1187" s="1"/>
      <c r="P1187" s="30">
        <v>400</v>
      </c>
      <c r="Q1187" s="38">
        <f t="shared" si="63"/>
        <v>12400</v>
      </c>
      <c r="R1187" s="28">
        <f t="shared" si="64"/>
        <v>12400</v>
      </c>
    </row>
    <row r="1188" spans="1:18">
      <c r="A1188" s="64" t="s">
        <v>77</v>
      </c>
      <c r="B1188" s="65"/>
      <c r="C1188" s="65"/>
      <c r="D1188" s="65"/>
      <c r="E1188" s="66"/>
      <c r="F1188" s="20" t="s">
        <v>65</v>
      </c>
      <c r="G1188" s="67">
        <v>100</v>
      </c>
      <c r="H1188" s="68"/>
      <c r="I1188" s="87"/>
      <c r="J1188" s="87"/>
      <c r="K1188" s="88"/>
      <c r="L1188" s="69">
        <f t="shared" si="62"/>
        <v>0</v>
      </c>
      <c r="M1188" s="70"/>
      <c r="N1188" s="8"/>
      <c r="O1188" s="1"/>
      <c r="P1188" s="30">
        <v>350</v>
      </c>
      <c r="Q1188" s="38">
        <f t="shared" si="63"/>
        <v>35000</v>
      </c>
      <c r="R1188" s="28">
        <f t="shared" si="64"/>
        <v>0</v>
      </c>
    </row>
    <row r="1189" spans="1:18">
      <c r="A1189" s="64" t="s">
        <v>78</v>
      </c>
      <c r="B1189" s="65"/>
      <c r="C1189" s="65"/>
      <c r="D1189" s="65"/>
      <c r="E1189" s="66"/>
      <c r="F1189" s="20" t="s">
        <v>63</v>
      </c>
      <c r="G1189" s="67">
        <v>35</v>
      </c>
      <c r="H1189" s="68"/>
      <c r="I1189" s="87"/>
      <c r="J1189" s="87"/>
      <c r="K1189" s="88"/>
      <c r="L1189" s="69">
        <f t="shared" si="62"/>
        <v>0</v>
      </c>
      <c r="M1189" s="70"/>
      <c r="N1189" s="8"/>
      <c r="O1189" s="1"/>
      <c r="P1189" s="30">
        <v>1200</v>
      </c>
      <c r="Q1189" s="38">
        <f t="shared" si="63"/>
        <v>42000</v>
      </c>
      <c r="R1189" s="28">
        <f t="shared" si="64"/>
        <v>0</v>
      </c>
    </row>
    <row r="1190" spans="1:18">
      <c r="A1190" s="64" t="s">
        <v>79</v>
      </c>
      <c r="B1190" s="65"/>
      <c r="C1190" s="65"/>
      <c r="D1190" s="65"/>
      <c r="E1190" s="66"/>
      <c r="F1190" s="20" t="s">
        <v>63</v>
      </c>
      <c r="G1190" s="67">
        <v>282</v>
      </c>
      <c r="H1190" s="68"/>
      <c r="I1190" s="86">
        <v>30</v>
      </c>
      <c r="J1190" s="87"/>
      <c r="K1190" s="88"/>
      <c r="L1190" s="69">
        <f t="shared" si="62"/>
        <v>60</v>
      </c>
      <c r="M1190" s="70"/>
      <c r="N1190" s="8"/>
      <c r="O1190" s="1"/>
      <c r="P1190" s="30">
        <v>1400</v>
      </c>
      <c r="Q1190" s="38">
        <f t="shared" si="63"/>
        <v>394800</v>
      </c>
      <c r="R1190" s="28">
        <f t="shared" si="64"/>
        <v>84000</v>
      </c>
    </row>
    <row r="1191" spans="1:18">
      <c r="A1191" s="83" t="s">
        <v>80</v>
      </c>
      <c r="B1191" s="84"/>
      <c r="C1191" s="84"/>
      <c r="D1191" s="84"/>
      <c r="E1191" s="85"/>
      <c r="F1191" s="21" t="s">
        <v>65</v>
      </c>
      <c r="G1191" s="67">
        <v>58</v>
      </c>
      <c r="H1191" s="68"/>
      <c r="I1191" s="86"/>
      <c r="J1191" s="87"/>
      <c r="K1191" s="88"/>
      <c r="L1191" s="69">
        <f t="shared" si="62"/>
        <v>0</v>
      </c>
      <c r="M1191" s="70"/>
      <c r="N1191" s="8"/>
      <c r="O1191" s="1"/>
      <c r="P1191" s="30">
        <v>3600</v>
      </c>
      <c r="Q1191" s="38">
        <f t="shared" si="63"/>
        <v>208800</v>
      </c>
      <c r="R1191" s="28">
        <f t="shared" si="64"/>
        <v>0</v>
      </c>
    </row>
    <row r="1192" spans="1:18">
      <c r="A1192" s="83" t="s">
        <v>81</v>
      </c>
      <c r="B1192" s="84"/>
      <c r="C1192" s="84"/>
      <c r="D1192" s="84"/>
      <c r="E1192" s="85"/>
      <c r="F1192" s="21" t="s">
        <v>65</v>
      </c>
      <c r="G1192" s="67">
        <v>360</v>
      </c>
      <c r="H1192" s="68"/>
      <c r="I1192" s="86"/>
      <c r="J1192" s="87"/>
      <c r="K1192" s="88"/>
      <c r="L1192" s="69">
        <f t="shared" si="62"/>
        <v>0</v>
      </c>
      <c r="M1192" s="70"/>
      <c r="N1192" s="8"/>
      <c r="O1192" s="1"/>
      <c r="P1192" s="30">
        <v>230</v>
      </c>
      <c r="Q1192" s="38">
        <f t="shared" si="63"/>
        <v>82800</v>
      </c>
      <c r="R1192" s="28">
        <f t="shared" si="64"/>
        <v>0</v>
      </c>
    </row>
    <row r="1193" spans="1:18">
      <c r="A1193" s="83" t="s">
        <v>82</v>
      </c>
      <c r="B1193" s="84"/>
      <c r="C1193" s="84"/>
      <c r="D1193" s="84"/>
      <c r="E1193" s="85"/>
      <c r="F1193" s="21" t="s">
        <v>65</v>
      </c>
      <c r="G1193" s="67">
        <v>2400</v>
      </c>
      <c r="H1193" s="68"/>
      <c r="I1193" s="86"/>
      <c r="J1193" s="87"/>
      <c r="K1193" s="88"/>
      <c r="L1193" s="69">
        <f t="shared" si="62"/>
        <v>0</v>
      </c>
      <c r="M1193" s="70"/>
      <c r="N1193" s="8"/>
      <c r="O1193" s="1"/>
      <c r="P1193" s="30">
        <v>80</v>
      </c>
      <c r="Q1193" s="38">
        <f t="shared" si="63"/>
        <v>192000</v>
      </c>
      <c r="R1193" s="28">
        <f t="shared" si="64"/>
        <v>0</v>
      </c>
    </row>
    <row r="1194" spans="1:18">
      <c r="A1194" s="89" t="s">
        <v>83</v>
      </c>
      <c r="B1194" s="90"/>
      <c r="C1194" s="90"/>
      <c r="D1194" s="90"/>
      <c r="E1194" s="91"/>
      <c r="F1194" s="21" t="s">
        <v>65</v>
      </c>
      <c r="G1194" s="67">
        <v>360</v>
      </c>
      <c r="H1194" s="68"/>
      <c r="I1194" s="86"/>
      <c r="J1194" s="87"/>
      <c r="K1194" s="88"/>
      <c r="L1194" s="69">
        <f t="shared" si="62"/>
        <v>0</v>
      </c>
      <c r="M1194" s="70"/>
      <c r="N1194" s="8"/>
      <c r="O1194" s="1"/>
      <c r="P1194" s="30">
        <v>420</v>
      </c>
      <c r="Q1194" s="38">
        <f t="shared" si="63"/>
        <v>151200</v>
      </c>
      <c r="R1194" s="28">
        <f t="shared" si="64"/>
        <v>0</v>
      </c>
    </row>
    <row r="1195" spans="1:18">
      <c r="A1195" s="64" t="s">
        <v>84</v>
      </c>
      <c r="B1195" s="65"/>
      <c r="C1195" s="65"/>
      <c r="D1195" s="65"/>
      <c r="E1195" s="66"/>
      <c r="F1195" s="21" t="s">
        <v>65</v>
      </c>
      <c r="G1195" s="67">
        <v>2760</v>
      </c>
      <c r="H1195" s="68"/>
      <c r="I1195" s="86"/>
      <c r="J1195" s="87"/>
      <c r="K1195" s="88"/>
      <c r="L1195" s="69">
        <f t="shared" si="62"/>
        <v>0</v>
      </c>
      <c r="M1195" s="70"/>
      <c r="N1195" s="8"/>
      <c r="O1195" s="1"/>
      <c r="P1195" s="30">
        <v>460</v>
      </c>
      <c r="Q1195" s="38">
        <f t="shared" si="63"/>
        <v>1269600</v>
      </c>
      <c r="R1195" s="28">
        <f t="shared" si="64"/>
        <v>0</v>
      </c>
    </row>
    <row r="1196" spans="1:18">
      <c r="A1196" s="64" t="s">
        <v>85</v>
      </c>
      <c r="B1196" s="65"/>
      <c r="C1196" s="65"/>
      <c r="D1196" s="65"/>
      <c r="E1196" s="66"/>
      <c r="F1196" s="21" t="s">
        <v>65</v>
      </c>
      <c r="G1196" s="67">
        <v>275</v>
      </c>
      <c r="H1196" s="68"/>
      <c r="I1196" s="86"/>
      <c r="J1196" s="87"/>
      <c r="K1196" s="88"/>
      <c r="L1196" s="69">
        <f t="shared" si="62"/>
        <v>0</v>
      </c>
      <c r="M1196" s="70"/>
      <c r="N1196" s="8"/>
      <c r="O1196" s="1"/>
      <c r="P1196" s="31">
        <v>350</v>
      </c>
      <c r="Q1196" s="38">
        <f t="shared" si="63"/>
        <v>96250</v>
      </c>
      <c r="R1196" s="28">
        <f t="shared" si="64"/>
        <v>0</v>
      </c>
    </row>
    <row r="1197" spans="1:18">
      <c r="A1197" s="64" t="s">
        <v>86</v>
      </c>
      <c r="B1197" s="65"/>
      <c r="C1197" s="65"/>
      <c r="D1197" s="65"/>
      <c r="E1197" s="66"/>
      <c r="F1197" s="21" t="s">
        <v>60</v>
      </c>
      <c r="G1197" s="67">
        <v>1</v>
      </c>
      <c r="H1197" s="68"/>
      <c r="I1197" s="86"/>
      <c r="J1197" s="87"/>
      <c r="K1197" s="88"/>
      <c r="L1197" s="69">
        <f t="shared" si="62"/>
        <v>0</v>
      </c>
      <c r="M1197" s="70"/>
      <c r="N1197" s="8"/>
      <c r="O1197" s="2"/>
      <c r="P1197" s="30">
        <v>40000</v>
      </c>
      <c r="Q1197" s="38">
        <f t="shared" si="63"/>
        <v>40000</v>
      </c>
      <c r="R1197" s="28">
        <f t="shared" si="64"/>
        <v>0</v>
      </c>
    </row>
    <row r="1198" spans="1:18">
      <c r="A1198" s="83" t="s">
        <v>87</v>
      </c>
      <c r="B1198" s="84"/>
      <c r="C1198" s="84"/>
      <c r="D1198" s="84"/>
      <c r="E1198" s="85"/>
      <c r="F1198" s="20" t="s">
        <v>60</v>
      </c>
      <c r="G1198" s="67">
        <v>1</v>
      </c>
      <c r="H1198" s="68"/>
      <c r="I1198" s="86"/>
      <c r="J1198" s="87"/>
      <c r="K1198" s="88"/>
      <c r="L1198" s="69">
        <f t="shared" si="62"/>
        <v>0</v>
      </c>
      <c r="M1198" s="70"/>
      <c r="N1198" s="8"/>
      <c r="O1198" s="1"/>
      <c r="P1198" s="31">
        <v>276970</v>
      </c>
      <c r="Q1198" s="38">
        <f t="shared" si="63"/>
        <v>276970</v>
      </c>
      <c r="R1198" s="28">
        <f t="shared" si="64"/>
        <v>0</v>
      </c>
    </row>
    <row r="1199" spans="1:18">
      <c r="A1199" s="83" t="s">
        <v>88</v>
      </c>
      <c r="B1199" s="84"/>
      <c r="C1199" s="84"/>
      <c r="D1199" s="84"/>
      <c r="E1199" s="85"/>
      <c r="F1199" s="20" t="s">
        <v>60</v>
      </c>
      <c r="G1199" s="67">
        <v>1</v>
      </c>
      <c r="H1199" s="68"/>
      <c r="I1199" s="26"/>
      <c r="J1199" s="23"/>
      <c r="K1199" s="24"/>
      <c r="L1199" s="69">
        <f t="shared" si="62"/>
        <v>0</v>
      </c>
      <c r="M1199" s="70"/>
      <c r="N1199" s="25"/>
      <c r="O1199" s="1"/>
      <c r="P1199" s="32">
        <v>60873</v>
      </c>
      <c r="Q1199" s="38">
        <f t="shared" si="63"/>
        <v>60873</v>
      </c>
      <c r="R1199" s="28">
        <f t="shared" si="64"/>
        <v>0</v>
      </c>
    </row>
    <row r="1200" spans="1:18">
      <c r="A1200" s="83" t="s">
        <v>89</v>
      </c>
      <c r="B1200" s="84"/>
      <c r="C1200" s="84"/>
      <c r="D1200" s="84"/>
      <c r="E1200" s="85"/>
      <c r="F1200" s="20" t="s">
        <v>60</v>
      </c>
      <c r="G1200" s="67">
        <v>1</v>
      </c>
      <c r="H1200" s="68"/>
      <c r="I1200" s="26"/>
      <c r="J1200" s="23"/>
      <c r="K1200" s="24"/>
      <c r="L1200" s="69">
        <f t="shared" si="62"/>
        <v>0</v>
      </c>
      <c r="M1200" s="70"/>
      <c r="N1200" s="25"/>
      <c r="O1200" s="1"/>
      <c r="P1200" s="32">
        <v>60873</v>
      </c>
      <c r="Q1200" s="38">
        <f t="shared" si="63"/>
        <v>60873</v>
      </c>
      <c r="R1200" s="28">
        <f t="shared" si="64"/>
        <v>0</v>
      </c>
    </row>
    <row r="1201" spans="1:19">
      <c r="A1201" s="83" t="s">
        <v>90</v>
      </c>
      <c r="B1201" s="84"/>
      <c r="C1201" s="84"/>
      <c r="D1201" s="84"/>
      <c r="E1201" s="85"/>
      <c r="F1201" s="20" t="s">
        <v>60</v>
      </c>
      <c r="G1201" s="67">
        <v>1</v>
      </c>
      <c r="H1201" s="68"/>
      <c r="I1201" s="26"/>
      <c r="J1201" s="23"/>
      <c r="K1201" s="24"/>
      <c r="L1201" s="69">
        <f t="shared" si="62"/>
        <v>0</v>
      </c>
      <c r="M1201" s="70"/>
      <c r="N1201" s="25"/>
      <c r="O1201" s="1"/>
      <c r="P1201" s="34">
        <v>266321</v>
      </c>
      <c r="Q1201" s="38">
        <f t="shared" si="63"/>
        <v>266321</v>
      </c>
      <c r="R1201" s="28">
        <f t="shared" si="64"/>
        <v>0</v>
      </c>
    </row>
    <row r="1202" spans="1:19">
      <c r="A1202" s="83" t="s">
        <v>91</v>
      </c>
      <c r="B1202" s="84"/>
      <c r="C1202" s="84"/>
      <c r="D1202" s="84"/>
      <c r="E1202" s="85"/>
      <c r="F1202" s="2" t="s">
        <v>60</v>
      </c>
      <c r="G1202" s="67">
        <v>1</v>
      </c>
      <c r="H1202" s="68"/>
      <c r="I1202" s="26"/>
      <c r="J1202" s="23"/>
      <c r="K1202" s="24"/>
      <c r="L1202" s="69">
        <f t="shared" si="62"/>
        <v>1</v>
      </c>
      <c r="M1202" s="70"/>
      <c r="N1202" s="25"/>
      <c r="O1202" s="1"/>
      <c r="P1202" s="32">
        <v>13316</v>
      </c>
      <c r="Q1202" s="38">
        <f t="shared" si="63"/>
        <v>13316</v>
      </c>
      <c r="R1202" s="28">
        <f t="shared" si="64"/>
        <v>13316</v>
      </c>
    </row>
    <row r="1203" spans="1:19">
      <c r="A1203" s="83" t="s">
        <v>92</v>
      </c>
      <c r="B1203" s="84"/>
      <c r="C1203" s="84"/>
      <c r="D1203" s="84"/>
      <c r="E1203" s="85"/>
      <c r="F1203" s="20" t="s">
        <v>60</v>
      </c>
      <c r="G1203" s="67">
        <v>1</v>
      </c>
      <c r="H1203" s="68"/>
      <c r="I1203" s="26"/>
      <c r="J1203" s="23"/>
      <c r="K1203" s="24"/>
      <c r="L1203" s="69">
        <f t="shared" si="62"/>
        <v>0</v>
      </c>
      <c r="M1203" s="70"/>
      <c r="N1203" s="25"/>
      <c r="O1203" s="1"/>
      <c r="P1203" s="32">
        <v>210299</v>
      </c>
      <c r="Q1203" s="38">
        <f t="shared" si="63"/>
        <v>210299</v>
      </c>
      <c r="R1203" s="28">
        <f t="shared" si="64"/>
        <v>0</v>
      </c>
    </row>
    <row r="1204" spans="1:19">
      <c r="A1204" s="64"/>
      <c r="B1204" s="65"/>
      <c r="C1204" s="65"/>
      <c r="D1204" s="65"/>
      <c r="E1204" s="66"/>
      <c r="F1204" s="22"/>
      <c r="G1204" s="67"/>
      <c r="H1204" s="68"/>
      <c r="I1204" s="26"/>
      <c r="J1204" s="23"/>
      <c r="K1204" s="24"/>
      <c r="L1204" s="69"/>
      <c r="M1204" s="70"/>
      <c r="N1204" s="25"/>
      <c r="O1204" s="3"/>
      <c r="P1204" s="32"/>
      <c r="Q1204" s="33">
        <f>SUM(Q1178:Q1203)</f>
        <v>4416270</v>
      </c>
      <c r="R1204" s="29">
        <f>SUM(R1178:R1203)</f>
        <v>653016</v>
      </c>
    </row>
    <row r="1205" spans="1:19">
      <c r="A1205" s="64"/>
      <c r="B1205" s="65"/>
      <c r="C1205" s="65"/>
      <c r="D1205" s="65"/>
      <c r="E1205" s="66"/>
      <c r="F1205" s="22"/>
      <c r="G1205" s="67"/>
      <c r="H1205" s="68"/>
      <c r="I1205" s="26"/>
      <c r="J1205" s="23"/>
      <c r="K1205" s="24"/>
      <c r="L1205" s="69"/>
      <c r="M1205" s="70"/>
      <c r="N1205" s="25"/>
      <c r="O1205" s="3"/>
      <c r="P1205" s="32"/>
      <c r="Q1205" s="33"/>
      <c r="R1205" s="37">
        <f>R1204/Q1204</f>
        <v>0.14786595928238083</v>
      </c>
    </row>
    <row r="1206" spans="1:19">
      <c r="A1206" s="62" t="s">
        <v>14</v>
      </c>
      <c r="B1206" s="62"/>
      <c r="C1206" s="62"/>
      <c r="D1206" s="62"/>
      <c r="E1206" s="62"/>
      <c r="F1206" s="62"/>
      <c r="G1206" s="62"/>
      <c r="H1206" s="62"/>
      <c r="I1206" s="62"/>
      <c r="J1206" s="62"/>
      <c r="K1206" s="62"/>
      <c r="L1206" s="62"/>
      <c r="M1206" s="62"/>
      <c r="N1206" s="62"/>
      <c r="O1206" s="1"/>
      <c r="P1206" s="32"/>
      <c r="Q1206" s="33"/>
      <c r="R1206" s="29"/>
      <c r="S1206" s="16"/>
    </row>
    <row r="1207" spans="1:19">
      <c r="A1207" s="71" t="s">
        <v>15</v>
      </c>
      <c r="B1207" s="72"/>
      <c r="C1207" s="72"/>
      <c r="D1207" s="72"/>
      <c r="E1207" s="73"/>
      <c r="F1207" s="9" t="s">
        <v>37</v>
      </c>
      <c r="G1207" s="71" t="s">
        <v>38</v>
      </c>
      <c r="H1207" s="73"/>
      <c r="I1207" s="71" t="s">
        <v>42</v>
      </c>
      <c r="J1207" s="72"/>
      <c r="K1207" s="73"/>
      <c r="L1207" s="74" t="s">
        <v>17</v>
      </c>
      <c r="M1207" s="75"/>
      <c r="N1207" s="9" t="s">
        <v>13</v>
      </c>
      <c r="O1207" s="1"/>
      <c r="P1207" s="32"/>
      <c r="Q1207" s="33"/>
      <c r="R1207" s="29"/>
      <c r="S1207" s="16"/>
    </row>
    <row r="1208" spans="1:19">
      <c r="A1208" s="71"/>
      <c r="B1208" s="72"/>
      <c r="C1208" s="72"/>
      <c r="D1208" s="72"/>
      <c r="E1208" s="73"/>
      <c r="F1208" s="13"/>
      <c r="G1208" s="76"/>
      <c r="H1208" s="77"/>
      <c r="I1208" s="78"/>
      <c r="J1208" s="79"/>
      <c r="K1208" s="80"/>
      <c r="L1208" s="81"/>
      <c r="M1208" s="82"/>
      <c r="N1208" s="8"/>
      <c r="O1208" s="1"/>
      <c r="P1208" s="32"/>
      <c r="Q1208" s="33"/>
      <c r="R1208" s="29"/>
      <c r="S1208" s="16"/>
    </row>
    <row r="1209" spans="1:19">
      <c r="A1209" s="62" t="s">
        <v>19</v>
      </c>
      <c r="B1209" s="62"/>
      <c r="C1209" s="62"/>
      <c r="D1209" s="62"/>
      <c r="E1209" s="62"/>
      <c r="F1209" s="62"/>
      <c r="G1209" s="62"/>
      <c r="H1209" s="62"/>
      <c r="I1209" s="62"/>
      <c r="J1209" s="62"/>
      <c r="K1209" s="62"/>
      <c r="L1209" s="62"/>
      <c r="M1209" s="62"/>
      <c r="N1209" s="62"/>
      <c r="O1209" s="1"/>
      <c r="P1209" s="32"/>
      <c r="Q1209" s="33"/>
      <c r="R1209" s="29"/>
      <c r="S1209" s="16"/>
    </row>
    <row r="1210" spans="1:19">
      <c r="A1210" s="63" t="s">
        <v>20</v>
      </c>
      <c r="B1210" s="63"/>
      <c r="C1210" s="63" t="s">
        <v>21</v>
      </c>
      <c r="D1210" s="63"/>
      <c r="E1210" s="63" t="s">
        <v>22</v>
      </c>
      <c r="F1210" s="63"/>
      <c r="G1210" s="63" t="s">
        <v>23</v>
      </c>
      <c r="H1210" s="63"/>
      <c r="I1210" s="63"/>
      <c r="J1210" s="63" t="s">
        <v>16</v>
      </c>
      <c r="K1210" s="63"/>
      <c r="L1210" s="63"/>
      <c r="M1210" s="63" t="s">
        <v>17</v>
      </c>
      <c r="N1210" s="63"/>
      <c r="O1210" s="1"/>
      <c r="Q1210" s="32"/>
      <c r="R1210" s="33"/>
      <c r="S1210" s="16"/>
    </row>
    <row r="1211" spans="1:19">
      <c r="A1211" s="60" t="s">
        <v>24</v>
      </c>
      <c r="B1211" s="52"/>
      <c r="C1211" s="61">
        <v>6</v>
      </c>
      <c r="D1211" s="61"/>
      <c r="E1211" s="61">
        <f>C1211+E1150</f>
        <v>30</v>
      </c>
      <c r="F1211" s="61"/>
      <c r="G1211" s="60" t="s">
        <v>51</v>
      </c>
      <c r="H1211" s="51"/>
      <c r="I1211" s="52"/>
      <c r="J1211" s="61"/>
      <c r="K1211" s="61"/>
      <c r="L1211" s="61"/>
      <c r="M1211" s="61">
        <f>K1211+M1150</f>
        <v>1</v>
      </c>
      <c r="N1211" s="61"/>
      <c r="O1211" s="1"/>
      <c r="Q1211" s="32"/>
      <c r="R1211" s="33"/>
      <c r="S1211" s="16"/>
    </row>
    <row r="1212" spans="1:19">
      <c r="A1212" s="60" t="s">
        <v>25</v>
      </c>
      <c r="B1212" s="52"/>
      <c r="C1212" s="61">
        <v>5</v>
      </c>
      <c r="D1212" s="61"/>
      <c r="E1212" s="61">
        <f>C1212+E1151</f>
        <v>27</v>
      </c>
      <c r="F1212" s="61"/>
      <c r="G1212" s="60" t="s">
        <v>50</v>
      </c>
      <c r="H1212" s="51"/>
      <c r="I1212" s="52"/>
      <c r="J1212" s="61"/>
      <c r="K1212" s="61"/>
      <c r="L1212" s="61"/>
      <c r="M1212" s="61">
        <f>K1212+M1151</f>
        <v>1</v>
      </c>
      <c r="N1212" s="61"/>
      <c r="O1212" s="1"/>
      <c r="Q1212" s="32"/>
      <c r="R1212" s="33"/>
      <c r="S1212" s="16"/>
    </row>
    <row r="1213" spans="1:19">
      <c r="A1213" s="60"/>
      <c r="B1213" s="52"/>
      <c r="C1213" s="61"/>
      <c r="D1213" s="61"/>
      <c r="E1213" s="61"/>
      <c r="F1213" s="61"/>
      <c r="G1213" s="60" t="s">
        <v>55</v>
      </c>
      <c r="H1213" s="51"/>
      <c r="I1213" s="52"/>
      <c r="J1213" s="61"/>
      <c r="K1213" s="61"/>
      <c r="L1213" s="61"/>
      <c r="M1213" s="61">
        <f>K1213+M1152</f>
        <v>0</v>
      </c>
      <c r="N1213" s="61"/>
      <c r="O1213" s="2"/>
      <c r="P1213" s="29"/>
      <c r="Q1213" s="32"/>
      <c r="R1213" s="33"/>
      <c r="S1213" s="16"/>
    </row>
    <row r="1214" spans="1:19">
      <c r="A1214" s="53" t="s">
        <v>53</v>
      </c>
      <c r="B1214" s="47"/>
      <c r="C1214" s="53"/>
      <c r="D1214" s="53"/>
      <c r="E1214" s="53"/>
      <c r="F1214" s="53"/>
      <c r="G1214" s="53"/>
      <c r="H1214" s="53"/>
      <c r="I1214" s="53"/>
      <c r="J1214" s="53"/>
      <c r="K1214" s="53"/>
      <c r="L1214" s="53"/>
      <c r="M1214" s="53"/>
      <c r="N1214" s="53"/>
      <c r="O1214" s="1"/>
      <c r="P1214" s="32"/>
      <c r="Q1214" s="32"/>
      <c r="R1214" s="33"/>
      <c r="S1214" s="16"/>
    </row>
    <row r="1215" spans="1:19">
      <c r="A1215" s="45" t="s">
        <v>56</v>
      </c>
      <c r="B1215" s="46"/>
      <c r="C1215" s="46"/>
      <c r="D1215" s="46"/>
      <c r="E1215" s="46"/>
      <c r="F1215" s="46"/>
      <c r="G1215" s="46"/>
      <c r="H1215" s="46"/>
      <c r="I1215" s="46"/>
      <c r="J1215" s="46"/>
      <c r="K1215" s="46"/>
      <c r="L1215" s="46"/>
      <c r="M1215" s="46"/>
      <c r="N1215" s="47"/>
      <c r="O1215" s="1"/>
      <c r="P1215" s="32"/>
      <c r="Q1215" s="34"/>
      <c r="R1215" s="33"/>
      <c r="S1215" s="16"/>
    </row>
    <row r="1216" spans="1:19">
      <c r="A1216" s="54" t="s">
        <v>54</v>
      </c>
      <c r="B1216" s="55"/>
      <c r="C1216" s="55"/>
      <c r="D1216" s="55"/>
      <c r="E1216" s="55"/>
      <c r="F1216" s="55"/>
      <c r="G1216" s="55"/>
      <c r="H1216" s="55"/>
      <c r="I1216" s="55"/>
      <c r="J1216" s="55"/>
      <c r="K1216" s="55"/>
      <c r="L1216" s="55"/>
      <c r="M1216" s="55"/>
      <c r="N1216" s="56"/>
      <c r="O1216" s="1"/>
      <c r="P1216" s="32"/>
      <c r="Q1216" s="32"/>
      <c r="R1216" s="33"/>
      <c r="S1216" s="16"/>
    </row>
    <row r="1217" spans="1:19">
      <c r="A1217" s="40" t="s">
        <v>26</v>
      </c>
      <c r="B1217" s="41"/>
      <c r="C1217" s="40"/>
      <c r="D1217" s="40"/>
      <c r="E1217" s="40"/>
      <c r="F1217" s="40"/>
      <c r="G1217" s="40"/>
      <c r="H1217" s="40"/>
      <c r="I1217" s="40"/>
      <c r="J1217" s="40"/>
      <c r="K1217" s="40"/>
      <c r="L1217" s="40"/>
      <c r="M1217" s="40"/>
      <c r="N1217" s="40"/>
      <c r="O1217" s="1"/>
      <c r="P1217" s="32"/>
      <c r="Q1217" s="32"/>
      <c r="R1217" s="33"/>
      <c r="S1217" s="16"/>
    </row>
    <row r="1218" spans="1:19">
      <c r="A1218" s="57" t="s">
        <v>27</v>
      </c>
      <c r="B1218" s="58"/>
      <c r="C1218" s="58"/>
      <c r="D1218" s="58"/>
      <c r="E1218" s="58"/>
      <c r="F1218" s="58"/>
      <c r="G1218" s="58"/>
      <c r="H1218" s="58"/>
      <c r="I1218" s="58"/>
      <c r="J1218" s="58"/>
      <c r="K1218" s="58"/>
      <c r="L1218" s="58"/>
      <c r="M1218" s="58"/>
      <c r="N1218" s="59"/>
      <c r="O1218" s="1"/>
      <c r="P1218" s="34"/>
      <c r="Q1218" s="34"/>
      <c r="R1218" s="33"/>
      <c r="S1218" s="16"/>
    </row>
    <row r="1219" spans="1:19">
      <c r="A1219" s="57" t="s">
        <v>57</v>
      </c>
      <c r="B1219" s="58"/>
      <c r="C1219" s="58"/>
      <c r="D1219" s="58"/>
      <c r="E1219" s="58"/>
      <c r="F1219" s="58"/>
      <c r="G1219" s="58"/>
      <c r="H1219" s="58"/>
      <c r="I1219" s="58"/>
      <c r="J1219" s="58"/>
      <c r="K1219" s="58"/>
      <c r="L1219" s="58"/>
      <c r="M1219" s="58"/>
      <c r="N1219" s="59"/>
      <c r="O1219" s="1"/>
      <c r="P1219" s="32"/>
      <c r="Q1219" s="32"/>
      <c r="R1219" s="33"/>
      <c r="S1219" s="16"/>
    </row>
    <row r="1220" spans="1:19">
      <c r="A1220" s="57" t="s">
        <v>58</v>
      </c>
      <c r="B1220" s="58"/>
      <c r="C1220" s="58"/>
      <c r="D1220" s="58"/>
      <c r="E1220" s="58"/>
      <c r="F1220" s="58"/>
      <c r="G1220" s="58"/>
      <c r="H1220" s="58"/>
      <c r="I1220" s="58"/>
      <c r="J1220" s="58"/>
      <c r="K1220" s="58"/>
      <c r="L1220" s="58"/>
      <c r="M1220" s="58"/>
      <c r="N1220" s="59"/>
      <c r="O1220" s="1"/>
      <c r="P1220" s="32"/>
      <c r="Q1220" s="32"/>
      <c r="R1220" s="33"/>
      <c r="S1220" s="16"/>
    </row>
    <row r="1221" spans="1:19">
      <c r="A1221" s="57" t="s">
        <v>59</v>
      </c>
      <c r="B1221" s="58"/>
      <c r="C1221" s="58"/>
      <c r="D1221" s="58"/>
      <c r="E1221" s="58"/>
      <c r="F1221" s="58"/>
      <c r="G1221" s="58"/>
      <c r="H1221" s="58"/>
      <c r="I1221" s="58"/>
      <c r="J1221" s="58"/>
      <c r="K1221" s="58"/>
      <c r="L1221" s="58"/>
      <c r="M1221" s="58"/>
      <c r="N1221" s="59"/>
      <c r="O1221" s="1"/>
      <c r="P1221" s="32"/>
      <c r="Q1221" s="34"/>
      <c r="R1221" s="33"/>
      <c r="S1221" s="16"/>
    </row>
    <row r="1222" spans="1:19">
      <c r="A1222" s="57" t="s">
        <v>28</v>
      </c>
      <c r="B1222" s="58"/>
      <c r="C1222" s="58"/>
      <c r="D1222" s="58"/>
      <c r="E1222" s="58"/>
      <c r="F1222" s="58"/>
      <c r="G1222" s="58"/>
      <c r="H1222" s="58"/>
      <c r="I1222" s="58"/>
      <c r="J1222" s="58"/>
      <c r="K1222" s="58"/>
      <c r="L1222" s="58"/>
      <c r="M1222" s="58"/>
      <c r="N1222" s="59"/>
      <c r="O1222" s="1"/>
      <c r="P1222" s="34"/>
      <c r="Q1222" s="32"/>
      <c r="R1222" s="33"/>
      <c r="S1222" s="16"/>
    </row>
    <row r="1223" spans="1:19">
      <c r="A1223" s="40" t="s">
        <v>29</v>
      </c>
      <c r="B1223" s="41"/>
      <c r="C1223" s="40"/>
      <c r="D1223" s="40"/>
      <c r="E1223" s="40"/>
      <c r="F1223" s="40"/>
      <c r="G1223" s="40"/>
      <c r="H1223" s="40"/>
      <c r="I1223" s="40"/>
      <c r="J1223" s="40"/>
      <c r="K1223" s="40"/>
      <c r="L1223" s="40"/>
      <c r="M1223" s="40"/>
      <c r="N1223" s="40"/>
      <c r="O1223" s="1"/>
      <c r="P1223" s="32"/>
      <c r="Q1223" s="32"/>
      <c r="R1223" s="33"/>
      <c r="S1223" s="16"/>
    </row>
    <row r="1224" spans="1:19">
      <c r="A1224" s="42"/>
      <c r="B1224" s="43"/>
      <c r="C1224" s="43"/>
      <c r="D1224" s="43"/>
      <c r="E1224" s="43"/>
      <c r="F1224" s="43"/>
      <c r="G1224" s="43"/>
      <c r="H1224" s="43"/>
      <c r="I1224" s="43"/>
      <c r="J1224" s="43"/>
      <c r="K1224" s="43"/>
      <c r="L1224" s="43"/>
      <c r="M1224" s="43"/>
      <c r="N1224" s="44"/>
      <c r="O1224" s="1"/>
      <c r="P1224" s="32"/>
      <c r="Q1224" s="32"/>
      <c r="R1224" s="33"/>
      <c r="S1224" s="16"/>
    </row>
    <row r="1225" spans="1:19">
      <c r="A1225" s="40" t="s">
        <v>30</v>
      </c>
      <c r="B1225" s="41"/>
      <c r="C1225" s="40"/>
      <c r="D1225" s="40"/>
      <c r="E1225" s="40"/>
      <c r="F1225" s="40"/>
      <c r="G1225" s="40"/>
      <c r="H1225" s="40"/>
      <c r="I1225" s="40"/>
      <c r="J1225" s="40"/>
      <c r="K1225" s="40"/>
      <c r="L1225" s="40"/>
      <c r="M1225" s="40"/>
      <c r="N1225" s="40"/>
      <c r="O1225" s="1"/>
      <c r="P1225" s="32"/>
      <c r="Q1225" s="32"/>
      <c r="R1225" s="33"/>
      <c r="S1225" s="16"/>
    </row>
    <row r="1226" spans="1:19">
      <c r="A1226" s="42"/>
      <c r="B1226" s="43"/>
      <c r="C1226" s="43"/>
      <c r="D1226" s="43"/>
      <c r="E1226" s="43"/>
      <c r="F1226" s="43"/>
      <c r="G1226" s="43"/>
      <c r="H1226" s="43"/>
      <c r="I1226" s="43"/>
      <c r="J1226" s="43"/>
      <c r="K1226" s="43"/>
      <c r="L1226" s="43"/>
      <c r="M1226" s="43"/>
      <c r="N1226" s="44"/>
      <c r="O1226" s="1"/>
      <c r="P1226" s="32"/>
      <c r="Q1226" s="32"/>
      <c r="R1226" s="33"/>
      <c r="S1226" s="16"/>
    </row>
    <row r="1227" spans="1:19">
      <c r="A1227" s="40" t="s">
        <v>105</v>
      </c>
      <c r="B1227" s="41"/>
      <c r="C1227" s="40"/>
      <c r="D1227" s="40"/>
      <c r="E1227" s="40"/>
      <c r="F1227" s="40"/>
      <c r="G1227" s="40"/>
      <c r="H1227" s="40"/>
      <c r="I1227" s="40"/>
      <c r="J1227" s="40"/>
      <c r="K1227" s="40"/>
      <c r="L1227" s="40"/>
      <c r="M1227" s="40"/>
      <c r="N1227" s="40"/>
      <c r="O1227" s="1"/>
      <c r="P1227" s="32"/>
      <c r="Q1227" s="32"/>
      <c r="R1227" s="33"/>
      <c r="S1227" s="17"/>
    </row>
    <row r="1228" spans="1:19">
      <c r="A1228" s="45"/>
      <c r="B1228" s="46"/>
      <c r="C1228" s="46"/>
      <c r="D1228" s="46"/>
      <c r="E1228" s="46"/>
      <c r="F1228" s="46"/>
      <c r="G1228" s="46"/>
      <c r="H1228" s="46"/>
      <c r="I1228" s="46"/>
      <c r="J1228" s="46"/>
      <c r="K1228" s="46"/>
      <c r="L1228" s="46"/>
      <c r="M1228" s="46"/>
      <c r="N1228" s="47"/>
      <c r="O1228" s="1"/>
      <c r="P1228" s="32"/>
      <c r="Q1228" s="32"/>
      <c r="R1228" s="33"/>
      <c r="S1228" s="1"/>
    </row>
    <row r="1229" spans="1:19">
      <c r="A1229" s="48" t="s">
        <v>41</v>
      </c>
      <c r="B1229" s="49"/>
      <c r="C1229" s="50"/>
      <c r="D1229" s="50"/>
      <c r="E1229" s="50"/>
      <c r="F1229" s="50"/>
      <c r="G1229" s="50"/>
      <c r="H1229" s="51"/>
      <c r="I1229" s="51"/>
      <c r="J1229" s="51"/>
      <c r="K1229" s="51"/>
      <c r="L1229" s="51"/>
      <c r="M1229" s="51"/>
      <c r="N1229" s="52"/>
      <c r="O1229" s="1"/>
      <c r="P1229" s="32"/>
      <c r="Q1229" s="32"/>
      <c r="R1229" s="33"/>
      <c r="S1229" s="1"/>
    </row>
    <row r="1230" spans="1:19" ht="28.2">
      <c r="A1230" s="1" t="s">
        <v>45</v>
      </c>
      <c r="B1230" s="7">
        <f>B1169+1</f>
        <v>21</v>
      </c>
      <c r="C1230" s="5"/>
      <c r="D1230" s="5"/>
      <c r="E1230" s="5"/>
      <c r="F1230" s="5"/>
      <c r="G1230" s="5"/>
      <c r="H1230" s="5"/>
      <c r="I1230" s="5"/>
      <c r="J1230" s="5"/>
      <c r="K1230" s="5"/>
      <c r="L1230" s="5"/>
      <c r="M1230" s="5"/>
      <c r="N1230" s="5"/>
      <c r="O1230" s="1"/>
      <c r="P1230" s="32"/>
      <c r="Q1230" s="33"/>
      <c r="R1230" s="29"/>
    </row>
    <row r="1231" spans="1:19">
      <c r="A1231" s="1" t="s">
        <v>46</v>
      </c>
      <c r="B1231" s="1" t="s">
        <v>1</v>
      </c>
      <c r="C1231" s="1" t="s">
        <v>2</v>
      </c>
      <c r="D1231" s="1" t="s">
        <v>3</v>
      </c>
      <c r="E1231" s="1" t="s">
        <v>2</v>
      </c>
      <c r="F1231" s="1"/>
      <c r="G1231" s="1"/>
      <c r="H1231" s="112" t="s">
        <v>4</v>
      </c>
      <c r="I1231" s="112"/>
      <c r="J1231" s="113">
        <f>J1170+1</f>
        <v>46232</v>
      </c>
      <c r="K1231" s="113"/>
      <c r="L1231" s="113"/>
      <c r="M1231" s="114">
        <f>J1231</f>
        <v>46232</v>
      </c>
      <c r="N1231" s="114"/>
      <c r="O1231" s="1"/>
      <c r="P1231" s="32"/>
      <c r="Q1231" s="33"/>
      <c r="R1231" s="29"/>
    </row>
    <row r="1232" spans="1:19">
      <c r="A1232" s="8" t="s">
        <v>5</v>
      </c>
      <c r="B1232" s="115">
        <f>B1163</f>
        <v>0</v>
      </c>
      <c r="C1232" s="116"/>
      <c r="D1232" s="116"/>
      <c r="E1232" s="116"/>
      <c r="F1232" s="116"/>
      <c r="G1232" s="117"/>
      <c r="H1232" s="63" t="s">
        <v>6</v>
      </c>
      <c r="I1232" s="63"/>
      <c r="J1232" s="63"/>
      <c r="K1232" s="63" t="s">
        <v>52</v>
      </c>
      <c r="L1232" s="63"/>
      <c r="M1232" s="63"/>
      <c r="N1232" s="63"/>
      <c r="O1232" s="1"/>
      <c r="P1232" s="32"/>
      <c r="Q1232" s="33"/>
      <c r="R1232" s="29"/>
    </row>
    <row r="1233" spans="1:18">
      <c r="A1233" s="8" t="s">
        <v>32</v>
      </c>
      <c r="B1233" s="10">
        <v>60</v>
      </c>
      <c r="C1233" s="11" t="s">
        <v>43</v>
      </c>
      <c r="D1233" s="71" t="s">
        <v>7</v>
      </c>
      <c r="E1233" s="73"/>
      <c r="F1233" s="10">
        <f>F1172+1</f>
        <v>21</v>
      </c>
      <c r="G1233" s="11" t="s">
        <v>8</v>
      </c>
      <c r="H1233" s="9" t="s">
        <v>9</v>
      </c>
      <c r="I1233" s="10">
        <f>B1233-F1233</f>
        <v>39</v>
      </c>
      <c r="J1233" s="11" t="s">
        <v>8</v>
      </c>
      <c r="K1233" s="118" t="s">
        <v>33</v>
      </c>
      <c r="L1233" s="119"/>
      <c r="M1233" s="12"/>
      <c r="N1233" s="11" t="s">
        <v>8</v>
      </c>
      <c r="O1233" s="1"/>
      <c r="P1233" s="34"/>
      <c r="Q1233" s="33"/>
      <c r="R1233" s="29"/>
    </row>
    <row r="1234" spans="1:18">
      <c r="A1234" s="71" t="s">
        <v>34</v>
      </c>
      <c r="B1234" s="72"/>
      <c r="C1234" s="73"/>
      <c r="D1234" s="120">
        <v>46212</v>
      </c>
      <c r="E1234" s="121"/>
      <c r="F1234" s="121"/>
      <c r="G1234" s="122"/>
      <c r="H1234" s="71" t="s">
        <v>35</v>
      </c>
      <c r="I1234" s="72"/>
      <c r="J1234" s="73"/>
      <c r="K1234" s="120">
        <f>D1234+59</f>
        <v>46271</v>
      </c>
      <c r="L1234" s="121"/>
      <c r="M1234" s="121"/>
      <c r="N1234" s="122"/>
      <c r="O1234" s="1"/>
      <c r="P1234" s="32"/>
      <c r="Q1234" s="33"/>
      <c r="R1234" s="29"/>
    </row>
    <row r="1235" spans="1:18">
      <c r="A1235" s="92" t="s">
        <v>10</v>
      </c>
      <c r="B1235" s="93"/>
      <c r="C1235" s="94"/>
      <c r="D1235" s="98">
        <f>D1174+0.0579/5</f>
        <v>7.3580000000000007E-2</v>
      </c>
      <c r="E1235" s="99"/>
      <c r="F1235" s="99"/>
      <c r="G1235" s="100"/>
      <c r="H1235" s="104" t="s">
        <v>36</v>
      </c>
      <c r="I1235" s="105"/>
      <c r="J1235" s="106"/>
      <c r="K1235" s="110">
        <f>R1266</f>
        <v>0.14786595928238083</v>
      </c>
      <c r="L1235" s="105"/>
      <c r="M1235" s="105"/>
      <c r="N1235" s="106"/>
      <c r="O1235" s="1"/>
      <c r="P1235" s="32"/>
      <c r="Q1235" s="33"/>
      <c r="R1235" s="29"/>
    </row>
    <row r="1236" spans="1:18">
      <c r="A1236" s="95"/>
      <c r="B1236" s="96"/>
      <c r="C1236" s="97"/>
      <c r="D1236" s="101"/>
      <c r="E1236" s="102"/>
      <c r="F1236" s="102"/>
      <c r="G1236" s="103"/>
      <c r="H1236" s="107"/>
      <c r="I1236" s="108"/>
      <c r="J1236" s="109"/>
      <c r="K1236" s="107"/>
      <c r="L1236" s="108"/>
      <c r="M1236" s="108"/>
      <c r="N1236" s="109"/>
      <c r="O1236" s="1"/>
      <c r="P1236" s="32"/>
      <c r="Q1236" s="33"/>
      <c r="R1236" s="29"/>
    </row>
    <row r="1237" spans="1:18">
      <c r="A1237" s="62" t="s">
        <v>11</v>
      </c>
      <c r="B1237" s="62"/>
      <c r="C1237" s="62"/>
      <c r="D1237" s="62"/>
      <c r="E1237" s="62"/>
      <c r="F1237" s="62"/>
      <c r="G1237" s="62"/>
      <c r="H1237" s="62"/>
      <c r="I1237" s="62"/>
      <c r="J1237" s="62"/>
      <c r="K1237" s="62"/>
      <c r="L1237" s="62"/>
      <c r="M1237" s="62"/>
      <c r="N1237" s="62"/>
      <c r="O1237" s="1"/>
      <c r="P1237" s="32"/>
      <c r="Q1237" s="33"/>
      <c r="R1237" s="29"/>
    </row>
    <row r="1238" spans="1:18">
      <c r="A1238" s="111" t="s">
        <v>12</v>
      </c>
      <c r="B1238" s="111"/>
      <c r="C1238" s="111"/>
      <c r="D1238" s="111"/>
      <c r="E1238" s="111"/>
      <c r="F1238" s="14" t="s">
        <v>37</v>
      </c>
      <c r="G1238" s="111" t="s">
        <v>38</v>
      </c>
      <c r="H1238" s="111"/>
      <c r="I1238" s="63" t="s">
        <v>39</v>
      </c>
      <c r="J1238" s="63"/>
      <c r="K1238" s="63"/>
      <c r="L1238" s="63" t="s">
        <v>40</v>
      </c>
      <c r="M1238" s="63"/>
      <c r="N1238" s="9" t="s">
        <v>13</v>
      </c>
      <c r="O1238" s="1"/>
      <c r="P1238" s="28" t="s">
        <v>47</v>
      </c>
      <c r="Q1238" s="29" t="s">
        <v>48</v>
      </c>
      <c r="R1238" s="29" t="s">
        <v>49</v>
      </c>
    </row>
    <row r="1239" spans="1:18">
      <c r="A1239" s="83" t="s">
        <v>67</v>
      </c>
      <c r="B1239" s="84"/>
      <c r="C1239" s="84"/>
      <c r="D1239" s="84"/>
      <c r="E1239" s="85"/>
      <c r="F1239" s="27" t="s">
        <v>60</v>
      </c>
      <c r="G1239" s="67">
        <v>1</v>
      </c>
      <c r="H1239" s="68"/>
      <c r="I1239" s="86"/>
      <c r="J1239" s="87"/>
      <c r="K1239" s="88"/>
      <c r="L1239" s="69">
        <f>I1239+L1178</f>
        <v>1</v>
      </c>
      <c r="M1239" s="70"/>
      <c r="N1239" s="8"/>
      <c r="O1239" s="1"/>
      <c r="P1239" s="30">
        <v>6000</v>
      </c>
      <c r="Q1239" s="38">
        <f>P1239*G1239</f>
        <v>6000</v>
      </c>
      <c r="R1239" s="28">
        <f>L1239*P1239</f>
        <v>6000</v>
      </c>
    </row>
    <row r="1240" spans="1:18">
      <c r="A1240" s="83" t="s">
        <v>68</v>
      </c>
      <c r="B1240" s="84"/>
      <c r="C1240" s="84"/>
      <c r="D1240" s="84"/>
      <c r="E1240" s="85"/>
      <c r="F1240" s="20" t="s">
        <v>60</v>
      </c>
      <c r="G1240" s="67">
        <v>1</v>
      </c>
      <c r="H1240" s="68"/>
      <c r="I1240" s="87"/>
      <c r="J1240" s="87"/>
      <c r="K1240" s="88"/>
      <c r="L1240" s="69">
        <f t="shared" ref="L1240:L1264" si="65">I1240+L1179</f>
        <v>1</v>
      </c>
      <c r="M1240" s="70"/>
      <c r="N1240" s="8"/>
      <c r="O1240" s="1"/>
      <c r="P1240" s="30">
        <v>193300</v>
      </c>
      <c r="Q1240" s="38">
        <f t="shared" ref="Q1240:Q1264" si="66">P1240*G1240</f>
        <v>193300</v>
      </c>
      <c r="R1240" s="28">
        <f>L1240*P1240</f>
        <v>193300</v>
      </c>
    </row>
    <row r="1241" spans="1:18">
      <c r="A1241" s="89" t="s">
        <v>69</v>
      </c>
      <c r="B1241" s="90"/>
      <c r="C1241" s="90"/>
      <c r="D1241" s="90"/>
      <c r="E1241" s="91"/>
      <c r="F1241" s="20" t="s">
        <v>60</v>
      </c>
      <c r="G1241" s="67">
        <v>1</v>
      </c>
      <c r="H1241" s="68"/>
      <c r="I1241" s="87"/>
      <c r="J1241" s="87"/>
      <c r="K1241" s="88"/>
      <c r="L1241" s="69">
        <f t="shared" si="65"/>
        <v>0.5</v>
      </c>
      <c r="M1241" s="70"/>
      <c r="N1241" s="8"/>
      <c r="O1241" s="1"/>
      <c r="P1241" s="30">
        <v>30000</v>
      </c>
      <c r="Q1241" s="38">
        <f t="shared" si="66"/>
        <v>30000</v>
      </c>
      <c r="R1241" s="28">
        <f>L1241*P1241</f>
        <v>15000</v>
      </c>
    </row>
    <row r="1242" spans="1:18">
      <c r="A1242" s="64" t="s">
        <v>70</v>
      </c>
      <c r="B1242" s="65"/>
      <c r="C1242" s="65"/>
      <c r="D1242" s="65"/>
      <c r="E1242" s="66"/>
      <c r="F1242" s="20" t="s">
        <v>60</v>
      </c>
      <c r="G1242" s="67">
        <v>1</v>
      </c>
      <c r="H1242" s="68"/>
      <c r="I1242" s="87"/>
      <c r="J1242" s="87"/>
      <c r="K1242" s="88"/>
      <c r="L1242" s="69">
        <f t="shared" si="65"/>
        <v>1</v>
      </c>
      <c r="M1242" s="70"/>
      <c r="N1242" s="8"/>
      <c r="O1242" s="1"/>
      <c r="P1242" s="31">
        <v>10000</v>
      </c>
      <c r="Q1242" s="38">
        <f t="shared" si="66"/>
        <v>10000</v>
      </c>
      <c r="R1242" s="28">
        <f t="shared" ref="R1242:R1264" si="67">L1242*P1242</f>
        <v>10000</v>
      </c>
    </row>
    <row r="1243" spans="1:18">
      <c r="A1243" s="64" t="s">
        <v>71</v>
      </c>
      <c r="B1243" s="65"/>
      <c r="C1243" s="65"/>
      <c r="D1243" s="65"/>
      <c r="E1243" s="66"/>
      <c r="F1243" s="20" t="s">
        <v>61</v>
      </c>
      <c r="G1243" s="67">
        <v>9</v>
      </c>
      <c r="H1243" s="68"/>
      <c r="I1243" s="87"/>
      <c r="J1243" s="87"/>
      <c r="K1243" s="88"/>
      <c r="L1243" s="69">
        <f t="shared" si="65"/>
        <v>9</v>
      </c>
      <c r="M1243" s="70"/>
      <c r="N1243" s="8"/>
      <c r="O1243" s="1"/>
      <c r="P1243" s="30">
        <v>21000</v>
      </c>
      <c r="Q1243" s="38">
        <f t="shared" si="66"/>
        <v>189000</v>
      </c>
      <c r="R1243" s="28">
        <f t="shared" si="67"/>
        <v>189000</v>
      </c>
    </row>
    <row r="1244" spans="1:18">
      <c r="A1244" s="64" t="s">
        <v>72</v>
      </c>
      <c r="B1244" s="65"/>
      <c r="C1244" s="65"/>
      <c r="D1244" s="65"/>
      <c r="E1244" s="66"/>
      <c r="F1244" s="2" t="s">
        <v>60</v>
      </c>
      <c r="G1244" s="67">
        <v>1</v>
      </c>
      <c r="H1244" s="68"/>
      <c r="I1244" s="87"/>
      <c r="J1244" s="87"/>
      <c r="K1244" s="88"/>
      <c r="L1244" s="69">
        <f t="shared" si="65"/>
        <v>0</v>
      </c>
      <c r="M1244" s="70"/>
      <c r="N1244" s="8"/>
      <c r="O1244" s="1"/>
      <c r="P1244" s="30">
        <v>184468</v>
      </c>
      <c r="Q1244" s="38">
        <f t="shared" si="66"/>
        <v>184468</v>
      </c>
      <c r="R1244" s="28">
        <f t="shared" si="67"/>
        <v>0</v>
      </c>
    </row>
    <row r="1245" spans="1:18">
      <c r="A1245" s="83" t="s">
        <v>73</v>
      </c>
      <c r="B1245" s="84"/>
      <c r="C1245" s="84"/>
      <c r="D1245" s="84"/>
      <c r="E1245" s="85"/>
      <c r="F1245" s="20" t="s">
        <v>62</v>
      </c>
      <c r="G1245" s="67">
        <v>9</v>
      </c>
      <c r="H1245" s="68"/>
      <c r="I1245" s="87"/>
      <c r="J1245" s="87"/>
      <c r="K1245" s="88"/>
      <c r="L1245" s="69">
        <f t="shared" si="65"/>
        <v>0</v>
      </c>
      <c r="M1245" s="70"/>
      <c r="N1245" s="8"/>
      <c r="O1245" s="1"/>
      <c r="P1245" s="30">
        <v>20000</v>
      </c>
      <c r="Q1245" s="38">
        <f t="shared" si="66"/>
        <v>180000</v>
      </c>
      <c r="R1245" s="28">
        <f t="shared" si="67"/>
        <v>0</v>
      </c>
    </row>
    <row r="1246" spans="1:18">
      <c r="A1246" s="83" t="s">
        <v>74</v>
      </c>
      <c r="B1246" s="84"/>
      <c r="C1246" s="84"/>
      <c r="D1246" s="84"/>
      <c r="E1246" s="85"/>
      <c r="F1246" s="20" t="s">
        <v>63</v>
      </c>
      <c r="G1246" s="67">
        <v>52</v>
      </c>
      <c r="H1246" s="68"/>
      <c r="I1246" s="87"/>
      <c r="J1246" s="87"/>
      <c r="K1246" s="88"/>
      <c r="L1246" s="69">
        <f t="shared" si="65"/>
        <v>52</v>
      </c>
      <c r="M1246" s="70"/>
      <c r="N1246" s="8"/>
      <c r="O1246" s="1"/>
      <c r="P1246" s="31">
        <v>2500</v>
      </c>
      <c r="Q1246" s="38">
        <f t="shared" si="66"/>
        <v>130000</v>
      </c>
      <c r="R1246" s="28">
        <f t="shared" si="67"/>
        <v>130000</v>
      </c>
    </row>
    <row r="1247" spans="1:18">
      <c r="A1247" s="83" t="s">
        <v>75</v>
      </c>
      <c r="B1247" s="84"/>
      <c r="C1247" s="84"/>
      <c r="D1247" s="84"/>
      <c r="E1247" s="85"/>
      <c r="F1247" s="20" t="s">
        <v>64</v>
      </c>
      <c r="G1247" s="67">
        <v>1</v>
      </c>
      <c r="H1247" s="68"/>
      <c r="I1247" s="87"/>
      <c r="J1247" s="87"/>
      <c r="K1247" s="88"/>
      <c r="L1247" s="69">
        <f t="shared" si="65"/>
        <v>0</v>
      </c>
      <c r="M1247" s="70"/>
      <c r="N1247" s="8"/>
      <c r="O1247" s="1"/>
      <c r="P1247" s="30">
        <v>80000</v>
      </c>
      <c r="Q1247" s="38">
        <f t="shared" si="66"/>
        <v>80000</v>
      </c>
      <c r="R1247" s="28">
        <f t="shared" si="67"/>
        <v>0</v>
      </c>
    </row>
    <row r="1248" spans="1:18">
      <c r="A1248" s="89" t="s">
        <v>76</v>
      </c>
      <c r="B1248" s="90"/>
      <c r="C1248" s="90"/>
      <c r="D1248" s="90"/>
      <c r="E1248" s="91"/>
      <c r="F1248" s="20" t="s">
        <v>65</v>
      </c>
      <c r="G1248" s="67">
        <v>31</v>
      </c>
      <c r="H1248" s="68"/>
      <c r="I1248" s="87"/>
      <c r="J1248" s="87"/>
      <c r="K1248" s="88"/>
      <c r="L1248" s="69">
        <f t="shared" si="65"/>
        <v>31</v>
      </c>
      <c r="M1248" s="70"/>
      <c r="N1248" s="8"/>
      <c r="O1248" s="1"/>
      <c r="P1248" s="30">
        <v>400</v>
      </c>
      <c r="Q1248" s="38">
        <f t="shared" si="66"/>
        <v>12400</v>
      </c>
      <c r="R1248" s="28">
        <f t="shared" si="67"/>
        <v>12400</v>
      </c>
    </row>
    <row r="1249" spans="1:18">
      <c r="A1249" s="64" t="s">
        <v>77</v>
      </c>
      <c r="B1249" s="65"/>
      <c r="C1249" s="65"/>
      <c r="D1249" s="65"/>
      <c r="E1249" s="66"/>
      <c r="F1249" s="20" t="s">
        <v>65</v>
      </c>
      <c r="G1249" s="67">
        <v>100</v>
      </c>
      <c r="H1249" s="68"/>
      <c r="I1249" s="87"/>
      <c r="J1249" s="87"/>
      <c r="K1249" s="88"/>
      <c r="L1249" s="69">
        <f t="shared" si="65"/>
        <v>0</v>
      </c>
      <c r="M1249" s="70"/>
      <c r="N1249" s="8"/>
      <c r="O1249" s="1"/>
      <c r="P1249" s="30">
        <v>350</v>
      </c>
      <c r="Q1249" s="38">
        <f t="shared" si="66"/>
        <v>35000</v>
      </c>
      <c r="R1249" s="28">
        <f t="shared" si="67"/>
        <v>0</v>
      </c>
    </row>
    <row r="1250" spans="1:18">
      <c r="A1250" s="64" t="s">
        <v>78</v>
      </c>
      <c r="B1250" s="65"/>
      <c r="C1250" s="65"/>
      <c r="D1250" s="65"/>
      <c r="E1250" s="66"/>
      <c r="F1250" s="20" t="s">
        <v>63</v>
      </c>
      <c r="G1250" s="67">
        <v>35</v>
      </c>
      <c r="H1250" s="68"/>
      <c r="I1250" s="87"/>
      <c r="J1250" s="87"/>
      <c r="K1250" s="88"/>
      <c r="L1250" s="69">
        <f t="shared" si="65"/>
        <v>0</v>
      </c>
      <c r="M1250" s="70"/>
      <c r="N1250" s="8"/>
      <c r="O1250" s="1"/>
      <c r="P1250" s="30">
        <v>1200</v>
      </c>
      <c r="Q1250" s="38">
        <f t="shared" si="66"/>
        <v>42000</v>
      </c>
      <c r="R1250" s="28">
        <f t="shared" si="67"/>
        <v>0</v>
      </c>
    </row>
    <row r="1251" spans="1:18">
      <c r="A1251" s="64" t="s">
        <v>79</v>
      </c>
      <c r="B1251" s="65"/>
      <c r="C1251" s="65"/>
      <c r="D1251" s="65"/>
      <c r="E1251" s="66"/>
      <c r="F1251" s="20" t="s">
        <v>63</v>
      </c>
      <c r="G1251" s="67">
        <v>282</v>
      </c>
      <c r="H1251" s="68"/>
      <c r="I1251" s="86"/>
      <c r="J1251" s="87"/>
      <c r="K1251" s="88"/>
      <c r="L1251" s="69">
        <f t="shared" si="65"/>
        <v>60</v>
      </c>
      <c r="M1251" s="70"/>
      <c r="N1251" s="8"/>
      <c r="O1251" s="1"/>
      <c r="P1251" s="30">
        <v>1400</v>
      </c>
      <c r="Q1251" s="38">
        <f t="shared" si="66"/>
        <v>394800</v>
      </c>
      <c r="R1251" s="28">
        <f t="shared" si="67"/>
        <v>84000</v>
      </c>
    </row>
    <row r="1252" spans="1:18">
      <c r="A1252" s="83" t="s">
        <v>80</v>
      </c>
      <c r="B1252" s="84"/>
      <c r="C1252" s="84"/>
      <c r="D1252" s="84"/>
      <c r="E1252" s="85"/>
      <c r="F1252" s="21" t="s">
        <v>65</v>
      </c>
      <c r="G1252" s="67">
        <v>58</v>
      </c>
      <c r="H1252" s="68"/>
      <c r="I1252" s="86"/>
      <c r="J1252" s="87"/>
      <c r="K1252" s="88"/>
      <c r="L1252" s="69">
        <f t="shared" si="65"/>
        <v>0</v>
      </c>
      <c r="M1252" s="70"/>
      <c r="N1252" s="8"/>
      <c r="O1252" s="1"/>
      <c r="P1252" s="30">
        <v>3600</v>
      </c>
      <c r="Q1252" s="38">
        <f t="shared" si="66"/>
        <v>208800</v>
      </c>
      <c r="R1252" s="28">
        <f t="shared" si="67"/>
        <v>0</v>
      </c>
    </row>
    <row r="1253" spans="1:18">
      <c r="A1253" s="83" t="s">
        <v>81</v>
      </c>
      <c r="B1253" s="84"/>
      <c r="C1253" s="84"/>
      <c r="D1253" s="84"/>
      <c r="E1253" s="85"/>
      <c r="F1253" s="21" t="s">
        <v>65</v>
      </c>
      <c r="G1253" s="67">
        <v>360</v>
      </c>
      <c r="H1253" s="68"/>
      <c r="I1253" s="86"/>
      <c r="J1253" s="87"/>
      <c r="K1253" s="88"/>
      <c r="L1253" s="69">
        <f t="shared" si="65"/>
        <v>0</v>
      </c>
      <c r="M1253" s="70"/>
      <c r="N1253" s="8"/>
      <c r="O1253" s="1"/>
      <c r="P1253" s="30">
        <v>230</v>
      </c>
      <c r="Q1253" s="38">
        <f t="shared" si="66"/>
        <v>82800</v>
      </c>
      <c r="R1253" s="28">
        <f t="shared" si="67"/>
        <v>0</v>
      </c>
    </row>
    <row r="1254" spans="1:18">
      <c r="A1254" s="83" t="s">
        <v>82</v>
      </c>
      <c r="B1254" s="84"/>
      <c r="C1254" s="84"/>
      <c r="D1254" s="84"/>
      <c r="E1254" s="85"/>
      <c r="F1254" s="21" t="s">
        <v>65</v>
      </c>
      <c r="G1254" s="67">
        <v>2400</v>
      </c>
      <c r="H1254" s="68"/>
      <c r="I1254" s="86"/>
      <c r="J1254" s="87"/>
      <c r="K1254" s="88"/>
      <c r="L1254" s="69">
        <f t="shared" si="65"/>
        <v>0</v>
      </c>
      <c r="M1254" s="70"/>
      <c r="N1254" s="8"/>
      <c r="O1254" s="1"/>
      <c r="P1254" s="30">
        <v>80</v>
      </c>
      <c r="Q1254" s="38">
        <f t="shared" si="66"/>
        <v>192000</v>
      </c>
      <c r="R1254" s="28">
        <f t="shared" si="67"/>
        <v>0</v>
      </c>
    </row>
    <row r="1255" spans="1:18">
      <c r="A1255" s="89" t="s">
        <v>83</v>
      </c>
      <c r="B1255" s="90"/>
      <c r="C1255" s="90"/>
      <c r="D1255" s="90"/>
      <c r="E1255" s="91"/>
      <c r="F1255" s="21" t="s">
        <v>65</v>
      </c>
      <c r="G1255" s="67">
        <v>360</v>
      </c>
      <c r="H1255" s="68"/>
      <c r="I1255" s="86"/>
      <c r="J1255" s="87"/>
      <c r="K1255" s="88"/>
      <c r="L1255" s="69">
        <f t="shared" si="65"/>
        <v>0</v>
      </c>
      <c r="M1255" s="70"/>
      <c r="N1255" s="8"/>
      <c r="O1255" s="1"/>
      <c r="P1255" s="30">
        <v>420</v>
      </c>
      <c r="Q1255" s="38">
        <f t="shared" si="66"/>
        <v>151200</v>
      </c>
      <c r="R1255" s="28">
        <f t="shared" si="67"/>
        <v>0</v>
      </c>
    </row>
    <row r="1256" spans="1:18">
      <c r="A1256" s="64" t="s">
        <v>84</v>
      </c>
      <c r="B1256" s="65"/>
      <c r="C1256" s="65"/>
      <c r="D1256" s="65"/>
      <c r="E1256" s="66"/>
      <c r="F1256" s="21" t="s">
        <v>65</v>
      </c>
      <c r="G1256" s="67">
        <v>2760</v>
      </c>
      <c r="H1256" s="68"/>
      <c r="I1256" s="86"/>
      <c r="J1256" s="87"/>
      <c r="K1256" s="88"/>
      <c r="L1256" s="69">
        <f t="shared" si="65"/>
        <v>0</v>
      </c>
      <c r="M1256" s="70"/>
      <c r="N1256" s="8"/>
      <c r="O1256" s="1"/>
      <c r="P1256" s="30">
        <v>460</v>
      </c>
      <c r="Q1256" s="38">
        <f t="shared" si="66"/>
        <v>1269600</v>
      </c>
      <c r="R1256" s="28">
        <f t="shared" si="67"/>
        <v>0</v>
      </c>
    </row>
    <row r="1257" spans="1:18">
      <c r="A1257" s="64" t="s">
        <v>85</v>
      </c>
      <c r="B1257" s="65"/>
      <c r="C1257" s="65"/>
      <c r="D1257" s="65"/>
      <c r="E1257" s="66"/>
      <c r="F1257" s="21" t="s">
        <v>65</v>
      </c>
      <c r="G1257" s="67">
        <v>275</v>
      </c>
      <c r="H1257" s="68"/>
      <c r="I1257" s="86"/>
      <c r="J1257" s="87"/>
      <c r="K1257" s="88"/>
      <c r="L1257" s="69">
        <f t="shared" si="65"/>
        <v>0</v>
      </c>
      <c r="M1257" s="70"/>
      <c r="N1257" s="8"/>
      <c r="O1257" s="1"/>
      <c r="P1257" s="31">
        <v>350</v>
      </c>
      <c r="Q1257" s="38">
        <f t="shared" si="66"/>
        <v>96250</v>
      </c>
      <c r="R1257" s="28">
        <f t="shared" si="67"/>
        <v>0</v>
      </c>
    </row>
    <row r="1258" spans="1:18">
      <c r="A1258" s="64" t="s">
        <v>86</v>
      </c>
      <c r="B1258" s="65"/>
      <c r="C1258" s="65"/>
      <c r="D1258" s="65"/>
      <c r="E1258" s="66"/>
      <c r="F1258" s="21" t="s">
        <v>60</v>
      </c>
      <c r="G1258" s="67">
        <v>1</v>
      </c>
      <c r="H1258" s="68"/>
      <c r="I1258" s="86"/>
      <c r="J1258" s="87"/>
      <c r="K1258" s="88"/>
      <c r="L1258" s="69">
        <f t="shared" si="65"/>
        <v>0</v>
      </c>
      <c r="M1258" s="70"/>
      <c r="N1258" s="8"/>
      <c r="O1258" s="2"/>
      <c r="P1258" s="30">
        <v>40000</v>
      </c>
      <c r="Q1258" s="38">
        <f t="shared" si="66"/>
        <v>40000</v>
      </c>
      <c r="R1258" s="28">
        <f t="shared" si="67"/>
        <v>0</v>
      </c>
    </row>
    <row r="1259" spans="1:18">
      <c r="A1259" s="83" t="s">
        <v>87</v>
      </c>
      <c r="B1259" s="84"/>
      <c r="C1259" s="84"/>
      <c r="D1259" s="84"/>
      <c r="E1259" s="85"/>
      <c r="F1259" s="20" t="s">
        <v>60</v>
      </c>
      <c r="G1259" s="67">
        <v>1</v>
      </c>
      <c r="H1259" s="68"/>
      <c r="I1259" s="86"/>
      <c r="J1259" s="87"/>
      <c r="K1259" s="88"/>
      <c r="L1259" s="69">
        <f t="shared" si="65"/>
        <v>0</v>
      </c>
      <c r="M1259" s="70"/>
      <c r="N1259" s="8"/>
      <c r="O1259" s="1"/>
      <c r="P1259" s="31">
        <v>276970</v>
      </c>
      <c r="Q1259" s="38">
        <f t="shared" si="66"/>
        <v>276970</v>
      </c>
      <c r="R1259" s="28">
        <f t="shared" si="67"/>
        <v>0</v>
      </c>
    </row>
    <row r="1260" spans="1:18">
      <c r="A1260" s="83" t="s">
        <v>88</v>
      </c>
      <c r="B1260" s="84"/>
      <c r="C1260" s="84"/>
      <c r="D1260" s="84"/>
      <c r="E1260" s="85"/>
      <c r="F1260" s="20" t="s">
        <v>60</v>
      </c>
      <c r="G1260" s="67">
        <v>1</v>
      </c>
      <c r="H1260" s="68"/>
      <c r="I1260" s="26"/>
      <c r="J1260" s="23"/>
      <c r="K1260" s="24"/>
      <c r="L1260" s="69">
        <f t="shared" si="65"/>
        <v>0</v>
      </c>
      <c r="M1260" s="70"/>
      <c r="N1260" s="25"/>
      <c r="O1260" s="1"/>
      <c r="P1260" s="32">
        <v>60873</v>
      </c>
      <c r="Q1260" s="38">
        <f t="shared" si="66"/>
        <v>60873</v>
      </c>
      <c r="R1260" s="28">
        <f t="shared" si="67"/>
        <v>0</v>
      </c>
    </row>
    <row r="1261" spans="1:18">
      <c r="A1261" s="83" t="s">
        <v>89</v>
      </c>
      <c r="B1261" s="84"/>
      <c r="C1261" s="84"/>
      <c r="D1261" s="84"/>
      <c r="E1261" s="85"/>
      <c r="F1261" s="20" t="s">
        <v>60</v>
      </c>
      <c r="G1261" s="67">
        <v>1</v>
      </c>
      <c r="H1261" s="68"/>
      <c r="I1261" s="26"/>
      <c r="J1261" s="23"/>
      <c r="K1261" s="24"/>
      <c r="L1261" s="69">
        <f t="shared" si="65"/>
        <v>0</v>
      </c>
      <c r="M1261" s="70"/>
      <c r="N1261" s="25"/>
      <c r="O1261" s="1"/>
      <c r="P1261" s="32">
        <v>60873</v>
      </c>
      <c r="Q1261" s="38">
        <f t="shared" si="66"/>
        <v>60873</v>
      </c>
      <c r="R1261" s="28">
        <f t="shared" si="67"/>
        <v>0</v>
      </c>
    </row>
    <row r="1262" spans="1:18">
      <c r="A1262" s="83" t="s">
        <v>90</v>
      </c>
      <c r="B1262" s="84"/>
      <c r="C1262" s="84"/>
      <c r="D1262" s="84"/>
      <c r="E1262" s="85"/>
      <c r="F1262" s="20" t="s">
        <v>60</v>
      </c>
      <c r="G1262" s="67">
        <v>1</v>
      </c>
      <c r="H1262" s="68"/>
      <c r="I1262" s="26"/>
      <c r="J1262" s="23"/>
      <c r="K1262" s="24"/>
      <c r="L1262" s="69">
        <f t="shared" si="65"/>
        <v>0</v>
      </c>
      <c r="M1262" s="70"/>
      <c r="N1262" s="25"/>
      <c r="O1262" s="1"/>
      <c r="P1262" s="34">
        <v>266321</v>
      </c>
      <c r="Q1262" s="38">
        <f t="shared" si="66"/>
        <v>266321</v>
      </c>
      <c r="R1262" s="28">
        <f t="shared" si="67"/>
        <v>0</v>
      </c>
    </row>
    <row r="1263" spans="1:18">
      <c r="A1263" s="83" t="s">
        <v>91</v>
      </c>
      <c r="B1263" s="84"/>
      <c r="C1263" s="84"/>
      <c r="D1263" s="84"/>
      <c r="E1263" s="85"/>
      <c r="F1263" s="2" t="s">
        <v>60</v>
      </c>
      <c r="G1263" s="67">
        <v>1</v>
      </c>
      <c r="H1263" s="68"/>
      <c r="I1263" s="26"/>
      <c r="J1263" s="23"/>
      <c r="K1263" s="24"/>
      <c r="L1263" s="69">
        <f t="shared" si="65"/>
        <v>1</v>
      </c>
      <c r="M1263" s="70"/>
      <c r="N1263" s="25"/>
      <c r="O1263" s="1"/>
      <c r="P1263" s="32">
        <v>13316</v>
      </c>
      <c r="Q1263" s="38">
        <f t="shared" si="66"/>
        <v>13316</v>
      </c>
      <c r="R1263" s="28">
        <f t="shared" si="67"/>
        <v>13316</v>
      </c>
    </row>
    <row r="1264" spans="1:18">
      <c r="A1264" s="83" t="s">
        <v>92</v>
      </c>
      <c r="B1264" s="84"/>
      <c r="C1264" s="84"/>
      <c r="D1264" s="84"/>
      <c r="E1264" s="85"/>
      <c r="F1264" s="20" t="s">
        <v>60</v>
      </c>
      <c r="G1264" s="67">
        <v>1</v>
      </c>
      <c r="H1264" s="68"/>
      <c r="I1264" s="26"/>
      <c r="J1264" s="23"/>
      <c r="K1264" s="24"/>
      <c r="L1264" s="69">
        <f t="shared" si="65"/>
        <v>0</v>
      </c>
      <c r="M1264" s="70"/>
      <c r="N1264" s="25"/>
      <c r="O1264" s="1"/>
      <c r="P1264" s="32">
        <v>210299</v>
      </c>
      <c r="Q1264" s="38">
        <f t="shared" si="66"/>
        <v>210299</v>
      </c>
      <c r="R1264" s="28">
        <f t="shared" si="67"/>
        <v>0</v>
      </c>
    </row>
    <row r="1265" spans="1:19">
      <c r="A1265" s="64"/>
      <c r="B1265" s="65"/>
      <c r="C1265" s="65"/>
      <c r="D1265" s="65"/>
      <c r="E1265" s="66"/>
      <c r="F1265" s="22"/>
      <c r="G1265" s="67"/>
      <c r="H1265" s="68"/>
      <c r="I1265" s="26"/>
      <c r="J1265" s="23"/>
      <c r="K1265" s="24"/>
      <c r="L1265" s="69"/>
      <c r="M1265" s="70"/>
      <c r="N1265" s="25"/>
      <c r="O1265" s="3"/>
      <c r="P1265" s="32"/>
      <c r="Q1265" s="33">
        <f>SUM(Q1239:Q1264)</f>
        <v>4416270</v>
      </c>
      <c r="R1265" s="29">
        <f>SUM(R1239:R1264)</f>
        <v>653016</v>
      </c>
    </row>
    <row r="1266" spans="1:19">
      <c r="A1266" s="64"/>
      <c r="B1266" s="65"/>
      <c r="C1266" s="65"/>
      <c r="D1266" s="65"/>
      <c r="E1266" s="66"/>
      <c r="F1266" s="22"/>
      <c r="G1266" s="67"/>
      <c r="H1266" s="68"/>
      <c r="I1266" s="26"/>
      <c r="J1266" s="23"/>
      <c r="K1266" s="24"/>
      <c r="L1266" s="69"/>
      <c r="M1266" s="70"/>
      <c r="N1266" s="25"/>
      <c r="O1266" s="3"/>
      <c r="P1266" s="32"/>
      <c r="Q1266" s="33"/>
      <c r="R1266" s="37">
        <f>R1265/Q1265</f>
        <v>0.14786595928238083</v>
      </c>
    </row>
    <row r="1267" spans="1:19">
      <c r="A1267" s="62" t="s">
        <v>14</v>
      </c>
      <c r="B1267" s="62"/>
      <c r="C1267" s="62"/>
      <c r="D1267" s="62"/>
      <c r="E1267" s="62"/>
      <c r="F1267" s="62"/>
      <c r="G1267" s="62"/>
      <c r="H1267" s="62"/>
      <c r="I1267" s="62"/>
      <c r="J1267" s="62"/>
      <c r="K1267" s="62"/>
      <c r="L1267" s="62"/>
      <c r="M1267" s="62"/>
      <c r="N1267" s="62"/>
      <c r="O1267" s="1"/>
      <c r="P1267" s="32"/>
      <c r="Q1267" s="33"/>
      <c r="R1267" s="29"/>
      <c r="S1267" s="16"/>
    </row>
    <row r="1268" spans="1:19">
      <c r="A1268" s="71" t="s">
        <v>15</v>
      </c>
      <c r="B1268" s="72"/>
      <c r="C1268" s="72"/>
      <c r="D1268" s="72"/>
      <c r="E1268" s="73"/>
      <c r="F1268" s="9" t="s">
        <v>37</v>
      </c>
      <c r="G1268" s="71" t="s">
        <v>38</v>
      </c>
      <c r="H1268" s="73"/>
      <c r="I1268" s="71" t="s">
        <v>42</v>
      </c>
      <c r="J1268" s="72"/>
      <c r="K1268" s="73"/>
      <c r="L1268" s="74" t="s">
        <v>17</v>
      </c>
      <c r="M1268" s="75"/>
      <c r="N1268" s="9" t="s">
        <v>13</v>
      </c>
      <c r="O1268" s="1"/>
      <c r="P1268" s="32"/>
      <c r="Q1268" s="33"/>
      <c r="R1268" s="29"/>
      <c r="S1268" s="16"/>
    </row>
    <row r="1269" spans="1:19">
      <c r="A1269" s="71"/>
      <c r="B1269" s="72"/>
      <c r="C1269" s="72"/>
      <c r="D1269" s="72"/>
      <c r="E1269" s="73"/>
      <c r="F1269" s="13"/>
      <c r="G1269" s="76"/>
      <c r="H1269" s="77"/>
      <c r="I1269" s="78"/>
      <c r="J1269" s="79"/>
      <c r="K1269" s="80"/>
      <c r="L1269" s="81"/>
      <c r="M1269" s="82"/>
      <c r="N1269" s="8"/>
      <c r="O1269" s="1"/>
      <c r="P1269" s="32"/>
      <c r="Q1269" s="33"/>
      <c r="R1269" s="29"/>
      <c r="S1269" s="16"/>
    </row>
    <row r="1270" spans="1:19">
      <c r="A1270" s="62" t="s">
        <v>19</v>
      </c>
      <c r="B1270" s="62"/>
      <c r="C1270" s="62"/>
      <c r="D1270" s="62"/>
      <c r="E1270" s="62"/>
      <c r="F1270" s="62"/>
      <c r="G1270" s="62"/>
      <c r="H1270" s="62"/>
      <c r="I1270" s="62"/>
      <c r="J1270" s="62"/>
      <c r="K1270" s="62"/>
      <c r="L1270" s="62"/>
      <c r="M1270" s="62"/>
      <c r="N1270" s="62"/>
      <c r="O1270" s="1"/>
      <c r="P1270" s="32"/>
      <c r="Q1270" s="33"/>
      <c r="R1270" s="29"/>
      <c r="S1270" s="16"/>
    </row>
    <row r="1271" spans="1:19">
      <c r="A1271" s="63" t="s">
        <v>20</v>
      </c>
      <c r="B1271" s="63"/>
      <c r="C1271" s="63" t="s">
        <v>21</v>
      </c>
      <c r="D1271" s="63"/>
      <c r="E1271" s="63" t="s">
        <v>22</v>
      </c>
      <c r="F1271" s="63"/>
      <c r="G1271" s="63" t="s">
        <v>23</v>
      </c>
      <c r="H1271" s="63"/>
      <c r="I1271" s="63"/>
      <c r="J1271" s="63" t="s">
        <v>16</v>
      </c>
      <c r="K1271" s="63"/>
      <c r="L1271" s="63"/>
      <c r="M1271" s="63" t="s">
        <v>17</v>
      </c>
      <c r="N1271" s="63"/>
      <c r="O1271" s="1"/>
      <c r="Q1271" s="32"/>
      <c r="R1271" s="33"/>
      <c r="S1271" s="16"/>
    </row>
    <row r="1272" spans="1:19">
      <c r="A1272" s="60" t="s">
        <v>24</v>
      </c>
      <c r="B1272" s="52"/>
      <c r="C1272" s="61">
        <v>2</v>
      </c>
      <c r="D1272" s="61"/>
      <c r="E1272" s="61">
        <f>C1272+E1211</f>
        <v>32</v>
      </c>
      <c r="F1272" s="61"/>
      <c r="G1272" s="60" t="s">
        <v>51</v>
      </c>
      <c r="H1272" s="51"/>
      <c r="I1272" s="52"/>
      <c r="J1272" s="61"/>
      <c r="K1272" s="61"/>
      <c r="L1272" s="61"/>
      <c r="M1272" s="61">
        <f>K1272+M1211</f>
        <v>1</v>
      </c>
      <c r="N1272" s="61"/>
      <c r="O1272" s="1"/>
      <c r="Q1272" s="32"/>
      <c r="R1272" s="33"/>
      <c r="S1272" s="16"/>
    </row>
    <row r="1273" spans="1:19">
      <c r="A1273" s="60" t="s">
        <v>25</v>
      </c>
      <c r="B1273" s="52"/>
      <c r="C1273" s="61">
        <v>2</v>
      </c>
      <c r="D1273" s="61"/>
      <c r="E1273" s="61">
        <f>C1273+E1212</f>
        <v>29</v>
      </c>
      <c r="F1273" s="61"/>
      <c r="G1273" s="60" t="s">
        <v>50</v>
      </c>
      <c r="H1273" s="51"/>
      <c r="I1273" s="52"/>
      <c r="J1273" s="61"/>
      <c r="K1273" s="61"/>
      <c r="L1273" s="61"/>
      <c r="M1273" s="61">
        <f>K1273+M1212</f>
        <v>1</v>
      </c>
      <c r="N1273" s="61"/>
      <c r="O1273" s="1"/>
      <c r="Q1273" s="32"/>
      <c r="R1273" s="33"/>
      <c r="S1273" s="16"/>
    </row>
    <row r="1274" spans="1:19">
      <c r="A1274" s="60"/>
      <c r="B1274" s="52"/>
      <c r="C1274" s="61"/>
      <c r="D1274" s="61"/>
      <c r="E1274" s="61"/>
      <c r="F1274" s="61"/>
      <c r="G1274" s="60" t="s">
        <v>55</v>
      </c>
      <c r="H1274" s="51"/>
      <c r="I1274" s="52"/>
      <c r="J1274" s="61"/>
      <c r="K1274" s="61"/>
      <c r="L1274" s="61"/>
      <c r="M1274" s="61">
        <f>K1274+M1213</f>
        <v>0</v>
      </c>
      <c r="N1274" s="61"/>
      <c r="O1274" s="2"/>
      <c r="P1274" s="29"/>
      <c r="Q1274" s="32"/>
      <c r="R1274" s="33"/>
      <c r="S1274" s="16"/>
    </row>
    <row r="1275" spans="1:19">
      <c r="A1275" s="53" t="s">
        <v>53</v>
      </c>
      <c r="B1275" s="47"/>
      <c r="C1275" s="53"/>
      <c r="D1275" s="53"/>
      <c r="E1275" s="53"/>
      <c r="F1275" s="53"/>
      <c r="G1275" s="53"/>
      <c r="H1275" s="53"/>
      <c r="I1275" s="53"/>
      <c r="J1275" s="53"/>
      <c r="K1275" s="53"/>
      <c r="L1275" s="53"/>
      <c r="M1275" s="53"/>
      <c r="N1275" s="53"/>
      <c r="O1275" s="1"/>
      <c r="P1275" s="32"/>
      <c r="Q1275" s="32"/>
      <c r="R1275" s="33"/>
      <c r="S1275" s="16"/>
    </row>
    <row r="1276" spans="1:19">
      <c r="A1276" s="45" t="s">
        <v>56</v>
      </c>
      <c r="B1276" s="46"/>
      <c r="C1276" s="46"/>
      <c r="D1276" s="46"/>
      <c r="E1276" s="46"/>
      <c r="F1276" s="46"/>
      <c r="G1276" s="46"/>
      <c r="H1276" s="46"/>
      <c r="I1276" s="46"/>
      <c r="J1276" s="46"/>
      <c r="K1276" s="46"/>
      <c r="L1276" s="46"/>
      <c r="M1276" s="46"/>
      <c r="N1276" s="47"/>
      <c r="O1276" s="1"/>
      <c r="P1276" s="32"/>
      <c r="Q1276" s="34"/>
      <c r="R1276" s="33"/>
      <c r="S1276" s="16"/>
    </row>
    <row r="1277" spans="1:19">
      <c r="A1277" s="54" t="s">
        <v>54</v>
      </c>
      <c r="B1277" s="55"/>
      <c r="C1277" s="55"/>
      <c r="D1277" s="55"/>
      <c r="E1277" s="55"/>
      <c r="F1277" s="55"/>
      <c r="G1277" s="55"/>
      <c r="H1277" s="55"/>
      <c r="I1277" s="55"/>
      <c r="J1277" s="55"/>
      <c r="K1277" s="55"/>
      <c r="L1277" s="55"/>
      <c r="M1277" s="55"/>
      <c r="N1277" s="56"/>
      <c r="O1277" s="1"/>
      <c r="P1277" s="32"/>
      <c r="Q1277" s="32"/>
      <c r="R1277" s="33"/>
      <c r="S1277" s="16"/>
    </row>
    <row r="1278" spans="1:19">
      <c r="A1278" s="40" t="s">
        <v>26</v>
      </c>
      <c r="B1278" s="41"/>
      <c r="C1278" s="40"/>
      <c r="D1278" s="40"/>
      <c r="E1278" s="40"/>
      <c r="F1278" s="40"/>
      <c r="G1278" s="40"/>
      <c r="H1278" s="40"/>
      <c r="I1278" s="40"/>
      <c r="J1278" s="40"/>
      <c r="K1278" s="40"/>
      <c r="L1278" s="40"/>
      <c r="M1278" s="40"/>
      <c r="N1278" s="40"/>
      <c r="O1278" s="1"/>
      <c r="P1278" s="32"/>
      <c r="Q1278" s="32"/>
      <c r="R1278" s="33"/>
      <c r="S1278" s="16"/>
    </row>
    <row r="1279" spans="1:19">
      <c r="A1279" s="57" t="s">
        <v>27</v>
      </c>
      <c r="B1279" s="58"/>
      <c r="C1279" s="58"/>
      <c r="D1279" s="58"/>
      <c r="E1279" s="58"/>
      <c r="F1279" s="58"/>
      <c r="G1279" s="58"/>
      <c r="H1279" s="58"/>
      <c r="I1279" s="58"/>
      <c r="J1279" s="58"/>
      <c r="K1279" s="58"/>
      <c r="L1279" s="58"/>
      <c r="M1279" s="58"/>
      <c r="N1279" s="59"/>
      <c r="O1279" s="1"/>
      <c r="P1279" s="34"/>
      <c r="Q1279" s="34"/>
      <c r="R1279" s="33"/>
      <c r="S1279" s="16"/>
    </row>
    <row r="1280" spans="1:19">
      <c r="A1280" s="57" t="s">
        <v>57</v>
      </c>
      <c r="B1280" s="58"/>
      <c r="C1280" s="58"/>
      <c r="D1280" s="58"/>
      <c r="E1280" s="58"/>
      <c r="F1280" s="58"/>
      <c r="G1280" s="58"/>
      <c r="H1280" s="58"/>
      <c r="I1280" s="58"/>
      <c r="J1280" s="58"/>
      <c r="K1280" s="58"/>
      <c r="L1280" s="58"/>
      <c r="M1280" s="58"/>
      <c r="N1280" s="59"/>
      <c r="O1280" s="1"/>
      <c r="P1280" s="32"/>
      <c r="Q1280" s="32"/>
      <c r="R1280" s="33"/>
      <c r="S1280" s="16"/>
    </row>
    <row r="1281" spans="1:19">
      <c r="A1281" s="57" t="s">
        <v>58</v>
      </c>
      <c r="B1281" s="58"/>
      <c r="C1281" s="58"/>
      <c r="D1281" s="58"/>
      <c r="E1281" s="58"/>
      <c r="F1281" s="58"/>
      <c r="G1281" s="58"/>
      <c r="H1281" s="58"/>
      <c r="I1281" s="58"/>
      <c r="J1281" s="58"/>
      <c r="K1281" s="58"/>
      <c r="L1281" s="58"/>
      <c r="M1281" s="58"/>
      <c r="N1281" s="59"/>
      <c r="O1281" s="1"/>
      <c r="P1281" s="32"/>
      <c r="Q1281" s="32"/>
      <c r="R1281" s="33"/>
      <c r="S1281" s="16"/>
    </row>
    <row r="1282" spans="1:19">
      <c r="A1282" s="57" t="s">
        <v>59</v>
      </c>
      <c r="B1282" s="58"/>
      <c r="C1282" s="58"/>
      <c r="D1282" s="58"/>
      <c r="E1282" s="58"/>
      <c r="F1282" s="58"/>
      <c r="G1282" s="58"/>
      <c r="H1282" s="58"/>
      <c r="I1282" s="58"/>
      <c r="J1282" s="58"/>
      <c r="K1282" s="58"/>
      <c r="L1282" s="58"/>
      <c r="M1282" s="58"/>
      <c r="N1282" s="59"/>
      <c r="O1282" s="1"/>
      <c r="P1282" s="32"/>
      <c r="Q1282" s="34"/>
      <c r="R1282" s="33"/>
      <c r="S1282" s="16"/>
    </row>
    <row r="1283" spans="1:19">
      <c r="A1283" s="57" t="s">
        <v>28</v>
      </c>
      <c r="B1283" s="58"/>
      <c r="C1283" s="58"/>
      <c r="D1283" s="58"/>
      <c r="E1283" s="58"/>
      <c r="F1283" s="58"/>
      <c r="G1283" s="58"/>
      <c r="H1283" s="58"/>
      <c r="I1283" s="58"/>
      <c r="J1283" s="58"/>
      <c r="K1283" s="58"/>
      <c r="L1283" s="58"/>
      <c r="M1283" s="58"/>
      <c r="N1283" s="59"/>
      <c r="O1283" s="1"/>
      <c r="P1283" s="34"/>
      <c r="Q1283" s="32"/>
      <c r="R1283" s="33"/>
      <c r="S1283" s="16"/>
    </row>
    <row r="1284" spans="1:19">
      <c r="A1284" s="40" t="s">
        <v>29</v>
      </c>
      <c r="B1284" s="41"/>
      <c r="C1284" s="40"/>
      <c r="D1284" s="40"/>
      <c r="E1284" s="40"/>
      <c r="F1284" s="40"/>
      <c r="G1284" s="40"/>
      <c r="H1284" s="40"/>
      <c r="I1284" s="40"/>
      <c r="J1284" s="40"/>
      <c r="K1284" s="40"/>
      <c r="L1284" s="40"/>
      <c r="M1284" s="40"/>
      <c r="N1284" s="40"/>
      <c r="O1284" s="1"/>
      <c r="P1284" s="32"/>
      <c r="Q1284" s="32"/>
      <c r="R1284" s="33"/>
      <c r="S1284" s="16"/>
    </row>
    <row r="1285" spans="1:19">
      <c r="A1285" s="42"/>
      <c r="B1285" s="43"/>
      <c r="C1285" s="43"/>
      <c r="D1285" s="43"/>
      <c r="E1285" s="43"/>
      <c r="F1285" s="43"/>
      <c r="G1285" s="43"/>
      <c r="H1285" s="43"/>
      <c r="I1285" s="43"/>
      <c r="J1285" s="43"/>
      <c r="K1285" s="43"/>
      <c r="L1285" s="43"/>
      <c r="M1285" s="43"/>
      <c r="N1285" s="44"/>
      <c r="O1285" s="1"/>
      <c r="P1285" s="32"/>
      <c r="Q1285" s="32"/>
      <c r="R1285" s="33"/>
      <c r="S1285" s="16"/>
    </row>
    <row r="1286" spans="1:19">
      <c r="A1286" s="40" t="s">
        <v>30</v>
      </c>
      <c r="B1286" s="41"/>
      <c r="C1286" s="40"/>
      <c r="D1286" s="40"/>
      <c r="E1286" s="40"/>
      <c r="F1286" s="40"/>
      <c r="G1286" s="40"/>
      <c r="H1286" s="40"/>
      <c r="I1286" s="40"/>
      <c r="J1286" s="40"/>
      <c r="K1286" s="40"/>
      <c r="L1286" s="40"/>
      <c r="M1286" s="40"/>
      <c r="N1286" s="40"/>
      <c r="O1286" s="1"/>
      <c r="P1286" s="32"/>
      <c r="Q1286" s="32"/>
      <c r="R1286" s="33"/>
      <c r="S1286" s="16"/>
    </row>
    <row r="1287" spans="1:19">
      <c r="A1287" s="42"/>
      <c r="B1287" s="43"/>
      <c r="C1287" s="43"/>
      <c r="D1287" s="43"/>
      <c r="E1287" s="43"/>
      <c r="F1287" s="43"/>
      <c r="G1287" s="43"/>
      <c r="H1287" s="43"/>
      <c r="I1287" s="43"/>
      <c r="J1287" s="43"/>
      <c r="K1287" s="43"/>
      <c r="L1287" s="43"/>
      <c r="M1287" s="43"/>
      <c r="N1287" s="44"/>
      <c r="O1287" s="1"/>
      <c r="P1287" s="32"/>
      <c r="Q1287" s="32"/>
      <c r="R1287" s="33"/>
      <c r="S1287" s="16"/>
    </row>
    <row r="1288" spans="1:19">
      <c r="A1288" s="40" t="s">
        <v>97</v>
      </c>
      <c r="B1288" s="41"/>
      <c r="C1288" s="40"/>
      <c r="D1288" s="40"/>
      <c r="E1288" s="40"/>
      <c r="F1288" s="40"/>
      <c r="G1288" s="40"/>
      <c r="H1288" s="40"/>
      <c r="I1288" s="40"/>
      <c r="J1288" s="40"/>
      <c r="K1288" s="40"/>
      <c r="L1288" s="40"/>
      <c r="M1288" s="40"/>
      <c r="N1288" s="40"/>
      <c r="O1288" s="1"/>
      <c r="P1288" s="32"/>
      <c r="Q1288" s="32"/>
      <c r="R1288" s="33"/>
      <c r="S1288" s="17"/>
    </row>
    <row r="1289" spans="1:19">
      <c r="A1289" s="45"/>
      <c r="B1289" s="46"/>
      <c r="C1289" s="46"/>
      <c r="D1289" s="46"/>
      <c r="E1289" s="46"/>
      <c r="F1289" s="46"/>
      <c r="G1289" s="46"/>
      <c r="H1289" s="46"/>
      <c r="I1289" s="46"/>
      <c r="J1289" s="46"/>
      <c r="K1289" s="46"/>
      <c r="L1289" s="46"/>
      <c r="M1289" s="46"/>
      <c r="N1289" s="47"/>
      <c r="O1289" s="1"/>
      <c r="P1289" s="32"/>
      <c r="Q1289" s="32"/>
      <c r="R1289" s="33"/>
      <c r="S1289" s="1"/>
    </row>
    <row r="1290" spans="1:19">
      <c r="A1290" s="48" t="s">
        <v>41</v>
      </c>
      <c r="B1290" s="49"/>
      <c r="C1290" s="50"/>
      <c r="D1290" s="50"/>
      <c r="E1290" s="50"/>
      <c r="F1290" s="50"/>
      <c r="G1290" s="50"/>
      <c r="H1290" s="51"/>
      <c r="I1290" s="51"/>
      <c r="J1290" s="51"/>
      <c r="K1290" s="51"/>
      <c r="L1290" s="51"/>
      <c r="M1290" s="51"/>
      <c r="N1290" s="52"/>
      <c r="O1290" s="1"/>
      <c r="P1290" s="32"/>
      <c r="Q1290" s="32"/>
      <c r="R1290" s="33"/>
      <c r="S1290" s="1"/>
    </row>
    <row r="1291" spans="1:19" ht="28.2">
      <c r="A1291" s="1" t="s">
        <v>45</v>
      </c>
      <c r="B1291" s="7">
        <f>B1230+1</f>
        <v>22</v>
      </c>
      <c r="C1291" s="5"/>
      <c r="D1291" s="5"/>
      <c r="E1291" s="5"/>
      <c r="F1291" s="5"/>
      <c r="G1291" s="5"/>
      <c r="H1291" s="5"/>
      <c r="I1291" s="5"/>
      <c r="J1291" s="5"/>
      <c r="K1291" s="5"/>
      <c r="L1291" s="5"/>
      <c r="M1291" s="5"/>
      <c r="N1291" s="5"/>
      <c r="O1291" s="1"/>
      <c r="P1291" s="32"/>
      <c r="Q1291" s="33"/>
      <c r="R1291" s="29"/>
    </row>
    <row r="1292" spans="1:19">
      <c r="A1292" s="1" t="s">
        <v>46</v>
      </c>
      <c r="B1292" s="1" t="s">
        <v>1</v>
      </c>
      <c r="C1292" s="1" t="s">
        <v>2</v>
      </c>
      <c r="D1292" s="1" t="s">
        <v>3</v>
      </c>
      <c r="E1292" s="1" t="s">
        <v>2</v>
      </c>
      <c r="F1292" s="1"/>
      <c r="G1292" s="1"/>
      <c r="H1292" s="112" t="s">
        <v>4</v>
      </c>
      <c r="I1292" s="112"/>
      <c r="J1292" s="113">
        <f>J1231+1</f>
        <v>46233</v>
      </c>
      <c r="K1292" s="113"/>
      <c r="L1292" s="113"/>
      <c r="M1292" s="114">
        <f>J1292</f>
        <v>46233</v>
      </c>
      <c r="N1292" s="114"/>
      <c r="O1292" s="1"/>
      <c r="P1292" s="32"/>
      <c r="Q1292" s="33"/>
      <c r="R1292" s="29"/>
    </row>
    <row r="1293" spans="1:19">
      <c r="A1293" s="8" t="s">
        <v>5</v>
      </c>
      <c r="B1293" s="115">
        <f>B1224</f>
        <v>0</v>
      </c>
      <c r="C1293" s="116"/>
      <c r="D1293" s="116"/>
      <c r="E1293" s="116"/>
      <c r="F1293" s="116"/>
      <c r="G1293" s="117"/>
      <c r="H1293" s="63" t="s">
        <v>6</v>
      </c>
      <c r="I1293" s="63"/>
      <c r="J1293" s="63"/>
      <c r="K1293" s="63" t="s">
        <v>52</v>
      </c>
      <c r="L1293" s="63"/>
      <c r="M1293" s="63"/>
      <c r="N1293" s="63"/>
      <c r="O1293" s="1"/>
      <c r="P1293" s="32"/>
      <c r="Q1293" s="33"/>
      <c r="R1293" s="29"/>
    </row>
    <row r="1294" spans="1:19">
      <c r="A1294" s="8" t="s">
        <v>32</v>
      </c>
      <c r="B1294" s="10">
        <v>60</v>
      </c>
      <c r="C1294" s="11" t="s">
        <v>43</v>
      </c>
      <c r="D1294" s="71" t="s">
        <v>7</v>
      </c>
      <c r="E1294" s="73"/>
      <c r="F1294" s="10">
        <f>F1233+1</f>
        <v>22</v>
      </c>
      <c r="G1294" s="11" t="s">
        <v>8</v>
      </c>
      <c r="H1294" s="9" t="s">
        <v>9</v>
      </c>
      <c r="I1294" s="10">
        <f>B1294-F1294</f>
        <v>38</v>
      </c>
      <c r="J1294" s="11" t="s">
        <v>8</v>
      </c>
      <c r="K1294" s="118" t="s">
        <v>33</v>
      </c>
      <c r="L1294" s="119"/>
      <c r="M1294" s="12"/>
      <c r="N1294" s="11" t="s">
        <v>8</v>
      </c>
      <c r="O1294" s="1"/>
      <c r="P1294" s="34"/>
      <c r="Q1294" s="33"/>
      <c r="R1294" s="29"/>
    </row>
    <row r="1295" spans="1:19">
      <c r="A1295" s="71" t="s">
        <v>34</v>
      </c>
      <c r="B1295" s="72"/>
      <c r="C1295" s="73"/>
      <c r="D1295" s="120">
        <v>46212</v>
      </c>
      <c r="E1295" s="121"/>
      <c r="F1295" s="121"/>
      <c r="G1295" s="122"/>
      <c r="H1295" s="71" t="s">
        <v>35</v>
      </c>
      <c r="I1295" s="72"/>
      <c r="J1295" s="73"/>
      <c r="K1295" s="120">
        <f>D1295+59</f>
        <v>46271</v>
      </c>
      <c r="L1295" s="121"/>
      <c r="M1295" s="121"/>
      <c r="N1295" s="122"/>
      <c r="O1295" s="1"/>
      <c r="P1295" s="32"/>
      <c r="Q1295" s="33"/>
      <c r="R1295" s="29"/>
    </row>
    <row r="1296" spans="1:19">
      <c r="A1296" s="92" t="s">
        <v>10</v>
      </c>
      <c r="B1296" s="93"/>
      <c r="C1296" s="94"/>
      <c r="D1296" s="98">
        <f>D1235+0.0579/5</f>
        <v>8.5160000000000013E-2</v>
      </c>
      <c r="E1296" s="99"/>
      <c r="F1296" s="99"/>
      <c r="G1296" s="100"/>
      <c r="H1296" s="104" t="s">
        <v>36</v>
      </c>
      <c r="I1296" s="105"/>
      <c r="J1296" s="106"/>
      <c r="K1296" s="110">
        <f>R1327</f>
        <v>0.14786595928238083</v>
      </c>
      <c r="L1296" s="105"/>
      <c r="M1296" s="105"/>
      <c r="N1296" s="106"/>
      <c r="O1296" s="1"/>
      <c r="P1296" s="32"/>
      <c r="Q1296" s="33"/>
      <c r="R1296" s="29"/>
    </row>
    <row r="1297" spans="1:18">
      <c r="A1297" s="95"/>
      <c r="B1297" s="96"/>
      <c r="C1297" s="97"/>
      <c r="D1297" s="101"/>
      <c r="E1297" s="102"/>
      <c r="F1297" s="102"/>
      <c r="G1297" s="103"/>
      <c r="H1297" s="107"/>
      <c r="I1297" s="108"/>
      <c r="J1297" s="109"/>
      <c r="K1297" s="107"/>
      <c r="L1297" s="108"/>
      <c r="M1297" s="108"/>
      <c r="N1297" s="109"/>
      <c r="O1297" s="1"/>
      <c r="P1297" s="32"/>
      <c r="Q1297" s="33"/>
      <c r="R1297" s="29"/>
    </row>
    <row r="1298" spans="1:18">
      <c r="A1298" s="62" t="s">
        <v>11</v>
      </c>
      <c r="B1298" s="62"/>
      <c r="C1298" s="62"/>
      <c r="D1298" s="62"/>
      <c r="E1298" s="62"/>
      <c r="F1298" s="62"/>
      <c r="G1298" s="62"/>
      <c r="H1298" s="62"/>
      <c r="I1298" s="62"/>
      <c r="J1298" s="62"/>
      <c r="K1298" s="62"/>
      <c r="L1298" s="62"/>
      <c r="M1298" s="62"/>
      <c r="N1298" s="62"/>
      <c r="O1298" s="1"/>
      <c r="P1298" s="32"/>
      <c r="Q1298" s="33"/>
      <c r="R1298" s="29"/>
    </row>
    <row r="1299" spans="1:18">
      <c r="A1299" s="111" t="s">
        <v>12</v>
      </c>
      <c r="B1299" s="111"/>
      <c r="C1299" s="111"/>
      <c r="D1299" s="111"/>
      <c r="E1299" s="111"/>
      <c r="F1299" s="14" t="s">
        <v>37</v>
      </c>
      <c r="G1299" s="111" t="s">
        <v>38</v>
      </c>
      <c r="H1299" s="111"/>
      <c r="I1299" s="63" t="s">
        <v>39</v>
      </c>
      <c r="J1299" s="63"/>
      <c r="K1299" s="63"/>
      <c r="L1299" s="63" t="s">
        <v>40</v>
      </c>
      <c r="M1299" s="63"/>
      <c r="N1299" s="9" t="s">
        <v>13</v>
      </c>
      <c r="O1299" s="1"/>
      <c r="P1299" s="28" t="s">
        <v>47</v>
      </c>
      <c r="Q1299" s="29" t="s">
        <v>48</v>
      </c>
      <c r="R1299" s="29" t="s">
        <v>49</v>
      </c>
    </row>
    <row r="1300" spans="1:18">
      <c r="A1300" s="83" t="s">
        <v>67</v>
      </c>
      <c r="B1300" s="84"/>
      <c r="C1300" s="84"/>
      <c r="D1300" s="84"/>
      <c r="E1300" s="85"/>
      <c r="F1300" s="27" t="s">
        <v>60</v>
      </c>
      <c r="G1300" s="67">
        <v>1</v>
      </c>
      <c r="H1300" s="68"/>
      <c r="I1300" s="86"/>
      <c r="J1300" s="87"/>
      <c r="K1300" s="88"/>
      <c r="L1300" s="69">
        <f>I1300+L1239</f>
        <v>1</v>
      </c>
      <c r="M1300" s="70"/>
      <c r="N1300" s="8"/>
      <c r="O1300" s="1"/>
      <c r="P1300" s="30">
        <v>6000</v>
      </c>
      <c r="Q1300" s="38">
        <f>P1300*G1300</f>
        <v>6000</v>
      </c>
      <c r="R1300" s="28">
        <f>L1300*P1300</f>
        <v>6000</v>
      </c>
    </row>
    <row r="1301" spans="1:18">
      <c r="A1301" s="83" t="s">
        <v>68</v>
      </c>
      <c r="B1301" s="84"/>
      <c r="C1301" s="84"/>
      <c r="D1301" s="84"/>
      <c r="E1301" s="85"/>
      <c r="F1301" s="20" t="s">
        <v>60</v>
      </c>
      <c r="G1301" s="67">
        <v>1</v>
      </c>
      <c r="H1301" s="68"/>
      <c r="I1301" s="87"/>
      <c r="J1301" s="87"/>
      <c r="K1301" s="88"/>
      <c r="L1301" s="69">
        <f t="shared" ref="L1301:L1325" si="68">I1301+L1240</f>
        <v>1</v>
      </c>
      <c r="M1301" s="70"/>
      <c r="N1301" s="8"/>
      <c r="O1301" s="1"/>
      <c r="P1301" s="30">
        <v>193300</v>
      </c>
      <c r="Q1301" s="38">
        <f t="shared" ref="Q1301:Q1325" si="69">P1301*G1301</f>
        <v>193300</v>
      </c>
      <c r="R1301" s="28">
        <f>L1301*P1301</f>
        <v>193300</v>
      </c>
    </row>
    <row r="1302" spans="1:18">
      <c r="A1302" s="89" t="s">
        <v>69</v>
      </c>
      <c r="B1302" s="90"/>
      <c r="C1302" s="90"/>
      <c r="D1302" s="90"/>
      <c r="E1302" s="91"/>
      <c r="F1302" s="20" t="s">
        <v>60</v>
      </c>
      <c r="G1302" s="67">
        <v>1</v>
      </c>
      <c r="H1302" s="68"/>
      <c r="I1302" s="87"/>
      <c r="J1302" s="87"/>
      <c r="K1302" s="88"/>
      <c r="L1302" s="69">
        <f t="shared" si="68"/>
        <v>0.5</v>
      </c>
      <c r="M1302" s="70"/>
      <c r="N1302" s="8"/>
      <c r="O1302" s="1"/>
      <c r="P1302" s="30">
        <v>30000</v>
      </c>
      <c r="Q1302" s="38">
        <f t="shared" si="69"/>
        <v>30000</v>
      </c>
      <c r="R1302" s="28">
        <f>L1302*P1302</f>
        <v>15000</v>
      </c>
    </row>
    <row r="1303" spans="1:18">
      <c r="A1303" s="64" t="s">
        <v>70</v>
      </c>
      <c r="B1303" s="65"/>
      <c r="C1303" s="65"/>
      <c r="D1303" s="65"/>
      <c r="E1303" s="66"/>
      <c r="F1303" s="20" t="s">
        <v>60</v>
      </c>
      <c r="G1303" s="67">
        <v>1</v>
      </c>
      <c r="H1303" s="68"/>
      <c r="I1303" s="87"/>
      <c r="J1303" s="87"/>
      <c r="K1303" s="88"/>
      <c r="L1303" s="69">
        <f t="shared" si="68"/>
        <v>1</v>
      </c>
      <c r="M1303" s="70"/>
      <c r="N1303" s="8"/>
      <c r="O1303" s="1"/>
      <c r="P1303" s="31">
        <v>10000</v>
      </c>
      <c r="Q1303" s="38">
        <f t="shared" si="69"/>
        <v>10000</v>
      </c>
      <c r="R1303" s="28">
        <f t="shared" ref="R1303:R1325" si="70">L1303*P1303</f>
        <v>10000</v>
      </c>
    </row>
    <row r="1304" spans="1:18">
      <c r="A1304" s="64" t="s">
        <v>71</v>
      </c>
      <c r="B1304" s="65"/>
      <c r="C1304" s="65"/>
      <c r="D1304" s="65"/>
      <c r="E1304" s="66"/>
      <c r="F1304" s="20" t="s">
        <v>61</v>
      </c>
      <c r="G1304" s="67">
        <v>9</v>
      </c>
      <c r="H1304" s="68"/>
      <c r="I1304" s="87"/>
      <c r="J1304" s="87"/>
      <c r="K1304" s="88"/>
      <c r="L1304" s="69">
        <f t="shared" si="68"/>
        <v>9</v>
      </c>
      <c r="M1304" s="70"/>
      <c r="N1304" s="8"/>
      <c r="O1304" s="1"/>
      <c r="P1304" s="30">
        <v>21000</v>
      </c>
      <c r="Q1304" s="38">
        <f t="shared" si="69"/>
        <v>189000</v>
      </c>
      <c r="R1304" s="28">
        <f t="shared" si="70"/>
        <v>189000</v>
      </c>
    </row>
    <row r="1305" spans="1:18">
      <c r="A1305" s="64" t="s">
        <v>72</v>
      </c>
      <c r="B1305" s="65"/>
      <c r="C1305" s="65"/>
      <c r="D1305" s="65"/>
      <c r="E1305" s="66"/>
      <c r="F1305" s="2" t="s">
        <v>60</v>
      </c>
      <c r="G1305" s="67">
        <v>1</v>
      </c>
      <c r="H1305" s="68"/>
      <c r="I1305" s="87"/>
      <c r="J1305" s="87"/>
      <c r="K1305" s="88"/>
      <c r="L1305" s="69">
        <f t="shared" si="68"/>
        <v>0</v>
      </c>
      <c r="M1305" s="70"/>
      <c r="N1305" s="8"/>
      <c r="O1305" s="1"/>
      <c r="P1305" s="30">
        <v>184468</v>
      </c>
      <c r="Q1305" s="38">
        <f t="shared" si="69"/>
        <v>184468</v>
      </c>
      <c r="R1305" s="28">
        <f t="shared" si="70"/>
        <v>0</v>
      </c>
    </row>
    <row r="1306" spans="1:18">
      <c r="A1306" s="83" t="s">
        <v>73</v>
      </c>
      <c r="B1306" s="84"/>
      <c r="C1306" s="84"/>
      <c r="D1306" s="84"/>
      <c r="E1306" s="85"/>
      <c r="F1306" s="20" t="s">
        <v>62</v>
      </c>
      <c r="G1306" s="67">
        <v>9</v>
      </c>
      <c r="H1306" s="68"/>
      <c r="I1306" s="87"/>
      <c r="J1306" s="87"/>
      <c r="K1306" s="88"/>
      <c r="L1306" s="69">
        <f t="shared" si="68"/>
        <v>0</v>
      </c>
      <c r="M1306" s="70"/>
      <c r="N1306" s="8"/>
      <c r="O1306" s="1"/>
      <c r="P1306" s="30">
        <v>20000</v>
      </c>
      <c r="Q1306" s="38">
        <f t="shared" si="69"/>
        <v>180000</v>
      </c>
      <c r="R1306" s="28">
        <f t="shared" si="70"/>
        <v>0</v>
      </c>
    </row>
    <row r="1307" spans="1:18">
      <c r="A1307" s="83" t="s">
        <v>74</v>
      </c>
      <c r="B1307" s="84"/>
      <c r="C1307" s="84"/>
      <c r="D1307" s="84"/>
      <c r="E1307" s="85"/>
      <c r="F1307" s="20" t="s">
        <v>63</v>
      </c>
      <c r="G1307" s="67">
        <v>52</v>
      </c>
      <c r="H1307" s="68"/>
      <c r="I1307" s="87"/>
      <c r="J1307" s="87"/>
      <c r="K1307" s="88"/>
      <c r="L1307" s="69">
        <f t="shared" si="68"/>
        <v>52</v>
      </c>
      <c r="M1307" s="70"/>
      <c r="N1307" s="8"/>
      <c r="O1307" s="1"/>
      <c r="P1307" s="31">
        <v>2500</v>
      </c>
      <c r="Q1307" s="38">
        <f t="shared" si="69"/>
        <v>130000</v>
      </c>
      <c r="R1307" s="28">
        <f t="shared" si="70"/>
        <v>130000</v>
      </c>
    </row>
    <row r="1308" spans="1:18">
      <c r="A1308" s="83" t="s">
        <v>75</v>
      </c>
      <c r="B1308" s="84"/>
      <c r="C1308" s="84"/>
      <c r="D1308" s="84"/>
      <c r="E1308" s="85"/>
      <c r="F1308" s="20" t="s">
        <v>64</v>
      </c>
      <c r="G1308" s="67">
        <v>1</v>
      </c>
      <c r="H1308" s="68"/>
      <c r="I1308" s="87"/>
      <c r="J1308" s="87"/>
      <c r="K1308" s="88"/>
      <c r="L1308" s="69">
        <f t="shared" si="68"/>
        <v>0</v>
      </c>
      <c r="M1308" s="70"/>
      <c r="N1308" s="8"/>
      <c r="O1308" s="1"/>
      <c r="P1308" s="30">
        <v>80000</v>
      </c>
      <c r="Q1308" s="38">
        <f t="shared" si="69"/>
        <v>80000</v>
      </c>
      <c r="R1308" s="28">
        <f t="shared" si="70"/>
        <v>0</v>
      </c>
    </row>
    <row r="1309" spans="1:18">
      <c r="A1309" s="89" t="s">
        <v>76</v>
      </c>
      <c r="B1309" s="90"/>
      <c r="C1309" s="90"/>
      <c r="D1309" s="90"/>
      <c r="E1309" s="91"/>
      <c r="F1309" s="20" t="s">
        <v>65</v>
      </c>
      <c r="G1309" s="67">
        <v>31</v>
      </c>
      <c r="H1309" s="68"/>
      <c r="I1309" s="87"/>
      <c r="J1309" s="87"/>
      <c r="K1309" s="88"/>
      <c r="L1309" s="69">
        <f t="shared" si="68"/>
        <v>31</v>
      </c>
      <c r="M1309" s="70"/>
      <c r="N1309" s="8"/>
      <c r="O1309" s="1"/>
      <c r="P1309" s="30">
        <v>400</v>
      </c>
      <c r="Q1309" s="38">
        <f t="shared" si="69"/>
        <v>12400</v>
      </c>
      <c r="R1309" s="28">
        <f t="shared" si="70"/>
        <v>12400</v>
      </c>
    </row>
    <row r="1310" spans="1:18">
      <c r="A1310" s="64" t="s">
        <v>77</v>
      </c>
      <c r="B1310" s="65"/>
      <c r="C1310" s="65"/>
      <c r="D1310" s="65"/>
      <c r="E1310" s="66"/>
      <c r="F1310" s="20" t="s">
        <v>65</v>
      </c>
      <c r="G1310" s="67">
        <v>100</v>
      </c>
      <c r="H1310" s="68"/>
      <c r="I1310" s="87"/>
      <c r="J1310" s="87"/>
      <c r="K1310" s="88"/>
      <c r="L1310" s="69">
        <f t="shared" si="68"/>
        <v>0</v>
      </c>
      <c r="M1310" s="70"/>
      <c r="N1310" s="8"/>
      <c r="O1310" s="1"/>
      <c r="P1310" s="30">
        <v>350</v>
      </c>
      <c r="Q1310" s="38">
        <f t="shared" si="69"/>
        <v>35000</v>
      </c>
      <c r="R1310" s="28">
        <f t="shared" si="70"/>
        <v>0</v>
      </c>
    </row>
    <row r="1311" spans="1:18">
      <c r="A1311" s="64" t="s">
        <v>78</v>
      </c>
      <c r="B1311" s="65"/>
      <c r="C1311" s="65"/>
      <c r="D1311" s="65"/>
      <c r="E1311" s="66"/>
      <c r="F1311" s="20" t="s">
        <v>63</v>
      </c>
      <c r="G1311" s="67">
        <v>35</v>
      </c>
      <c r="H1311" s="68"/>
      <c r="I1311" s="87"/>
      <c r="J1311" s="87"/>
      <c r="K1311" s="88"/>
      <c r="L1311" s="69">
        <f t="shared" si="68"/>
        <v>0</v>
      </c>
      <c r="M1311" s="70"/>
      <c r="N1311" s="8"/>
      <c r="O1311" s="1"/>
      <c r="P1311" s="30">
        <v>1200</v>
      </c>
      <c r="Q1311" s="38">
        <f t="shared" si="69"/>
        <v>42000</v>
      </c>
      <c r="R1311" s="28">
        <f t="shared" si="70"/>
        <v>0</v>
      </c>
    </row>
    <row r="1312" spans="1:18">
      <c r="A1312" s="64" t="s">
        <v>104</v>
      </c>
      <c r="B1312" s="65"/>
      <c r="C1312" s="65"/>
      <c r="D1312" s="65"/>
      <c r="E1312" s="66"/>
      <c r="F1312" s="20" t="s">
        <v>63</v>
      </c>
      <c r="G1312" s="67">
        <v>282</v>
      </c>
      <c r="H1312" s="68"/>
      <c r="I1312" s="86"/>
      <c r="J1312" s="87"/>
      <c r="K1312" s="88"/>
      <c r="L1312" s="69">
        <f t="shared" si="68"/>
        <v>60</v>
      </c>
      <c r="M1312" s="70"/>
      <c r="N1312" s="8"/>
      <c r="O1312" s="1"/>
      <c r="P1312" s="30">
        <v>1400</v>
      </c>
      <c r="Q1312" s="38">
        <f t="shared" si="69"/>
        <v>394800</v>
      </c>
      <c r="R1312" s="28">
        <f t="shared" si="70"/>
        <v>84000</v>
      </c>
    </row>
    <row r="1313" spans="1:19">
      <c r="A1313" s="83" t="s">
        <v>80</v>
      </c>
      <c r="B1313" s="84"/>
      <c r="C1313" s="84"/>
      <c r="D1313" s="84"/>
      <c r="E1313" s="85"/>
      <c r="F1313" s="21" t="s">
        <v>65</v>
      </c>
      <c r="G1313" s="67">
        <v>58</v>
      </c>
      <c r="H1313" s="68"/>
      <c r="I1313" s="86"/>
      <c r="J1313" s="87"/>
      <c r="K1313" s="88"/>
      <c r="L1313" s="69">
        <f t="shared" si="68"/>
        <v>0</v>
      </c>
      <c r="M1313" s="70"/>
      <c r="N1313" s="8"/>
      <c r="O1313" s="1"/>
      <c r="P1313" s="30">
        <v>3600</v>
      </c>
      <c r="Q1313" s="38">
        <f t="shared" si="69"/>
        <v>208800</v>
      </c>
      <c r="R1313" s="28">
        <f t="shared" si="70"/>
        <v>0</v>
      </c>
    </row>
    <row r="1314" spans="1:19">
      <c r="A1314" s="83" t="s">
        <v>81</v>
      </c>
      <c r="B1314" s="84"/>
      <c r="C1314" s="84"/>
      <c r="D1314" s="84"/>
      <c r="E1314" s="85"/>
      <c r="F1314" s="21" t="s">
        <v>65</v>
      </c>
      <c r="G1314" s="67">
        <v>360</v>
      </c>
      <c r="H1314" s="68"/>
      <c r="I1314" s="86"/>
      <c r="J1314" s="87"/>
      <c r="K1314" s="88"/>
      <c r="L1314" s="69">
        <f t="shared" si="68"/>
        <v>0</v>
      </c>
      <c r="M1314" s="70"/>
      <c r="N1314" s="8"/>
      <c r="O1314" s="1"/>
      <c r="P1314" s="30">
        <v>230</v>
      </c>
      <c r="Q1314" s="38">
        <f t="shared" si="69"/>
        <v>82800</v>
      </c>
      <c r="R1314" s="28">
        <f t="shared" si="70"/>
        <v>0</v>
      </c>
    </row>
    <row r="1315" spans="1:19">
      <c r="A1315" s="83" t="s">
        <v>82</v>
      </c>
      <c r="B1315" s="84"/>
      <c r="C1315" s="84"/>
      <c r="D1315" s="84"/>
      <c r="E1315" s="85"/>
      <c r="F1315" s="21" t="s">
        <v>65</v>
      </c>
      <c r="G1315" s="67">
        <v>2400</v>
      </c>
      <c r="H1315" s="68"/>
      <c r="I1315" s="86"/>
      <c r="J1315" s="87"/>
      <c r="K1315" s="88"/>
      <c r="L1315" s="69">
        <f t="shared" si="68"/>
        <v>0</v>
      </c>
      <c r="M1315" s="70"/>
      <c r="N1315" s="8"/>
      <c r="O1315" s="1"/>
      <c r="P1315" s="30">
        <v>80</v>
      </c>
      <c r="Q1315" s="38">
        <f t="shared" si="69"/>
        <v>192000</v>
      </c>
      <c r="R1315" s="28">
        <f t="shared" si="70"/>
        <v>0</v>
      </c>
    </row>
    <row r="1316" spans="1:19">
      <c r="A1316" s="89" t="s">
        <v>83</v>
      </c>
      <c r="B1316" s="90"/>
      <c r="C1316" s="90"/>
      <c r="D1316" s="90"/>
      <c r="E1316" s="91"/>
      <c r="F1316" s="21" t="s">
        <v>65</v>
      </c>
      <c r="G1316" s="67">
        <v>360</v>
      </c>
      <c r="H1316" s="68"/>
      <c r="I1316" s="86"/>
      <c r="J1316" s="87"/>
      <c r="K1316" s="88"/>
      <c r="L1316" s="69">
        <f t="shared" si="68"/>
        <v>0</v>
      </c>
      <c r="M1316" s="70"/>
      <c r="N1316" s="8"/>
      <c r="O1316" s="1"/>
      <c r="P1316" s="30">
        <v>420</v>
      </c>
      <c r="Q1316" s="38">
        <f t="shared" si="69"/>
        <v>151200</v>
      </c>
      <c r="R1316" s="28">
        <f t="shared" si="70"/>
        <v>0</v>
      </c>
    </row>
    <row r="1317" spans="1:19">
      <c r="A1317" s="64" t="s">
        <v>84</v>
      </c>
      <c r="B1317" s="65"/>
      <c r="C1317" s="65"/>
      <c r="D1317" s="65"/>
      <c r="E1317" s="66"/>
      <c r="F1317" s="21" t="s">
        <v>65</v>
      </c>
      <c r="G1317" s="67">
        <v>2760</v>
      </c>
      <c r="H1317" s="68"/>
      <c r="I1317" s="86"/>
      <c r="J1317" s="87"/>
      <c r="K1317" s="88"/>
      <c r="L1317" s="69">
        <f t="shared" si="68"/>
        <v>0</v>
      </c>
      <c r="M1317" s="70"/>
      <c r="N1317" s="8"/>
      <c r="O1317" s="1"/>
      <c r="P1317" s="30">
        <v>460</v>
      </c>
      <c r="Q1317" s="38">
        <f t="shared" si="69"/>
        <v>1269600</v>
      </c>
      <c r="R1317" s="28">
        <f t="shared" si="70"/>
        <v>0</v>
      </c>
    </row>
    <row r="1318" spans="1:19">
      <c r="A1318" s="64" t="s">
        <v>85</v>
      </c>
      <c r="B1318" s="65"/>
      <c r="C1318" s="65"/>
      <c r="D1318" s="65"/>
      <c r="E1318" s="66"/>
      <c r="F1318" s="21" t="s">
        <v>65</v>
      </c>
      <c r="G1318" s="67">
        <v>275</v>
      </c>
      <c r="H1318" s="68"/>
      <c r="I1318" s="86"/>
      <c r="J1318" s="87"/>
      <c r="K1318" s="88"/>
      <c r="L1318" s="69">
        <f t="shared" si="68"/>
        <v>0</v>
      </c>
      <c r="M1318" s="70"/>
      <c r="N1318" s="8"/>
      <c r="O1318" s="1"/>
      <c r="P1318" s="31">
        <v>350</v>
      </c>
      <c r="Q1318" s="38">
        <f t="shared" si="69"/>
        <v>96250</v>
      </c>
      <c r="R1318" s="28">
        <f t="shared" si="70"/>
        <v>0</v>
      </c>
    </row>
    <row r="1319" spans="1:19">
      <c r="A1319" s="64" t="s">
        <v>86</v>
      </c>
      <c r="B1319" s="65"/>
      <c r="C1319" s="65"/>
      <c r="D1319" s="65"/>
      <c r="E1319" s="66"/>
      <c r="F1319" s="21" t="s">
        <v>60</v>
      </c>
      <c r="G1319" s="67">
        <v>1</v>
      </c>
      <c r="H1319" s="68"/>
      <c r="I1319" s="86"/>
      <c r="J1319" s="87"/>
      <c r="K1319" s="88"/>
      <c r="L1319" s="69">
        <f t="shared" si="68"/>
        <v>0</v>
      </c>
      <c r="M1319" s="70"/>
      <c r="N1319" s="8"/>
      <c r="O1319" s="2"/>
      <c r="P1319" s="30">
        <v>40000</v>
      </c>
      <c r="Q1319" s="38">
        <f t="shared" si="69"/>
        <v>40000</v>
      </c>
      <c r="R1319" s="28">
        <f t="shared" si="70"/>
        <v>0</v>
      </c>
    </row>
    <row r="1320" spans="1:19">
      <c r="A1320" s="83" t="s">
        <v>87</v>
      </c>
      <c r="B1320" s="84"/>
      <c r="C1320" s="84"/>
      <c r="D1320" s="84"/>
      <c r="E1320" s="85"/>
      <c r="F1320" s="20" t="s">
        <v>60</v>
      </c>
      <c r="G1320" s="67">
        <v>1</v>
      </c>
      <c r="H1320" s="68"/>
      <c r="I1320" s="86"/>
      <c r="J1320" s="87"/>
      <c r="K1320" s="88"/>
      <c r="L1320" s="69">
        <f t="shared" si="68"/>
        <v>0</v>
      </c>
      <c r="M1320" s="70"/>
      <c r="N1320" s="8"/>
      <c r="O1320" s="1"/>
      <c r="P1320" s="31">
        <v>276970</v>
      </c>
      <c r="Q1320" s="38">
        <f t="shared" si="69"/>
        <v>276970</v>
      </c>
      <c r="R1320" s="28">
        <f t="shared" si="70"/>
        <v>0</v>
      </c>
    </row>
    <row r="1321" spans="1:19">
      <c r="A1321" s="83" t="s">
        <v>88</v>
      </c>
      <c r="B1321" s="84"/>
      <c r="C1321" s="84"/>
      <c r="D1321" s="84"/>
      <c r="E1321" s="85"/>
      <c r="F1321" s="20" t="s">
        <v>60</v>
      </c>
      <c r="G1321" s="67">
        <v>1</v>
      </c>
      <c r="H1321" s="68"/>
      <c r="I1321" s="26"/>
      <c r="J1321" s="23"/>
      <c r="K1321" s="24"/>
      <c r="L1321" s="69">
        <f t="shared" si="68"/>
        <v>0</v>
      </c>
      <c r="M1321" s="70"/>
      <c r="N1321" s="25"/>
      <c r="O1321" s="1"/>
      <c r="P1321" s="32">
        <v>60873</v>
      </c>
      <c r="Q1321" s="38">
        <f t="shared" si="69"/>
        <v>60873</v>
      </c>
      <c r="R1321" s="28">
        <f t="shared" si="70"/>
        <v>0</v>
      </c>
    </row>
    <row r="1322" spans="1:19">
      <c r="A1322" s="83" t="s">
        <v>89</v>
      </c>
      <c r="B1322" s="84"/>
      <c r="C1322" s="84"/>
      <c r="D1322" s="84"/>
      <c r="E1322" s="85"/>
      <c r="F1322" s="20" t="s">
        <v>60</v>
      </c>
      <c r="G1322" s="67">
        <v>1</v>
      </c>
      <c r="H1322" s="68"/>
      <c r="I1322" s="26"/>
      <c r="J1322" s="23"/>
      <c r="K1322" s="24"/>
      <c r="L1322" s="69">
        <f t="shared" si="68"/>
        <v>0</v>
      </c>
      <c r="M1322" s="70"/>
      <c r="N1322" s="25"/>
      <c r="O1322" s="1"/>
      <c r="P1322" s="32">
        <v>60873</v>
      </c>
      <c r="Q1322" s="38">
        <f t="shared" si="69"/>
        <v>60873</v>
      </c>
      <c r="R1322" s="28">
        <f t="shared" si="70"/>
        <v>0</v>
      </c>
    </row>
    <row r="1323" spans="1:19">
      <c r="A1323" s="83" t="s">
        <v>90</v>
      </c>
      <c r="B1323" s="84"/>
      <c r="C1323" s="84"/>
      <c r="D1323" s="84"/>
      <c r="E1323" s="85"/>
      <c r="F1323" s="20" t="s">
        <v>60</v>
      </c>
      <c r="G1323" s="67">
        <v>1</v>
      </c>
      <c r="H1323" s="68"/>
      <c r="I1323" s="26"/>
      <c r="J1323" s="23"/>
      <c r="K1323" s="24"/>
      <c r="L1323" s="69">
        <f t="shared" si="68"/>
        <v>0</v>
      </c>
      <c r="M1323" s="70"/>
      <c r="N1323" s="25"/>
      <c r="O1323" s="1"/>
      <c r="P1323" s="34">
        <v>266321</v>
      </c>
      <c r="Q1323" s="38">
        <f t="shared" si="69"/>
        <v>266321</v>
      </c>
      <c r="R1323" s="28">
        <f t="shared" si="70"/>
        <v>0</v>
      </c>
    </row>
    <row r="1324" spans="1:19">
      <c r="A1324" s="83" t="s">
        <v>91</v>
      </c>
      <c r="B1324" s="84"/>
      <c r="C1324" s="84"/>
      <c r="D1324" s="84"/>
      <c r="E1324" s="85"/>
      <c r="F1324" s="2" t="s">
        <v>60</v>
      </c>
      <c r="G1324" s="67">
        <v>1</v>
      </c>
      <c r="H1324" s="68"/>
      <c r="I1324" s="26"/>
      <c r="J1324" s="23"/>
      <c r="K1324" s="24"/>
      <c r="L1324" s="69">
        <f t="shared" si="68"/>
        <v>1</v>
      </c>
      <c r="M1324" s="70"/>
      <c r="N1324" s="25"/>
      <c r="O1324" s="1"/>
      <c r="P1324" s="32">
        <v>13316</v>
      </c>
      <c r="Q1324" s="38">
        <f t="shared" si="69"/>
        <v>13316</v>
      </c>
      <c r="R1324" s="28">
        <f t="shared" si="70"/>
        <v>13316</v>
      </c>
    </row>
    <row r="1325" spans="1:19">
      <c r="A1325" s="83" t="s">
        <v>92</v>
      </c>
      <c r="B1325" s="84"/>
      <c r="C1325" s="84"/>
      <c r="D1325" s="84"/>
      <c r="E1325" s="85"/>
      <c r="F1325" s="20" t="s">
        <v>60</v>
      </c>
      <c r="G1325" s="67">
        <v>1</v>
      </c>
      <c r="H1325" s="68"/>
      <c r="I1325" s="26"/>
      <c r="J1325" s="23"/>
      <c r="K1325" s="24"/>
      <c r="L1325" s="69">
        <f t="shared" si="68"/>
        <v>0</v>
      </c>
      <c r="M1325" s="70"/>
      <c r="N1325" s="25"/>
      <c r="O1325" s="1"/>
      <c r="P1325" s="32">
        <v>210299</v>
      </c>
      <c r="Q1325" s="38">
        <f t="shared" si="69"/>
        <v>210299</v>
      </c>
      <c r="R1325" s="28">
        <f t="shared" si="70"/>
        <v>0</v>
      </c>
    </row>
    <row r="1326" spans="1:19">
      <c r="A1326" s="64"/>
      <c r="B1326" s="65"/>
      <c r="C1326" s="65"/>
      <c r="D1326" s="65"/>
      <c r="E1326" s="66"/>
      <c r="F1326" s="22"/>
      <c r="G1326" s="67"/>
      <c r="H1326" s="68"/>
      <c r="I1326" s="26"/>
      <c r="J1326" s="23"/>
      <c r="K1326" s="24"/>
      <c r="L1326" s="69"/>
      <c r="M1326" s="70"/>
      <c r="N1326" s="25"/>
      <c r="O1326" s="3"/>
      <c r="P1326" s="32"/>
      <c r="Q1326" s="33">
        <f>SUM(Q1300:Q1325)</f>
        <v>4416270</v>
      </c>
      <c r="R1326" s="29">
        <f>SUM(R1300:R1325)</f>
        <v>653016</v>
      </c>
    </row>
    <row r="1327" spans="1:19">
      <c r="A1327" s="64"/>
      <c r="B1327" s="65"/>
      <c r="C1327" s="65"/>
      <c r="D1327" s="65"/>
      <c r="E1327" s="66"/>
      <c r="F1327" s="22"/>
      <c r="G1327" s="67"/>
      <c r="H1327" s="68"/>
      <c r="I1327" s="26"/>
      <c r="J1327" s="23"/>
      <c r="K1327" s="24"/>
      <c r="L1327" s="69"/>
      <c r="M1327" s="70"/>
      <c r="N1327" s="25"/>
      <c r="O1327" s="3"/>
      <c r="P1327" s="32"/>
      <c r="Q1327" s="33"/>
      <c r="R1327" s="37">
        <f>R1326/Q1326</f>
        <v>0.14786595928238083</v>
      </c>
    </row>
    <row r="1328" spans="1:19">
      <c r="A1328" s="62" t="s">
        <v>14</v>
      </c>
      <c r="B1328" s="62"/>
      <c r="C1328" s="62"/>
      <c r="D1328" s="62"/>
      <c r="E1328" s="62"/>
      <c r="F1328" s="62"/>
      <c r="G1328" s="62"/>
      <c r="H1328" s="62"/>
      <c r="I1328" s="62"/>
      <c r="J1328" s="62"/>
      <c r="K1328" s="62"/>
      <c r="L1328" s="62"/>
      <c r="M1328" s="62"/>
      <c r="N1328" s="62"/>
      <c r="O1328" s="1"/>
      <c r="P1328" s="32"/>
      <c r="Q1328" s="33"/>
      <c r="R1328" s="29"/>
      <c r="S1328" s="16"/>
    </row>
    <row r="1329" spans="1:19">
      <c r="A1329" s="71" t="s">
        <v>15</v>
      </c>
      <c r="B1329" s="72"/>
      <c r="C1329" s="72"/>
      <c r="D1329" s="72"/>
      <c r="E1329" s="73"/>
      <c r="F1329" s="9" t="s">
        <v>37</v>
      </c>
      <c r="G1329" s="71" t="s">
        <v>38</v>
      </c>
      <c r="H1329" s="73"/>
      <c r="I1329" s="71" t="s">
        <v>42</v>
      </c>
      <c r="J1329" s="72"/>
      <c r="K1329" s="73"/>
      <c r="L1329" s="74" t="s">
        <v>17</v>
      </c>
      <c r="M1329" s="75"/>
      <c r="N1329" s="9" t="s">
        <v>13</v>
      </c>
      <c r="O1329" s="1"/>
      <c r="P1329" s="32"/>
      <c r="Q1329" s="33"/>
      <c r="R1329" s="29"/>
      <c r="S1329" s="16"/>
    </row>
    <row r="1330" spans="1:19">
      <c r="A1330" s="71"/>
      <c r="B1330" s="72"/>
      <c r="C1330" s="72"/>
      <c r="D1330" s="72"/>
      <c r="E1330" s="73"/>
      <c r="F1330" s="13"/>
      <c r="G1330" s="76"/>
      <c r="H1330" s="77"/>
      <c r="I1330" s="78"/>
      <c r="J1330" s="79"/>
      <c r="K1330" s="80"/>
      <c r="L1330" s="81"/>
      <c r="M1330" s="82"/>
      <c r="N1330" s="8"/>
      <c r="O1330" s="1"/>
      <c r="P1330" s="32"/>
      <c r="Q1330" s="33"/>
      <c r="R1330" s="29"/>
      <c r="S1330" s="16"/>
    </row>
    <row r="1331" spans="1:19">
      <c r="A1331" s="62" t="s">
        <v>19</v>
      </c>
      <c r="B1331" s="62"/>
      <c r="C1331" s="62"/>
      <c r="D1331" s="62"/>
      <c r="E1331" s="62"/>
      <c r="F1331" s="62"/>
      <c r="G1331" s="62"/>
      <c r="H1331" s="62"/>
      <c r="I1331" s="62"/>
      <c r="J1331" s="62"/>
      <c r="K1331" s="62"/>
      <c r="L1331" s="62"/>
      <c r="M1331" s="62"/>
      <c r="N1331" s="62"/>
      <c r="O1331" s="1"/>
      <c r="P1331" s="32"/>
      <c r="Q1331" s="33"/>
      <c r="R1331" s="29"/>
      <c r="S1331" s="16"/>
    </row>
    <row r="1332" spans="1:19">
      <c r="A1332" s="63" t="s">
        <v>20</v>
      </c>
      <c r="B1332" s="63"/>
      <c r="C1332" s="63" t="s">
        <v>21</v>
      </c>
      <c r="D1332" s="63"/>
      <c r="E1332" s="63" t="s">
        <v>22</v>
      </c>
      <c r="F1332" s="63"/>
      <c r="G1332" s="63" t="s">
        <v>23</v>
      </c>
      <c r="H1332" s="63"/>
      <c r="I1332" s="63"/>
      <c r="J1332" s="63" t="s">
        <v>16</v>
      </c>
      <c r="K1332" s="63"/>
      <c r="L1332" s="63"/>
      <c r="M1332" s="63" t="s">
        <v>17</v>
      </c>
      <c r="N1332" s="63"/>
      <c r="O1332" s="1"/>
      <c r="Q1332" s="32"/>
      <c r="R1332" s="33"/>
      <c r="S1332" s="16"/>
    </row>
    <row r="1333" spans="1:19">
      <c r="A1333" s="60" t="s">
        <v>24</v>
      </c>
      <c r="B1333" s="52"/>
      <c r="C1333" s="61"/>
      <c r="D1333" s="61"/>
      <c r="E1333" s="61">
        <f>C1333+E1272</f>
        <v>32</v>
      </c>
      <c r="F1333" s="61"/>
      <c r="G1333" s="60" t="s">
        <v>51</v>
      </c>
      <c r="H1333" s="51"/>
      <c r="I1333" s="52"/>
      <c r="J1333" s="61"/>
      <c r="K1333" s="61"/>
      <c r="L1333" s="61"/>
      <c r="M1333" s="61">
        <f>K1333+M1272</f>
        <v>1</v>
      </c>
      <c r="N1333" s="61"/>
      <c r="O1333" s="1"/>
      <c r="Q1333" s="32"/>
      <c r="R1333" s="33"/>
      <c r="S1333" s="16"/>
    </row>
    <row r="1334" spans="1:19">
      <c r="A1334" s="60" t="s">
        <v>25</v>
      </c>
      <c r="B1334" s="52"/>
      <c r="C1334" s="61"/>
      <c r="D1334" s="61"/>
      <c r="E1334" s="61">
        <f>C1334+E1273</f>
        <v>29</v>
      </c>
      <c r="F1334" s="61"/>
      <c r="G1334" s="60" t="s">
        <v>50</v>
      </c>
      <c r="H1334" s="51"/>
      <c r="I1334" s="52"/>
      <c r="J1334" s="61"/>
      <c r="K1334" s="61"/>
      <c r="L1334" s="61"/>
      <c r="M1334" s="61">
        <f>K1334+M1273</f>
        <v>1</v>
      </c>
      <c r="N1334" s="61"/>
      <c r="O1334" s="1"/>
      <c r="Q1334" s="32"/>
      <c r="R1334" s="33"/>
      <c r="S1334" s="16"/>
    </row>
    <row r="1335" spans="1:19">
      <c r="A1335" s="60"/>
      <c r="B1335" s="52"/>
      <c r="C1335" s="61"/>
      <c r="D1335" s="61"/>
      <c r="E1335" s="61"/>
      <c r="F1335" s="61"/>
      <c r="G1335" s="60" t="s">
        <v>55</v>
      </c>
      <c r="H1335" s="51"/>
      <c r="I1335" s="52"/>
      <c r="J1335" s="61"/>
      <c r="K1335" s="61"/>
      <c r="L1335" s="61"/>
      <c r="M1335" s="61">
        <f>K1335+M1274</f>
        <v>0</v>
      </c>
      <c r="N1335" s="61"/>
      <c r="O1335" s="2"/>
      <c r="P1335" s="29"/>
      <c r="Q1335" s="32"/>
      <c r="R1335" s="33"/>
      <c r="S1335" s="16"/>
    </row>
    <row r="1336" spans="1:19">
      <c r="A1336" s="53" t="s">
        <v>53</v>
      </c>
      <c r="B1336" s="47"/>
      <c r="C1336" s="53"/>
      <c r="D1336" s="53"/>
      <c r="E1336" s="53"/>
      <c r="F1336" s="53"/>
      <c r="G1336" s="53"/>
      <c r="H1336" s="53"/>
      <c r="I1336" s="53"/>
      <c r="J1336" s="53"/>
      <c r="K1336" s="53"/>
      <c r="L1336" s="53"/>
      <c r="M1336" s="53"/>
      <c r="N1336" s="53"/>
      <c r="O1336" s="1"/>
      <c r="P1336" s="32"/>
      <c r="Q1336" s="32"/>
      <c r="R1336" s="33"/>
      <c r="S1336" s="16"/>
    </row>
    <row r="1337" spans="1:19">
      <c r="A1337" s="45" t="s">
        <v>56</v>
      </c>
      <c r="B1337" s="46"/>
      <c r="C1337" s="46"/>
      <c r="D1337" s="46"/>
      <c r="E1337" s="46"/>
      <c r="F1337" s="46"/>
      <c r="G1337" s="46"/>
      <c r="H1337" s="46"/>
      <c r="I1337" s="46"/>
      <c r="J1337" s="46"/>
      <c r="K1337" s="46"/>
      <c r="L1337" s="46"/>
      <c r="M1337" s="46"/>
      <c r="N1337" s="47"/>
      <c r="O1337" s="1"/>
      <c r="P1337" s="32"/>
      <c r="Q1337" s="34"/>
      <c r="R1337" s="33"/>
      <c r="S1337" s="16"/>
    </row>
    <row r="1338" spans="1:19">
      <c r="A1338" s="54" t="s">
        <v>54</v>
      </c>
      <c r="B1338" s="55"/>
      <c r="C1338" s="55"/>
      <c r="D1338" s="55"/>
      <c r="E1338" s="55"/>
      <c r="F1338" s="55"/>
      <c r="G1338" s="55"/>
      <c r="H1338" s="55"/>
      <c r="I1338" s="55"/>
      <c r="J1338" s="55"/>
      <c r="K1338" s="55"/>
      <c r="L1338" s="55"/>
      <c r="M1338" s="55"/>
      <c r="N1338" s="56"/>
      <c r="O1338" s="1"/>
      <c r="P1338" s="32"/>
      <c r="Q1338" s="32"/>
      <c r="R1338" s="33"/>
      <c r="S1338" s="16"/>
    </row>
    <row r="1339" spans="1:19">
      <c r="A1339" s="40" t="s">
        <v>26</v>
      </c>
      <c r="B1339" s="41"/>
      <c r="C1339" s="40"/>
      <c r="D1339" s="40"/>
      <c r="E1339" s="40"/>
      <c r="F1339" s="40"/>
      <c r="G1339" s="40"/>
      <c r="H1339" s="40"/>
      <c r="I1339" s="40"/>
      <c r="J1339" s="40"/>
      <c r="K1339" s="40"/>
      <c r="L1339" s="40"/>
      <c r="M1339" s="40"/>
      <c r="N1339" s="40"/>
      <c r="O1339" s="1"/>
      <c r="P1339" s="32"/>
      <c r="Q1339" s="32"/>
      <c r="R1339" s="33"/>
      <c r="S1339" s="16"/>
    </row>
    <row r="1340" spans="1:19">
      <c r="A1340" s="57" t="s">
        <v>27</v>
      </c>
      <c r="B1340" s="58"/>
      <c r="C1340" s="58"/>
      <c r="D1340" s="58"/>
      <c r="E1340" s="58"/>
      <c r="F1340" s="58"/>
      <c r="G1340" s="58"/>
      <c r="H1340" s="58"/>
      <c r="I1340" s="58"/>
      <c r="J1340" s="58"/>
      <c r="K1340" s="58"/>
      <c r="L1340" s="58"/>
      <c r="M1340" s="58"/>
      <c r="N1340" s="59"/>
      <c r="O1340" s="1"/>
      <c r="P1340" s="34"/>
      <c r="Q1340" s="34"/>
      <c r="R1340" s="33"/>
      <c r="S1340" s="16"/>
    </row>
    <row r="1341" spans="1:19">
      <c r="A1341" s="57" t="s">
        <v>57</v>
      </c>
      <c r="B1341" s="58"/>
      <c r="C1341" s="58"/>
      <c r="D1341" s="58"/>
      <c r="E1341" s="58"/>
      <c r="F1341" s="58"/>
      <c r="G1341" s="58"/>
      <c r="H1341" s="58"/>
      <c r="I1341" s="58"/>
      <c r="J1341" s="58"/>
      <c r="K1341" s="58"/>
      <c r="L1341" s="58"/>
      <c r="M1341" s="58"/>
      <c r="N1341" s="59"/>
      <c r="O1341" s="1"/>
      <c r="P1341" s="32"/>
      <c r="Q1341" s="32"/>
      <c r="R1341" s="33"/>
      <c r="S1341" s="16"/>
    </row>
    <row r="1342" spans="1:19">
      <c r="A1342" s="57" t="s">
        <v>58</v>
      </c>
      <c r="B1342" s="58"/>
      <c r="C1342" s="58"/>
      <c r="D1342" s="58"/>
      <c r="E1342" s="58"/>
      <c r="F1342" s="58"/>
      <c r="G1342" s="58"/>
      <c r="H1342" s="58"/>
      <c r="I1342" s="58"/>
      <c r="J1342" s="58"/>
      <c r="K1342" s="58"/>
      <c r="L1342" s="58"/>
      <c r="M1342" s="58"/>
      <c r="N1342" s="59"/>
      <c r="O1342" s="1"/>
      <c r="P1342" s="32"/>
      <c r="Q1342" s="32"/>
      <c r="R1342" s="33"/>
      <c r="S1342" s="16"/>
    </row>
    <row r="1343" spans="1:19">
      <c r="A1343" s="57" t="s">
        <v>59</v>
      </c>
      <c r="B1343" s="58"/>
      <c r="C1343" s="58"/>
      <c r="D1343" s="58"/>
      <c r="E1343" s="58"/>
      <c r="F1343" s="58"/>
      <c r="G1343" s="58"/>
      <c r="H1343" s="58"/>
      <c r="I1343" s="58"/>
      <c r="J1343" s="58"/>
      <c r="K1343" s="58"/>
      <c r="L1343" s="58"/>
      <c r="M1343" s="58"/>
      <c r="N1343" s="59"/>
      <c r="O1343" s="1"/>
      <c r="P1343" s="32"/>
      <c r="Q1343" s="34"/>
      <c r="R1343" s="33"/>
      <c r="S1343" s="16"/>
    </row>
    <row r="1344" spans="1:19">
      <c r="A1344" s="57" t="s">
        <v>28</v>
      </c>
      <c r="B1344" s="58"/>
      <c r="C1344" s="58"/>
      <c r="D1344" s="58"/>
      <c r="E1344" s="58"/>
      <c r="F1344" s="58"/>
      <c r="G1344" s="58"/>
      <c r="H1344" s="58"/>
      <c r="I1344" s="58"/>
      <c r="J1344" s="58"/>
      <c r="K1344" s="58"/>
      <c r="L1344" s="58"/>
      <c r="M1344" s="58"/>
      <c r="N1344" s="59"/>
      <c r="O1344" s="1"/>
      <c r="P1344" s="34"/>
      <c r="Q1344" s="32"/>
      <c r="R1344" s="33"/>
      <c r="S1344" s="16"/>
    </row>
    <row r="1345" spans="1:19">
      <c r="A1345" s="40" t="s">
        <v>29</v>
      </c>
      <c r="B1345" s="41"/>
      <c r="C1345" s="40"/>
      <c r="D1345" s="40"/>
      <c r="E1345" s="40"/>
      <c r="F1345" s="40"/>
      <c r="G1345" s="40"/>
      <c r="H1345" s="40"/>
      <c r="I1345" s="40"/>
      <c r="J1345" s="40"/>
      <c r="K1345" s="40"/>
      <c r="L1345" s="40"/>
      <c r="M1345" s="40"/>
      <c r="N1345" s="40"/>
      <c r="O1345" s="1"/>
      <c r="P1345" s="32"/>
      <c r="Q1345" s="32"/>
      <c r="R1345" s="33"/>
      <c r="S1345" s="16"/>
    </row>
    <row r="1346" spans="1:19">
      <c r="A1346" s="42"/>
      <c r="B1346" s="43"/>
      <c r="C1346" s="43"/>
      <c r="D1346" s="43"/>
      <c r="E1346" s="43"/>
      <c r="F1346" s="43"/>
      <c r="G1346" s="43"/>
      <c r="H1346" s="43"/>
      <c r="I1346" s="43"/>
      <c r="J1346" s="43"/>
      <c r="K1346" s="43"/>
      <c r="L1346" s="43"/>
      <c r="M1346" s="43"/>
      <c r="N1346" s="44"/>
      <c r="O1346" s="1"/>
      <c r="P1346" s="32"/>
      <c r="Q1346" s="32"/>
      <c r="R1346" s="33"/>
      <c r="S1346" s="16"/>
    </row>
    <row r="1347" spans="1:19">
      <c r="A1347" s="40" t="s">
        <v>30</v>
      </c>
      <c r="B1347" s="41"/>
      <c r="C1347" s="40"/>
      <c r="D1347" s="40"/>
      <c r="E1347" s="40"/>
      <c r="F1347" s="40"/>
      <c r="G1347" s="40"/>
      <c r="H1347" s="40"/>
      <c r="I1347" s="40"/>
      <c r="J1347" s="40"/>
      <c r="K1347" s="40"/>
      <c r="L1347" s="40"/>
      <c r="M1347" s="40"/>
      <c r="N1347" s="40"/>
      <c r="O1347" s="1"/>
      <c r="P1347" s="32"/>
      <c r="Q1347" s="32"/>
      <c r="R1347" s="33"/>
      <c r="S1347" s="16"/>
    </row>
    <row r="1348" spans="1:19">
      <c r="A1348" s="42"/>
      <c r="B1348" s="43"/>
      <c r="C1348" s="43"/>
      <c r="D1348" s="43"/>
      <c r="E1348" s="43"/>
      <c r="F1348" s="43"/>
      <c r="G1348" s="43"/>
      <c r="H1348" s="43"/>
      <c r="I1348" s="43"/>
      <c r="J1348" s="43"/>
      <c r="K1348" s="43"/>
      <c r="L1348" s="43"/>
      <c r="M1348" s="43"/>
      <c r="N1348" s="44"/>
      <c r="O1348" s="1"/>
      <c r="P1348" s="32"/>
      <c r="Q1348" s="32"/>
      <c r="R1348" s="33"/>
      <c r="S1348" s="16"/>
    </row>
    <row r="1349" spans="1:19">
      <c r="A1349" s="40" t="s">
        <v>97</v>
      </c>
      <c r="B1349" s="41"/>
      <c r="C1349" s="40"/>
      <c r="D1349" s="40"/>
      <c r="E1349" s="40"/>
      <c r="F1349" s="40"/>
      <c r="G1349" s="40"/>
      <c r="H1349" s="40"/>
      <c r="I1349" s="40"/>
      <c r="J1349" s="40"/>
      <c r="K1349" s="40"/>
      <c r="L1349" s="40"/>
      <c r="M1349" s="40"/>
      <c r="N1349" s="40"/>
      <c r="O1349" s="1"/>
      <c r="P1349" s="32"/>
      <c r="Q1349" s="32"/>
      <c r="R1349" s="33"/>
      <c r="S1349" s="17"/>
    </row>
    <row r="1350" spans="1:19">
      <c r="A1350" s="45"/>
      <c r="B1350" s="46"/>
      <c r="C1350" s="46"/>
      <c r="D1350" s="46"/>
      <c r="E1350" s="46"/>
      <c r="F1350" s="46"/>
      <c r="G1350" s="46"/>
      <c r="H1350" s="46"/>
      <c r="I1350" s="46"/>
      <c r="J1350" s="46"/>
      <c r="K1350" s="46"/>
      <c r="L1350" s="46"/>
      <c r="M1350" s="46"/>
      <c r="N1350" s="47"/>
      <c r="O1350" s="1"/>
      <c r="P1350" s="32"/>
      <c r="Q1350" s="32"/>
      <c r="R1350" s="33"/>
      <c r="S1350" s="1"/>
    </row>
    <row r="1351" spans="1:19">
      <c r="A1351" s="48" t="s">
        <v>41</v>
      </c>
      <c r="B1351" s="49"/>
      <c r="C1351" s="50"/>
      <c r="D1351" s="50"/>
      <c r="E1351" s="50"/>
      <c r="F1351" s="50"/>
      <c r="G1351" s="50"/>
      <c r="H1351" s="51"/>
      <c r="I1351" s="51"/>
      <c r="J1351" s="51"/>
      <c r="K1351" s="51"/>
      <c r="L1351" s="51"/>
      <c r="M1351" s="51"/>
      <c r="N1351" s="52"/>
      <c r="O1351" s="1"/>
      <c r="P1351" s="32"/>
      <c r="Q1351" s="32"/>
      <c r="R1351" s="33"/>
      <c r="S1351" s="1"/>
    </row>
    <row r="1352" spans="1:19" ht="28.2">
      <c r="A1352" s="1" t="s">
        <v>45</v>
      </c>
      <c r="B1352" s="7">
        <f>B1291+1</f>
        <v>23</v>
      </c>
      <c r="C1352" s="5"/>
      <c r="D1352" s="5"/>
      <c r="E1352" s="5"/>
      <c r="F1352" s="5"/>
      <c r="G1352" s="5"/>
      <c r="H1352" s="5"/>
      <c r="I1352" s="5"/>
      <c r="J1352" s="5"/>
      <c r="K1352" s="5"/>
      <c r="L1352" s="5"/>
      <c r="M1352" s="5"/>
      <c r="N1352" s="5"/>
      <c r="O1352" s="1"/>
      <c r="P1352" s="32"/>
      <c r="Q1352" s="33"/>
      <c r="R1352" s="29"/>
    </row>
    <row r="1353" spans="1:19">
      <c r="A1353" s="1" t="s">
        <v>46</v>
      </c>
      <c r="B1353" s="1" t="s">
        <v>1</v>
      </c>
      <c r="C1353" s="1" t="s">
        <v>2</v>
      </c>
      <c r="D1353" s="1" t="s">
        <v>3</v>
      </c>
      <c r="E1353" s="1" t="s">
        <v>2</v>
      </c>
      <c r="F1353" s="1"/>
      <c r="G1353" s="1"/>
      <c r="H1353" s="112" t="s">
        <v>4</v>
      </c>
      <c r="I1353" s="112"/>
      <c r="J1353" s="113">
        <f>J1292+1</f>
        <v>46234</v>
      </c>
      <c r="K1353" s="113"/>
      <c r="L1353" s="113"/>
      <c r="M1353" s="114">
        <f>J1353</f>
        <v>46234</v>
      </c>
      <c r="N1353" s="114"/>
      <c r="O1353" s="1"/>
      <c r="P1353" s="32"/>
      <c r="Q1353" s="33"/>
      <c r="R1353" s="29"/>
    </row>
    <row r="1354" spans="1:19">
      <c r="A1354" s="8" t="s">
        <v>5</v>
      </c>
      <c r="B1354" s="115">
        <f>B1285</f>
        <v>0</v>
      </c>
      <c r="C1354" s="116"/>
      <c r="D1354" s="116"/>
      <c r="E1354" s="116"/>
      <c r="F1354" s="116"/>
      <c r="G1354" s="117"/>
      <c r="H1354" s="63" t="s">
        <v>6</v>
      </c>
      <c r="I1354" s="63"/>
      <c r="J1354" s="63"/>
      <c r="K1354" s="63" t="s">
        <v>52</v>
      </c>
      <c r="L1354" s="63"/>
      <c r="M1354" s="63"/>
      <c r="N1354" s="63"/>
      <c r="O1354" s="1"/>
      <c r="P1354" s="32"/>
      <c r="Q1354" s="33"/>
      <c r="R1354" s="29"/>
    </row>
    <row r="1355" spans="1:19">
      <c r="A1355" s="8" t="s">
        <v>32</v>
      </c>
      <c r="B1355" s="10">
        <v>60</v>
      </c>
      <c r="C1355" s="11" t="s">
        <v>43</v>
      </c>
      <c r="D1355" s="71" t="s">
        <v>7</v>
      </c>
      <c r="E1355" s="73"/>
      <c r="F1355" s="10">
        <f>F1294+1</f>
        <v>23</v>
      </c>
      <c r="G1355" s="11" t="s">
        <v>8</v>
      </c>
      <c r="H1355" s="9" t="s">
        <v>9</v>
      </c>
      <c r="I1355" s="10">
        <f>B1355-F1355</f>
        <v>37</v>
      </c>
      <c r="J1355" s="11" t="s">
        <v>8</v>
      </c>
      <c r="K1355" s="118" t="s">
        <v>33</v>
      </c>
      <c r="L1355" s="119"/>
      <c r="M1355" s="12"/>
      <c r="N1355" s="11" t="s">
        <v>8</v>
      </c>
      <c r="O1355" s="1"/>
      <c r="P1355" s="34"/>
      <c r="Q1355" s="33"/>
      <c r="R1355" s="29"/>
    </row>
    <row r="1356" spans="1:19">
      <c r="A1356" s="71" t="s">
        <v>34</v>
      </c>
      <c r="B1356" s="72"/>
      <c r="C1356" s="73"/>
      <c r="D1356" s="120">
        <v>46212</v>
      </c>
      <c r="E1356" s="121"/>
      <c r="F1356" s="121"/>
      <c r="G1356" s="122"/>
      <c r="H1356" s="71" t="s">
        <v>35</v>
      </c>
      <c r="I1356" s="72"/>
      <c r="J1356" s="73"/>
      <c r="K1356" s="120">
        <f>D1356+59</f>
        <v>46271</v>
      </c>
      <c r="L1356" s="121"/>
      <c r="M1356" s="121"/>
      <c r="N1356" s="122"/>
      <c r="O1356" s="1"/>
      <c r="P1356" s="32"/>
      <c r="Q1356" s="33"/>
      <c r="R1356" s="29"/>
    </row>
    <row r="1357" spans="1:19">
      <c r="A1357" s="92" t="s">
        <v>10</v>
      </c>
      <c r="B1357" s="93"/>
      <c r="C1357" s="94"/>
      <c r="D1357" s="98">
        <f>D1296+0.0579/5</f>
        <v>9.674000000000002E-2</v>
      </c>
      <c r="E1357" s="99"/>
      <c r="F1357" s="99"/>
      <c r="G1357" s="100"/>
      <c r="H1357" s="104" t="s">
        <v>36</v>
      </c>
      <c r="I1357" s="105"/>
      <c r="J1357" s="106"/>
      <c r="K1357" s="110">
        <f>R1388</f>
        <v>0.14786595928238083</v>
      </c>
      <c r="L1357" s="105"/>
      <c r="M1357" s="105"/>
      <c r="N1357" s="106"/>
      <c r="O1357" s="1"/>
      <c r="P1357" s="32"/>
      <c r="Q1357" s="33"/>
      <c r="R1357" s="29"/>
    </row>
    <row r="1358" spans="1:19">
      <c r="A1358" s="95"/>
      <c r="B1358" s="96"/>
      <c r="C1358" s="97"/>
      <c r="D1358" s="101"/>
      <c r="E1358" s="102"/>
      <c r="F1358" s="102"/>
      <c r="G1358" s="103"/>
      <c r="H1358" s="107"/>
      <c r="I1358" s="108"/>
      <c r="J1358" s="109"/>
      <c r="K1358" s="107"/>
      <c r="L1358" s="108"/>
      <c r="M1358" s="108"/>
      <c r="N1358" s="109"/>
      <c r="O1358" s="1"/>
      <c r="P1358" s="32"/>
      <c r="Q1358" s="33"/>
      <c r="R1358" s="29"/>
    </row>
    <row r="1359" spans="1:19">
      <c r="A1359" s="62" t="s">
        <v>11</v>
      </c>
      <c r="B1359" s="62"/>
      <c r="C1359" s="62"/>
      <c r="D1359" s="62"/>
      <c r="E1359" s="62"/>
      <c r="F1359" s="62"/>
      <c r="G1359" s="62"/>
      <c r="H1359" s="62"/>
      <c r="I1359" s="62"/>
      <c r="J1359" s="62"/>
      <c r="K1359" s="62"/>
      <c r="L1359" s="62"/>
      <c r="M1359" s="62"/>
      <c r="N1359" s="62"/>
      <c r="O1359" s="1"/>
      <c r="P1359" s="32"/>
      <c r="Q1359" s="33"/>
      <c r="R1359" s="29"/>
    </row>
    <row r="1360" spans="1:19">
      <c r="A1360" s="111" t="s">
        <v>12</v>
      </c>
      <c r="B1360" s="111"/>
      <c r="C1360" s="111"/>
      <c r="D1360" s="111"/>
      <c r="E1360" s="111"/>
      <c r="F1360" s="14" t="s">
        <v>37</v>
      </c>
      <c r="G1360" s="111" t="s">
        <v>38</v>
      </c>
      <c r="H1360" s="111"/>
      <c r="I1360" s="63" t="s">
        <v>39</v>
      </c>
      <c r="J1360" s="63"/>
      <c r="K1360" s="63"/>
      <c r="L1360" s="63" t="s">
        <v>40</v>
      </c>
      <c r="M1360" s="63"/>
      <c r="N1360" s="9" t="s">
        <v>13</v>
      </c>
      <c r="O1360" s="1"/>
      <c r="P1360" s="28" t="s">
        <v>47</v>
      </c>
      <c r="Q1360" s="29" t="s">
        <v>48</v>
      </c>
      <c r="R1360" s="29" t="s">
        <v>49</v>
      </c>
    </row>
    <row r="1361" spans="1:18">
      <c r="A1361" s="83" t="s">
        <v>67</v>
      </c>
      <c r="B1361" s="84"/>
      <c r="C1361" s="84"/>
      <c r="D1361" s="84"/>
      <c r="E1361" s="85"/>
      <c r="F1361" s="27" t="s">
        <v>60</v>
      </c>
      <c r="G1361" s="67">
        <v>1</v>
      </c>
      <c r="H1361" s="68"/>
      <c r="I1361" s="86"/>
      <c r="J1361" s="87"/>
      <c r="K1361" s="88"/>
      <c r="L1361" s="69">
        <f>I1361+L1300</f>
        <v>1</v>
      </c>
      <c r="M1361" s="70"/>
      <c r="N1361" s="8"/>
      <c r="O1361" s="1"/>
      <c r="P1361" s="30">
        <v>6000</v>
      </c>
      <c r="Q1361" s="38">
        <f>P1361*G1361</f>
        <v>6000</v>
      </c>
      <c r="R1361" s="28">
        <f>L1361*P1361</f>
        <v>6000</v>
      </c>
    </row>
    <row r="1362" spans="1:18">
      <c r="A1362" s="83" t="s">
        <v>68</v>
      </c>
      <c r="B1362" s="84"/>
      <c r="C1362" s="84"/>
      <c r="D1362" s="84"/>
      <c r="E1362" s="85"/>
      <c r="F1362" s="20" t="s">
        <v>60</v>
      </c>
      <c r="G1362" s="67">
        <v>1</v>
      </c>
      <c r="H1362" s="68"/>
      <c r="I1362" s="87"/>
      <c r="J1362" s="87"/>
      <c r="K1362" s="88"/>
      <c r="L1362" s="69">
        <f t="shared" ref="L1362:L1386" si="71">I1362+L1301</f>
        <v>1</v>
      </c>
      <c r="M1362" s="70"/>
      <c r="N1362" s="8"/>
      <c r="O1362" s="1"/>
      <c r="P1362" s="30">
        <v>193300</v>
      </c>
      <c r="Q1362" s="38">
        <f t="shared" ref="Q1362:Q1386" si="72">P1362*G1362</f>
        <v>193300</v>
      </c>
      <c r="R1362" s="28">
        <f>L1362*P1362</f>
        <v>193300</v>
      </c>
    </row>
    <row r="1363" spans="1:18">
      <c r="A1363" s="89" t="s">
        <v>69</v>
      </c>
      <c r="B1363" s="90"/>
      <c r="C1363" s="90"/>
      <c r="D1363" s="90"/>
      <c r="E1363" s="91"/>
      <c r="F1363" s="20" t="s">
        <v>60</v>
      </c>
      <c r="G1363" s="67">
        <v>1</v>
      </c>
      <c r="H1363" s="68"/>
      <c r="I1363" s="87"/>
      <c r="J1363" s="87"/>
      <c r="K1363" s="88"/>
      <c r="L1363" s="69">
        <f t="shared" si="71"/>
        <v>0.5</v>
      </c>
      <c r="M1363" s="70"/>
      <c r="N1363" s="8"/>
      <c r="O1363" s="1"/>
      <c r="P1363" s="30">
        <v>30000</v>
      </c>
      <c r="Q1363" s="38">
        <f t="shared" si="72"/>
        <v>30000</v>
      </c>
      <c r="R1363" s="28">
        <f>L1363*P1363</f>
        <v>15000</v>
      </c>
    </row>
    <row r="1364" spans="1:18">
      <c r="A1364" s="64" t="s">
        <v>70</v>
      </c>
      <c r="B1364" s="65"/>
      <c r="C1364" s="65"/>
      <c r="D1364" s="65"/>
      <c r="E1364" s="66"/>
      <c r="F1364" s="20" t="s">
        <v>60</v>
      </c>
      <c r="G1364" s="67">
        <v>1</v>
      </c>
      <c r="H1364" s="68"/>
      <c r="I1364" s="87"/>
      <c r="J1364" s="87"/>
      <c r="K1364" s="88"/>
      <c r="L1364" s="69">
        <f t="shared" si="71"/>
        <v>1</v>
      </c>
      <c r="M1364" s="70"/>
      <c r="N1364" s="8"/>
      <c r="O1364" s="1"/>
      <c r="P1364" s="31">
        <v>10000</v>
      </c>
      <c r="Q1364" s="38">
        <f t="shared" si="72"/>
        <v>10000</v>
      </c>
      <c r="R1364" s="28">
        <f t="shared" ref="R1364:R1386" si="73">L1364*P1364</f>
        <v>10000</v>
      </c>
    </row>
    <row r="1365" spans="1:18">
      <c r="A1365" s="64" t="s">
        <v>71</v>
      </c>
      <c r="B1365" s="65"/>
      <c r="C1365" s="65"/>
      <c r="D1365" s="65"/>
      <c r="E1365" s="66"/>
      <c r="F1365" s="20" t="s">
        <v>61</v>
      </c>
      <c r="G1365" s="67">
        <v>9</v>
      </c>
      <c r="H1365" s="68"/>
      <c r="I1365" s="87"/>
      <c r="J1365" s="87"/>
      <c r="K1365" s="88"/>
      <c r="L1365" s="69">
        <f t="shared" si="71"/>
        <v>9</v>
      </c>
      <c r="M1365" s="70"/>
      <c r="N1365" s="8"/>
      <c r="O1365" s="1"/>
      <c r="P1365" s="30">
        <v>21000</v>
      </c>
      <c r="Q1365" s="38">
        <f t="shared" si="72"/>
        <v>189000</v>
      </c>
      <c r="R1365" s="28">
        <f t="shared" si="73"/>
        <v>189000</v>
      </c>
    </row>
    <row r="1366" spans="1:18">
      <c r="A1366" s="64" t="s">
        <v>72</v>
      </c>
      <c r="B1366" s="65"/>
      <c r="C1366" s="65"/>
      <c r="D1366" s="65"/>
      <c r="E1366" s="66"/>
      <c r="F1366" s="2" t="s">
        <v>60</v>
      </c>
      <c r="G1366" s="67">
        <v>1</v>
      </c>
      <c r="H1366" s="68"/>
      <c r="I1366" s="87"/>
      <c r="J1366" s="87"/>
      <c r="K1366" s="88"/>
      <c r="L1366" s="69">
        <f t="shared" si="71"/>
        <v>0</v>
      </c>
      <c r="M1366" s="70"/>
      <c r="N1366" s="8"/>
      <c r="O1366" s="1"/>
      <c r="P1366" s="30">
        <v>184468</v>
      </c>
      <c r="Q1366" s="38">
        <f t="shared" si="72"/>
        <v>184468</v>
      </c>
      <c r="R1366" s="28">
        <f t="shared" si="73"/>
        <v>0</v>
      </c>
    </row>
    <row r="1367" spans="1:18">
      <c r="A1367" s="83" t="s">
        <v>73</v>
      </c>
      <c r="B1367" s="84"/>
      <c r="C1367" s="84"/>
      <c r="D1367" s="84"/>
      <c r="E1367" s="85"/>
      <c r="F1367" s="20" t="s">
        <v>62</v>
      </c>
      <c r="G1367" s="67">
        <v>9</v>
      </c>
      <c r="H1367" s="68"/>
      <c r="I1367" s="87"/>
      <c r="J1367" s="87"/>
      <c r="K1367" s="88"/>
      <c r="L1367" s="69">
        <f t="shared" si="71"/>
        <v>0</v>
      </c>
      <c r="M1367" s="70"/>
      <c r="N1367" s="8"/>
      <c r="O1367" s="1"/>
      <c r="P1367" s="30">
        <v>20000</v>
      </c>
      <c r="Q1367" s="38">
        <f t="shared" si="72"/>
        <v>180000</v>
      </c>
      <c r="R1367" s="28">
        <f t="shared" si="73"/>
        <v>0</v>
      </c>
    </row>
    <row r="1368" spans="1:18">
      <c r="A1368" s="83" t="s">
        <v>74</v>
      </c>
      <c r="B1368" s="84"/>
      <c r="C1368" s="84"/>
      <c r="D1368" s="84"/>
      <c r="E1368" s="85"/>
      <c r="F1368" s="20" t="s">
        <v>63</v>
      </c>
      <c r="G1368" s="67">
        <v>52</v>
      </c>
      <c r="H1368" s="68"/>
      <c r="I1368" s="87"/>
      <c r="J1368" s="87"/>
      <c r="K1368" s="88"/>
      <c r="L1368" s="69">
        <f t="shared" si="71"/>
        <v>52</v>
      </c>
      <c r="M1368" s="70"/>
      <c r="N1368" s="8"/>
      <c r="O1368" s="1"/>
      <c r="P1368" s="31">
        <v>2500</v>
      </c>
      <c r="Q1368" s="38">
        <f t="shared" si="72"/>
        <v>130000</v>
      </c>
      <c r="R1368" s="28">
        <f t="shared" si="73"/>
        <v>130000</v>
      </c>
    </row>
    <row r="1369" spans="1:18">
      <c r="A1369" s="83" t="s">
        <v>75</v>
      </c>
      <c r="B1369" s="84"/>
      <c r="C1369" s="84"/>
      <c r="D1369" s="84"/>
      <c r="E1369" s="85"/>
      <c r="F1369" s="20" t="s">
        <v>64</v>
      </c>
      <c r="G1369" s="67">
        <v>1</v>
      </c>
      <c r="H1369" s="68"/>
      <c r="I1369" s="87"/>
      <c r="J1369" s="87"/>
      <c r="K1369" s="88"/>
      <c r="L1369" s="69">
        <f t="shared" si="71"/>
        <v>0</v>
      </c>
      <c r="M1369" s="70"/>
      <c r="N1369" s="8"/>
      <c r="O1369" s="1"/>
      <c r="P1369" s="30">
        <v>80000</v>
      </c>
      <c r="Q1369" s="38">
        <f t="shared" si="72"/>
        <v>80000</v>
      </c>
      <c r="R1369" s="28">
        <f t="shared" si="73"/>
        <v>0</v>
      </c>
    </row>
    <row r="1370" spans="1:18">
      <c r="A1370" s="89" t="s">
        <v>76</v>
      </c>
      <c r="B1370" s="90"/>
      <c r="C1370" s="90"/>
      <c r="D1370" s="90"/>
      <c r="E1370" s="91"/>
      <c r="F1370" s="20" t="s">
        <v>65</v>
      </c>
      <c r="G1370" s="67">
        <v>31</v>
      </c>
      <c r="H1370" s="68"/>
      <c r="I1370" s="87"/>
      <c r="J1370" s="87"/>
      <c r="K1370" s="88"/>
      <c r="L1370" s="69">
        <f t="shared" si="71"/>
        <v>31</v>
      </c>
      <c r="M1370" s="70"/>
      <c r="N1370" s="8"/>
      <c r="O1370" s="1"/>
      <c r="P1370" s="30">
        <v>400</v>
      </c>
      <c r="Q1370" s="38">
        <f t="shared" si="72"/>
        <v>12400</v>
      </c>
      <c r="R1370" s="28">
        <f t="shared" si="73"/>
        <v>12400</v>
      </c>
    </row>
    <row r="1371" spans="1:18">
      <c r="A1371" s="64" t="s">
        <v>77</v>
      </c>
      <c r="B1371" s="65"/>
      <c r="C1371" s="65"/>
      <c r="D1371" s="65"/>
      <c r="E1371" s="66"/>
      <c r="F1371" s="20" t="s">
        <v>65</v>
      </c>
      <c r="G1371" s="67">
        <v>100</v>
      </c>
      <c r="H1371" s="68"/>
      <c r="I1371" s="87"/>
      <c r="J1371" s="87"/>
      <c r="K1371" s="88"/>
      <c r="L1371" s="69">
        <f t="shared" si="71"/>
        <v>0</v>
      </c>
      <c r="M1371" s="70"/>
      <c r="N1371" s="8"/>
      <c r="O1371" s="1"/>
      <c r="P1371" s="30">
        <v>350</v>
      </c>
      <c r="Q1371" s="38">
        <f t="shared" si="72"/>
        <v>35000</v>
      </c>
      <c r="R1371" s="28">
        <f t="shared" si="73"/>
        <v>0</v>
      </c>
    </row>
    <row r="1372" spans="1:18">
      <c r="A1372" s="64" t="s">
        <v>78</v>
      </c>
      <c r="B1372" s="65"/>
      <c r="C1372" s="65"/>
      <c r="D1372" s="65"/>
      <c r="E1372" s="66"/>
      <c r="F1372" s="20" t="s">
        <v>63</v>
      </c>
      <c r="G1372" s="67">
        <v>35</v>
      </c>
      <c r="H1372" s="68"/>
      <c r="I1372" s="87"/>
      <c r="J1372" s="87"/>
      <c r="K1372" s="88"/>
      <c r="L1372" s="69">
        <f t="shared" si="71"/>
        <v>0</v>
      </c>
      <c r="M1372" s="70"/>
      <c r="N1372" s="8"/>
      <c r="O1372" s="1"/>
      <c r="P1372" s="30">
        <v>1200</v>
      </c>
      <c r="Q1372" s="38">
        <f t="shared" si="72"/>
        <v>42000</v>
      </c>
      <c r="R1372" s="28">
        <f t="shared" si="73"/>
        <v>0</v>
      </c>
    </row>
    <row r="1373" spans="1:18">
      <c r="A1373" s="64" t="s">
        <v>79</v>
      </c>
      <c r="B1373" s="65"/>
      <c r="C1373" s="65"/>
      <c r="D1373" s="65"/>
      <c r="E1373" s="66"/>
      <c r="F1373" s="20" t="s">
        <v>63</v>
      </c>
      <c r="G1373" s="67">
        <v>282</v>
      </c>
      <c r="H1373" s="68"/>
      <c r="I1373" s="86"/>
      <c r="J1373" s="87"/>
      <c r="K1373" s="88"/>
      <c r="L1373" s="69">
        <f t="shared" si="71"/>
        <v>60</v>
      </c>
      <c r="M1373" s="70"/>
      <c r="N1373" s="8"/>
      <c r="O1373" s="1"/>
      <c r="P1373" s="30">
        <v>1400</v>
      </c>
      <c r="Q1373" s="38">
        <f t="shared" si="72"/>
        <v>394800</v>
      </c>
      <c r="R1373" s="28">
        <f t="shared" si="73"/>
        <v>84000</v>
      </c>
    </row>
    <row r="1374" spans="1:18">
      <c r="A1374" s="83" t="s">
        <v>80</v>
      </c>
      <c r="B1374" s="84"/>
      <c r="C1374" s="84"/>
      <c r="D1374" s="84"/>
      <c r="E1374" s="85"/>
      <c r="F1374" s="21" t="s">
        <v>65</v>
      </c>
      <c r="G1374" s="67">
        <v>58</v>
      </c>
      <c r="H1374" s="68"/>
      <c r="I1374" s="86"/>
      <c r="J1374" s="87"/>
      <c r="K1374" s="88"/>
      <c r="L1374" s="69">
        <f t="shared" si="71"/>
        <v>0</v>
      </c>
      <c r="M1374" s="70"/>
      <c r="N1374" s="8"/>
      <c r="O1374" s="1"/>
      <c r="P1374" s="30">
        <v>3600</v>
      </c>
      <c r="Q1374" s="38">
        <f t="shared" si="72"/>
        <v>208800</v>
      </c>
      <c r="R1374" s="28">
        <f t="shared" si="73"/>
        <v>0</v>
      </c>
    </row>
    <row r="1375" spans="1:18">
      <c r="A1375" s="83" t="s">
        <v>81</v>
      </c>
      <c r="B1375" s="84"/>
      <c r="C1375" s="84"/>
      <c r="D1375" s="84"/>
      <c r="E1375" s="85"/>
      <c r="F1375" s="21" t="s">
        <v>65</v>
      </c>
      <c r="G1375" s="67">
        <v>360</v>
      </c>
      <c r="H1375" s="68"/>
      <c r="I1375" s="86"/>
      <c r="J1375" s="87"/>
      <c r="K1375" s="88"/>
      <c r="L1375" s="69">
        <f t="shared" si="71"/>
        <v>0</v>
      </c>
      <c r="M1375" s="70"/>
      <c r="N1375" s="8"/>
      <c r="O1375" s="1"/>
      <c r="P1375" s="30">
        <v>230</v>
      </c>
      <c r="Q1375" s="38">
        <f t="shared" si="72"/>
        <v>82800</v>
      </c>
      <c r="R1375" s="28">
        <f t="shared" si="73"/>
        <v>0</v>
      </c>
    </row>
    <row r="1376" spans="1:18">
      <c r="A1376" s="83" t="s">
        <v>82</v>
      </c>
      <c r="B1376" s="84"/>
      <c r="C1376" s="84"/>
      <c r="D1376" s="84"/>
      <c r="E1376" s="85"/>
      <c r="F1376" s="21" t="s">
        <v>65</v>
      </c>
      <c r="G1376" s="67">
        <v>2400</v>
      </c>
      <c r="H1376" s="68"/>
      <c r="I1376" s="86"/>
      <c r="J1376" s="87"/>
      <c r="K1376" s="88"/>
      <c r="L1376" s="69">
        <f t="shared" si="71"/>
        <v>0</v>
      </c>
      <c r="M1376" s="70"/>
      <c r="N1376" s="8"/>
      <c r="O1376" s="1"/>
      <c r="P1376" s="30">
        <v>80</v>
      </c>
      <c r="Q1376" s="38">
        <f t="shared" si="72"/>
        <v>192000</v>
      </c>
      <c r="R1376" s="28">
        <f t="shared" si="73"/>
        <v>0</v>
      </c>
    </row>
    <row r="1377" spans="1:19">
      <c r="A1377" s="89" t="s">
        <v>83</v>
      </c>
      <c r="B1377" s="90"/>
      <c r="C1377" s="90"/>
      <c r="D1377" s="90"/>
      <c r="E1377" s="91"/>
      <c r="F1377" s="21" t="s">
        <v>65</v>
      </c>
      <c r="G1377" s="67">
        <v>360</v>
      </c>
      <c r="H1377" s="68"/>
      <c r="I1377" s="86"/>
      <c r="J1377" s="87"/>
      <c r="K1377" s="88"/>
      <c r="L1377" s="69">
        <f t="shared" si="71"/>
        <v>0</v>
      </c>
      <c r="M1377" s="70"/>
      <c r="N1377" s="8"/>
      <c r="O1377" s="1"/>
      <c r="P1377" s="30">
        <v>420</v>
      </c>
      <c r="Q1377" s="38">
        <f t="shared" si="72"/>
        <v>151200</v>
      </c>
      <c r="R1377" s="28">
        <f t="shared" si="73"/>
        <v>0</v>
      </c>
    </row>
    <row r="1378" spans="1:19">
      <c r="A1378" s="64" t="s">
        <v>84</v>
      </c>
      <c r="B1378" s="65"/>
      <c r="C1378" s="65"/>
      <c r="D1378" s="65"/>
      <c r="E1378" s="66"/>
      <c r="F1378" s="21" t="s">
        <v>65</v>
      </c>
      <c r="G1378" s="67">
        <v>2760</v>
      </c>
      <c r="H1378" s="68"/>
      <c r="I1378" s="86"/>
      <c r="J1378" s="87"/>
      <c r="K1378" s="88"/>
      <c r="L1378" s="69">
        <f t="shared" si="71"/>
        <v>0</v>
      </c>
      <c r="M1378" s="70"/>
      <c r="N1378" s="8"/>
      <c r="O1378" s="1"/>
      <c r="P1378" s="30">
        <v>460</v>
      </c>
      <c r="Q1378" s="38">
        <f t="shared" si="72"/>
        <v>1269600</v>
      </c>
      <c r="R1378" s="28">
        <f t="shared" si="73"/>
        <v>0</v>
      </c>
    </row>
    <row r="1379" spans="1:19">
      <c r="A1379" s="64" t="s">
        <v>85</v>
      </c>
      <c r="B1379" s="65"/>
      <c r="C1379" s="65"/>
      <c r="D1379" s="65"/>
      <c r="E1379" s="66"/>
      <c r="F1379" s="21" t="s">
        <v>65</v>
      </c>
      <c r="G1379" s="67">
        <v>275</v>
      </c>
      <c r="H1379" s="68"/>
      <c r="I1379" s="86"/>
      <c r="J1379" s="87"/>
      <c r="K1379" s="88"/>
      <c r="L1379" s="69">
        <f t="shared" si="71"/>
        <v>0</v>
      </c>
      <c r="M1379" s="70"/>
      <c r="N1379" s="8"/>
      <c r="O1379" s="1"/>
      <c r="P1379" s="31">
        <v>350</v>
      </c>
      <c r="Q1379" s="38">
        <f t="shared" si="72"/>
        <v>96250</v>
      </c>
      <c r="R1379" s="28">
        <f t="shared" si="73"/>
        <v>0</v>
      </c>
    </row>
    <row r="1380" spans="1:19">
      <c r="A1380" s="64" t="s">
        <v>86</v>
      </c>
      <c r="B1380" s="65"/>
      <c r="C1380" s="65"/>
      <c r="D1380" s="65"/>
      <c r="E1380" s="66"/>
      <c r="F1380" s="21" t="s">
        <v>60</v>
      </c>
      <c r="G1380" s="67">
        <v>1</v>
      </c>
      <c r="H1380" s="68"/>
      <c r="I1380" s="86"/>
      <c r="J1380" s="87"/>
      <c r="K1380" s="88"/>
      <c r="L1380" s="69">
        <f t="shared" si="71"/>
        <v>0</v>
      </c>
      <c r="M1380" s="70"/>
      <c r="N1380" s="8"/>
      <c r="O1380" s="2"/>
      <c r="P1380" s="30">
        <v>40000</v>
      </c>
      <c r="Q1380" s="38">
        <f t="shared" si="72"/>
        <v>40000</v>
      </c>
      <c r="R1380" s="28">
        <f t="shared" si="73"/>
        <v>0</v>
      </c>
    </row>
    <row r="1381" spans="1:19">
      <c r="A1381" s="83" t="s">
        <v>87</v>
      </c>
      <c r="B1381" s="84"/>
      <c r="C1381" s="84"/>
      <c r="D1381" s="84"/>
      <c r="E1381" s="85"/>
      <c r="F1381" s="20" t="s">
        <v>60</v>
      </c>
      <c r="G1381" s="67">
        <v>1</v>
      </c>
      <c r="H1381" s="68"/>
      <c r="I1381" s="86"/>
      <c r="J1381" s="87"/>
      <c r="K1381" s="88"/>
      <c r="L1381" s="69">
        <f t="shared" si="71"/>
        <v>0</v>
      </c>
      <c r="M1381" s="70"/>
      <c r="N1381" s="8"/>
      <c r="O1381" s="1"/>
      <c r="P1381" s="31">
        <v>276970</v>
      </c>
      <c r="Q1381" s="38">
        <f t="shared" si="72"/>
        <v>276970</v>
      </c>
      <c r="R1381" s="28">
        <f t="shared" si="73"/>
        <v>0</v>
      </c>
    </row>
    <row r="1382" spans="1:19">
      <c r="A1382" s="83" t="s">
        <v>88</v>
      </c>
      <c r="B1382" s="84"/>
      <c r="C1382" s="84"/>
      <c r="D1382" s="84"/>
      <c r="E1382" s="85"/>
      <c r="F1382" s="20" t="s">
        <v>60</v>
      </c>
      <c r="G1382" s="67">
        <v>1</v>
      </c>
      <c r="H1382" s="68"/>
      <c r="I1382" s="26"/>
      <c r="J1382" s="23"/>
      <c r="K1382" s="24"/>
      <c r="L1382" s="69">
        <f t="shared" si="71"/>
        <v>0</v>
      </c>
      <c r="M1382" s="70"/>
      <c r="N1382" s="25"/>
      <c r="O1382" s="1"/>
      <c r="P1382" s="32">
        <v>60873</v>
      </c>
      <c r="Q1382" s="38">
        <f t="shared" si="72"/>
        <v>60873</v>
      </c>
      <c r="R1382" s="28">
        <f t="shared" si="73"/>
        <v>0</v>
      </c>
    </row>
    <row r="1383" spans="1:19">
      <c r="A1383" s="83" t="s">
        <v>89</v>
      </c>
      <c r="B1383" s="84"/>
      <c r="C1383" s="84"/>
      <c r="D1383" s="84"/>
      <c r="E1383" s="85"/>
      <c r="F1383" s="20" t="s">
        <v>60</v>
      </c>
      <c r="G1383" s="67">
        <v>1</v>
      </c>
      <c r="H1383" s="68"/>
      <c r="I1383" s="26"/>
      <c r="J1383" s="23"/>
      <c r="K1383" s="24"/>
      <c r="L1383" s="69">
        <f t="shared" si="71"/>
        <v>0</v>
      </c>
      <c r="M1383" s="70"/>
      <c r="N1383" s="25"/>
      <c r="O1383" s="1"/>
      <c r="P1383" s="32">
        <v>60873</v>
      </c>
      <c r="Q1383" s="38">
        <f t="shared" si="72"/>
        <v>60873</v>
      </c>
      <c r="R1383" s="28">
        <f t="shared" si="73"/>
        <v>0</v>
      </c>
    </row>
    <row r="1384" spans="1:19">
      <c r="A1384" s="83" t="s">
        <v>90</v>
      </c>
      <c r="B1384" s="84"/>
      <c r="C1384" s="84"/>
      <c r="D1384" s="84"/>
      <c r="E1384" s="85"/>
      <c r="F1384" s="20" t="s">
        <v>60</v>
      </c>
      <c r="G1384" s="67">
        <v>1</v>
      </c>
      <c r="H1384" s="68"/>
      <c r="I1384" s="26"/>
      <c r="J1384" s="23"/>
      <c r="K1384" s="24"/>
      <c r="L1384" s="69">
        <f t="shared" si="71"/>
        <v>0</v>
      </c>
      <c r="M1384" s="70"/>
      <c r="N1384" s="25"/>
      <c r="O1384" s="1"/>
      <c r="P1384" s="34">
        <v>266321</v>
      </c>
      <c r="Q1384" s="38">
        <f t="shared" si="72"/>
        <v>266321</v>
      </c>
      <c r="R1384" s="28">
        <f t="shared" si="73"/>
        <v>0</v>
      </c>
    </row>
    <row r="1385" spans="1:19">
      <c r="A1385" s="83" t="s">
        <v>91</v>
      </c>
      <c r="B1385" s="84"/>
      <c r="C1385" s="84"/>
      <c r="D1385" s="84"/>
      <c r="E1385" s="85"/>
      <c r="F1385" s="2" t="s">
        <v>60</v>
      </c>
      <c r="G1385" s="67">
        <v>1</v>
      </c>
      <c r="H1385" s="68"/>
      <c r="I1385" s="26"/>
      <c r="J1385" s="23"/>
      <c r="K1385" s="24"/>
      <c r="L1385" s="69">
        <f t="shared" si="71"/>
        <v>1</v>
      </c>
      <c r="M1385" s="70"/>
      <c r="N1385" s="25"/>
      <c r="O1385" s="1"/>
      <c r="P1385" s="32">
        <v>13316</v>
      </c>
      <c r="Q1385" s="38">
        <f t="shared" si="72"/>
        <v>13316</v>
      </c>
      <c r="R1385" s="28">
        <f t="shared" si="73"/>
        <v>13316</v>
      </c>
    </row>
    <row r="1386" spans="1:19">
      <c r="A1386" s="83" t="s">
        <v>92</v>
      </c>
      <c r="B1386" s="84"/>
      <c r="C1386" s="84"/>
      <c r="D1386" s="84"/>
      <c r="E1386" s="85"/>
      <c r="F1386" s="20" t="s">
        <v>60</v>
      </c>
      <c r="G1386" s="67">
        <v>1</v>
      </c>
      <c r="H1386" s="68"/>
      <c r="I1386" s="26"/>
      <c r="J1386" s="23"/>
      <c r="K1386" s="24"/>
      <c r="L1386" s="69">
        <f t="shared" si="71"/>
        <v>0</v>
      </c>
      <c r="M1386" s="70"/>
      <c r="N1386" s="25"/>
      <c r="O1386" s="1"/>
      <c r="P1386" s="32">
        <v>210299</v>
      </c>
      <c r="Q1386" s="38">
        <f t="shared" si="72"/>
        <v>210299</v>
      </c>
      <c r="R1386" s="28">
        <f t="shared" si="73"/>
        <v>0</v>
      </c>
    </row>
    <row r="1387" spans="1:19">
      <c r="A1387" s="64"/>
      <c r="B1387" s="65"/>
      <c r="C1387" s="65"/>
      <c r="D1387" s="65"/>
      <c r="E1387" s="66"/>
      <c r="F1387" s="22"/>
      <c r="G1387" s="67"/>
      <c r="H1387" s="68"/>
      <c r="I1387" s="26"/>
      <c r="J1387" s="23"/>
      <c r="K1387" s="24"/>
      <c r="L1387" s="69"/>
      <c r="M1387" s="70"/>
      <c r="N1387" s="25"/>
      <c r="O1387" s="3"/>
      <c r="P1387" s="32"/>
      <c r="Q1387" s="33">
        <f>SUM(Q1361:Q1386)</f>
        <v>4416270</v>
      </c>
      <c r="R1387" s="29">
        <f>SUM(R1361:R1386)</f>
        <v>653016</v>
      </c>
    </row>
    <row r="1388" spans="1:19">
      <c r="A1388" s="64"/>
      <c r="B1388" s="65"/>
      <c r="C1388" s="65"/>
      <c r="D1388" s="65"/>
      <c r="E1388" s="66"/>
      <c r="F1388" s="22"/>
      <c r="G1388" s="67"/>
      <c r="H1388" s="68"/>
      <c r="I1388" s="26"/>
      <c r="J1388" s="23"/>
      <c r="K1388" s="24"/>
      <c r="L1388" s="69"/>
      <c r="M1388" s="70"/>
      <c r="N1388" s="25"/>
      <c r="O1388" s="3"/>
      <c r="P1388" s="32"/>
      <c r="Q1388" s="33"/>
      <c r="R1388" s="37">
        <f>R1387/Q1387</f>
        <v>0.14786595928238083</v>
      </c>
    </row>
    <row r="1389" spans="1:19">
      <c r="A1389" s="62" t="s">
        <v>14</v>
      </c>
      <c r="B1389" s="62"/>
      <c r="C1389" s="62"/>
      <c r="D1389" s="62"/>
      <c r="E1389" s="62"/>
      <c r="F1389" s="62"/>
      <c r="G1389" s="62"/>
      <c r="H1389" s="62"/>
      <c r="I1389" s="62"/>
      <c r="J1389" s="62"/>
      <c r="K1389" s="62"/>
      <c r="L1389" s="62"/>
      <c r="M1389" s="62"/>
      <c r="N1389" s="62"/>
      <c r="O1389" s="1"/>
      <c r="P1389" s="32"/>
      <c r="Q1389" s="33"/>
      <c r="R1389" s="29"/>
      <c r="S1389" s="16"/>
    </row>
    <row r="1390" spans="1:19">
      <c r="A1390" s="71" t="s">
        <v>15</v>
      </c>
      <c r="B1390" s="72"/>
      <c r="C1390" s="72"/>
      <c r="D1390" s="72"/>
      <c r="E1390" s="73"/>
      <c r="F1390" s="9" t="s">
        <v>37</v>
      </c>
      <c r="G1390" s="71" t="s">
        <v>38</v>
      </c>
      <c r="H1390" s="73"/>
      <c r="I1390" s="71" t="s">
        <v>42</v>
      </c>
      <c r="J1390" s="72"/>
      <c r="K1390" s="73"/>
      <c r="L1390" s="74" t="s">
        <v>17</v>
      </c>
      <c r="M1390" s="75"/>
      <c r="N1390" s="9" t="s">
        <v>13</v>
      </c>
      <c r="O1390" s="1"/>
      <c r="P1390" s="32"/>
      <c r="Q1390" s="33"/>
      <c r="R1390" s="29"/>
      <c r="S1390" s="16"/>
    </row>
    <row r="1391" spans="1:19">
      <c r="A1391" s="71"/>
      <c r="B1391" s="72"/>
      <c r="C1391" s="72"/>
      <c r="D1391" s="72"/>
      <c r="E1391" s="73"/>
      <c r="F1391" s="13"/>
      <c r="G1391" s="76"/>
      <c r="H1391" s="77"/>
      <c r="I1391" s="78"/>
      <c r="J1391" s="79"/>
      <c r="K1391" s="80"/>
      <c r="L1391" s="81"/>
      <c r="M1391" s="82"/>
      <c r="N1391" s="8"/>
      <c r="O1391" s="1"/>
      <c r="P1391" s="32"/>
      <c r="Q1391" s="33"/>
      <c r="R1391" s="29"/>
      <c r="S1391" s="16"/>
    </row>
    <row r="1392" spans="1:19">
      <c r="A1392" s="62" t="s">
        <v>19</v>
      </c>
      <c r="B1392" s="62"/>
      <c r="C1392" s="62"/>
      <c r="D1392" s="62"/>
      <c r="E1392" s="62"/>
      <c r="F1392" s="62"/>
      <c r="G1392" s="62"/>
      <c r="H1392" s="62"/>
      <c r="I1392" s="62"/>
      <c r="J1392" s="62"/>
      <c r="K1392" s="62"/>
      <c r="L1392" s="62"/>
      <c r="M1392" s="62"/>
      <c r="N1392" s="62"/>
      <c r="O1392" s="1"/>
      <c r="P1392" s="32"/>
      <c r="Q1392" s="33"/>
      <c r="R1392" s="29"/>
      <c r="S1392" s="16"/>
    </row>
    <row r="1393" spans="1:19">
      <c r="A1393" s="63" t="s">
        <v>20</v>
      </c>
      <c r="B1393" s="63"/>
      <c r="C1393" s="63" t="s">
        <v>21</v>
      </c>
      <c r="D1393" s="63"/>
      <c r="E1393" s="63" t="s">
        <v>22</v>
      </c>
      <c r="F1393" s="63"/>
      <c r="G1393" s="63" t="s">
        <v>23</v>
      </c>
      <c r="H1393" s="63"/>
      <c r="I1393" s="63"/>
      <c r="J1393" s="63" t="s">
        <v>16</v>
      </c>
      <c r="K1393" s="63"/>
      <c r="L1393" s="63"/>
      <c r="M1393" s="63" t="s">
        <v>17</v>
      </c>
      <c r="N1393" s="63"/>
      <c r="O1393" s="1"/>
      <c r="Q1393" s="32"/>
      <c r="R1393" s="33"/>
      <c r="S1393" s="16"/>
    </row>
    <row r="1394" spans="1:19">
      <c r="A1394" s="60" t="s">
        <v>24</v>
      </c>
      <c r="B1394" s="52"/>
      <c r="C1394" s="61"/>
      <c r="D1394" s="61"/>
      <c r="E1394" s="61">
        <f>C1394+E1333</f>
        <v>32</v>
      </c>
      <c r="F1394" s="61"/>
      <c r="G1394" s="60" t="s">
        <v>51</v>
      </c>
      <c r="H1394" s="51"/>
      <c r="I1394" s="52"/>
      <c r="J1394" s="61"/>
      <c r="K1394" s="61"/>
      <c r="L1394" s="61"/>
      <c r="M1394" s="61">
        <f>K1394+M1333</f>
        <v>1</v>
      </c>
      <c r="N1394" s="61"/>
      <c r="O1394" s="1"/>
      <c r="Q1394" s="32"/>
      <c r="R1394" s="33"/>
      <c r="S1394" s="16"/>
    </row>
    <row r="1395" spans="1:19">
      <c r="A1395" s="60" t="s">
        <v>25</v>
      </c>
      <c r="B1395" s="52"/>
      <c r="C1395" s="61"/>
      <c r="D1395" s="61"/>
      <c r="E1395" s="61">
        <f>C1395+E1334</f>
        <v>29</v>
      </c>
      <c r="F1395" s="61"/>
      <c r="G1395" s="60" t="s">
        <v>50</v>
      </c>
      <c r="H1395" s="51"/>
      <c r="I1395" s="52"/>
      <c r="J1395" s="61"/>
      <c r="K1395" s="61"/>
      <c r="L1395" s="61"/>
      <c r="M1395" s="61">
        <f>K1395+M1334</f>
        <v>1</v>
      </c>
      <c r="N1395" s="61"/>
      <c r="O1395" s="1"/>
      <c r="Q1395" s="32"/>
      <c r="R1395" s="33"/>
      <c r="S1395" s="16"/>
    </row>
    <row r="1396" spans="1:19">
      <c r="A1396" s="60"/>
      <c r="B1396" s="52"/>
      <c r="C1396" s="61"/>
      <c r="D1396" s="61"/>
      <c r="E1396" s="61"/>
      <c r="F1396" s="61"/>
      <c r="G1396" s="60" t="s">
        <v>55</v>
      </c>
      <c r="H1396" s="51"/>
      <c r="I1396" s="52"/>
      <c r="J1396" s="61"/>
      <c r="K1396" s="61"/>
      <c r="L1396" s="61"/>
      <c r="M1396" s="61">
        <f>K1396+M1335</f>
        <v>0</v>
      </c>
      <c r="N1396" s="61"/>
      <c r="O1396" s="2"/>
      <c r="P1396" s="29"/>
      <c r="Q1396" s="32"/>
      <c r="R1396" s="33"/>
      <c r="S1396" s="16"/>
    </row>
    <row r="1397" spans="1:19">
      <c r="A1397" s="53" t="s">
        <v>53</v>
      </c>
      <c r="B1397" s="47"/>
      <c r="C1397" s="53"/>
      <c r="D1397" s="53"/>
      <c r="E1397" s="53"/>
      <c r="F1397" s="53"/>
      <c r="G1397" s="53"/>
      <c r="H1397" s="53"/>
      <c r="I1397" s="53"/>
      <c r="J1397" s="53"/>
      <c r="K1397" s="53"/>
      <c r="L1397" s="53"/>
      <c r="M1397" s="53"/>
      <c r="N1397" s="53"/>
      <c r="O1397" s="1"/>
      <c r="P1397" s="32"/>
      <c r="Q1397" s="32"/>
      <c r="R1397" s="33"/>
      <c r="S1397" s="16"/>
    </row>
    <row r="1398" spans="1:19">
      <c r="A1398" s="45" t="s">
        <v>56</v>
      </c>
      <c r="B1398" s="46"/>
      <c r="C1398" s="46"/>
      <c r="D1398" s="46"/>
      <c r="E1398" s="46"/>
      <c r="F1398" s="46"/>
      <c r="G1398" s="46"/>
      <c r="H1398" s="46"/>
      <c r="I1398" s="46"/>
      <c r="J1398" s="46"/>
      <c r="K1398" s="46"/>
      <c r="L1398" s="46"/>
      <c r="M1398" s="46"/>
      <c r="N1398" s="47"/>
      <c r="O1398" s="1"/>
      <c r="P1398" s="32"/>
      <c r="Q1398" s="34"/>
      <c r="R1398" s="33"/>
      <c r="S1398" s="16"/>
    </row>
    <row r="1399" spans="1:19">
      <c r="A1399" s="54" t="s">
        <v>54</v>
      </c>
      <c r="B1399" s="55"/>
      <c r="C1399" s="55"/>
      <c r="D1399" s="55"/>
      <c r="E1399" s="55"/>
      <c r="F1399" s="55"/>
      <c r="G1399" s="55"/>
      <c r="H1399" s="55"/>
      <c r="I1399" s="55"/>
      <c r="J1399" s="55"/>
      <c r="K1399" s="55"/>
      <c r="L1399" s="55"/>
      <c r="M1399" s="55"/>
      <c r="N1399" s="56"/>
      <c r="O1399" s="1"/>
      <c r="P1399" s="32"/>
      <c r="Q1399" s="32"/>
      <c r="R1399" s="33"/>
      <c r="S1399" s="16"/>
    </row>
    <row r="1400" spans="1:19">
      <c r="A1400" s="40" t="s">
        <v>26</v>
      </c>
      <c r="B1400" s="41"/>
      <c r="C1400" s="40"/>
      <c r="D1400" s="40"/>
      <c r="E1400" s="40"/>
      <c r="F1400" s="40"/>
      <c r="G1400" s="40"/>
      <c r="H1400" s="40"/>
      <c r="I1400" s="40"/>
      <c r="J1400" s="40"/>
      <c r="K1400" s="40"/>
      <c r="L1400" s="40"/>
      <c r="M1400" s="40"/>
      <c r="N1400" s="40"/>
      <c r="O1400" s="1"/>
      <c r="P1400" s="32"/>
      <c r="Q1400" s="32"/>
      <c r="R1400" s="33"/>
      <c r="S1400" s="16"/>
    </row>
    <row r="1401" spans="1:19">
      <c r="A1401" s="57" t="s">
        <v>27</v>
      </c>
      <c r="B1401" s="58"/>
      <c r="C1401" s="58"/>
      <c r="D1401" s="58"/>
      <c r="E1401" s="58"/>
      <c r="F1401" s="58"/>
      <c r="G1401" s="58"/>
      <c r="H1401" s="58"/>
      <c r="I1401" s="58"/>
      <c r="J1401" s="58"/>
      <c r="K1401" s="58"/>
      <c r="L1401" s="58"/>
      <c r="M1401" s="58"/>
      <c r="N1401" s="59"/>
      <c r="O1401" s="1"/>
      <c r="P1401" s="34"/>
      <c r="Q1401" s="34"/>
      <c r="R1401" s="33"/>
      <c r="S1401" s="16"/>
    </row>
    <row r="1402" spans="1:19">
      <c r="A1402" s="57" t="s">
        <v>57</v>
      </c>
      <c r="B1402" s="58"/>
      <c r="C1402" s="58"/>
      <c r="D1402" s="58"/>
      <c r="E1402" s="58"/>
      <c r="F1402" s="58"/>
      <c r="G1402" s="58"/>
      <c r="H1402" s="58"/>
      <c r="I1402" s="58"/>
      <c r="J1402" s="58"/>
      <c r="K1402" s="58"/>
      <c r="L1402" s="58"/>
      <c r="M1402" s="58"/>
      <c r="N1402" s="59"/>
      <c r="O1402" s="1"/>
      <c r="P1402" s="32"/>
      <c r="Q1402" s="32"/>
      <c r="R1402" s="33"/>
      <c r="S1402" s="16"/>
    </row>
    <row r="1403" spans="1:19">
      <c r="A1403" s="57" t="s">
        <v>58</v>
      </c>
      <c r="B1403" s="58"/>
      <c r="C1403" s="58"/>
      <c r="D1403" s="58"/>
      <c r="E1403" s="58"/>
      <c r="F1403" s="58"/>
      <c r="G1403" s="58"/>
      <c r="H1403" s="58"/>
      <c r="I1403" s="58"/>
      <c r="J1403" s="58"/>
      <c r="K1403" s="58"/>
      <c r="L1403" s="58"/>
      <c r="M1403" s="58"/>
      <c r="N1403" s="59"/>
      <c r="O1403" s="1"/>
      <c r="P1403" s="32"/>
      <c r="Q1403" s="32"/>
      <c r="R1403" s="33"/>
      <c r="S1403" s="16"/>
    </row>
    <row r="1404" spans="1:19">
      <c r="A1404" s="57" t="s">
        <v>59</v>
      </c>
      <c r="B1404" s="58"/>
      <c r="C1404" s="58"/>
      <c r="D1404" s="58"/>
      <c r="E1404" s="58"/>
      <c r="F1404" s="58"/>
      <c r="G1404" s="58"/>
      <c r="H1404" s="58"/>
      <c r="I1404" s="58"/>
      <c r="J1404" s="58"/>
      <c r="K1404" s="58"/>
      <c r="L1404" s="58"/>
      <c r="M1404" s="58"/>
      <c r="N1404" s="59"/>
      <c r="O1404" s="1"/>
      <c r="P1404" s="32"/>
      <c r="Q1404" s="34"/>
      <c r="R1404" s="33"/>
      <c r="S1404" s="16"/>
    </row>
    <row r="1405" spans="1:19">
      <c r="A1405" s="57" t="s">
        <v>28</v>
      </c>
      <c r="B1405" s="58"/>
      <c r="C1405" s="58"/>
      <c r="D1405" s="58"/>
      <c r="E1405" s="58"/>
      <c r="F1405" s="58"/>
      <c r="G1405" s="58"/>
      <c r="H1405" s="58"/>
      <c r="I1405" s="58"/>
      <c r="J1405" s="58"/>
      <c r="K1405" s="58"/>
      <c r="L1405" s="58"/>
      <c r="M1405" s="58"/>
      <c r="N1405" s="59"/>
      <c r="O1405" s="1"/>
      <c r="P1405" s="34"/>
      <c r="Q1405" s="32"/>
      <c r="R1405" s="33"/>
      <c r="S1405" s="16"/>
    </row>
    <row r="1406" spans="1:19">
      <c r="A1406" s="40" t="s">
        <v>29</v>
      </c>
      <c r="B1406" s="41"/>
      <c r="C1406" s="40"/>
      <c r="D1406" s="40"/>
      <c r="E1406" s="40"/>
      <c r="F1406" s="40"/>
      <c r="G1406" s="40"/>
      <c r="H1406" s="40"/>
      <c r="I1406" s="40"/>
      <c r="J1406" s="40"/>
      <c r="K1406" s="40"/>
      <c r="L1406" s="40"/>
      <c r="M1406" s="40"/>
      <c r="N1406" s="40"/>
      <c r="O1406" s="1"/>
      <c r="P1406" s="32"/>
      <c r="Q1406" s="32"/>
      <c r="R1406" s="33"/>
      <c r="S1406" s="16"/>
    </row>
    <row r="1407" spans="1:19">
      <c r="A1407" s="42"/>
      <c r="B1407" s="43"/>
      <c r="C1407" s="43"/>
      <c r="D1407" s="43"/>
      <c r="E1407" s="43"/>
      <c r="F1407" s="43"/>
      <c r="G1407" s="43"/>
      <c r="H1407" s="43"/>
      <c r="I1407" s="43"/>
      <c r="J1407" s="43"/>
      <c r="K1407" s="43"/>
      <c r="L1407" s="43"/>
      <c r="M1407" s="43"/>
      <c r="N1407" s="44"/>
      <c r="O1407" s="1"/>
      <c r="P1407" s="32"/>
      <c r="Q1407" s="32"/>
      <c r="R1407" s="33"/>
      <c r="S1407" s="16"/>
    </row>
    <row r="1408" spans="1:19">
      <c r="A1408" s="40" t="s">
        <v>30</v>
      </c>
      <c r="B1408" s="41"/>
      <c r="C1408" s="40"/>
      <c r="D1408" s="40"/>
      <c r="E1408" s="40"/>
      <c r="F1408" s="40"/>
      <c r="G1408" s="40"/>
      <c r="H1408" s="40"/>
      <c r="I1408" s="40"/>
      <c r="J1408" s="40"/>
      <c r="K1408" s="40"/>
      <c r="L1408" s="40"/>
      <c r="M1408" s="40"/>
      <c r="N1408" s="40"/>
      <c r="O1408" s="1"/>
      <c r="P1408" s="32"/>
      <c r="Q1408" s="32"/>
      <c r="R1408" s="33"/>
      <c r="S1408" s="16"/>
    </row>
    <row r="1409" spans="1:19">
      <c r="A1409" s="42"/>
      <c r="B1409" s="43"/>
      <c r="C1409" s="43"/>
      <c r="D1409" s="43"/>
      <c r="E1409" s="43"/>
      <c r="F1409" s="43"/>
      <c r="G1409" s="43"/>
      <c r="H1409" s="43"/>
      <c r="I1409" s="43"/>
      <c r="J1409" s="43"/>
      <c r="K1409" s="43"/>
      <c r="L1409" s="43"/>
      <c r="M1409" s="43"/>
      <c r="N1409" s="44"/>
      <c r="O1409" s="1"/>
      <c r="P1409" s="32"/>
      <c r="Q1409" s="32"/>
      <c r="R1409" s="33"/>
      <c r="S1409" s="16"/>
    </row>
    <row r="1410" spans="1:19">
      <c r="A1410" s="40" t="s">
        <v>97</v>
      </c>
      <c r="B1410" s="41"/>
      <c r="C1410" s="40"/>
      <c r="D1410" s="40"/>
      <c r="E1410" s="40"/>
      <c r="F1410" s="40"/>
      <c r="G1410" s="40"/>
      <c r="H1410" s="40"/>
      <c r="I1410" s="40"/>
      <c r="J1410" s="40"/>
      <c r="K1410" s="40"/>
      <c r="L1410" s="40"/>
      <c r="M1410" s="40"/>
      <c r="N1410" s="40"/>
      <c r="O1410" s="1"/>
      <c r="P1410" s="32"/>
      <c r="Q1410" s="32"/>
      <c r="R1410" s="33"/>
      <c r="S1410" s="17"/>
    </row>
    <row r="1411" spans="1:19">
      <c r="A1411" s="45"/>
      <c r="B1411" s="46"/>
      <c r="C1411" s="46"/>
      <c r="D1411" s="46"/>
      <c r="E1411" s="46"/>
      <c r="F1411" s="46"/>
      <c r="G1411" s="46"/>
      <c r="H1411" s="46"/>
      <c r="I1411" s="46"/>
      <c r="J1411" s="46"/>
      <c r="K1411" s="46"/>
      <c r="L1411" s="46"/>
      <c r="M1411" s="46"/>
      <c r="N1411" s="47"/>
      <c r="O1411" s="1"/>
      <c r="P1411" s="32"/>
      <c r="Q1411" s="32"/>
      <c r="R1411" s="33"/>
      <c r="S1411" s="1"/>
    </row>
    <row r="1412" spans="1:19">
      <c r="A1412" s="48" t="s">
        <v>41</v>
      </c>
      <c r="B1412" s="49"/>
      <c r="C1412" s="50"/>
      <c r="D1412" s="50"/>
      <c r="E1412" s="50"/>
      <c r="F1412" s="50"/>
      <c r="G1412" s="50"/>
      <c r="H1412" s="51"/>
      <c r="I1412" s="51"/>
      <c r="J1412" s="51"/>
      <c r="K1412" s="51"/>
      <c r="L1412" s="51"/>
      <c r="M1412" s="51"/>
      <c r="N1412" s="52"/>
      <c r="O1412" s="1"/>
      <c r="P1412" s="32"/>
      <c r="Q1412" s="32"/>
      <c r="R1412" s="33"/>
      <c r="S1412" s="1"/>
    </row>
    <row r="1413" spans="1:19" ht="28.2">
      <c r="A1413" s="1" t="s">
        <v>45</v>
      </c>
      <c r="B1413" s="7">
        <f>B1352+1</f>
        <v>24</v>
      </c>
      <c r="C1413" s="5"/>
      <c r="D1413" s="5"/>
      <c r="E1413" s="5"/>
      <c r="F1413" s="5"/>
      <c r="G1413" s="5"/>
      <c r="H1413" s="5"/>
      <c r="I1413" s="5"/>
      <c r="J1413" s="5"/>
      <c r="K1413" s="5"/>
      <c r="L1413" s="5"/>
      <c r="M1413" s="5"/>
      <c r="N1413" s="5"/>
      <c r="O1413" s="1"/>
      <c r="P1413" s="32"/>
      <c r="Q1413" s="33"/>
      <c r="R1413" s="29"/>
    </row>
    <row r="1414" spans="1:19">
      <c r="A1414" s="1" t="s">
        <v>46</v>
      </c>
      <c r="B1414" s="1" t="s">
        <v>1</v>
      </c>
      <c r="C1414" s="1" t="s">
        <v>2</v>
      </c>
      <c r="D1414" s="1" t="s">
        <v>3</v>
      </c>
      <c r="E1414" s="1" t="s">
        <v>2</v>
      </c>
      <c r="F1414" s="1"/>
      <c r="G1414" s="1"/>
      <c r="H1414" s="112" t="s">
        <v>4</v>
      </c>
      <c r="I1414" s="112"/>
      <c r="J1414" s="113">
        <f>J1353+1</f>
        <v>46235</v>
      </c>
      <c r="K1414" s="113"/>
      <c r="L1414" s="113"/>
      <c r="M1414" s="114">
        <f>J1414</f>
        <v>46235</v>
      </c>
      <c r="N1414" s="114"/>
      <c r="O1414" s="1"/>
      <c r="P1414" s="32"/>
      <c r="Q1414" s="33"/>
      <c r="R1414" s="29"/>
    </row>
    <row r="1415" spans="1:19">
      <c r="A1415" s="8" t="s">
        <v>5</v>
      </c>
      <c r="B1415" s="115">
        <f>B1346</f>
        <v>0</v>
      </c>
      <c r="C1415" s="116"/>
      <c r="D1415" s="116"/>
      <c r="E1415" s="116"/>
      <c r="F1415" s="116"/>
      <c r="G1415" s="117"/>
      <c r="H1415" s="63" t="s">
        <v>6</v>
      </c>
      <c r="I1415" s="63"/>
      <c r="J1415" s="63"/>
      <c r="K1415" s="63" t="s">
        <v>52</v>
      </c>
      <c r="L1415" s="63"/>
      <c r="M1415" s="63"/>
      <c r="N1415" s="63"/>
      <c r="O1415" s="1"/>
      <c r="P1415" s="32"/>
      <c r="Q1415" s="33"/>
      <c r="R1415" s="29"/>
    </row>
    <row r="1416" spans="1:19">
      <c r="A1416" s="8" t="s">
        <v>32</v>
      </c>
      <c r="B1416" s="10">
        <v>60</v>
      </c>
      <c r="C1416" s="11" t="s">
        <v>43</v>
      </c>
      <c r="D1416" s="71" t="s">
        <v>7</v>
      </c>
      <c r="E1416" s="73"/>
      <c r="F1416" s="10">
        <f>F1355+1</f>
        <v>24</v>
      </c>
      <c r="G1416" s="11" t="s">
        <v>8</v>
      </c>
      <c r="H1416" s="9" t="s">
        <v>9</v>
      </c>
      <c r="I1416" s="10">
        <f>B1416-F1416</f>
        <v>36</v>
      </c>
      <c r="J1416" s="11" t="s">
        <v>8</v>
      </c>
      <c r="K1416" s="118" t="s">
        <v>33</v>
      </c>
      <c r="L1416" s="119"/>
      <c r="M1416" s="12"/>
      <c r="N1416" s="11" t="s">
        <v>8</v>
      </c>
      <c r="O1416" s="1"/>
      <c r="P1416" s="34"/>
      <c r="Q1416" s="33"/>
      <c r="R1416" s="29"/>
    </row>
    <row r="1417" spans="1:19">
      <c r="A1417" s="71" t="s">
        <v>34</v>
      </c>
      <c r="B1417" s="72"/>
      <c r="C1417" s="73"/>
      <c r="D1417" s="120">
        <v>46212</v>
      </c>
      <c r="E1417" s="121"/>
      <c r="F1417" s="121"/>
      <c r="G1417" s="122"/>
      <c r="H1417" s="71" t="s">
        <v>35</v>
      </c>
      <c r="I1417" s="72"/>
      <c r="J1417" s="73"/>
      <c r="K1417" s="120">
        <f>D1417+59</f>
        <v>46271</v>
      </c>
      <c r="L1417" s="121"/>
      <c r="M1417" s="121"/>
      <c r="N1417" s="122"/>
      <c r="O1417" s="1"/>
      <c r="P1417" s="32"/>
      <c r="Q1417" s="33"/>
      <c r="R1417" s="29"/>
    </row>
    <row r="1418" spans="1:19">
      <c r="A1418" s="92" t="s">
        <v>10</v>
      </c>
      <c r="B1418" s="93"/>
      <c r="C1418" s="94"/>
      <c r="D1418" s="98">
        <f>D1357+0.0579/5</f>
        <v>0.10832000000000003</v>
      </c>
      <c r="E1418" s="99"/>
      <c r="F1418" s="99"/>
      <c r="G1418" s="100"/>
      <c r="H1418" s="104" t="s">
        <v>36</v>
      </c>
      <c r="I1418" s="105"/>
      <c r="J1418" s="106"/>
      <c r="K1418" s="110">
        <f>R1449</f>
        <v>0.14786595928238083</v>
      </c>
      <c r="L1418" s="105"/>
      <c r="M1418" s="105"/>
      <c r="N1418" s="106"/>
      <c r="O1418" s="1"/>
      <c r="P1418" s="32"/>
      <c r="Q1418" s="33"/>
      <c r="R1418" s="29"/>
    </row>
    <row r="1419" spans="1:19">
      <c r="A1419" s="95"/>
      <c r="B1419" s="96"/>
      <c r="C1419" s="97"/>
      <c r="D1419" s="101"/>
      <c r="E1419" s="102"/>
      <c r="F1419" s="102"/>
      <c r="G1419" s="103"/>
      <c r="H1419" s="107"/>
      <c r="I1419" s="108"/>
      <c r="J1419" s="109"/>
      <c r="K1419" s="107"/>
      <c r="L1419" s="108"/>
      <c r="M1419" s="108"/>
      <c r="N1419" s="109"/>
      <c r="O1419" s="1"/>
      <c r="P1419" s="32"/>
      <c r="Q1419" s="33"/>
      <c r="R1419" s="29"/>
    </row>
    <row r="1420" spans="1:19">
      <c r="A1420" s="62" t="s">
        <v>11</v>
      </c>
      <c r="B1420" s="62"/>
      <c r="C1420" s="62"/>
      <c r="D1420" s="62"/>
      <c r="E1420" s="62"/>
      <c r="F1420" s="62"/>
      <c r="G1420" s="62"/>
      <c r="H1420" s="62"/>
      <c r="I1420" s="62"/>
      <c r="J1420" s="62"/>
      <c r="K1420" s="62"/>
      <c r="L1420" s="62"/>
      <c r="M1420" s="62"/>
      <c r="N1420" s="62"/>
      <c r="O1420" s="1"/>
      <c r="P1420" s="32"/>
      <c r="Q1420" s="33"/>
      <c r="R1420" s="29"/>
    </row>
    <row r="1421" spans="1:19">
      <c r="A1421" s="111" t="s">
        <v>12</v>
      </c>
      <c r="B1421" s="111"/>
      <c r="C1421" s="111"/>
      <c r="D1421" s="111"/>
      <c r="E1421" s="111"/>
      <c r="F1421" s="14" t="s">
        <v>37</v>
      </c>
      <c r="G1421" s="111" t="s">
        <v>38</v>
      </c>
      <c r="H1421" s="111"/>
      <c r="I1421" s="63" t="s">
        <v>39</v>
      </c>
      <c r="J1421" s="63"/>
      <c r="K1421" s="63"/>
      <c r="L1421" s="63" t="s">
        <v>40</v>
      </c>
      <c r="M1421" s="63"/>
      <c r="N1421" s="9" t="s">
        <v>13</v>
      </c>
      <c r="O1421" s="1"/>
      <c r="P1421" s="28" t="s">
        <v>47</v>
      </c>
      <c r="Q1421" s="29" t="s">
        <v>48</v>
      </c>
      <c r="R1421" s="29" t="s">
        <v>49</v>
      </c>
    </row>
    <row r="1422" spans="1:19">
      <c r="A1422" s="83" t="s">
        <v>67</v>
      </c>
      <c r="B1422" s="84"/>
      <c r="C1422" s="84"/>
      <c r="D1422" s="84"/>
      <c r="E1422" s="85"/>
      <c r="F1422" s="27" t="s">
        <v>60</v>
      </c>
      <c r="G1422" s="67">
        <v>1</v>
      </c>
      <c r="H1422" s="68"/>
      <c r="I1422" s="86"/>
      <c r="J1422" s="87"/>
      <c r="K1422" s="88"/>
      <c r="L1422" s="69">
        <f>I1422+L1361</f>
        <v>1</v>
      </c>
      <c r="M1422" s="70"/>
      <c r="N1422" s="8"/>
      <c r="O1422" s="1"/>
      <c r="P1422" s="30">
        <v>6000</v>
      </c>
      <c r="Q1422" s="38">
        <f>P1422*G1422</f>
        <v>6000</v>
      </c>
      <c r="R1422" s="28">
        <f>L1422*P1422</f>
        <v>6000</v>
      </c>
    </row>
    <row r="1423" spans="1:19">
      <c r="A1423" s="83" t="s">
        <v>68</v>
      </c>
      <c r="B1423" s="84"/>
      <c r="C1423" s="84"/>
      <c r="D1423" s="84"/>
      <c r="E1423" s="85"/>
      <c r="F1423" s="20" t="s">
        <v>60</v>
      </c>
      <c r="G1423" s="67">
        <v>1</v>
      </c>
      <c r="H1423" s="68"/>
      <c r="I1423" s="87"/>
      <c r="J1423" s="87"/>
      <c r="K1423" s="88"/>
      <c r="L1423" s="69">
        <f t="shared" ref="L1423:L1447" si="74">I1423+L1362</f>
        <v>1</v>
      </c>
      <c r="M1423" s="70"/>
      <c r="N1423" s="8"/>
      <c r="O1423" s="1"/>
      <c r="P1423" s="30">
        <v>193300</v>
      </c>
      <c r="Q1423" s="38">
        <f t="shared" ref="Q1423:Q1447" si="75">P1423*G1423</f>
        <v>193300</v>
      </c>
      <c r="R1423" s="28">
        <f>L1423*P1423</f>
        <v>193300</v>
      </c>
    </row>
    <row r="1424" spans="1:19">
      <c r="A1424" s="89" t="s">
        <v>69</v>
      </c>
      <c r="B1424" s="90"/>
      <c r="C1424" s="90"/>
      <c r="D1424" s="90"/>
      <c r="E1424" s="91"/>
      <c r="F1424" s="20" t="s">
        <v>60</v>
      </c>
      <c r="G1424" s="67">
        <v>1</v>
      </c>
      <c r="H1424" s="68"/>
      <c r="I1424" s="87"/>
      <c r="J1424" s="87"/>
      <c r="K1424" s="88"/>
      <c r="L1424" s="69">
        <f t="shared" si="74"/>
        <v>0.5</v>
      </c>
      <c r="M1424" s="70"/>
      <c r="N1424" s="8"/>
      <c r="O1424" s="1"/>
      <c r="P1424" s="30">
        <v>30000</v>
      </c>
      <c r="Q1424" s="38">
        <f t="shared" si="75"/>
        <v>30000</v>
      </c>
      <c r="R1424" s="28">
        <f>L1424*P1424</f>
        <v>15000</v>
      </c>
    </row>
    <row r="1425" spans="1:18">
      <c r="A1425" s="64" t="s">
        <v>70</v>
      </c>
      <c r="B1425" s="65"/>
      <c r="C1425" s="65"/>
      <c r="D1425" s="65"/>
      <c r="E1425" s="66"/>
      <c r="F1425" s="20" t="s">
        <v>60</v>
      </c>
      <c r="G1425" s="67">
        <v>1</v>
      </c>
      <c r="H1425" s="68"/>
      <c r="I1425" s="87"/>
      <c r="J1425" s="87"/>
      <c r="K1425" s="88"/>
      <c r="L1425" s="69">
        <f t="shared" si="74"/>
        <v>1</v>
      </c>
      <c r="M1425" s="70"/>
      <c r="N1425" s="8"/>
      <c r="O1425" s="1"/>
      <c r="P1425" s="31">
        <v>10000</v>
      </c>
      <c r="Q1425" s="38">
        <f t="shared" si="75"/>
        <v>10000</v>
      </c>
      <c r="R1425" s="28">
        <f t="shared" ref="R1425:R1447" si="76">L1425*P1425</f>
        <v>10000</v>
      </c>
    </row>
    <row r="1426" spans="1:18">
      <c r="A1426" s="64" t="s">
        <v>71</v>
      </c>
      <c r="B1426" s="65"/>
      <c r="C1426" s="65"/>
      <c r="D1426" s="65"/>
      <c r="E1426" s="66"/>
      <c r="F1426" s="20" t="s">
        <v>61</v>
      </c>
      <c r="G1426" s="67">
        <v>9</v>
      </c>
      <c r="H1426" s="68"/>
      <c r="I1426" s="87"/>
      <c r="J1426" s="87"/>
      <c r="K1426" s="88"/>
      <c r="L1426" s="69">
        <f t="shared" si="74"/>
        <v>9</v>
      </c>
      <c r="M1426" s="70"/>
      <c r="N1426" s="8"/>
      <c r="O1426" s="1"/>
      <c r="P1426" s="30">
        <v>21000</v>
      </c>
      <c r="Q1426" s="38">
        <f t="shared" si="75"/>
        <v>189000</v>
      </c>
      <c r="R1426" s="28">
        <f t="shared" si="76"/>
        <v>189000</v>
      </c>
    </row>
    <row r="1427" spans="1:18">
      <c r="A1427" s="64" t="s">
        <v>72</v>
      </c>
      <c r="B1427" s="65"/>
      <c r="C1427" s="65"/>
      <c r="D1427" s="65"/>
      <c r="E1427" s="66"/>
      <c r="F1427" s="2" t="s">
        <v>60</v>
      </c>
      <c r="G1427" s="67">
        <v>1</v>
      </c>
      <c r="H1427" s="68"/>
      <c r="I1427" s="87"/>
      <c r="J1427" s="87"/>
      <c r="K1427" s="88"/>
      <c r="L1427" s="69">
        <f t="shared" si="74"/>
        <v>0</v>
      </c>
      <c r="M1427" s="70"/>
      <c r="N1427" s="8"/>
      <c r="O1427" s="1"/>
      <c r="P1427" s="30">
        <v>184468</v>
      </c>
      <c r="Q1427" s="38">
        <f t="shared" si="75"/>
        <v>184468</v>
      </c>
      <c r="R1427" s="28">
        <f t="shared" si="76"/>
        <v>0</v>
      </c>
    </row>
    <row r="1428" spans="1:18">
      <c r="A1428" s="83" t="s">
        <v>73</v>
      </c>
      <c r="B1428" s="84"/>
      <c r="C1428" s="84"/>
      <c r="D1428" s="84"/>
      <c r="E1428" s="85"/>
      <c r="F1428" s="20" t="s">
        <v>62</v>
      </c>
      <c r="G1428" s="67">
        <v>9</v>
      </c>
      <c r="H1428" s="68"/>
      <c r="I1428" s="87"/>
      <c r="J1428" s="87"/>
      <c r="K1428" s="88"/>
      <c r="L1428" s="69">
        <f t="shared" si="74"/>
        <v>0</v>
      </c>
      <c r="M1428" s="70"/>
      <c r="N1428" s="8"/>
      <c r="O1428" s="1"/>
      <c r="P1428" s="30">
        <v>20000</v>
      </c>
      <c r="Q1428" s="38">
        <f t="shared" si="75"/>
        <v>180000</v>
      </c>
      <c r="R1428" s="28">
        <f t="shared" si="76"/>
        <v>0</v>
      </c>
    </row>
    <row r="1429" spans="1:18">
      <c r="A1429" s="83" t="s">
        <v>74</v>
      </c>
      <c r="B1429" s="84"/>
      <c r="C1429" s="84"/>
      <c r="D1429" s="84"/>
      <c r="E1429" s="85"/>
      <c r="F1429" s="20" t="s">
        <v>63</v>
      </c>
      <c r="G1429" s="67">
        <v>52</v>
      </c>
      <c r="H1429" s="68"/>
      <c r="I1429" s="87"/>
      <c r="J1429" s="87"/>
      <c r="K1429" s="88"/>
      <c r="L1429" s="69">
        <f t="shared" si="74"/>
        <v>52</v>
      </c>
      <c r="M1429" s="70"/>
      <c r="N1429" s="8"/>
      <c r="O1429" s="1"/>
      <c r="P1429" s="31">
        <v>2500</v>
      </c>
      <c r="Q1429" s="38">
        <f t="shared" si="75"/>
        <v>130000</v>
      </c>
      <c r="R1429" s="28">
        <f t="shared" si="76"/>
        <v>130000</v>
      </c>
    </row>
    <row r="1430" spans="1:18">
      <c r="A1430" s="83" t="s">
        <v>75</v>
      </c>
      <c r="B1430" s="84"/>
      <c r="C1430" s="84"/>
      <c r="D1430" s="84"/>
      <c r="E1430" s="85"/>
      <c r="F1430" s="20" t="s">
        <v>64</v>
      </c>
      <c r="G1430" s="67">
        <v>1</v>
      </c>
      <c r="H1430" s="68"/>
      <c r="I1430" s="87"/>
      <c r="J1430" s="87"/>
      <c r="K1430" s="88"/>
      <c r="L1430" s="69">
        <f t="shared" si="74"/>
        <v>0</v>
      </c>
      <c r="M1430" s="70"/>
      <c r="N1430" s="8"/>
      <c r="O1430" s="1"/>
      <c r="P1430" s="30">
        <v>80000</v>
      </c>
      <c r="Q1430" s="38">
        <f t="shared" si="75"/>
        <v>80000</v>
      </c>
      <c r="R1430" s="28">
        <f t="shared" si="76"/>
        <v>0</v>
      </c>
    </row>
    <row r="1431" spans="1:18">
      <c r="A1431" s="89" t="s">
        <v>76</v>
      </c>
      <c r="B1431" s="90"/>
      <c r="C1431" s="90"/>
      <c r="D1431" s="90"/>
      <c r="E1431" s="91"/>
      <c r="F1431" s="20" t="s">
        <v>65</v>
      </c>
      <c r="G1431" s="67">
        <v>31</v>
      </c>
      <c r="H1431" s="68"/>
      <c r="I1431" s="87"/>
      <c r="J1431" s="87"/>
      <c r="K1431" s="88"/>
      <c r="L1431" s="69">
        <f t="shared" si="74"/>
        <v>31</v>
      </c>
      <c r="M1431" s="70"/>
      <c r="N1431" s="8"/>
      <c r="O1431" s="1"/>
      <c r="P1431" s="30">
        <v>400</v>
      </c>
      <c r="Q1431" s="38">
        <f t="shared" si="75"/>
        <v>12400</v>
      </c>
      <c r="R1431" s="28">
        <f t="shared" si="76"/>
        <v>12400</v>
      </c>
    </row>
    <row r="1432" spans="1:18">
      <c r="A1432" s="64" t="s">
        <v>77</v>
      </c>
      <c r="B1432" s="65"/>
      <c r="C1432" s="65"/>
      <c r="D1432" s="65"/>
      <c r="E1432" s="66"/>
      <c r="F1432" s="20" t="s">
        <v>65</v>
      </c>
      <c r="G1432" s="67">
        <v>100</v>
      </c>
      <c r="H1432" s="68"/>
      <c r="I1432" s="87"/>
      <c r="J1432" s="87"/>
      <c r="K1432" s="88"/>
      <c r="L1432" s="69">
        <f t="shared" si="74"/>
        <v>0</v>
      </c>
      <c r="M1432" s="70"/>
      <c r="N1432" s="8"/>
      <c r="O1432" s="1"/>
      <c r="P1432" s="30">
        <v>350</v>
      </c>
      <c r="Q1432" s="38">
        <f t="shared" si="75"/>
        <v>35000</v>
      </c>
      <c r="R1432" s="28">
        <f t="shared" si="76"/>
        <v>0</v>
      </c>
    </row>
    <row r="1433" spans="1:18">
      <c r="A1433" s="64" t="s">
        <v>78</v>
      </c>
      <c r="B1433" s="65"/>
      <c r="C1433" s="65"/>
      <c r="D1433" s="65"/>
      <c r="E1433" s="66"/>
      <c r="F1433" s="20" t="s">
        <v>63</v>
      </c>
      <c r="G1433" s="67">
        <v>35</v>
      </c>
      <c r="H1433" s="68"/>
      <c r="I1433" s="87"/>
      <c r="J1433" s="87"/>
      <c r="K1433" s="88"/>
      <c r="L1433" s="69">
        <f t="shared" si="74"/>
        <v>0</v>
      </c>
      <c r="M1433" s="70"/>
      <c r="N1433" s="8"/>
      <c r="O1433" s="1"/>
      <c r="P1433" s="30">
        <v>1200</v>
      </c>
      <c r="Q1433" s="38">
        <f t="shared" si="75"/>
        <v>42000</v>
      </c>
      <c r="R1433" s="28">
        <f t="shared" si="76"/>
        <v>0</v>
      </c>
    </row>
    <row r="1434" spans="1:18">
      <c r="A1434" s="64" t="s">
        <v>79</v>
      </c>
      <c r="B1434" s="65"/>
      <c r="C1434" s="65"/>
      <c r="D1434" s="65"/>
      <c r="E1434" s="66"/>
      <c r="F1434" s="20" t="s">
        <v>63</v>
      </c>
      <c r="G1434" s="67">
        <v>282</v>
      </c>
      <c r="H1434" s="68"/>
      <c r="I1434" s="86"/>
      <c r="J1434" s="87"/>
      <c r="K1434" s="88"/>
      <c r="L1434" s="69">
        <f t="shared" si="74"/>
        <v>60</v>
      </c>
      <c r="M1434" s="70"/>
      <c r="N1434" s="8"/>
      <c r="O1434" s="1"/>
      <c r="P1434" s="30">
        <v>1400</v>
      </c>
      <c r="Q1434" s="38">
        <f t="shared" si="75"/>
        <v>394800</v>
      </c>
      <c r="R1434" s="28">
        <f t="shared" si="76"/>
        <v>84000</v>
      </c>
    </row>
    <row r="1435" spans="1:18">
      <c r="A1435" s="83" t="s">
        <v>80</v>
      </c>
      <c r="B1435" s="84"/>
      <c r="C1435" s="84"/>
      <c r="D1435" s="84"/>
      <c r="E1435" s="85"/>
      <c r="F1435" s="21" t="s">
        <v>65</v>
      </c>
      <c r="G1435" s="67">
        <v>58</v>
      </c>
      <c r="H1435" s="68"/>
      <c r="I1435" s="86"/>
      <c r="J1435" s="87"/>
      <c r="K1435" s="88"/>
      <c r="L1435" s="69">
        <f t="shared" si="74"/>
        <v>0</v>
      </c>
      <c r="M1435" s="70"/>
      <c r="N1435" s="8"/>
      <c r="O1435" s="1"/>
      <c r="P1435" s="30">
        <v>3600</v>
      </c>
      <c r="Q1435" s="38">
        <f t="shared" si="75"/>
        <v>208800</v>
      </c>
      <c r="R1435" s="28">
        <f t="shared" si="76"/>
        <v>0</v>
      </c>
    </row>
    <row r="1436" spans="1:18">
      <c r="A1436" s="83" t="s">
        <v>81</v>
      </c>
      <c r="B1436" s="84"/>
      <c r="C1436" s="84"/>
      <c r="D1436" s="84"/>
      <c r="E1436" s="85"/>
      <c r="F1436" s="21" t="s">
        <v>65</v>
      </c>
      <c r="G1436" s="67">
        <v>360</v>
      </c>
      <c r="H1436" s="68"/>
      <c r="I1436" s="86"/>
      <c r="J1436" s="87"/>
      <c r="K1436" s="88"/>
      <c r="L1436" s="69">
        <f t="shared" si="74"/>
        <v>0</v>
      </c>
      <c r="M1436" s="70"/>
      <c r="N1436" s="8"/>
      <c r="O1436" s="1"/>
      <c r="P1436" s="30">
        <v>230</v>
      </c>
      <c r="Q1436" s="38">
        <f t="shared" si="75"/>
        <v>82800</v>
      </c>
      <c r="R1436" s="28">
        <f t="shared" si="76"/>
        <v>0</v>
      </c>
    </row>
    <row r="1437" spans="1:18">
      <c r="A1437" s="83" t="s">
        <v>82</v>
      </c>
      <c r="B1437" s="84"/>
      <c r="C1437" s="84"/>
      <c r="D1437" s="84"/>
      <c r="E1437" s="85"/>
      <c r="F1437" s="21" t="s">
        <v>65</v>
      </c>
      <c r="G1437" s="67">
        <v>2400</v>
      </c>
      <c r="H1437" s="68"/>
      <c r="I1437" s="86"/>
      <c r="J1437" s="87"/>
      <c r="K1437" s="88"/>
      <c r="L1437" s="69">
        <f t="shared" si="74"/>
        <v>0</v>
      </c>
      <c r="M1437" s="70"/>
      <c r="N1437" s="8"/>
      <c r="O1437" s="1"/>
      <c r="P1437" s="30">
        <v>80</v>
      </c>
      <c r="Q1437" s="38">
        <f t="shared" si="75"/>
        <v>192000</v>
      </c>
      <c r="R1437" s="28">
        <f t="shared" si="76"/>
        <v>0</v>
      </c>
    </row>
    <row r="1438" spans="1:18">
      <c r="A1438" s="89" t="s">
        <v>83</v>
      </c>
      <c r="B1438" s="90"/>
      <c r="C1438" s="90"/>
      <c r="D1438" s="90"/>
      <c r="E1438" s="91"/>
      <c r="F1438" s="21" t="s">
        <v>65</v>
      </c>
      <c r="G1438" s="67">
        <v>360</v>
      </c>
      <c r="H1438" s="68"/>
      <c r="I1438" s="86"/>
      <c r="J1438" s="87"/>
      <c r="K1438" s="88"/>
      <c r="L1438" s="69">
        <f t="shared" si="74"/>
        <v>0</v>
      </c>
      <c r="M1438" s="70"/>
      <c r="N1438" s="8"/>
      <c r="O1438" s="1"/>
      <c r="P1438" s="30">
        <v>420</v>
      </c>
      <c r="Q1438" s="38">
        <f t="shared" si="75"/>
        <v>151200</v>
      </c>
      <c r="R1438" s="28">
        <f t="shared" si="76"/>
        <v>0</v>
      </c>
    </row>
    <row r="1439" spans="1:18">
      <c r="A1439" s="64" t="s">
        <v>84</v>
      </c>
      <c r="B1439" s="65"/>
      <c r="C1439" s="65"/>
      <c r="D1439" s="65"/>
      <c r="E1439" s="66"/>
      <c r="F1439" s="21" t="s">
        <v>65</v>
      </c>
      <c r="G1439" s="67">
        <v>2760</v>
      </c>
      <c r="H1439" s="68"/>
      <c r="I1439" s="86"/>
      <c r="J1439" s="87"/>
      <c r="K1439" s="88"/>
      <c r="L1439" s="69">
        <f t="shared" si="74"/>
        <v>0</v>
      </c>
      <c r="M1439" s="70"/>
      <c r="N1439" s="8"/>
      <c r="O1439" s="1"/>
      <c r="P1439" s="30">
        <v>460</v>
      </c>
      <c r="Q1439" s="38">
        <f t="shared" si="75"/>
        <v>1269600</v>
      </c>
      <c r="R1439" s="28">
        <f t="shared" si="76"/>
        <v>0</v>
      </c>
    </row>
    <row r="1440" spans="1:18">
      <c r="A1440" s="64" t="s">
        <v>85</v>
      </c>
      <c r="B1440" s="65"/>
      <c r="C1440" s="65"/>
      <c r="D1440" s="65"/>
      <c r="E1440" s="66"/>
      <c r="F1440" s="21" t="s">
        <v>65</v>
      </c>
      <c r="G1440" s="67">
        <v>275</v>
      </c>
      <c r="H1440" s="68"/>
      <c r="I1440" s="86"/>
      <c r="J1440" s="87"/>
      <c r="K1440" s="88"/>
      <c r="L1440" s="69">
        <f t="shared" si="74"/>
        <v>0</v>
      </c>
      <c r="M1440" s="70"/>
      <c r="N1440" s="8"/>
      <c r="O1440" s="1"/>
      <c r="P1440" s="31">
        <v>350</v>
      </c>
      <c r="Q1440" s="38">
        <f t="shared" si="75"/>
        <v>96250</v>
      </c>
      <c r="R1440" s="28">
        <f t="shared" si="76"/>
        <v>0</v>
      </c>
    </row>
    <row r="1441" spans="1:19">
      <c r="A1441" s="64" t="s">
        <v>86</v>
      </c>
      <c r="B1441" s="65"/>
      <c r="C1441" s="65"/>
      <c r="D1441" s="65"/>
      <c r="E1441" s="66"/>
      <c r="F1441" s="21" t="s">
        <v>60</v>
      </c>
      <c r="G1441" s="67">
        <v>1</v>
      </c>
      <c r="H1441" s="68"/>
      <c r="I1441" s="86"/>
      <c r="J1441" s="87"/>
      <c r="K1441" s="88"/>
      <c r="L1441" s="69">
        <f t="shared" si="74"/>
        <v>0</v>
      </c>
      <c r="M1441" s="70"/>
      <c r="N1441" s="8"/>
      <c r="O1441" s="2"/>
      <c r="P1441" s="30">
        <v>40000</v>
      </c>
      <c r="Q1441" s="38">
        <f t="shared" si="75"/>
        <v>40000</v>
      </c>
      <c r="R1441" s="28">
        <f t="shared" si="76"/>
        <v>0</v>
      </c>
    </row>
    <row r="1442" spans="1:19">
      <c r="A1442" s="83" t="s">
        <v>87</v>
      </c>
      <c r="B1442" s="84"/>
      <c r="C1442" s="84"/>
      <c r="D1442" s="84"/>
      <c r="E1442" s="85"/>
      <c r="F1442" s="20" t="s">
        <v>60</v>
      </c>
      <c r="G1442" s="67">
        <v>1</v>
      </c>
      <c r="H1442" s="68"/>
      <c r="I1442" s="86"/>
      <c r="J1442" s="87"/>
      <c r="K1442" s="88"/>
      <c r="L1442" s="69">
        <f t="shared" si="74"/>
        <v>0</v>
      </c>
      <c r="M1442" s="70"/>
      <c r="N1442" s="8"/>
      <c r="O1442" s="1"/>
      <c r="P1442" s="31">
        <v>276970</v>
      </c>
      <c r="Q1442" s="38">
        <f t="shared" si="75"/>
        <v>276970</v>
      </c>
      <c r="R1442" s="28">
        <f t="shared" si="76"/>
        <v>0</v>
      </c>
    </row>
    <row r="1443" spans="1:19">
      <c r="A1443" s="83" t="s">
        <v>88</v>
      </c>
      <c r="B1443" s="84"/>
      <c r="C1443" s="84"/>
      <c r="D1443" s="84"/>
      <c r="E1443" s="85"/>
      <c r="F1443" s="20" t="s">
        <v>60</v>
      </c>
      <c r="G1443" s="67">
        <v>1</v>
      </c>
      <c r="H1443" s="68"/>
      <c r="I1443" s="26"/>
      <c r="J1443" s="23"/>
      <c r="K1443" s="24"/>
      <c r="L1443" s="69">
        <f t="shared" si="74"/>
        <v>0</v>
      </c>
      <c r="M1443" s="70"/>
      <c r="N1443" s="25"/>
      <c r="O1443" s="1"/>
      <c r="P1443" s="32">
        <v>60873</v>
      </c>
      <c r="Q1443" s="38">
        <f t="shared" si="75"/>
        <v>60873</v>
      </c>
      <c r="R1443" s="28">
        <f t="shared" si="76"/>
        <v>0</v>
      </c>
    </row>
    <row r="1444" spans="1:19">
      <c r="A1444" s="83" t="s">
        <v>89</v>
      </c>
      <c r="B1444" s="84"/>
      <c r="C1444" s="84"/>
      <c r="D1444" s="84"/>
      <c r="E1444" s="85"/>
      <c r="F1444" s="20" t="s">
        <v>60</v>
      </c>
      <c r="G1444" s="67">
        <v>1</v>
      </c>
      <c r="H1444" s="68"/>
      <c r="I1444" s="26"/>
      <c r="J1444" s="23"/>
      <c r="K1444" s="24"/>
      <c r="L1444" s="69">
        <f t="shared" si="74"/>
        <v>0</v>
      </c>
      <c r="M1444" s="70"/>
      <c r="N1444" s="25"/>
      <c r="O1444" s="1"/>
      <c r="P1444" s="32">
        <v>60873</v>
      </c>
      <c r="Q1444" s="38">
        <f t="shared" si="75"/>
        <v>60873</v>
      </c>
      <c r="R1444" s="28">
        <f t="shared" si="76"/>
        <v>0</v>
      </c>
    </row>
    <row r="1445" spans="1:19">
      <c r="A1445" s="83" t="s">
        <v>90</v>
      </c>
      <c r="B1445" s="84"/>
      <c r="C1445" s="84"/>
      <c r="D1445" s="84"/>
      <c r="E1445" s="85"/>
      <c r="F1445" s="20" t="s">
        <v>60</v>
      </c>
      <c r="G1445" s="67">
        <v>1</v>
      </c>
      <c r="H1445" s="68"/>
      <c r="I1445" s="26"/>
      <c r="J1445" s="23"/>
      <c r="K1445" s="24"/>
      <c r="L1445" s="69">
        <f t="shared" si="74"/>
        <v>0</v>
      </c>
      <c r="M1445" s="70"/>
      <c r="N1445" s="25"/>
      <c r="O1445" s="1"/>
      <c r="P1445" s="34">
        <v>266321</v>
      </c>
      <c r="Q1445" s="38">
        <f t="shared" si="75"/>
        <v>266321</v>
      </c>
      <c r="R1445" s="28">
        <f t="shared" si="76"/>
        <v>0</v>
      </c>
    </row>
    <row r="1446" spans="1:19">
      <c r="A1446" s="83" t="s">
        <v>91</v>
      </c>
      <c r="B1446" s="84"/>
      <c r="C1446" s="84"/>
      <c r="D1446" s="84"/>
      <c r="E1446" s="85"/>
      <c r="F1446" s="2" t="s">
        <v>60</v>
      </c>
      <c r="G1446" s="67">
        <v>1</v>
      </c>
      <c r="H1446" s="68"/>
      <c r="I1446" s="26"/>
      <c r="J1446" s="23"/>
      <c r="K1446" s="24"/>
      <c r="L1446" s="69">
        <f t="shared" si="74"/>
        <v>1</v>
      </c>
      <c r="M1446" s="70"/>
      <c r="N1446" s="25"/>
      <c r="O1446" s="1"/>
      <c r="P1446" s="32">
        <v>13316</v>
      </c>
      <c r="Q1446" s="38">
        <f t="shared" si="75"/>
        <v>13316</v>
      </c>
      <c r="R1446" s="28">
        <f t="shared" si="76"/>
        <v>13316</v>
      </c>
    </row>
    <row r="1447" spans="1:19">
      <c r="A1447" s="83" t="s">
        <v>92</v>
      </c>
      <c r="B1447" s="84"/>
      <c r="C1447" s="84"/>
      <c r="D1447" s="84"/>
      <c r="E1447" s="85"/>
      <c r="F1447" s="20" t="s">
        <v>60</v>
      </c>
      <c r="G1447" s="67">
        <v>1</v>
      </c>
      <c r="H1447" s="68"/>
      <c r="I1447" s="26"/>
      <c r="J1447" s="23"/>
      <c r="K1447" s="24"/>
      <c r="L1447" s="69">
        <f t="shared" si="74"/>
        <v>0</v>
      </c>
      <c r="M1447" s="70"/>
      <c r="N1447" s="25"/>
      <c r="O1447" s="1"/>
      <c r="P1447" s="32">
        <v>210299</v>
      </c>
      <c r="Q1447" s="38">
        <f t="shared" si="75"/>
        <v>210299</v>
      </c>
      <c r="R1447" s="28">
        <f t="shared" si="76"/>
        <v>0</v>
      </c>
    </row>
    <row r="1448" spans="1:19">
      <c r="A1448" s="64"/>
      <c r="B1448" s="65"/>
      <c r="C1448" s="65"/>
      <c r="D1448" s="65"/>
      <c r="E1448" s="66"/>
      <c r="F1448" s="22"/>
      <c r="G1448" s="67"/>
      <c r="H1448" s="68"/>
      <c r="I1448" s="26"/>
      <c r="J1448" s="23"/>
      <c r="K1448" s="24"/>
      <c r="L1448" s="69"/>
      <c r="M1448" s="70"/>
      <c r="N1448" s="25"/>
      <c r="O1448" s="3"/>
      <c r="P1448" s="32"/>
      <c r="Q1448" s="33">
        <f>SUM(Q1422:Q1447)</f>
        <v>4416270</v>
      </c>
      <c r="R1448" s="29">
        <f>SUM(R1422:R1447)</f>
        <v>653016</v>
      </c>
    </row>
    <row r="1449" spans="1:19">
      <c r="A1449" s="64"/>
      <c r="B1449" s="65"/>
      <c r="C1449" s="65"/>
      <c r="D1449" s="65"/>
      <c r="E1449" s="66"/>
      <c r="F1449" s="22"/>
      <c r="G1449" s="67"/>
      <c r="H1449" s="68"/>
      <c r="I1449" s="26"/>
      <c r="J1449" s="23"/>
      <c r="K1449" s="24"/>
      <c r="L1449" s="69"/>
      <c r="M1449" s="70"/>
      <c r="N1449" s="25"/>
      <c r="O1449" s="3"/>
      <c r="P1449" s="32"/>
      <c r="Q1449" s="33"/>
      <c r="R1449" s="37">
        <f>R1448/Q1448</f>
        <v>0.14786595928238083</v>
      </c>
    </row>
    <row r="1450" spans="1:19">
      <c r="A1450" s="62" t="s">
        <v>14</v>
      </c>
      <c r="B1450" s="62"/>
      <c r="C1450" s="62"/>
      <c r="D1450" s="62"/>
      <c r="E1450" s="62"/>
      <c r="F1450" s="62"/>
      <c r="G1450" s="62"/>
      <c r="H1450" s="62"/>
      <c r="I1450" s="62"/>
      <c r="J1450" s="62"/>
      <c r="K1450" s="62"/>
      <c r="L1450" s="62"/>
      <c r="M1450" s="62"/>
      <c r="N1450" s="62"/>
      <c r="O1450" s="1"/>
      <c r="P1450" s="32"/>
      <c r="Q1450" s="33"/>
      <c r="R1450" s="29"/>
      <c r="S1450" s="16"/>
    </row>
    <row r="1451" spans="1:19">
      <c r="A1451" s="71" t="s">
        <v>15</v>
      </c>
      <c r="B1451" s="72"/>
      <c r="C1451" s="72"/>
      <c r="D1451" s="72"/>
      <c r="E1451" s="73"/>
      <c r="F1451" s="9" t="s">
        <v>37</v>
      </c>
      <c r="G1451" s="71" t="s">
        <v>38</v>
      </c>
      <c r="H1451" s="73"/>
      <c r="I1451" s="71" t="s">
        <v>42</v>
      </c>
      <c r="J1451" s="72"/>
      <c r="K1451" s="73"/>
      <c r="L1451" s="74" t="s">
        <v>17</v>
      </c>
      <c r="M1451" s="75"/>
      <c r="N1451" s="9" t="s">
        <v>13</v>
      </c>
      <c r="O1451" s="1"/>
      <c r="P1451" s="32"/>
      <c r="Q1451" s="33"/>
      <c r="R1451" s="29"/>
      <c r="S1451" s="16"/>
    </row>
    <row r="1452" spans="1:19">
      <c r="A1452" s="71"/>
      <c r="B1452" s="72"/>
      <c r="C1452" s="72"/>
      <c r="D1452" s="72"/>
      <c r="E1452" s="73"/>
      <c r="F1452" s="13"/>
      <c r="G1452" s="76"/>
      <c r="H1452" s="77"/>
      <c r="I1452" s="78"/>
      <c r="J1452" s="79"/>
      <c r="K1452" s="80"/>
      <c r="L1452" s="81"/>
      <c r="M1452" s="82"/>
      <c r="N1452" s="8"/>
      <c r="O1452" s="1"/>
      <c r="P1452" s="32"/>
      <c r="Q1452" s="33"/>
      <c r="R1452" s="29"/>
      <c r="S1452" s="16"/>
    </row>
    <row r="1453" spans="1:19">
      <c r="A1453" s="62" t="s">
        <v>19</v>
      </c>
      <c r="B1453" s="62"/>
      <c r="C1453" s="62"/>
      <c r="D1453" s="62"/>
      <c r="E1453" s="62"/>
      <c r="F1453" s="62"/>
      <c r="G1453" s="62"/>
      <c r="H1453" s="62"/>
      <c r="I1453" s="62"/>
      <c r="J1453" s="62"/>
      <c r="K1453" s="62"/>
      <c r="L1453" s="62"/>
      <c r="M1453" s="62"/>
      <c r="N1453" s="62"/>
      <c r="O1453" s="1"/>
      <c r="P1453" s="32"/>
      <c r="Q1453" s="33"/>
      <c r="R1453" s="29"/>
      <c r="S1453" s="16"/>
    </row>
    <row r="1454" spans="1:19">
      <c r="A1454" s="63" t="s">
        <v>20</v>
      </c>
      <c r="B1454" s="63"/>
      <c r="C1454" s="63" t="s">
        <v>21</v>
      </c>
      <c r="D1454" s="63"/>
      <c r="E1454" s="63" t="s">
        <v>22</v>
      </c>
      <c r="F1454" s="63"/>
      <c r="G1454" s="63" t="s">
        <v>23</v>
      </c>
      <c r="H1454" s="63"/>
      <c r="I1454" s="63"/>
      <c r="J1454" s="63" t="s">
        <v>16</v>
      </c>
      <c r="K1454" s="63"/>
      <c r="L1454" s="63"/>
      <c r="M1454" s="63" t="s">
        <v>17</v>
      </c>
      <c r="N1454" s="63"/>
      <c r="O1454" s="1"/>
      <c r="Q1454" s="32"/>
      <c r="R1454" s="33"/>
      <c r="S1454" s="16"/>
    </row>
    <row r="1455" spans="1:19">
      <c r="A1455" s="60" t="s">
        <v>24</v>
      </c>
      <c r="B1455" s="52"/>
      <c r="C1455" s="61"/>
      <c r="D1455" s="61"/>
      <c r="E1455" s="61">
        <f>C1455+E1394</f>
        <v>32</v>
      </c>
      <c r="F1455" s="61"/>
      <c r="G1455" s="60" t="s">
        <v>51</v>
      </c>
      <c r="H1455" s="51"/>
      <c r="I1455" s="52"/>
      <c r="J1455" s="61"/>
      <c r="K1455" s="61"/>
      <c r="L1455" s="61"/>
      <c r="M1455" s="61">
        <f>K1455+M1394</f>
        <v>1</v>
      </c>
      <c r="N1455" s="61"/>
      <c r="O1455" s="1"/>
      <c r="Q1455" s="32"/>
      <c r="R1455" s="33"/>
      <c r="S1455" s="16"/>
    </row>
    <row r="1456" spans="1:19">
      <c r="A1456" s="60" t="s">
        <v>25</v>
      </c>
      <c r="B1456" s="52"/>
      <c r="C1456" s="61"/>
      <c r="D1456" s="61"/>
      <c r="E1456" s="61">
        <f>C1456+E1395</f>
        <v>29</v>
      </c>
      <c r="F1456" s="61"/>
      <c r="G1456" s="60" t="s">
        <v>50</v>
      </c>
      <c r="H1456" s="51"/>
      <c r="I1456" s="52"/>
      <c r="J1456" s="61"/>
      <c r="K1456" s="61"/>
      <c r="L1456" s="61"/>
      <c r="M1456" s="61">
        <f>K1456+M1395</f>
        <v>1</v>
      </c>
      <c r="N1456" s="61"/>
      <c r="O1456" s="1"/>
      <c r="Q1456" s="32"/>
      <c r="R1456" s="33"/>
      <c r="S1456" s="16"/>
    </row>
    <row r="1457" spans="1:19">
      <c r="A1457" s="60"/>
      <c r="B1457" s="52"/>
      <c r="C1457" s="61"/>
      <c r="D1457" s="61"/>
      <c r="E1457" s="61"/>
      <c r="F1457" s="61"/>
      <c r="G1457" s="60" t="s">
        <v>55</v>
      </c>
      <c r="H1457" s="51"/>
      <c r="I1457" s="52"/>
      <c r="J1457" s="61"/>
      <c r="K1457" s="61"/>
      <c r="L1457" s="61"/>
      <c r="M1457" s="61">
        <f>K1457+M1396</f>
        <v>0</v>
      </c>
      <c r="N1457" s="61"/>
      <c r="O1457" s="2"/>
      <c r="P1457" s="29"/>
      <c r="Q1457" s="32"/>
      <c r="R1457" s="33"/>
      <c r="S1457" s="16"/>
    </row>
    <row r="1458" spans="1:19">
      <c r="A1458" s="53" t="s">
        <v>53</v>
      </c>
      <c r="B1458" s="47"/>
      <c r="C1458" s="53"/>
      <c r="D1458" s="53"/>
      <c r="E1458" s="53"/>
      <c r="F1458" s="53"/>
      <c r="G1458" s="53"/>
      <c r="H1458" s="53"/>
      <c r="I1458" s="53"/>
      <c r="J1458" s="53"/>
      <c r="K1458" s="53"/>
      <c r="L1458" s="53"/>
      <c r="M1458" s="53"/>
      <c r="N1458" s="53"/>
      <c r="O1458" s="1"/>
      <c r="P1458" s="32"/>
      <c r="Q1458" s="32"/>
      <c r="R1458" s="33"/>
      <c r="S1458" s="16"/>
    </row>
    <row r="1459" spans="1:19">
      <c r="A1459" s="45" t="s">
        <v>56</v>
      </c>
      <c r="B1459" s="46"/>
      <c r="C1459" s="46"/>
      <c r="D1459" s="46"/>
      <c r="E1459" s="46"/>
      <c r="F1459" s="46"/>
      <c r="G1459" s="46"/>
      <c r="H1459" s="46"/>
      <c r="I1459" s="46"/>
      <c r="J1459" s="46"/>
      <c r="K1459" s="46"/>
      <c r="L1459" s="46"/>
      <c r="M1459" s="46"/>
      <c r="N1459" s="47"/>
      <c r="O1459" s="1"/>
      <c r="P1459" s="32"/>
      <c r="Q1459" s="34"/>
      <c r="R1459" s="33"/>
      <c r="S1459" s="16"/>
    </row>
    <row r="1460" spans="1:19">
      <c r="A1460" s="54" t="s">
        <v>54</v>
      </c>
      <c r="B1460" s="55"/>
      <c r="C1460" s="55"/>
      <c r="D1460" s="55"/>
      <c r="E1460" s="55"/>
      <c r="F1460" s="55"/>
      <c r="G1460" s="55"/>
      <c r="H1460" s="55"/>
      <c r="I1460" s="55"/>
      <c r="J1460" s="55"/>
      <c r="K1460" s="55"/>
      <c r="L1460" s="55"/>
      <c r="M1460" s="55"/>
      <c r="N1460" s="56"/>
      <c r="O1460" s="1"/>
      <c r="P1460" s="32"/>
      <c r="Q1460" s="32"/>
      <c r="R1460" s="33"/>
      <c r="S1460" s="16"/>
    </row>
    <row r="1461" spans="1:19">
      <c r="A1461" s="40" t="s">
        <v>26</v>
      </c>
      <c r="B1461" s="41"/>
      <c r="C1461" s="40"/>
      <c r="D1461" s="40"/>
      <c r="E1461" s="40"/>
      <c r="F1461" s="40"/>
      <c r="G1461" s="40"/>
      <c r="H1461" s="40"/>
      <c r="I1461" s="40"/>
      <c r="J1461" s="40"/>
      <c r="K1461" s="40"/>
      <c r="L1461" s="40"/>
      <c r="M1461" s="40"/>
      <c r="N1461" s="40"/>
      <c r="O1461" s="1"/>
      <c r="P1461" s="32"/>
      <c r="Q1461" s="32"/>
      <c r="R1461" s="33"/>
      <c r="S1461" s="16"/>
    </row>
    <row r="1462" spans="1:19">
      <c r="A1462" s="57" t="s">
        <v>27</v>
      </c>
      <c r="B1462" s="58"/>
      <c r="C1462" s="58"/>
      <c r="D1462" s="58"/>
      <c r="E1462" s="58"/>
      <c r="F1462" s="58"/>
      <c r="G1462" s="58"/>
      <c r="H1462" s="58"/>
      <c r="I1462" s="58"/>
      <c r="J1462" s="58"/>
      <c r="K1462" s="58"/>
      <c r="L1462" s="58"/>
      <c r="M1462" s="58"/>
      <c r="N1462" s="59"/>
      <c r="O1462" s="1"/>
      <c r="P1462" s="34"/>
      <c r="Q1462" s="34"/>
      <c r="R1462" s="33"/>
      <c r="S1462" s="16"/>
    </row>
    <row r="1463" spans="1:19">
      <c r="A1463" s="57" t="s">
        <v>57</v>
      </c>
      <c r="B1463" s="58"/>
      <c r="C1463" s="58"/>
      <c r="D1463" s="58"/>
      <c r="E1463" s="58"/>
      <c r="F1463" s="58"/>
      <c r="G1463" s="58"/>
      <c r="H1463" s="58"/>
      <c r="I1463" s="58"/>
      <c r="J1463" s="58"/>
      <c r="K1463" s="58"/>
      <c r="L1463" s="58"/>
      <c r="M1463" s="58"/>
      <c r="N1463" s="59"/>
      <c r="O1463" s="1"/>
      <c r="P1463" s="32"/>
      <c r="Q1463" s="32"/>
      <c r="R1463" s="33"/>
      <c r="S1463" s="16"/>
    </row>
    <row r="1464" spans="1:19">
      <c r="A1464" s="57" t="s">
        <v>58</v>
      </c>
      <c r="B1464" s="58"/>
      <c r="C1464" s="58"/>
      <c r="D1464" s="58"/>
      <c r="E1464" s="58"/>
      <c r="F1464" s="58"/>
      <c r="G1464" s="58"/>
      <c r="H1464" s="58"/>
      <c r="I1464" s="58"/>
      <c r="J1464" s="58"/>
      <c r="K1464" s="58"/>
      <c r="L1464" s="58"/>
      <c r="M1464" s="58"/>
      <c r="N1464" s="59"/>
      <c r="O1464" s="1"/>
      <c r="P1464" s="32"/>
      <c r="Q1464" s="32"/>
      <c r="R1464" s="33"/>
      <c r="S1464" s="16"/>
    </row>
    <row r="1465" spans="1:19">
      <c r="A1465" s="57" t="s">
        <v>59</v>
      </c>
      <c r="B1465" s="58"/>
      <c r="C1465" s="58"/>
      <c r="D1465" s="58"/>
      <c r="E1465" s="58"/>
      <c r="F1465" s="58"/>
      <c r="G1465" s="58"/>
      <c r="H1465" s="58"/>
      <c r="I1465" s="58"/>
      <c r="J1465" s="58"/>
      <c r="K1465" s="58"/>
      <c r="L1465" s="58"/>
      <c r="M1465" s="58"/>
      <c r="N1465" s="59"/>
      <c r="O1465" s="1"/>
      <c r="P1465" s="32"/>
      <c r="Q1465" s="34"/>
      <c r="R1465" s="33"/>
      <c r="S1465" s="16"/>
    </row>
    <row r="1466" spans="1:19">
      <c r="A1466" s="57" t="s">
        <v>28</v>
      </c>
      <c r="B1466" s="58"/>
      <c r="C1466" s="58"/>
      <c r="D1466" s="58"/>
      <c r="E1466" s="58"/>
      <c r="F1466" s="58"/>
      <c r="G1466" s="58"/>
      <c r="H1466" s="58"/>
      <c r="I1466" s="58"/>
      <c r="J1466" s="58"/>
      <c r="K1466" s="58"/>
      <c r="L1466" s="58"/>
      <c r="M1466" s="58"/>
      <c r="N1466" s="59"/>
      <c r="O1466" s="1"/>
      <c r="P1466" s="34"/>
      <c r="Q1466" s="32"/>
      <c r="R1466" s="33"/>
      <c r="S1466" s="16"/>
    </row>
    <row r="1467" spans="1:19">
      <c r="A1467" s="40" t="s">
        <v>29</v>
      </c>
      <c r="B1467" s="41"/>
      <c r="C1467" s="40"/>
      <c r="D1467" s="40"/>
      <c r="E1467" s="40"/>
      <c r="F1467" s="40"/>
      <c r="G1467" s="40"/>
      <c r="H1467" s="40"/>
      <c r="I1467" s="40"/>
      <c r="J1467" s="40"/>
      <c r="K1467" s="40"/>
      <c r="L1467" s="40"/>
      <c r="M1467" s="40"/>
      <c r="N1467" s="40"/>
      <c r="O1467" s="1"/>
      <c r="P1467" s="32"/>
      <c r="Q1467" s="32"/>
      <c r="R1467" s="33"/>
      <c r="S1467" s="16"/>
    </row>
    <row r="1468" spans="1:19">
      <c r="A1468" s="42"/>
      <c r="B1468" s="43"/>
      <c r="C1468" s="43"/>
      <c r="D1468" s="43"/>
      <c r="E1468" s="43"/>
      <c r="F1468" s="43"/>
      <c r="G1468" s="43"/>
      <c r="H1468" s="43"/>
      <c r="I1468" s="43"/>
      <c r="J1468" s="43"/>
      <c r="K1468" s="43"/>
      <c r="L1468" s="43"/>
      <c r="M1468" s="43"/>
      <c r="N1468" s="44"/>
      <c r="O1468" s="1"/>
      <c r="P1468" s="32"/>
      <c r="Q1468" s="32"/>
      <c r="R1468" s="33"/>
      <c r="S1468" s="16"/>
    </row>
    <row r="1469" spans="1:19">
      <c r="A1469" s="40" t="s">
        <v>30</v>
      </c>
      <c r="B1469" s="41"/>
      <c r="C1469" s="40"/>
      <c r="D1469" s="40"/>
      <c r="E1469" s="40"/>
      <c r="F1469" s="40"/>
      <c r="G1469" s="40"/>
      <c r="H1469" s="40"/>
      <c r="I1469" s="40"/>
      <c r="J1469" s="40"/>
      <c r="K1469" s="40"/>
      <c r="L1469" s="40"/>
      <c r="M1469" s="40"/>
      <c r="N1469" s="40"/>
      <c r="O1469" s="1"/>
      <c r="P1469" s="32"/>
      <c r="Q1469" s="32"/>
      <c r="R1469" s="33"/>
      <c r="S1469" s="16"/>
    </row>
    <row r="1470" spans="1:19">
      <c r="A1470" s="42"/>
      <c r="B1470" s="43"/>
      <c r="C1470" s="43"/>
      <c r="D1470" s="43"/>
      <c r="E1470" s="43"/>
      <c r="F1470" s="43"/>
      <c r="G1470" s="43"/>
      <c r="H1470" s="43"/>
      <c r="I1470" s="43"/>
      <c r="J1470" s="43"/>
      <c r="K1470" s="43"/>
      <c r="L1470" s="43"/>
      <c r="M1470" s="43"/>
      <c r="N1470" s="44"/>
      <c r="O1470" s="1"/>
      <c r="P1470" s="32"/>
      <c r="Q1470" s="32"/>
      <c r="R1470" s="33"/>
      <c r="S1470" s="16"/>
    </row>
    <row r="1471" spans="1:19">
      <c r="A1471" s="40" t="s">
        <v>31</v>
      </c>
      <c r="B1471" s="41"/>
      <c r="C1471" s="40"/>
      <c r="D1471" s="40"/>
      <c r="E1471" s="40"/>
      <c r="F1471" s="40"/>
      <c r="G1471" s="40"/>
      <c r="H1471" s="40"/>
      <c r="I1471" s="40"/>
      <c r="J1471" s="40"/>
      <c r="K1471" s="40"/>
      <c r="L1471" s="40"/>
      <c r="M1471" s="40"/>
      <c r="N1471" s="40"/>
      <c r="O1471" s="1"/>
      <c r="P1471" s="32"/>
      <c r="Q1471" s="32"/>
      <c r="R1471" s="33"/>
      <c r="S1471" s="17"/>
    </row>
    <row r="1472" spans="1:19">
      <c r="A1472" s="45"/>
      <c r="B1472" s="46"/>
      <c r="C1472" s="46"/>
      <c r="D1472" s="46"/>
      <c r="E1472" s="46"/>
      <c r="F1472" s="46"/>
      <c r="G1472" s="46"/>
      <c r="H1472" s="46"/>
      <c r="I1472" s="46"/>
      <c r="J1472" s="46"/>
      <c r="K1472" s="46"/>
      <c r="L1472" s="46"/>
      <c r="M1472" s="46"/>
      <c r="N1472" s="47"/>
      <c r="O1472" s="1"/>
      <c r="P1472" s="32"/>
      <c r="Q1472" s="32"/>
      <c r="R1472" s="33"/>
      <c r="S1472" s="1"/>
    </row>
    <row r="1473" spans="1:19">
      <c r="A1473" s="48" t="s">
        <v>41</v>
      </c>
      <c r="B1473" s="49"/>
      <c r="C1473" s="50"/>
      <c r="D1473" s="50"/>
      <c r="E1473" s="50"/>
      <c r="F1473" s="50"/>
      <c r="G1473" s="50"/>
      <c r="H1473" s="51"/>
      <c r="I1473" s="51"/>
      <c r="J1473" s="51"/>
      <c r="K1473" s="51"/>
      <c r="L1473" s="51"/>
      <c r="M1473" s="51"/>
      <c r="N1473" s="52"/>
      <c r="O1473" s="1"/>
      <c r="P1473" s="32"/>
      <c r="Q1473" s="32"/>
      <c r="R1473" s="33"/>
      <c r="S1473" s="1"/>
    </row>
    <row r="1474" spans="1:19" ht="28.2">
      <c r="A1474" s="1" t="s">
        <v>45</v>
      </c>
      <c r="B1474" s="7">
        <f>B1413+1</f>
        <v>25</v>
      </c>
      <c r="C1474" s="5"/>
      <c r="D1474" s="5"/>
      <c r="E1474" s="5"/>
      <c r="F1474" s="5"/>
      <c r="G1474" s="5"/>
      <c r="H1474" s="5"/>
      <c r="I1474" s="5"/>
      <c r="J1474" s="5"/>
      <c r="K1474" s="5"/>
      <c r="L1474" s="5"/>
      <c r="M1474" s="5"/>
      <c r="N1474" s="5"/>
      <c r="O1474" s="1"/>
      <c r="P1474" s="32"/>
      <c r="Q1474" s="33"/>
      <c r="R1474" s="29"/>
    </row>
    <row r="1475" spans="1:19">
      <c r="A1475" s="1" t="s">
        <v>46</v>
      </c>
      <c r="B1475" s="1" t="s">
        <v>1</v>
      </c>
      <c r="C1475" s="1" t="s">
        <v>2</v>
      </c>
      <c r="D1475" s="1" t="s">
        <v>3</v>
      </c>
      <c r="E1475" s="1" t="s">
        <v>2</v>
      </c>
      <c r="F1475" s="1"/>
      <c r="G1475" s="1"/>
      <c r="H1475" s="112" t="s">
        <v>4</v>
      </c>
      <c r="I1475" s="112"/>
      <c r="J1475" s="113">
        <f>J1414+1</f>
        <v>46236</v>
      </c>
      <c r="K1475" s="113"/>
      <c r="L1475" s="113"/>
      <c r="M1475" s="114">
        <f>J1475</f>
        <v>46236</v>
      </c>
      <c r="N1475" s="114"/>
      <c r="O1475" s="1"/>
      <c r="P1475" s="32"/>
      <c r="Q1475" s="33"/>
      <c r="R1475" s="29"/>
    </row>
    <row r="1476" spans="1:19">
      <c r="A1476" s="8" t="s">
        <v>5</v>
      </c>
      <c r="B1476" s="115">
        <f>B1407</f>
        <v>0</v>
      </c>
      <c r="C1476" s="116"/>
      <c r="D1476" s="116"/>
      <c r="E1476" s="116"/>
      <c r="F1476" s="116"/>
      <c r="G1476" s="117"/>
      <c r="H1476" s="63" t="s">
        <v>6</v>
      </c>
      <c r="I1476" s="63"/>
      <c r="J1476" s="63"/>
      <c r="K1476" s="63" t="s">
        <v>52</v>
      </c>
      <c r="L1476" s="63"/>
      <c r="M1476" s="63"/>
      <c r="N1476" s="63"/>
      <c r="O1476" s="1"/>
      <c r="P1476" s="32"/>
      <c r="Q1476" s="33"/>
      <c r="R1476" s="29"/>
    </row>
    <row r="1477" spans="1:19">
      <c r="A1477" s="8" t="s">
        <v>32</v>
      </c>
      <c r="B1477" s="10">
        <v>60</v>
      </c>
      <c r="C1477" s="11" t="s">
        <v>43</v>
      </c>
      <c r="D1477" s="71" t="s">
        <v>7</v>
      </c>
      <c r="E1477" s="73"/>
      <c r="F1477" s="10">
        <f>F1416+1</f>
        <v>25</v>
      </c>
      <c r="G1477" s="11" t="s">
        <v>8</v>
      </c>
      <c r="H1477" s="9" t="s">
        <v>9</v>
      </c>
      <c r="I1477" s="10">
        <f>B1477-F1477</f>
        <v>35</v>
      </c>
      <c r="J1477" s="11" t="s">
        <v>8</v>
      </c>
      <c r="K1477" s="118" t="s">
        <v>33</v>
      </c>
      <c r="L1477" s="119"/>
      <c r="M1477" s="12"/>
      <c r="N1477" s="11" t="s">
        <v>8</v>
      </c>
      <c r="O1477" s="1"/>
      <c r="P1477" s="34"/>
      <c r="Q1477" s="33"/>
      <c r="R1477" s="29"/>
    </row>
    <row r="1478" spans="1:19">
      <c r="A1478" s="71" t="s">
        <v>34</v>
      </c>
      <c r="B1478" s="72"/>
      <c r="C1478" s="73"/>
      <c r="D1478" s="120">
        <v>46212</v>
      </c>
      <c r="E1478" s="121"/>
      <c r="F1478" s="121"/>
      <c r="G1478" s="122"/>
      <c r="H1478" s="71" t="s">
        <v>35</v>
      </c>
      <c r="I1478" s="72"/>
      <c r="J1478" s="73"/>
      <c r="K1478" s="120">
        <f>D1478+59</f>
        <v>46271</v>
      </c>
      <c r="L1478" s="121"/>
      <c r="M1478" s="121"/>
      <c r="N1478" s="122"/>
      <c r="O1478" s="1"/>
      <c r="P1478" s="32"/>
      <c r="Q1478" s="33"/>
      <c r="R1478" s="29"/>
    </row>
    <row r="1479" spans="1:19">
      <c r="A1479" s="92" t="s">
        <v>10</v>
      </c>
      <c r="B1479" s="93"/>
      <c r="C1479" s="94"/>
      <c r="D1479" s="98">
        <f>D1418+0.0579/5</f>
        <v>0.11990000000000003</v>
      </c>
      <c r="E1479" s="99"/>
      <c r="F1479" s="99"/>
      <c r="G1479" s="100"/>
      <c r="H1479" s="104" t="s">
        <v>36</v>
      </c>
      <c r="I1479" s="105"/>
      <c r="J1479" s="106"/>
      <c r="K1479" s="110">
        <f>R1510</f>
        <v>0.14786595928238083</v>
      </c>
      <c r="L1479" s="105"/>
      <c r="M1479" s="105"/>
      <c r="N1479" s="106"/>
      <c r="O1479" s="1"/>
      <c r="P1479" s="32"/>
      <c r="Q1479" s="33"/>
      <c r="R1479" s="29"/>
    </row>
    <row r="1480" spans="1:19">
      <c r="A1480" s="95"/>
      <c r="B1480" s="96"/>
      <c r="C1480" s="97"/>
      <c r="D1480" s="101"/>
      <c r="E1480" s="102"/>
      <c r="F1480" s="102"/>
      <c r="G1480" s="103"/>
      <c r="H1480" s="107"/>
      <c r="I1480" s="108"/>
      <c r="J1480" s="109"/>
      <c r="K1480" s="107"/>
      <c r="L1480" s="108"/>
      <c r="M1480" s="108"/>
      <c r="N1480" s="109"/>
      <c r="O1480" s="1"/>
      <c r="P1480" s="32"/>
      <c r="Q1480" s="33"/>
      <c r="R1480" s="29"/>
    </row>
    <row r="1481" spans="1:19">
      <c r="A1481" s="62" t="s">
        <v>11</v>
      </c>
      <c r="B1481" s="62"/>
      <c r="C1481" s="62"/>
      <c r="D1481" s="62"/>
      <c r="E1481" s="62"/>
      <c r="F1481" s="62"/>
      <c r="G1481" s="62"/>
      <c r="H1481" s="62"/>
      <c r="I1481" s="62"/>
      <c r="J1481" s="62"/>
      <c r="K1481" s="62"/>
      <c r="L1481" s="62"/>
      <c r="M1481" s="62"/>
      <c r="N1481" s="62"/>
      <c r="O1481" s="1"/>
      <c r="P1481" s="32"/>
      <c r="Q1481" s="33"/>
      <c r="R1481" s="29"/>
    </row>
    <row r="1482" spans="1:19">
      <c r="A1482" s="111" t="s">
        <v>12</v>
      </c>
      <c r="B1482" s="111"/>
      <c r="C1482" s="111"/>
      <c r="D1482" s="111"/>
      <c r="E1482" s="111"/>
      <c r="F1482" s="14" t="s">
        <v>37</v>
      </c>
      <c r="G1482" s="111" t="s">
        <v>38</v>
      </c>
      <c r="H1482" s="111"/>
      <c r="I1482" s="63" t="s">
        <v>39</v>
      </c>
      <c r="J1482" s="63"/>
      <c r="K1482" s="63"/>
      <c r="L1482" s="63" t="s">
        <v>40</v>
      </c>
      <c r="M1482" s="63"/>
      <c r="N1482" s="9" t="s">
        <v>13</v>
      </c>
      <c r="O1482" s="1"/>
      <c r="P1482" s="28" t="s">
        <v>47</v>
      </c>
      <c r="Q1482" s="29" t="s">
        <v>48</v>
      </c>
      <c r="R1482" s="29" t="s">
        <v>49</v>
      </c>
    </row>
    <row r="1483" spans="1:19">
      <c r="A1483" s="83" t="s">
        <v>67</v>
      </c>
      <c r="B1483" s="84"/>
      <c r="C1483" s="84"/>
      <c r="D1483" s="84"/>
      <c r="E1483" s="85"/>
      <c r="F1483" s="27" t="s">
        <v>60</v>
      </c>
      <c r="G1483" s="67">
        <v>1</v>
      </c>
      <c r="H1483" s="68"/>
      <c r="I1483" s="86"/>
      <c r="J1483" s="87"/>
      <c r="K1483" s="88"/>
      <c r="L1483" s="69">
        <f>I1483+L1422</f>
        <v>1</v>
      </c>
      <c r="M1483" s="70"/>
      <c r="N1483" s="8"/>
      <c r="O1483" s="1"/>
      <c r="P1483" s="30">
        <v>6000</v>
      </c>
      <c r="Q1483" s="38">
        <f>P1483*G1483</f>
        <v>6000</v>
      </c>
      <c r="R1483" s="28">
        <f>L1483*P1483</f>
        <v>6000</v>
      </c>
    </row>
    <row r="1484" spans="1:19">
      <c r="A1484" s="83" t="s">
        <v>68</v>
      </c>
      <c r="B1484" s="84"/>
      <c r="C1484" s="84"/>
      <c r="D1484" s="84"/>
      <c r="E1484" s="85"/>
      <c r="F1484" s="20" t="s">
        <v>60</v>
      </c>
      <c r="G1484" s="67">
        <v>1</v>
      </c>
      <c r="H1484" s="68"/>
      <c r="I1484" s="87"/>
      <c r="J1484" s="87"/>
      <c r="K1484" s="88"/>
      <c r="L1484" s="69">
        <f t="shared" ref="L1484:L1508" si="77">I1484+L1423</f>
        <v>1</v>
      </c>
      <c r="M1484" s="70"/>
      <c r="N1484" s="8"/>
      <c r="O1484" s="1"/>
      <c r="P1484" s="30">
        <v>193300</v>
      </c>
      <c r="Q1484" s="38">
        <f t="shared" ref="Q1484:Q1508" si="78">P1484*G1484</f>
        <v>193300</v>
      </c>
      <c r="R1484" s="28">
        <f>L1484*P1484</f>
        <v>193300</v>
      </c>
    </row>
    <row r="1485" spans="1:19">
      <c r="A1485" s="89" t="s">
        <v>69</v>
      </c>
      <c r="B1485" s="90"/>
      <c r="C1485" s="90"/>
      <c r="D1485" s="90"/>
      <c r="E1485" s="91"/>
      <c r="F1485" s="20" t="s">
        <v>60</v>
      </c>
      <c r="G1485" s="67">
        <v>1</v>
      </c>
      <c r="H1485" s="68"/>
      <c r="I1485" s="87"/>
      <c r="J1485" s="87"/>
      <c r="K1485" s="88"/>
      <c r="L1485" s="69">
        <f t="shared" si="77"/>
        <v>0.5</v>
      </c>
      <c r="M1485" s="70"/>
      <c r="N1485" s="8"/>
      <c r="O1485" s="1"/>
      <c r="P1485" s="30">
        <v>30000</v>
      </c>
      <c r="Q1485" s="38">
        <f t="shared" si="78"/>
        <v>30000</v>
      </c>
      <c r="R1485" s="28">
        <f>L1485*P1485</f>
        <v>15000</v>
      </c>
    </row>
    <row r="1486" spans="1:19">
      <c r="A1486" s="64" t="s">
        <v>70</v>
      </c>
      <c r="B1486" s="65"/>
      <c r="C1486" s="65"/>
      <c r="D1486" s="65"/>
      <c r="E1486" s="66"/>
      <c r="F1486" s="20" t="s">
        <v>60</v>
      </c>
      <c r="G1486" s="67">
        <v>1</v>
      </c>
      <c r="H1486" s="68"/>
      <c r="I1486" s="87"/>
      <c r="J1486" s="87"/>
      <c r="K1486" s="88"/>
      <c r="L1486" s="69">
        <f t="shared" si="77"/>
        <v>1</v>
      </c>
      <c r="M1486" s="70"/>
      <c r="N1486" s="8"/>
      <c r="O1486" s="1"/>
      <c r="P1486" s="31">
        <v>10000</v>
      </c>
      <c r="Q1486" s="38">
        <f t="shared" si="78"/>
        <v>10000</v>
      </c>
      <c r="R1486" s="28">
        <f t="shared" ref="R1486:R1508" si="79">L1486*P1486</f>
        <v>10000</v>
      </c>
    </row>
    <row r="1487" spans="1:19">
      <c r="A1487" s="64" t="s">
        <v>71</v>
      </c>
      <c r="B1487" s="65"/>
      <c r="C1487" s="65"/>
      <c r="D1487" s="65"/>
      <c r="E1487" s="66"/>
      <c r="F1487" s="20" t="s">
        <v>61</v>
      </c>
      <c r="G1487" s="67">
        <v>9</v>
      </c>
      <c r="H1487" s="68"/>
      <c r="I1487" s="87"/>
      <c r="J1487" s="87"/>
      <c r="K1487" s="88"/>
      <c r="L1487" s="69">
        <f t="shared" si="77"/>
        <v>9</v>
      </c>
      <c r="M1487" s="70"/>
      <c r="N1487" s="8"/>
      <c r="O1487" s="1"/>
      <c r="P1487" s="30">
        <v>21000</v>
      </c>
      <c r="Q1487" s="38">
        <f t="shared" si="78"/>
        <v>189000</v>
      </c>
      <c r="R1487" s="28">
        <f t="shared" si="79"/>
        <v>189000</v>
      </c>
    </row>
    <row r="1488" spans="1:19">
      <c r="A1488" s="64" t="s">
        <v>72</v>
      </c>
      <c r="B1488" s="65"/>
      <c r="C1488" s="65"/>
      <c r="D1488" s="65"/>
      <c r="E1488" s="66"/>
      <c r="F1488" s="2" t="s">
        <v>60</v>
      </c>
      <c r="G1488" s="67">
        <v>1</v>
      </c>
      <c r="H1488" s="68"/>
      <c r="I1488" s="87"/>
      <c r="J1488" s="87"/>
      <c r="K1488" s="88"/>
      <c r="L1488" s="69">
        <f t="shared" si="77"/>
        <v>0</v>
      </c>
      <c r="M1488" s="70"/>
      <c r="N1488" s="8"/>
      <c r="O1488" s="1"/>
      <c r="P1488" s="30">
        <v>184468</v>
      </c>
      <c r="Q1488" s="38">
        <f t="shared" si="78"/>
        <v>184468</v>
      </c>
      <c r="R1488" s="28">
        <f t="shared" si="79"/>
        <v>0</v>
      </c>
    </row>
    <row r="1489" spans="1:18">
      <c r="A1489" s="83" t="s">
        <v>73</v>
      </c>
      <c r="B1489" s="84"/>
      <c r="C1489" s="84"/>
      <c r="D1489" s="84"/>
      <c r="E1489" s="85"/>
      <c r="F1489" s="20" t="s">
        <v>62</v>
      </c>
      <c r="G1489" s="67">
        <v>9</v>
      </c>
      <c r="H1489" s="68"/>
      <c r="I1489" s="87"/>
      <c r="J1489" s="87"/>
      <c r="K1489" s="88"/>
      <c r="L1489" s="69">
        <f t="shared" si="77"/>
        <v>0</v>
      </c>
      <c r="M1489" s="70"/>
      <c r="N1489" s="8"/>
      <c r="O1489" s="1"/>
      <c r="P1489" s="30">
        <v>20000</v>
      </c>
      <c r="Q1489" s="38">
        <f t="shared" si="78"/>
        <v>180000</v>
      </c>
      <c r="R1489" s="28">
        <f t="shared" si="79"/>
        <v>0</v>
      </c>
    </row>
    <row r="1490" spans="1:18">
      <c r="A1490" s="83" t="s">
        <v>74</v>
      </c>
      <c r="B1490" s="84"/>
      <c r="C1490" s="84"/>
      <c r="D1490" s="84"/>
      <c r="E1490" s="85"/>
      <c r="F1490" s="20" t="s">
        <v>63</v>
      </c>
      <c r="G1490" s="67">
        <v>52</v>
      </c>
      <c r="H1490" s="68"/>
      <c r="I1490" s="87"/>
      <c r="J1490" s="87"/>
      <c r="K1490" s="88"/>
      <c r="L1490" s="69">
        <f t="shared" si="77"/>
        <v>52</v>
      </c>
      <c r="M1490" s="70"/>
      <c r="N1490" s="8"/>
      <c r="O1490" s="1"/>
      <c r="P1490" s="31">
        <v>2500</v>
      </c>
      <c r="Q1490" s="38">
        <f t="shared" si="78"/>
        <v>130000</v>
      </c>
      <c r="R1490" s="28">
        <f t="shared" si="79"/>
        <v>130000</v>
      </c>
    </row>
    <row r="1491" spans="1:18">
      <c r="A1491" s="83" t="s">
        <v>75</v>
      </c>
      <c r="B1491" s="84"/>
      <c r="C1491" s="84"/>
      <c r="D1491" s="84"/>
      <c r="E1491" s="85"/>
      <c r="F1491" s="20" t="s">
        <v>64</v>
      </c>
      <c r="G1491" s="67">
        <v>1</v>
      </c>
      <c r="H1491" s="68"/>
      <c r="I1491" s="87"/>
      <c r="J1491" s="87"/>
      <c r="K1491" s="88"/>
      <c r="L1491" s="69">
        <f t="shared" si="77"/>
        <v>0</v>
      </c>
      <c r="M1491" s="70"/>
      <c r="N1491" s="8"/>
      <c r="O1491" s="1"/>
      <c r="P1491" s="30">
        <v>80000</v>
      </c>
      <c r="Q1491" s="38">
        <f t="shared" si="78"/>
        <v>80000</v>
      </c>
      <c r="R1491" s="28">
        <f t="shared" si="79"/>
        <v>0</v>
      </c>
    </row>
    <row r="1492" spans="1:18">
      <c r="A1492" s="89" t="s">
        <v>76</v>
      </c>
      <c r="B1492" s="90"/>
      <c r="C1492" s="90"/>
      <c r="D1492" s="90"/>
      <c r="E1492" s="91"/>
      <c r="F1492" s="20" t="s">
        <v>65</v>
      </c>
      <c r="G1492" s="67">
        <v>31</v>
      </c>
      <c r="H1492" s="68"/>
      <c r="I1492" s="87"/>
      <c r="J1492" s="87"/>
      <c r="K1492" s="88"/>
      <c r="L1492" s="69">
        <f t="shared" si="77"/>
        <v>31</v>
      </c>
      <c r="M1492" s="70"/>
      <c r="N1492" s="8"/>
      <c r="O1492" s="1"/>
      <c r="P1492" s="30">
        <v>400</v>
      </c>
      <c r="Q1492" s="38">
        <f t="shared" si="78"/>
        <v>12400</v>
      </c>
      <c r="R1492" s="28">
        <f t="shared" si="79"/>
        <v>12400</v>
      </c>
    </row>
    <row r="1493" spans="1:18">
      <c r="A1493" s="64" t="s">
        <v>77</v>
      </c>
      <c r="B1493" s="65"/>
      <c r="C1493" s="65"/>
      <c r="D1493" s="65"/>
      <c r="E1493" s="66"/>
      <c r="F1493" s="20" t="s">
        <v>65</v>
      </c>
      <c r="G1493" s="67">
        <v>100</v>
      </c>
      <c r="H1493" s="68"/>
      <c r="I1493" s="87"/>
      <c r="J1493" s="87"/>
      <c r="K1493" s="88"/>
      <c r="L1493" s="69">
        <f t="shared" si="77"/>
        <v>0</v>
      </c>
      <c r="M1493" s="70"/>
      <c r="N1493" s="8"/>
      <c r="O1493" s="1"/>
      <c r="P1493" s="30">
        <v>350</v>
      </c>
      <c r="Q1493" s="38">
        <f t="shared" si="78"/>
        <v>35000</v>
      </c>
      <c r="R1493" s="28">
        <f t="shared" si="79"/>
        <v>0</v>
      </c>
    </row>
    <row r="1494" spans="1:18">
      <c r="A1494" s="64" t="s">
        <v>78</v>
      </c>
      <c r="B1494" s="65"/>
      <c r="C1494" s="65"/>
      <c r="D1494" s="65"/>
      <c r="E1494" s="66"/>
      <c r="F1494" s="20" t="s">
        <v>63</v>
      </c>
      <c r="G1494" s="67">
        <v>35</v>
      </c>
      <c r="H1494" s="68"/>
      <c r="I1494" s="87"/>
      <c r="J1494" s="87"/>
      <c r="K1494" s="88"/>
      <c r="L1494" s="69">
        <f t="shared" si="77"/>
        <v>0</v>
      </c>
      <c r="M1494" s="70"/>
      <c r="N1494" s="8"/>
      <c r="O1494" s="1"/>
      <c r="P1494" s="30">
        <v>1200</v>
      </c>
      <c r="Q1494" s="38">
        <f t="shared" si="78"/>
        <v>42000</v>
      </c>
      <c r="R1494" s="28">
        <f t="shared" si="79"/>
        <v>0</v>
      </c>
    </row>
    <row r="1495" spans="1:18">
      <c r="A1495" s="64" t="s">
        <v>79</v>
      </c>
      <c r="B1495" s="65"/>
      <c r="C1495" s="65"/>
      <c r="D1495" s="65"/>
      <c r="E1495" s="66"/>
      <c r="F1495" s="20" t="s">
        <v>63</v>
      </c>
      <c r="G1495" s="67">
        <v>282</v>
      </c>
      <c r="H1495" s="68"/>
      <c r="I1495" s="86"/>
      <c r="J1495" s="87"/>
      <c r="K1495" s="88"/>
      <c r="L1495" s="69">
        <f t="shared" si="77"/>
        <v>60</v>
      </c>
      <c r="M1495" s="70"/>
      <c r="N1495" s="8"/>
      <c r="O1495" s="1"/>
      <c r="P1495" s="30">
        <v>1400</v>
      </c>
      <c r="Q1495" s="38">
        <f t="shared" si="78"/>
        <v>394800</v>
      </c>
      <c r="R1495" s="28">
        <f t="shared" si="79"/>
        <v>84000</v>
      </c>
    </row>
    <row r="1496" spans="1:18">
      <c r="A1496" s="83" t="s">
        <v>80</v>
      </c>
      <c r="B1496" s="84"/>
      <c r="C1496" s="84"/>
      <c r="D1496" s="84"/>
      <c r="E1496" s="85"/>
      <c r="F1496" s="21" t="s">
        <v>65</v>
      </c>
      <c r="G1496" s="67">
        <v>58</v>
      </c>
      <c r="H1496" s="68"/>
      <c r="I1496" s="86"/>
      <c r="J1496" s="87"/>
      <c r="K1496" s="88"/>
      <c r="L1496" s="69">
        <f t="shared" si="77"/>
        <v>0</v>
      </c>
      <c r="M1496" s="70"/>
      <c r="N1496" s="8"/>
      <c r="O1496" s="1"/>
      <c r="P1496" s="30">
        <v>3600</v>
      </c>
      <c r="Q1496" s="38">
        <f t="shared" si="78"/>
        <v>208800</v>
      </c>
      <c r="R1496" s="28">
        <f t="shared" si="79"/>
        <v>0</v>
      </c>
    </row>
    <row r="1497" spans="1:18">
      <c r="A1497" s="83" t="s">
        <v>81</v>
      </c>
      <c r="B1497" s="84"/>
      <c r="C1497" s="84"/>
      <c r="D1497" s="84"/>
      <c r="E1497" s="85"/>
      <c r="F1497" s="21" t="s">
        <v>65</v>
      </c>
      <c r="G1497" s="67">
        <v>360</v>
      </c>
      <c r="H1497" s="68"/>
      <c r="I1497" s="86"/>
      <c r="J1497" s="87"/>
      <c r="K1497" s="88"/>
      <c r="L1497" s="69">
        <f t="shared" si="77"/>
        <v>0</v>
      </c>
      <c r="M1497" s="70"/>
      <c r="N1497" s="8"/>
      <c r="O1497" s="1"/>
      <c r="P1497" s="30">
        <v>230</v>
      </c>
      <c r="Q1497" s="38">
        <f t="shared" si="78"/>
        <v>82800</v>
      </c>
      <c r="R1497" s="28">
        <f t="shared" si="79"/>
        <v>0</v>
      </c>
    </row>
    <row r="1498" spans="1:18">
      <c r="A1498" s="83" t="s">
        <v>82</v>
      </c>
      <c r="B1498" s="84"/>
      <c r="C1498" s="84"/>
      <c r="D1498" s="84"/>
      <c r="E1498" s="85"/>
      <c r="F1498" s="21" t="s">
        <v>65</v>
      </c>
      <c r="G1498" s="67">
        <v>2400</v>
      </c>
      <c r="H1498" s="68"/>
      <c r="I1498" s="86"/>
      <c r="J1498" s="87"/>
      <c r="K1498" s="88"/>
      <c r="L1498" s="69">
        <f t="shared" si="77"/>
        <v>0</v>
      </c>
      <c r="M1498" s="70"/>
      <c r="N1498" s="8"/>
      <c r="O1498" s="1"/>
      <c r="P1498" s="30">
        <v>80</v>
      </c>
      <c r="Q1498" s="38">
        <f t="shared" si="78"/>
        <v>192000</v>
      </c>
      <c r="R1498" s="28">
        <f t="shared" si="79"/>
        <v>0</v>
      </c>
    </row>
    <row r="1499" spans="1:18">
      <c r="A1499" s="89" t="s">
        <v>83</v>
      </c>
      <c r="B1499" s="90"/>
      <c r="C1499" s="90"/>
      <c r="D1499" s="90"/>
      <c r="E1499" s="91"/>
      <c r="F1499" s="21" t="s">
        <v>65</v>
      </c>
      <c r="G1499" s="67">
        <v>360</v>
      </c>
      <c r="H1499" s="68"/>
      <c r="I1499" s="86"/>
      <c r="J1499" s="87"/>
      <c r="K1499" s="88"/>
      <c r="L1499" s="69">
        <f t="shared" si="77"/>
        <v>0</v>
      </c>
      <c r="M1499" s="70"/>
      <c r="N1499" s="8"/>
      <c r="O1499" s="1"/>
      <c r="P1499" s="30">
        <v>420</v>
      </c>
      <c r="Q1499" s="38">
        <f t="shared" si="78"/>
        <v>151200</v>
      </c>
      <c r="R1499" s="28">
        <f t="shared" si="79"/>
        <v>0</v>
      </c>
    </row>
    <row r="1500" spans="1:18">
      <c r="A1500" s="64" t="s">
        <v>84</v>
      </c>
      <c r="B1500" s="65"/>
      <c r="C1500" s="65"/>
      <c r="D1500" s="65"/>
      <c r="E1500" s="66"/>
      <c r="F1500" s="21" t="s">
        <v>65</v>
      </c>
      <c r="G1500" s="67">
        <v>2760</v>
      </c>
      <c r="H1500" s="68"/>
      <c r="I1500" s="86"/>
      <c r="J1500" s="87"/>
      <c r="K1500" s="88"/>
      <c r="L1500" s="69">
        <f t="shared" si="77"/>
        <v>0</v>
      </c>
      <c r="M1500" s="70"/>
      <c r="N1500" s="8"/>
      <c r="O1500" s="1"/>
      <c r="P1500" s="30">
        <v>460</v>
      </c>
      <c r="Q1500" s="38">
        <f t="shared" si="78"/>
        <v>1269600</v>
      </c>
      <c r="R1500" s="28">
        <f t="shared" si="79"/>
        <v>0</v>
      </c>
    </row>
    <row r="1501" spans="1:18">
      <c r="A1501" s="64" t="s">
        <v>85</v>
      </c>
      <c r="B1501" s="65"/>
      <c r="C1501" s="65"/>
      <c r="D1501" s="65"/>
      <c r="E1501" s="66"/>
      <c r="F1501" s="21" t="s">
        <v>65</v>
      </c>
      <c r="G1501" s="67">
        <v>275</v>
      </c>
      <c r="H1501" s="68"/>
      <c r="I1501" s="86"/>
      <c r="J1501" s="87"/>
      <c r="K1501" s="88"/>
      <c r="L1501" s="69">
        <f t="shared" si="77"/>
        <v>0</v>
      </c>
      <c r="M1501" s="70"/>
      <c r="N1501" s="8"/>
      <c r="O1501" s="1"/>
      <c r="P1501" s="31">
        <v>350</v>
      </c>
      <c r="Q1501" s="38">
        <f t="shared" si="78"/>
        <v>96250</v>
      </c>
      <c r="R1501" s="28">
        <f t="shared" si="79"/>
        <v>0</v>
      </c>
    </row>
    <row r="1502" spans="1:18">
      <c r="A1502" s="64" t="s">
        <v>86</v>
      </c>
      <c r="B1502" s="65"/>
      <c r="C1502" s="65"/>
      <c r="D1502" s="65"/>
      <c r="E1502" s="66"/>
      <c r="F1502" s="21" t="s">
        <v>60</v>
      </c>
      <c r="G1502" s="67">
        <v>1</v>
      </c>
      <c r="H1502" s="68"/>
      <c r="I1502" s="86"/>
      <c r="J1502" s="87"/>
      <c r="K1502" s="88"/>
      <c r="L1502" s="69">
        <f t="shared" si="77"/>
        <v>0</v>
      </c>
      <c r="M1502" s="70"/>
      <c r="N1502" s="8"/>
      <c r="O1502" s="2"/>
      <c r="P1502" s="30">
        <v>40000</v>
      </c>
      <c r="Q1502" s="38">
        <f t="shared" si="78"/>
        <v>40000</v>
      </c>
      <c r="R1502" s="28">
        <f t="shared" si="79"/>
        <v>0</v>
      </c>
    </row>
    <row r="1503" spans="1:18">
      <c r="A1503" s="83" t="s">
        <v>87</v>
      </c>
      <c r="B1503" s="84"/>
      <c r="C1503" s="84"/>
      <c r="D1503" s="84"/>
      <c r="E1503" s="85"/>
      <c r="F1503" s="20" t="s">
        <v>60</v>
      </c>
      <c r="G1503" s="67">
        <v>1</v>
      </c>
      <c r="H1503" s="68"/>
      <c r="I1503" s="86"/>
      <c r="J1503" s="87"/>
      <c r="K1503" s="88"/>
      <c r="L1503" s="69">
        <f t="shared" si="77"/>
        <v>0</v>
      </c>
      <c r="M1503" s="70"/>
      <c r="N1503" s="8"/>
      <c r="O1503" s="1"/>
      <c r="P1503" s="31">
        <v>276970</v>
      </c>
      <c r="Q1503" s="38">
        <f t="shared" si="78"/>
        <v>276970</v>
      </c>
      <c r="R1503" s="28">
        <f t="shared" si="79"/>
        <v>0</v>
      </c>
    </row>
    <row r="1504" spans="1:18">
      <c r="A1504" s="83" t="s">
        <v>88</v>
      </c>
      <c r="B1504" s="84"/>
      <c r="C1504" s="84"/>
      <c r="D1504" s="84"/>
      <c r="E1504" s="85"/>
      <c r="F1504" s="20" t="s">
        <v>60</v>
      </c>
      <c r="G1504" s="67">
        <v>1</v>
      </c>
      <c r="H1504" s="68"/>
      <c r="I1504" s="26"/>
      <c r="J1504" s="23"/>
      <c r="K1504" s="24"/>
      <c r="L1504" s="69">
        <f t="shared" si="77"/>
        <v>0</v>
      </c>
      <c r="M1504" s="70"/>
      <c r="N1504" s="25"/>
      <c r="O1504" s="1"/>
      <c r="P1504" s="32">
        <v>60873</v>
      </c>
      <c r="Q1504" s="38">
        <f t="shared" si="78"/>
        <v>60873</v>
      </c>
      <c r="R1504" s="28">
        <f t="shared" si="79"/>
        <v>0</v>
      </c>
    </row>
    <row r="1505" spans="1:19">
      <c r="A1505" s="83" t="s">
        <v>89</v>
      </c>
      <c r="B1505" s="84"/>
      <c r="C1505" s="84"/>
      <c r="D1505" s="84"/>
      <c r="E1505" s="85"/>
      <c r="F1505" s="20" t="s">
        <v>60</v>
      </c>
      <c r="G1505" s="67">
        <v>1</v>
      </c>
      <c r="H1505" s="68"/>
      <c r="I1505" s="26"/>
      <c r="J1505" s="23"/>
      <c r="K1505" s="24"/>
      <c r="L1505" s="69">
        <f t="shared" si="77"/>
        <v>0</v>
      </c>
      <c r="M1505" s="70"/>
      <c r="N1505" s="25"/>
      <c r="O1505" s="1"/>
      <c r="P1505" s="32">
        <v>60873</v>
      </c>
      <c r="Q1505" s="38">
        <f t="shared" si="78"/>
        <v>60873</v>
      </c>
      <c r="R1505" s="28">
        <f t="shared" si="79"/>
        <v>0</v>
      </c>
    </row>
    <row r="1506" spans="1:19">
      <c r="A1506" s="83" t="s">
        <v>90</v>
      </c>
      <c r="B1506" s="84"/>
      <c r="C1506" s="84"/>
      <c r="D1506" s="84"/>
      <c r="E1506" s="85"/>
      <c r="F1506" s="20" t="s">
        <v>60</v>
      </c>
      <c r="G1506" s="67">
        <v>1</v>
      </c>
      <c r="H1506" s="68"/>
      <c r="I1506" s="26"/>
      <c r="J1506" s="23"/>
      <c r="K1506" s="24"/>
      <c r="L1506" s="69">
        <f t="shared" si="77"/>
        <v>0</v>
      </c>
      <c r="M1506" s="70"/>
      <c r="N1506" s="25"/>
      <c r="O1506" s="1"/>
      <c r="P1506" s="34">
        <v>266321</v>
      </c>
      <c r="Q1506" s="38">
        <f t="shared" si="78"/>
        <v>266321</v>
      </c>
      <c r="R1506" s="28">
        <f t="shared" si="79"/>
        <v>0</v>
      </c>
    </row>
    <row r="1507" spans="1:19">
      <c r="A1507" s="83" t="s">
        <v>91</v>
      </c>
      <c r="B1507" s="84"/>
      <c r="C1507" s="84"/>
      <c r="D1507" s="84"/>
      <c r="E1507" s="85"/>
      <c r="F1507" s="2" t="s">
        <v>60</v>
      </c>
      <c r="G1507" s="67">
        <v>1</v>
      </c>
      <c r="H1507" s="68"/>
      <c r="I1507" s="26"/>
      <c r="J1507" s="23"/>
      <c r="K1507" s="24"/>
      <c r="L1507" s="69">
        <f t="shared" si="77"/>
        <v>1</v>
      </c>
      <c r="M1507" s="70"/>
      <c r="N1507" s="25"/>
      <c r="O1507" s="1"/>
      <c r="P1507" s="32">
        <v>13316</v>
      </c>
      <c r="Q1507" s="38">
        <f t="shared" si="78"/>
        <v>13316</v>
      </c>
      <c r="R1507" s="28">
        <f t="shared" si="79"/>
        <v>13316</v>
      </c>
    </row>
    <row r="1508" spans="1:19">
      <c r="A1508" s="83" t="s">
        <v>92</v>
      </c>
      <c r="B1508" s="84"/>
      <c r="C1508" s="84"/>
      <c r="D1508" s="84"/>
      <c r="E1508" s="85"/>
      <c r="F1508" s="20" t="s">
        <v>60</v>
      </c>
      <c r="G1508" s="67">
        <v>1</v>
      </c>
      <c r="H1508" s="68"/>
      <c r="I1508" s="26"/>
      <c r="J1508" s="23"/>
      <c r="K1508" s="24"/>
      <c r="L1508" s="69">
        <f t="shared" si="77"/>
        <v>0</v>
      </c>
      <c r="M1508" s="70"/>
      <c r="N1508" s="25"/>
      <c r="O1508" s="1"/>
      <c r="P1508" s="32">
        <v>210299</v>
      </c>
      <c r="Q1508" s="38">
        <f t="shared" si="78"/>
        <v>210299</v>
      </c>
      <c r="R1508" s="28">
        <f t="shared" si="79"/>
        <v>0</v>
      </c>
    </row>
    <row r="1509" spans="1:19">
      <c r="A1509" s="64"/>
      <c r="B1509" s="65"/>
      <c r="C1509" s="65"/>
      <c r="D1509" s="65"/>
      <c r="E1509" s="66"/>
      <c r="F1509" s="22"/>
      <c r="G1509" s="67"/>
      <c r="H1509" s="68"/>
      <c r="I1509" s="26"/>
      <c r="J1509" s="23"/>
      <c r="K1509" s="24"/>
      <c r="L1509" s="69"/>
      <c r="M1509" s="70"/>
      <c r="N1509" s="25"/>
      <c r="O1509" s="3"/>
      <c r="P1509" s="32"/>
      <c r="Q1509" s="33">
        <f>SUM(Q1483:Q1508)</f>
        <v>4416270</v>
      </c>
      <c r="R1509" s="29">
        <f>SUM(R1483:R1508)</f>
        <v>653016</v>
      </c>
    </row>
    <row r="1510" spans="1:19">
      <c r="A1510" s="64"/>
      <c r="B1510" s="65"/>
      <c r="C1510" s="65"/>
      <c r="D1510" s="65"/>
      <c r="E1510" s="66"/>
      <c r="F1510" s="22"/>
      <c r="G1510" s="67"/>
      <c r="H1510" s="68"/>
      <c r="I1510" s="26"/>
      <c r="J1510" s="23"/>
      <c r="K1510" s="24"/>
      <c r="L1510" s="69"/>
      <c r="M1510" s="70"/>
      <c r="N1510" s="25"/>
      <c r="O1510" s="3"/>
      <c r="P1510" s="32"/>
      <c r="Q1510" s="33"/>
      <c r="R1510" s="37">
        <f>R1509/Q1509</f>
        <v>0.14786595928238083</v>
      </c>
    </row>
    <row r="1511" spans="1:19">
      <c r="A1511" s="62" t="s">
        <v>14</v>
      </c>
      <c r="B1511" s="62"/>
      <c r="C1511" s="62"/>
      <c r="D1511" s="62"/>
      <c r="E1511" s="62"/>
      <c r="F1511" s="62"/>
      <c r="G1511" s="62"/>
      <c r="H1511" s="62"/>
      <c r="I1511" s="62"/>
      <c r="J1511" s="62"/>
      <c r="K1511" s="62"/>
      <c r="L1511" s="62"/>
      <c r="M1511" s="62"/>
      <c r="N1511" s="62"/>
      <c r="O1511" s="1"/>
      <c r="P1511" s="32"/>
      <c r="Q1511" s="33"/>
      <c r="R1511" s="29"/>
      <c r="S1511" s="16"/>
    </row>
    <row r="1512" spans="1:19">
      <c r="A1512" s="71" t="s">
        <v>15</v>
      </c>
      <c r="B1512" s="72"/>
      <c r="C1512" s="72"/>
      <c r="D1512" s="72"/>
      <c r="E1512" s="73"/>
      <c r="F1512" s="9" t="s">
        <v>37</v>
      </c>
      <c r="G1512" s="71" t="s">
        <v>38</v>
      </c>
      <c r="H1512" s="73"/>
      <c r="I1512" s="71" t="s">
        <v>42</v>
      </c>
      <c r="J1512" s="72"/>
      <c r="K1512" s="73"/>
      <c r="L1512" s="74" t="s">
        <v>17</v>
      </c>
      <c r="M1512" s="75"/>
      <c r="N1512" s="9" t="s">
        <v>13</v>
      </c>
      <c r="O1512" s="1"/>
      <c r="P1512" s="32"/>
      <c r="Q1512" s="33"/>
      <c r="R1512" s="29"/>
      <c r="S1512" s="16"/>
    </row>
    <row r="1513" spans="1:19">
      <c r="A1513" s="71"/>
      <c r="B1513" s="72"/>
      <c r="C1513" s="72"/>
      <c r="D1513" s="72"/>
      <c r="E1513" s="73"/>
      <c r="F1513" s="13"/>
      <c r="G1513" s="76"/>
      <c r="H1513" s="77"/>
      <c r="I1513" s="78"/>
      <c r="J1513" s="79"/>
      <c r="K1513" s="80"/>
      <c r="L1513" s="81"/>
      <c r="M1513" s="82"/>
      <c r="N1513" s="8"/>
      <c r="O1513" s="1"/>
      <c r="P1513" s="32"/>
      <c r="Q1513" s="33"/>
      <c r="R1513" s="29"/>
      <c r="S1513" s="16"/>
    </row>
    <row r="1514" spans="1:19">
      <c r="A1514" s="62" t="s">
        <v>19</v>
      </c>
      <c r="B1514" s="62"/>
      <c r="C1514" s="62"/>
      <c r="D1514" s="62"/>
      <c r="E1514" s="62"/>
      <c r="F1514" s="62"/>
      <c r="G1514" s="62"/>
      <c r="H1514" s="62"/>
      <c r="I1514" s="62"/>
      <c r="J1514" s="62"/>
      <c r="K1514" s="62"/>
      <c r="L1514" s="62"/>
      <c r="M1514" s="62"/>
      <c r="N1514" s="62"/>
      <c r="O1514" s="1"/>
      <c r="P1514" s="32"/>
      <c r="Q1514" s="33"/>
      <c r="R1514" s="29"/>
      <c r="S1514" s="16"/>
    </row>
    <row r="1515" spans="1:19">
      <c r="A1515" s="63" t="s">
        <v>20</v>
      </c>
      <c r="B1515" s="63"/>
      <c r="C1515" s="63" t="s">
        <v>21</v>
      </c>
      <c r="D1515" s="63"/>
      <c r="E1515" s="63" t="s">
        <v>22</v>
      </c>
      <c r="F1515" s="63"/>
      <c r="G1515" s="63" t="s">
        <v>23</v>
      </c>
      <c r="H1515" s="63"/>
      <c r="I1515" s="63"/>
      <c r="J1515" s="63" t="s">
        <v>16</v>
      </c>
      <c r="K1515" s="63"/>
      <c r="L1515" s="63"/>
      <c r="M1515" s="63" t="s">
        <v>17</v>
      </c>
      <c r="N1515" s="63"/>
      <c r="O1515" s="1"/>
      <c r="Q1515" s="32"/>
      <c r="R1515" s="33"/>
      <c r="S1515" s="16"/>
    </row>
    <row r="1516" spans="1:19">
      <c r="A1516" s="60" t="s">
        <v>24</v>
      </c>
      <c r="B1516" s="52"/>
      <c r="C1516" s="61"/>
      <c r="D1516" s="61"/>
      <c r="E1516" s="61">
        <f>C1516+E1455</f>
        <v>32</v>
      </c>
      <c r="F1516" s="61"/>
      <c r="G1516" s="60" t="s">
        <v>51</v>
      </c>
      <c r="H1516" s="51"/>
      <c r="I1516" s="52"/>
      <c r="J1516" s="61"/>
      <c r="K1516" s="61"/>
      <c r="L1516" s="61"/>
      <c r="M1516" s="61">
        <f>K1516+M1455</f>
        <v>1</v>
      </c>
      <c r="N1516" s="61"/>
      <c r="O1516" s="1"/>
      <c r="Q1516" s="32"/>
      <c r="R1516" s="33"/>
      <c r="S1516" s="16"/>
    </row>
    <row r="1517" spans="1:19">
      <c r="A1517" s="60" t="s">
        <v>25</v>
      </c>
      <c r="B1517" s="52"/>
      <c r="C1517" s="61"/>
      <c r="D1517" s="61"/>
      <c r="E1517" s="61">
        <f>C1517+E1456</f>
        <v>29</v>
      </c>
      <c r="F1517" s="61"/>
      <c r="G1517" s="60" t="s">
        <v>50</v>
      </c>
      <c r="H1517" s="51"/>
      <c r="I1517" s="52"/>
      <c r="J1517" s="61"/>
      <c r="K1517" s="61"/>
      <c r="L1517" s="61"/>
      <c r="M1517" s="61">
        <f>K1517+M1456</f>
        <v>1</v>
      </c>
      <c r="N1517" s="61"/>
      <c r="O1517" s="1"/>
      <c r="Q1517" s="32"/>
      <c r="R1517" s="33"/>
      <c r="S1517" s="16"/>
    </row>
    <row r="1518" spans="1:19">
      <c r="A1518" s="60"/>
      <c r="B1518" s="52"/>
      <c r="C1518" s="61"/>
      <c r="D1518" s="61"/>
      <c r="E1518" s="61"/>
      <c r="F1518" s="61"/>
      <c r="G1518" s="60" t="s">
        <v>55</v>
      </c>
      <c r="H1518" s="51"/>
      <c r="I1518" s="52"/>
      <c r="J1518" s="61"/>
      <c r="K1518" s="61"/>
      <c r="L1518" s="61"/>
      <c r="M1518" s="61">
        <f>K1518+M1457</f>
        <v>0</v>
      </c>
      <c r="N1518" s="61"/>
      <c r="O1518" s="2"/>
      <c r="P1518" s="29"/>
      <c r="Q1518" s="32"/>
      <c r="R1518" s="33"/>
      <c r="S1518" s="16"/>
    </row>
    <row r="1519" spans="1:19">
      <c r="A1519" s="53" t="s">
        <v>53</v>
      </c>
      <c r="B1519" s="47"/>
      <c r="C1519" s="53"/>
      <c r="D1519" s="53"/>
      <c r="E1519" s="53"/>
      <c r="F1519" s="53"/>
      <c r="G1519" s="53"/>
      <c r="H1519" s="53"/>
      <c r="I1519" s="53"/>
      <c r="J1519" s="53"/>
      <c r="K1519" s="53"/>
      <c r="L1519" s="53"/>
      <c r="M1519" s="53"/>
      <c r="N1519" s="53"/>
      <c r="O1519" s="1"/>
      <c r="P1519" s="32"/>
      <c r="Q1519" s="32"/>
      <c r="R1519" s="33"/>
      <c r="S1519" s="16"/>
    </row>
    <row r="1520" spans="1:19">
      <c r="A1520" s="45" t="s">
        <v>56</v>
      </c>
      <c r="B1520" s="46"/>
      <c r="C1520" s="46"/>
      <c r="D1520" s="46"/>
      <c r="E1520" s="46"/>
      <c r="F1520" s="46"/>
      <c r="G1520" s="46"/>
      <c r="H1520" s="46"/>
      <c r="I1520" s="46"/>
      <c r="J1520" s="46"/>
      <c r="K1520" s="46"/>
      <c r="L1520" s="46"/>
      <c r="M1520" s="46"/>
      <c r="N1520" s="47"/>
      <c r="O1520" s="1"/>
      <c r="P1520" s="32"/>
      <c r="Q1520" s="34"/>
      <c r="R1520" s="33"/>
      <c r="S1520" s="16"/>
    </row>
    <row r="1521" spans="1:19">
      <c r="A1521" s="54" t="s">
        <v>54</v>
      </c>
      <c r="B1521" s="55"/>
      <c r="C1521" s="55"/>
      <c r="D1521" s="55"/>
      <c r="E1521" s="55"/>
      <c r="F1521" s="55"/>
      <c r="G1521" s="55"/>
      <c r="H1521" s="55"/>
      <c r="I1521" s="55"/>
      <c r="J1521" s="55"/>
      <c r="K1521" s="55"/>
      <c r="L1521" s="55"/>
      <c r="M1521" s="55"/>
      <c r="N1521" s="56"/>
      <c r="O1521" s="1"/>
      <c r="P1521" s="32"/>
      <c r="Q1521" s="32"/>
      <c r="R1521" s="33"/>
      <c r="S1521" s="16"/>
    </row>
    <row r="1522" spans="1:19">
      <c r="A1522" s="40" t="s">
        <v>26</v>
      </c>
      <c r="B1522" s="41"/>
      <c r="C1522" s="40"/>
      <c r="D1522" s="40"/>
      <c r="E1522" s="40"/>
      <c r="F1522" s="40"/>
      <c r="G1522" s="40"/>
      <c r="H1522" s="40"/>
      <c r="I1522" s="40"/>
      <c r="J1522" s="40"/>
      <c r="K1522" s="40"/>
      <c r="L1522" s="40"/>
      <c r="M1522" s="40"/>
      <c r="N1522" s="40"/>
      <c r="O1522" s="1"/>
      <c r="P1522" s="32"/>
      <c r="Q1522" s="32"/>
      <c r="R1522" s="33"/>
      <c r="S1522" s="16"/>
    </row>
    <row r="1523" spans="1:19">
      <c r="A1523" s="57" t="s">
        <v>27</v>
      </c>
      <c r="B1523" s="58"/>
      <c r="C1523" s="58"/>
      <c r="D1523" s="58"/>
      <c r="E1523" s="58"/>
      <c r="F1523" s="58"/>
      <c r="G1523" s="58"/>
      <c r="H1523" s="58"/>
      <c r="I1523" s="58"/>
      <c r="J1523" s="58"/>
      <c r="K1523" s="58"/>
      <c r="L1523" s="58"/>
      <c r="M1523" s="58"/>
      <c r="N1523" s="59"/>
      <c r="O1523" s="1"/>
      <c r="P1523" s="34"/>
      <c r="Q1523" s="34"/>
      <c r="R1523" s="33"/>
      <c r="S1523" s="16"/>
    </row>
    <row r="1524" spans="1:19">
      <c r="A1524" s="57" t="s">
        <v>57</v>
      </c>
      <c r="B1524" s="58"/>
      <c r="C1524" s="58"/>
      <c r="D1524" s="58"/>
      <c r="E1524" s="58"/>
      <c r="F1524" s="58"/>
      <c r="G1524" s="58"/>
      <c r="H1524" s="58"/>
      <c r="I1524" s="58"/>
      <c r="J1524" s="58"/>
      <c r="K1524" s="58"/>
      <c r="L1524" s="58"/>
      <c r="M1524" s="58"/>
      <c r="N1524" s="59"/>
      <c r="O1524" s="1"/>
      <c r="P1524" s="32"/>
      <c r="Q1524" s="32"/>
      <c r="R1524" s="33"/>
      <c r="S1524" s="16"/>
    </row>
    <row r="1525" spans="1:19">
      <c r="A1525" s="57" t="s">
        <v>58</v>
      </c>
      <c r="B1525" s="58"/>
      <c r="C1525" s="58"/>
      <c r="D1525" s="58"/>
      <c r="E1525" s="58"/>
      <c r="F1525" s="58"/>
      <c r="G1525" s="58"/>
      <c r="H1525" s="58"/>
      <c r="I1525" s="58"/>
      <c r="J1525" s="58"/>
      <c r="K1525" s="58"/>
      <c r="L1525" s="58"/>
      <c r="M1525" s="58"/>
      <c r="N1525" s="59"/>
      <c r="O1525" s="1"/>
      <c r="P1525" s="32"/>
      <c r="Q1525" s="32"/>
      <c r="R1525" s="33"/>
      <c r="S1525" s="16"/>
    </row>
    <row r="1526" spans="1:19">
      <c r="A1526" s="57" t="s">
        <v>59</v>
      </c>
      <c r="B1526" s="58"/>
      <c r="C1526" s="58"/>
      <c r="D1526" s="58"/>
      <c r="E1526" s="58"/>
      <c r="F1526" s="58"/>
      <c r="G1526" s="58"/>
      <c r="H1526" s="58"/>
      <c r="I1526" s="58"/>
      <c r="J1526" s="58"/>
      <c r="K1526" s="58"/>
      <c r="L1526" s="58"/>
      <c r="M1526" s="58"/>
      <c r="N1526" s="59"/>
      <c r="O1526" s="1"/>
      <c r="P1526" s="32"/>
      <c r="Q1526" s="34"/>
      <c r="R1526" s="33"/>
      <c r="S1526" s="16"/>
    </row>
    <row r="1527" spans="1:19">
      <c r="A1527" s="57" t="s">
        <v>28</v>
      </c>
      <c r="B1527" s="58"/>
      <c r="C1527" s="58"/>
      <c r="D1527" s="58"/>
      <c r="E1527" s="58"/>
      <c r="F1527" s="58"/>
      <c r="G1527" s="58"/>
      <c r="H1527" s="58"/>
      <c r="I1527" s="58"/>
      <c r="J1527" s="58"/>
      <c r="K1527" s="58"/>
      <c r="L1527" s="58"/>
      <c r="M1527" s="58"/>
      <c r="N1527" s="59"/>
      <c r="O1527" s="1"/>
      <c r="P1527" s="34"/>
      <c r="Q1527" s="32"/>
      <c r="R1527" s="33"/>
      <c r="S1527" s="16"/>
    </row>
    <row r="1528" spans="1:19">
      <c r="A1528" s="40" t="s">
        <v>29</v>
      </c>
      <c r="B1528" s="41"/>
      <c r="C1528" s="40"/>
      <c r="D1528" s="40"/>
      <c r="E1528" s="40"/>
      <c r="F1528" s="40"/>
      <c r="G1528" s="40"/>
      <c r="H1528" s="40"/>
      <c r="I1528" s="40"/>
      <c r="J1528" s="40"/>
      <c r="K1528" s="40"/>
      <c r="L1528" s="40"/>
      <c r="M1528" s="40"/>
      <c r="N1528" s="40"/>
      <c r="O1528" s="1"/>
      <c r="P1528" s="32"/>
      <c r="Q1528" s="32"/>
      <c r="R1528" s="33"/>
      <c r="S1528" s="16"/>
    </row>
    <row r="1529" spans="1:19">
      <c r="A1529" s="42"/>
      <c r="B1529" s="43"/>
      <c r="C1529" s="43"/>
      <c r="D1529" s="43"/>
      <c r="E1529" s="43"/>
      <c r="F1529" s="43"/>
      <c r="G1529" s="43"/>
      <c r="H1529" s="43"/>
      <c r="I1529" s="43"/>
      <c r="J1529" s="43"/>
      <c r="K1529" s="43"/>
      <c r="L1529" s="43"/>
      <c r="M1529" s="43"/>
      <c r="N1529" s="44"/>
      <c r="O1529" s="1"/>
      <c r="P1529" s="32"/>
      <c r="Q1529" s="32"/>
      <c r="R1529" s="33"/>
      <c r="S1529" s="16"/>
    </row>
    <row r="1530" spans="1:19">
      <c r="A1530" s="40" t="s">
        <v>30</v>
      </c>
      <c r="B1530" s="41"/>
      <c r="C1530" s="40"/>
      <c r="D1530" s="40"/>
      <c r="E1530" s="40"/>
      <c r="F1530" s="40"/>
      <c r="G1530" s="40"/>
      <c r="H1530" s="40"/>
      <c r="I1530" s="40"/>
      <c r="J1530" s="40"/>
      <c r="K1530" s="40"/>
      <c r="L1530" s="40"/>
      <c r="M1530" s="40"/>
      <c r="N1530" s="40"/>
      <c r="O1530" s="1"/>
      <c r="P1530" s="32"/>
      <c r="Q1530" s="32"/>
      <c r="R1530" s="33"/>
      <c r="S1530" s="16"/>
    </row>
    <row r="1531" spans="1:19">
      <c r="A1531" s="42"/>
      <c r="B1531" s="43"/>
      <c r="C1531" s="43"/>
      <c r="D1531" s="43"/>
      <c r="E1531" s="43"/>
      <c r="F1531" s="43"/>
      <c r="G1531" s="43"/>
      <c r="H1531" s="43"/>
      <c r="I1531" s="43"/>
      <c r="J1531" s="43"/>
      <c r="K1531" s="43"/>
      <c r="L1531" s="43"/>
      <c r="M1531" s="43"/>
      <c r="N1531" s="44"/>
      <c r="O1531" s="1"/>
      <c r="P1531" s="32"/>
      <c r="Q1531" s="32"/>
      <c r="R1531" s="33"/>
      <c r="S1531" s="16"/>
    </row>
    <row r="1532" spans="1:19">
      <c r="A1532" s="40" t="s">
        <v>31</v>
      </c>
      <c r="B1532" s="41"/>
      <c r="C1532" s="40"/>
      <c r="D1532" s="40"/>
      <c r="E1532" s="40"/>
      <c r="F1532" s="40"/>
      <c r="G1532" s="40"/>
      <c r="H1532" s="40"/>
      <c r="I1532" s="40"/>
      <c r="J1532" s="40"/>
      <c r="K1532" s="40"/>
      <c r="L1532" s="40"/>
      <c r="M1532" s="40"/>
      <c r="N1532" s="40"/>
      <c r="O1532" s="1"/>
      <c r="P1532" s="32"/>
      <c r="Q1532" s="32"/>
      <c r="R1532" s="33"/>
      <c r="S1532" s="17"/>
    </row>
    <row r="1533" spans="1:19">
      <c r="A1533" s="45"/>
      <c r="B1533" s="46"/>
      <c r="C1533" s="46"/>
      <c r="D1533" s="46"/>
      <c r="E1533" s="46"/>
      <c r="F1533" s="46"/>
      <c r="G1533" s="46"/>
      <c r="H1533" s="46"/>
      <c r="I1533" s="46"/>
      <c r="J1533" s="46"/>
      <c r="K1533" s="46"/>
      <c r="L1533" s="46"/>
      <c r="M1533" s="46"/>
      <c r="N1533" s="47"/>
      <c r="O1533" s="1"/>
      <c r="P1533" s="32"/>
      <c r="Q1533" s="32"/>
      <c r="R1533" s="33"/>
      <c r="S1533" s="1"/>
    </row>
    <row r="1534" spans="1:19">
      <c r="A1534" s="48" t="s">
        <v>41</v>
      </c>
      <c r="B1534" s="49"/>
      <c r="C1534" s="50"/>
      <c r="D1534" s="50"/>
      <c r="E1534" s="50"/>
      <c r="F1534" s="50"/>
      <c r="G1534" s="50"/>
      <c r="H1534" s="51"/>
      <c r="I1534" s="51"/>
      <c r="J1534" s="51"/>
      <c r="K1534" s="51"/>
      <c r="L1534" s="51"/>
      <c r="M1534" s="51"/>
      <c r="N1534" s="52"/>
      <c r="O1534" s="1"/>
      <c r="P1534" s="32"/>
      <c r="Q1534" s="32"/>
      <c r="R1534" s="33"/>
      <c r="S1534" s="1"/>
    </row>
    <row r="1535" spans="1:19" ht="28.2">
      <c r="A1535" s="1" t="s">
        <v>45</v>
      </c>
      <c r="B1535" s="7">
        <f>B1474+1</f>
        <v>26</v>
      </c>
      <c r="C1535" s="5"/>
      <c r="D1535" s="5"/>
      <c r="E1535" s="5"/>
      <c r="F1535" s="5"/>
      <c r="G1535" s="5"/>
      <c r="H1535" s="5"/>
      <c r="I1535" s="5"/>
      <c r="J1535" s="5"/>
      <c r="K1535" s="5"/>
      <c r="L1535" s="5"/>
      <c r="M1535" s="5"/>
      <c r="N1535" s="5"/>
      <c r="O1535" s="1"/>
      <c r="P1535" s="32"/>
      <c r="Q1535" s="33"/>
      <c r="R1535" s="29"/>
    </row>
    <row r="1536" spans="1:19">
      <c r="A1536" s="1" t="s">
        <v>46</v>
      </c>
      <c r="B1536" s="1" t="s">
        <v>1</v>
      </c>
      <c r="C1536" s="1" t="s">
        <v>2</v>
      </c>
      <c r="D1536" s="1" t="s">
        <v>3</v>
      </c>
      <c r="E1536" s="1" t="s">
        <v>2</v>
      </c>
      <c r="F1536" s="1"/>
      <c r="G1536" s="1"/>
      <c r="H1536" s="112" t="s">
        <v>4</v>
      </c>
      <c r="I1536" s="112"/>
      <c r="J1536" s="113">
        <f>J1475+1</f>
        <v>46237</v>
      </c>
      <c r="K1536" s="113"/>
      <c r="L1536" s="113"/>
      <c r="M1536" s="114">
        <f>J1536</f>
        <v>46237</v>
      </c>
      <c r="N1536" s="114"/>
      <c r="O1536" s="1"/>
      <c r="P1536" s="32"/>
      <c r="Q1536" s="33"/>
      <c r="R1536" s="29"/>
    </row>
    <row r="1537" spans="1:18">
      <c r="A1537" s="8" t="s">
        <v>5</v>
      </c>
      <c r="B1537" s="115">
        <f>B1468</f>
        <v>0</v>
      </c>
      <c r="C1537" s="116"/>
      <c r="D1537" s="116"/>
      <c r="E1537" s="116"/>
      <c r="F1537" s="116"/>
      <c r="G1537" s="117"/>
      <c r="H1537" s="63" t="s">
        <v>6</v>
      </c>
      <c r="I1537" s="63"/>
      <c r="J1537" s="63"/>
      <c r="K1537" s="63" t="s">
        <v>52</v>
      </c>
      <c r="L1537" s="63"/>
      <c r="M1537" s="63"/>
      <c r="N1537" s="63"/>
      <c r="O1537" s="1"/>
      <c r="P1537" s="32"/>
      <c r="Q1537" s="33"/>
      <c r="R1537" s="29"/>
    </row>
    <row r="1538" spans="1:18">
      <c r="A1538" s="8" t="s">
        <v>32</v>
      </c>
      <c r="B1538" s="10">
        <v>60</v>
      </c>
      <c r="C1538" s="11" t="s">
        <v>43</v>
      </c>
      <c r="D1538" s="71" t="s">
        <v>7</v>
      </c>
      <c r="E1538" s="73"/>
      <c r="F1538" s="10">
        <f>F1477+1</f>
        <v>26</v>
      </c>
      <c r="G1538" s="11" t="s">
        <v>8</v>
      </c>
      <c r="H1538" s="9" t="s">
        <v>9</v>
      </c>
      <c r="I1538" s="10">
        <f>B1538-F1538</f>
        <v>34</v>
      </c>
      <c r="J1538" s="11" t="s">
        <v>8</v>
      </c>
      <c r="K1538" s="118" t="s">
        <v>33</v>
      </c>
      <c r="L1538" s="119"/>
      <c r="M1538" s="12"/>
      <c r="N1538" s="11" t="s">
        <v>8</v>
      </c>
      <c r="O1538" s="1"/>
      <c r="P1538" s="34"/>
      <c r="Q1538" s="33"/>
      <c r="R1538" s="29"/>
    </row>
    <row r="1539" spans="1:18">
      <c r="A1539" s="71" t="s">
        <v>34</v>
      </c>
      <c r="B1539" s="72"/>
      <c r="C1539" s="73"/>
      <c r="D1539" s="120">
        <v>46212</v>
      </c>
      <c r="E1539" s="121"/>
      <c r="F1539" s="121"/>
      <c r="G1539" s="122"/>
      <c r="H1539" s="71" t="s">
        <v>35</v>
      </c>
      <c r="I1539" s="72"/>
      <c r="J1539" s="73"/>
      <c r="K1539" s="120">
        <f>D1539+59</f>
        <v>46271</v>
      </c>
      <c r="L1539" s="121"/>
      <c r="M1539" s="121"/>
      <c r="N1539" s="122"/>
      <c r="O1539" s="1"/>
      <c r="P1539" s="32"/>
      <c r="Q1539" s="33"/>
      <c r="R1539" s="29"/>
    </row>
    <row r="1540" spans="1:18">
      <c r="A1540" s="92" t="s">
        <v>10</v>
      </c>
      <c r="B1540" s="93"/>
      <c r="C1540" s="94"/>
      <c r="D1540" s="98">
        <f>D1479+0.0781/5</f>
        <v>0.13552000000000003</v>
      </c>
      <c r="E1540" s="99"/>
      <c r="F1540" s="99"/>
      <c r="G1540" s="100"/>
      <c r="H1540" s="104" t="s">
        <v>36</v>
      </c>
      <c r="I1540" s="105"/>
      <c r="J1540" s="106"/>
      <c r="K1540" s="110">
        <f>R1571</f>
        <v>0.14786595928238083</v>
      </c>
      <c r="L1540" s="105"/>
      <c r="M1540" s="105"/>
      <c r="N1540" s="106"/>
      <c r="O1540" s="1"/>
      <c r="P1540" s="32"/>
      <c r="Q1540" s="33"/>
      <c r="R1540" s="29"/>
    </row>
    <row r="1541" spans="1:18">
      <c r="A1541" s="95"/>
      <c r="B1541" s="96"/>
      <c r="C1541" s="97"/>
      <c r="D1541" s="101"/>
      <c r="E1541" s="102"/>
      <c r="F1541" s="102"/>
      <c r="G1541" s="103"/>
      <c r="H1541" s="107"/>
      <c r="I1541" s="108"/>
      <c r="J1541" s="109"/>
      <c r="K1541" s="107"/>
      <c r="L1541" s="108"/>
      <c r="M1541" s="108"/>
      <c r="N1541" s="109"/>
      <c r="O1541" s="1"/>
      <c r="P1541" s="32"/>
      <c r="Q1541" s="33"/>
      <c r="R1541" s="29"/>
    </row>
    <row r="1542" spans="1:18">
      <c r="A1542" s="62" t="s">
        <v>11</v>
      </c>
      <c r="B1542" s="62"/>
      <c r="C1542" s="62"/>
      <c r="D1542" s="62"/>
      <c r="E1542" s="62"/>
      <c r="F1542" s="62"/>
      <c r="G1542" s="62"/>
      <c r="H1542" s="62"/>
      <c r="I1542" s="62"/>
      <c r="J1542" s="62"/>
      <c r="K1542" s="62"/>
      <c r="L1542" s="62"/>
      <c r="M1542" s="62"/>
      <c r="N1542" s="62"/>
      <c r="O1542" s="1"/>
      <c r="P1542" s="32"/>
      <c r="Q1542" s="33"/>
      <c r="R1542" s="29"/>
    </row>
    <row r="1543" spans="1:18">
      <c r="A1543" s="111" t="s">
        <v>12</v>
      </c>
      <c r="B1543" s="111"/>
      <c r="C1543" s="111"/>
      <c r="D1543" s="111"/>
      <c r="E1543" s="111"/>
      <c r="F1543" s="14" t="s">
        <v>37</v>
      </c>
      <c r="G1543" s="111" t="s">
        <v>38</v>
      </c>
      <c r="H1543" s="111"/>
      <c r="I1543" s="63" t="s">
        <v>39</v>
      </c>
      <c r="J1543" s="63"/>
      <c r="K1543" s="63"/>
      <c r="L1543" s="63" t="s">
        <v>40</v>
      </c>
      <c r="M1543" s="63"/>
      <c r="N1543" s="9" t="s">
        <v>13</v>
      </c>
      <c r="O1543" s="1"/>
      <c r="P1543" s="28" t="s">
        <v>47</v>
      </c>
      <c r="Q1543" s="29" t="s">
        <v>48</v>
      </c>
      <c r="R1543" s="29" t="s">
        <v>49</v>
      </c>
    </row>
    <row r="1544" spans="1:18">
      <c r="A1544" s="83" t="s">
        <v>67</v>
      </c>
      <c r="B1544" s="84"/>
      <c r="C1544" s="84"/>
      <c r="D1544" s="84"/>
      <c r="E1544" s="85"/>
      <c r="F1544" s="27" t="s">
        <v>60</v>
      </c>
      <c r="G1544" s="67">
        <v>1</v>
      </c>
      <c r="H1544" s="68"/>
      <c r="I1544" s="86"/>
      <c r="J1544" s="87"/>
      <c r="K1544" s="88"/>
      <c r="L1544" s="69">
        <f>I1544+L1483</f>
        <v>1</v>
      </c>
      <c r="M1544" s="70"/>
      <c r="N1544" s="8"/>
      <c r="O1544" s="1"/>
      <c r="P1544" s="30">
        <v>6000</v>
      </c>
      <c r="Q1544" s="38">
        <f>P1544*G1544</f>
        <v>6000</v>
      </c>
      <c r="R1544" s="28">
        <f>L1544*P1544</f>
        <v>6000</v>
      </c>
    </row>
    <row r="1545" spans="1:18">
      <c r="A1545" s="83" t="s">
        <v>68</v>
      </c>
      <c r="B1545" s="84"/>
      <c r="C1545" s="84"/>
      <c r="D1545" s="84"/>
      <c r="E1545" s="85"/>
      <c r="F1545" s="20" t="s">
        <v>60</v>
      </c>
      <c r="G1545" s="67">
        <v>1</v>
      </c>
      <c r="H1545" s="68"/>
      <c r="I1545" s="87"/>
      <c r="J1545" s="87"/>
      <c r="K1545" s="88"/>
      <c r="L1545" s="69">
        <f t="shared" ref="L1545:L1569" si="80">I1545+L1484</f>
        <v>1</v>
      </c>
      <c r="M1545" s="70"/>
      <c r="N1545" s="8"/>
      <c r="O1545" s="1"/>
      <c r="P1545" s="30">
        <v>193300</v>
      </c>
      <c r="Q1545" s="38">
        <f t="shared" ref="Q1545:Q1569" si="81">P1545*G1545</f>
        <v>193300</v>
      </c>
      <c r="R1545" s="28">
        <f>L1545*P1545</f>
        <v>193300</v>
      </c>
    </row>
    <row r="1546" spans="1:18">
      <c r="A1546" s="89" t="s">
        <v>69</v>
      </c>
      <c r="B1546" s="90"/>
      <c r="C1546" s="90"/>
      <c r="D1546" s="90"/>
      <c r="E1546" s="91"/>
      <c r="F1546" s="20" t="s">
        <v>60</v>
      </c>
      <c r="G1546" s="67">
        <v>1</v>
      </c>
      <c r="H1546" s="68"/>
      <c r="I1546" s="87"/>
      <c r="J1546" s="87"/>
      <c r="K1546" s="88"/>
      <c r="L1546" s="69">
        <f t="shared" si="80"/>
        <v>0.5</v>
      </c>
      <c r="M1546" s="70"/>
      <c r="N1546" s="8"/>
      <c r="O1546" s="1"/>
      <c r="P1546" s="30">
        <v>30000</v>
      </c>
      <c r="Q1546" s="38">
        <f t="shared" si="81"/>
        <v>30000</v>
      </c>
      <c r="R1546" s="28">
        <f>L1546*P1546</f>
        <v>15000</v>
      </c>
    </row>
    <row r="1547" spans="1:18">
      <c r="A1547" s="64" t="s">
        <v>70</v>
      </c>
      <c r="B1547" s="65"/>
      <c r="C1547" s="65"/>
      <c r="D1547" s="65"/>
      <c r="E1547" s="66"/>
      <c r="F1547" s="20" t="s">
        <v>60</v>
      </c>
      <c r="G1547" s="67">
        <v>1</v>
      </c>
      <c r="H1547" s="68"/>
      <c r="I1547" s="87"/>
      <c r="J1547" s="87"/>
      <c r="K1547" s="88"/>
      <c r="L1547" s="69">
        <f t="shared" si="80"/>
        <v>1</v>
      </c>
      <c r="M1547" s="70"/>
      <c r="N1547" s="8"/>
      <c r="O1547" s="1"/>
      <c r="P1547" s="31">
        <v>10000</v>
      </c>
      <c r="Q1547" s="38">
        <f t="shared" si="81"/>
        <v>10000</v>
      </c>
      <c r="R1547" s="28">
        <f t="shared" ref="R1547:R1569" si="82">L1547*P1547</f>
        <v>10000</v>
      </c>
    </row>
    <row r="1548" spans="1:18">
      <c r="A1548" s="64" t="s">
        <v>71</v>
      </c>
      <c r="B1548" s="65"/>
      <c r="C1548" s="65"/>
      <c r="D1548" s="65"/>
      <c r="E1548" s="66"/>
      <c r="F1548" s="20" t="s">
        <v>61</v>
      </c>
      <c r="G1548" s="67">
        <v>9</v>
      </c>
      <c r="H1548" s="68"/>
      <c r="I1548" s="87"/>
      <c r="J1548" s="87"/>
      <c r="K1548" s="88"/>
      <c r="L1548" s="69">
        <f t="shared" si="80"/>
        <v>9</v>
      </c>
      <c r="M1548" s="70"/>
      <c r="N1548" s="8"/>
      <c r="O1548" s="1"/>
      <c r="P1548" s="30">
        <v>21000</v>
      </c>
      <c r="Q1548" s="38">
        <f t="shared" si="81"/>
        <v>189000</v>
      </c>
      <c r="R1548" s="28">
        <f t="shared" si="82"/>
        <v>189000</v>
      </c>
    </row>
    <row r="1549" spans="1:18">
      <c r="A1549" s="64" t="s">
        <v>72</v>
      </c>
      <c r="B1549" s="65"/>
      <c r="C1549" s="65"/>
      <c r="D1549" s="65"/>
      <c r="E1549" s="66"/>
      <c r="F1549" s="2" t="s">
        <v>60</v>
      </c>
      <c r="G1549" s="67">
        <v>1</v>
      </c>
      <c r="H1549" s="68"/>
      <c r="I1549" s="87"/>
      <c r="J1549" s="87"/>
      <c r="K1549" s="88"/>
      <c r="L1549" s="69">
        <f t="shared" si="80"/>
        <v>0</v>
      </c>
      <c r="M1549" s="70"/>
      <c r="N1549" s="8"/>
      <c r="O1549" s="1"/>
      <c r="P1549" s="30">
        <v>184468</v>
      </c>
      <c r="Q1549" s="38">
        <f t="shared" si="81"/>
        <v>184468</v>
      </c>
      <c r="R1549" s="28">
        <f t="shared" si="82"/>
        <v>0</v>
      </c>
    </row>
    <row r="1550" spans="1:18">
      <c r="A1550" s="83" t="s">
        <v>73</v>
      </c>
      <c r="B1550" s="84"/>
      <c r="C1550" s="84"/>
      <c r="D1550" s="84"/>
      <c r="E1550" s="85"/>
      <c r="F1550" s="20" t="s">
        <v>62</v>
      </c>
      <c r="G1550" s="67">
        <v>9</v>
      </c>
      <c r="H1550" s="68"/>
      <c r="I1550" s="87"/>
      <c r="J1550" s="87"/>
      <c r="K1550" s="88"/>
      <c r="L1550" s="69">
        <f t="shared" si="80"/>
        <v>0</v>
      </c>
      <c r="M1550" s="70"/>
      <c r="N1550" s="8"/>
      <c r="O1550" s="1"/>
      <c r="P1550" s="30">
        <v>20000</v>
      </c>
      <c r="Q1550" s="38">
        <f t="shared" si="81"/>
        <v>180000</v>
      </c>
      <c r="R1550" s="28">
        <f t="shared" si="82"/>
        <v>0</v>
      </c>
    </row>
    <row r="1551" spans="1:18">
      <c r="A1551" s="83" t="s">
        <v>74</v>
      </c>
      <c r="B1551" s="84"/>
      <c r="C1551" s="84"/>
      <c r="D1551" s="84"/>
      <c r="E1551" s="85"/>
      <c r="F1551" s="20" t="s">
        <v>63</v>
      </c>
      <c r="G1551" s="67">
        <v>52</v>
      </c>
      <c r="H1551" s="68"/>
      <c r="I1551" s="87"/>
      <c r="J1551" s="87"/>
      <c r="K1551" s="88"/>
      <c r="L1551" s="69">
        <f t="shared" si="80"/>
        <v>52</v>
      </c>
      <c r="M1551" s="70"/>
      <c r="N1551" s="8"/>
      <c r="O1551" s="1"/>
      <c r="P1551" s="31">
        <v>2500</v>
      </c>
      <c r="Q1551" s="38">
        <f t="shared" si="81"/>
        <v>130000</v>
      </c>
      <c r="R1551" s="28">
        <f t="shared" si="82"/>
        <v>130000</v>
      </c>
    </row>
    <row r="1552" spans="1:18">
      <c r="A1552" s="83" t="s">
        <v>75</v>
      </c>
      <c r="B1552" s="84"/>
      <c r="C1552" s="84"/>
      <c r="D1552" s="84"/>
      <c r="E1552" s="85"/>
      <c r="F1552" s="20" t="s">
        <v>64</v>
      </c>
      <c r="G1552" s="67">
        <v>1</v>
      </c>
      <c r="H1552" s="68"/>
      <c r="I1552" s="87"/>
      <c r="J1552" s="87"/>
      <c r="K1552" s="88"/>
      <c r="L1552" s="69">
        <f t="shared" si="80"/>
        <v>0</v>
      </c>
      <c r="M1552" s="70"/>
      <c r="N1552" s="8"/>
      <c r="O1552" s="1"/>
      <c r="P1552" s="30">
        <v>80000</v>
      </c>
      <c r="Q1552" s="38">
        <f t="shared" si="81"/>
        <v>80000</v>
      </c>
      <c r="R1552" s="28">
        <f t="shared" si="82"/>
        <v>0</v>
      </c>
    </row>
    <row r="1553" spans="1:18">
      <c r="A1553" s="89" t="s">
        <v>76</v>
      </c>
      <c r="B1553" s="90"/>
      <c r="C1553" s="90"/>
      <c r="D1553" s="90"/>
      <c r="E1553" s="91"/>
      <c r="F1553" s="20" t="s">
        <v>65</v>
      </c>
      <c r="G1553" s="67">
        <v>31</v>
      </c>
      <c r="H1553" s="68"/>
      <c r="I1553" s="87"/>
      <c r="J1553" s="87"/>
      <c r="K1553" s="88"/>
      <c r="L1553" s="69">
        <f t="shared" si="80"/>
        <v>31</v>
      </c>
      <c r="M1553" s="70"/>
      <c r="N1553" s="8"/>
      <c r="O1553" s="1"/>
      <c r="P1553" s="30">
        <v>400</v>
      </c>
      <c r="Q1553" s="38">
        <f t="shared" si="81"/>
        <v>12400</v>
      </c>
      <c r="R1553" s="28">
        <f t="shared" si="82"/>
        <v>12400</v>
      </c>
    </row>
    <row r="1554" spans="1:18">
      <c r="A1554" s="64" t="s">
        <v>77</v>
      </c>
      <c r="B1554" s="65"/>
      <c r="C1554" s="65"/>
      <c r="D1554" s="65"/>
      <c r="E1554" s="66"/>
      <c r="F1554" s="20" t="s">
        <v>65</v>
      </c>
      <c r="G1554" s="67">
        <v>100</v>
      </c>
      <c r="H1554" s="68"/>
      <c r="I1554" s="87"/>
      <c r="J1554" s="87"/>
      <c r="K1554" s="88"/>
      <c r="L1554" s="69">
        <f t="shared" si="80"/>
        <v>0</v>
      </c>
      <c r="M1554" s="70"/>
      <c r="N1554" s="8"/>
      <c r="O1554" s="1"/>
      <c r="P1554" s="30">
        <v>350</v>
      </c>
      <c r="Q1554" s="38">
        <f t="shared" si="81"/>
        <v>35000</v>
      </c>
      <c r="R1554" s="28">
        <f t="shared" si="82"/>
        <v>0</v>
      </c>
    </row>
    <row r="1555" spans="1:18">
      <c r="A1555" s="64" t="s">
        <v>78</v>
      </c>
      <c r="B1555" s="65"/>
      <c r="C1555" s="65"/>
      <c r="D1555" s="65"/>
      <c r="E1555" s="66"/>
      <c r="F1555" s="20" t="s">
        <v>63</v>
      </c>
      <c r="G1555" s="67">
        <v>35</v>
      </c>
      <c r="H1555" s="68"/>
      <c r="I1555" s="87"/>
      <c r="J1555" s="87"/>
      <c r="K1555" s="88"/>
      <c r="L1555" s="69">
        <f t="shared" si="80"/>
        <v>0</v>
      </c>
      <c r="M1555" s="70"/>
      <c r="N1555" s="8"/>
      <c r="O1555" s="1"/>
      <c r="P1555" s="30">
        <v>1200</v>
      </c>
      <c r="Q1555" s="38">
        <f t="shared" si="81"/>
        <v>42000</v>
      </c>
      <c r="R1555" s="28">
        <f t="shared" si="82"/>
        <v>0</v>
      </c>
    </row>
    <row r="1556" spans="1:18">
      <c r="A1556" s="64" t="s">
        <v>79</v>
      </c>
      <c r="B1556" s="65"/>
      <c r="C1556" s="65"/>
      <c r="D1556" s="65"/>
      <c r="E1556" s="66"/>
      <c r="F1556" s="20" t="s">
        <v>63</v>
      </c>
      <c r="G1556" s="67">
        <v>282</v>
      </c>
      <c r="H1556" s="68"/>
      <c r="I1556" s="86"/>
      <c r="J1556" s="87"/>
      <c r="K1556" s="88"/>
      <c r="L1556" s="69">
        <f t="shared" si="80"/>
        <v>60</v>
      </c>
      <c r="M1556" s="70"/>
      <c r="N1556" s="8"/>
      <c r="O1556" s="1"/>
      <c r="P1556" s="30">
        <v>1400</v>
      </c>
      <c r="Q1556" s="38">
        <f t="shared" si="81"/>
        <v>394800</v>
      </c>
      <c r="R1556" s="28">
        <f t="shared" si="82"/>
        <v>84000</v>
      </c>
    </row>
    <row r="1557" spans="1:18">
      <c r="A1557" s="83" t="s">
        <v>80</v>
      </c>
      <c r="B1557" s="84"/>
      <c r="C1557" s="84"/>
      <c r="D1557" s="84"/>
      <c r="E1557" s="85"/>
      <c r="F1557" s="21" t="s">
        <v>65</v>
      </c>
      <c r="G1557" s="67">
        <v>58</v>
      </c>
      <c r="H1557" s="68"/>
      <c r="I1557" s="86"/>
      <c r="J1557" s="87"/>
      <c r="K1557" s="88"/>
      <c r="L1557" s="69">
        <f t="shared" si="80"/>
        <v>0</v>
      </c>
      <c r="M1557" s="70"/>
      <c r="N1557" s="8"/>
      <c r="O1557" s="1"/>
      <c r="P1557" s="30">
        <v>3600</v>
      </c>
      <c r="Q1557" s="38">
        <f t="shared" si="81"/>
        <v>208800</v>
      </c>
      <c r="R1557" s="28">
        <f t="shared" si="82"/>
        <v>0</v>
      </c>
    </row>
    <row r="1558" spans="1:18">
      <c r="A1558" s="83" t="s">
        <v>81</v>
      </c>
      <c r="B1558" s="84"/>
      <c r="C1558" s="84"/>
      <c r="D1558" s="84"/>
      <c r="E1558" s="85"/>
      <c r="F1558" s="21" t="s">
        <v>65</v>
      </c>
      <c r="G1558" s="67">
        <v>360</v>
      </c>
      <c r="H1558" s="68"/>
      <c r="I1558" s="86"/>
      <c r="J1558" s="87"/>
      <c r="K1558" s="88"/>
      <c r="L1558" s="69">
        <f t="shared" si="80"/>
        <v>0</v>
      </c>
      <c r="M1558" s="70"/>
      <c r="N1558" s="8"/>
      <c r="O1558" s="1"/>
      <c r="P1558" s="30">
        <v>230</v>
      </c>
      <c r="Q1558" s="38">
        <f t="shared" si="81"/>
        <v>82800</v>
      </c>
      <c r="R1558" s="28">
        <f t="shared" si="82"/>
        <v>0</v>
      </c>
    </row>
    <row r="1559" spans="1:18">
      <c r="A1559" s="83" t="s">
        <v>82</v>
      </c>
      <c r="B1559" s="84"/>
      <c r="C1559" s="84"/>
      <c r="D1559" s="84"/>
      <c r="E1559" s="85"/>
      <c r="F1559" s="21" t="s">
        <v>65</v>
      </c>
      <c r="G1559" s="67">
        <v>2400</v>
      </c>
      <c r="H1559" s="68"/>
      <c r="I1559" s="86"/>
      <c r="J1559" s="87"/>
      <c r="K1559" s="88"/>
      <c r="L1559" s="69">
        <f t="shared" si="80"/>
        <v>0</v>
      </c>
      <c r="M1559" s="70"/>
      <c r="N1559" s="8"/>
      <c r="O1559" s="1"/>
      <c r="P1559" s="30">
        <v>80</v>
      </c>
      <c r="Q1559" s="38">
        <f t="shared" si="81"/>
        <v>192000</v>
      </c>
      <c r="R1559" s="28">
        <f t="shared" si="82"/>
        <v>0</v>
      </c>
    </row>
    <row r="1560" spans="1:18">
      <c r="A1560" s="89" t="s">
        <v>83</v>
      </c>
      <c r="B1560" s="90"/>
      <c r="C1560" s="90"/>
      <c r="D1560" s="90"/>
      <c r="E1560" s="91"/>
      <c r="F1560" s="21" t="s">
        <v>65</v>
      </c>
      <c r="G1560" s="67">
        <v>360</v>
      </c>
      <c r="H1560" s="68"/>
      <c r="I1560" s="86"/>
      <c r="J1560" s="87"/>
      <c r="K1560" s="88"/>
      <c r="L1560" s="69">
        <f t="shared" si="80"/>
        <v>0</v>
      </c>
      <c r="M1560" s="70"/>
      <c r="N1560" s="8"/>
      <c r="O1560" s="1"/>
      <c r="P1560" s="30">
        <v>420</v>
      </c>
      <c r="Q1560" s="38">
        <f t="shared" si="81"/>
        <v>151200</v>
      </c>
      <c r="R1560" s="28">
        <f t="shared" si="82"/>
        <v>0</v>
      </c>
    </row>
    <row r="1561" spans="1:18">
      <c r="A1561" s="64" t="s">
        <v>84</v>
      </c>
      <c r="B1561" s="65"/>
      <c r="C1561" s="65"/>
      <c r="D1561" s="65"/>
      <c r="E1561" s="66"/>
      <c r="F1561" s="21" t="s">
        <v>65</v>
      </c>
      <c r="G1561" s="67">
        <v>2760</v>
      </c>
      <c r="H1561" s="68"/>
      <c r="I1561" s="86"/>
      <c r="J1561" s="87"/>
      <c r="K1561" s="88"/>
      <c r="L1561" s="69">
        <f t="shared" si="80"/>
        <v>0</v>
      </c>
      <c r="M1561" s="70"/>
      <c r="N1561" s="8"/>
      <c r="O1561" s="1"/>
      <c r="P1561" s="30">
        <v>460</v>
      </c>
      <c r="Q1561" s="38">
        <f t="shared" si="81"/>
        <v>1269600</v>
      </c>
      <c r="R1561" s="28">
        <f t="shared" si="82"/>
        <v>0</v>
      </c>
    </row>
    <row r="1562" spans="1:18">
      <c r="A1562" s="64" t="s">
        <v>85</v>
      </c>
      <c r="B1562" s="65"/>
      <c r="C1562" s="65"/>
      <c r="D1562" s="65"/>
      <c r="E1562" s="66"/>
      <c r="F1562" s="21" t="s">
        <v>65</v>
      </c>
      <c r="G1562" s="67">
        <v>275</v>
      </c>
      <c r="H1562" s="68"/>
      <c r="I1562" s="86"/>
      <c r="J1562" s="87"/>
      <c r="K1562" s="88"/>
      <c r="L1562" s="69">
        <f t="shared" si="80"/>
        <v>0</v>
      </c>
      <c r="M1562" s="70"/>
      <c r="N1562" s="8"/>
      <c r="O1562" s="1"/>
      <c r="P1562" s="31">
        <v>350</v>
      </c>
      <c r="Q1562" s="38">
        <f t="shared" si="81"/>
        <v>96250</v>
      </c>
      <c r="R1562" s="28">
        <f t="shared" si="82"/>
        <v>0</v>
      </c>
    </row>
    <row r="1563" spans="1:18">
      <c r="A1563" s="64" t="s">
        <v>86</v>
      </c>
      <c r="B1563" s="65"/>
      <c r="C1563" s="65"/>
      <c r="D1563" s="65"/>
      <c r="E1563" s="66"/>
      <c r="F1563" s="21" t="s">
        <v>60</v>
      </c>
      <c r="G1563" s="67">
        <v>1</v>
      </c>
      <c r="H1563" s="68"/>
      <c r="I1563" s="86"/>
      <c r="J1563" s="87"/>
      <c r="K1563" s="88"/>
      <c r="L1563" s="69">
        <f t="shared" si="80"/>
        <v>0</v>
      </c>
      <c r="M1563" s="70"/>
      <c r="N1563" s="8"/>
      <c r="O1563" s="2"/>
      <c r="P1563" s="30">
        <v>40000</v>
      </c>
      <c r="Q1563" s="38">
        <f t="shared" si="81"/>
        <v>40000</v>
      </c>
      <c r="R1563" s="28">
        <f t="shared" si="82"/>
        <v>0</v>
      </c>
    </row>
    <row r="1564" spans="1:18">
      <c r="A1564" s="83" t="s">
        <v>87</v>
      </c>
      <c r="B1564" s="84"/>
      <c r="C1564" s="84"/>
      <c r="D1564" s="84"/>
      <c r="E1564" s="85"/>
      <c r="F1564" s="20" t="s">
        <v>60</v>
      </c>
      <c r="G1564" s="67">
        <v>1</v>
      </c>
      <c r="H1564" s="68"/>
      <c r="I1564" s="86"/>
      <c r="J1564" s="87"/>
      <c r="K1564" s="88"/>
      <c r="L1564" s="69">
        <f t="shared" si="80"/>
        <v>0</v>
      </c>
      <c r="M1564" s="70"/>
      <c r="N1564" s="8"/>
      <c r="O1564" s="1"/>
      <c r="P1564" s="31">
        <v>276970</v>
      </c>
      <c r="Q1564" s="38">
        <f t="shared" si="81"/>
        <v>276970</v>
      </c>
      <c r="R1564" s="28">
        <f t="shared" si="82"/>
        <v>0</v>
      </c>
    </row>
    <row r="1565" spans="1:18">
      <c r="A1565" s="83" t="s">
        <v>88</v>
      </c>
      <c r="B1565" s="84"/>
      <c r="C1565" s="84"/>
      <c r="D1565" s="84"/>
      <c r="E1565" s="85"/>
      <c r="F1565" s="20" t="s">
        <v>60</v>
      </c>
      <c r="G1565" s="67">
        <v>1</v>
      </c>
      <c r="H1565" s="68"/>
      <c r="I1565" s="26"/>
      <c r="J1565" s="23"/>
      <c r="K1565" s="24"/>
      <c r="L1565" s="69">
        <f t="shared" si="80"/>
        <v>0</v>
      </c>
      <c r="M1565" s="70"/>
      <c r="N1565" s="25"/>
      <c r="O1565" s="1"/>
      <c r="P1565" s="32">
        <v>60873</v>
      </c>
      <c r="Q1565" s="38">
        <f t="shared" si="81"/>
        <v>60873</v>
      </c>
      <c r="R1565" s="28">
        <f t="shared" si="82"/>
        <v>0</v>
      </c>
    </row>
    <row r="1566" spans="1:18">
      <c r="A1566" s="83" t="s">
        <v>89</v>
      </c>
      <c r="B1566" s="84"/>
      <c r="C1566" s="84"/>
      <c r="D1566" s="84"/>
      <c r="E1566" s="85"/>
      <c r="F1566" s="20" t="s">
        <v>60</v>
      </c>
      <c r="G1566" s="67">
        <v>1</v>
      </c>
      <c r="H1566" s="68"/>
      <c r="I1566" s="26"/>
      <c r="J1566" s="23"/>
      <c r="K1566" s="24"/>
      <c r="L1566" s="69">
        <f t="shared" si="80"/>
        <v>0</v>
      </c>
      <c r="M1566" s="70"/>
      <c r="N1566" s="25"/>
      <c r="O1566" s="1"/>
      <c r="P1566" s="32">
        <v>60873</v>
      </c>
      <c r="Q1566" s="38">
        <f t="shared" si="81"/>
        <v>60873</v>
      </c>
      <c r="R1566" s="28">
        <f t="shared" si="82"/>
        <v>0</v>
      </c>
    </row>
    <row r="1567" spans="1:18">
      <c r="A1567" s="83" t="s">
        <v>90</v>
      </c>
      <c r="B1567" s="84"/>
      <c r="C1567" s="84"/>
      <c r="D1567" s="84"/>
      <c r="E1567" s="85"/>
      <c r="F1567" s="20" t="s">
        <v>60</v>
      </c>
      <c r="G1567" s="67">
        <v>1</v>
      </c>
      <c r="H1567" s="68"/>
      <c r="I1567" s="26"/>
      <c r="J1567" s="23"/>
      <c r="K1567" s="24"/>
      <c r="L1567" s="69">
        <f t="shared" si="80"/>
        <v>0</v>
      </c>
      <c r="M1567" s="70"/>
      <c r="N1567" s="25"/>
      <c r="O1567" s="1"/>
      <c r="P1567" s="34">
        <v>266321</v>
      </c>
      <c r="Q1567" s="38">
        <f t="shared" si="81"/>
        <v>266321</v>
      </c>
      <c r="R1567" s="28">
        <f t="shared" si="82"/>
        <v>0</v>
      </c>
    </row>
    <row r="1568" spans="1:18">
      <c r="A1568" s="83" t="s">
        <v>91</v>
      </c>
      <c r="B1568" s="84"/>
      <c r="C1568" s="84"/>
      <c r="D1568" s="84"/>
      <c r="E1568" s="85"/>
      <c r="F1568" s="2" t="s">
        <v>60</v>
      </c>
      <c r="G1568" s="67">
        <v>1</v>
      </c>
      <c r="H1568" s="68"/>
      <c r="I1568" s="26"/>
      <c r="J1568" s="23"/>
      <c r="K1568" s="24"/>
      <c r="L1568" s="69">
        <f t="shared" si="80"/>
        <v>1</v>
      </c>
      <c r="M1568" s="70"/>
      <c r="N1568" s="25"/>
      <c r="O1568" s="1"/>
      <c r="P1568" s="32">
        <v>13316</v>
      </c>
      <c r="Q1568" s="38">
        <f t="shared" si="81"/>
        <v>13316</v>
      </c>
      <c r="R1568" s="28">
        <f t="shared" si="82"/>
        <v>13316</v>
      </c>
    </row>
    <row r="1569" spans="1:19">
      <c r="A1569" s="83" t="s">
        <v>92</v>
      </c>
      <c r="B1569" s="84"/>
      <c r="C1569" s="84"/>
      <c r="D1569" s="84"/>
      <c r="E1569" s="85"/>
      <c r="F1569" s="20" t="s">
        <v>60</v>
      </c>
      <c r="G1569" s="67">
        <v>1</v>
      </c>
      <c r="H1569" s="68"/>
      <c r="I1569" s="26"/>
      <c r="J1569" s="23"/>
      <c r="K1569" s="24"/>
      <c r="L1569" s="69">
        <f t="shared" si="80"/>
        <v>0</v>
      </c>
      <c r="M1569" s="70"/>
      <c r="N1569" s="25"/>
      <c r="O1569" s="1"/>
      <c r="P1569" s="32">
        <v>210299</v>
      </c>
      <c r="Q1569" s="38">
        <f t="shared" si="81"/>
        <v>210299</v>
      </c>
      <c r="R1569" s="28">
        <f t="shared" si="82"/>
        <v>0</v>
      </c>
    </row>
    <row r="1570" spans="1:19">
      <c r="A1570" s="64"/>
      <c r="B1570" s="65"/>
      <c r="C1570" s="65"/>
      <c r="D1570" s="65"/>
      <c r="E1570" s="66"/>
      <c r="F1570" s="22"/>
      <c r="G1570" s="67"/>
      <c r="H1570" s="68"/>
      <c r="I1570" s="26"/>
      <c r="J1570" s="23"/>
      <c r="K1570" s="24"/>
      <c r="L1570" s="69"/>
      <c r="M1570" s="70"/>
      <c r="N1570" s="25"/>
      <c r="O1570" s="3"/>
      <c r="P1570" s="32"/>
      <c r="Q1570" s="33">
        <f>SUM(Q1544:Q1569)</f>
        <v>4416270</v>
      </c>
      <c r="R1570" s="29">
        <f>SUM(R1544:R1569)</f>
        <v>653016</v>
      </c>
    </row>
    <row r="1571" spans="1:19">
      <c r="A1571" s="64"/>
      <c r="B1571" s="65"/>
      <c r="C1571" s="65"/>
      <c r="D1571" s="65"/>
      <c r="E1571" s="66"/>
      <c r="F1571" s="22"/>
      <c r="G1571" s="67"/>
      <c r="H1571" s="68"/>
      <c r="I1571" s="26"/>
      <c r="J1571" s="23"/>
      <c r="K1571" s="24"/>
      <c r="L1571" s="69"/>
      <c r="M1571" s="70"/>
      <c r="N1571" s="25"/>
      <c r="O1571" s="3"/>
      <c r="P1571" s="32"/>
      <c r="Q1571" s="33"/>
      <c r="R1571" s="37">
        <f>R1570/Q1570</f>
        <v>0.14786595928238083</v>
      </c>
    </row>
    <row r="1572" spans="1:19">
      <c r="A1572" s="62" t="s">
        <v>14</v>
      </c>
      <c r="B1572" s="62"/>
      <c r="C1572" s="62"/>
      <c r="D1572" s="62"/>
      <c r="E1572" s="62"/>
      <c r="F1572" s="62"/>
      <c r="G1572" s="62"/>
      <c r="H1572" s="62"/>
      <c r="I1572" s="62"/>
      <c r="J1572" s="62"/>
      <c r="K1572" s="62"/>
      <c r="L1572" s="62"/>
      <c r="M1572" s="62"/>
      <c r="N1572" s="62"/>
      <c r="O1572" s="1"/>
      <c r="P1572" s="32"/>
      <c r="Q1572" s="33"/>
      <c r="R1572" s="29"/>
      <c r="S1572" s="16"/>
    </row>
    <row r="1573" spans="1:19">
      <c r="A1573" s="71" t="s">
        <v>15</v>
      </c>
      <c r="B1573" s="72"/>
      <c r="C1573" s="72"/>
      <c r="D1573" s="72"/>
      <c r="E1573" s="73"/>
      <c r="F1573" s="9" t="s">
        <v>37</v>
      </c>
      <c r="G1573" s="71" t="s">
        <v>38</v>
      </c>
      <c r="H1573" s="73"/>
      <c r="I1573" s="71" t="s">
        <v>42</v>
      </c>
      <c r="J1573" s="72"/>
      <c r="K1573" s="73"/>
      <c r="L1573" s="74" t="s">
        <v>17</v>
      </c>
      <c r="M1573" s="75"/>
      <c r="N1573" s="9" t="s">
        <v>13</v>
      </c>
      <c r="O1573" s="1"/>
      <c r="P1573" s="32"/>
      <c r="Q1573" s="33"/>
      <c r="R1573" s="29"/>
      <c r="S1573" s="16"/>
    </row>
    <row r="1574" spans="1:19">
      <c r="A1574" s="71"/>
      <c r="B1574" s="72"/>
      <c r="C1574" s="72"/>
      <c r="D1574" s="72"/>
      <c r="E1574" s="73"/>
      <c r="F1574" s="13"/>
      <c r="G1574" s="76"/>
      <c r="H1574" s="77"/>
      <c r="I1574" s="78"/>
      <c r="J1574" s="79"/>
      <c r="K1574" s="80"/>
      <c r="L1574" s="81"/>
      <c r="M1574" s="82"/>
      <c r="N1574" s="8"/>
      <c r="O1574" s="1"/>
      <c r="P1574" s="32"/>
      <c r="Q1574" s="33"/>
      <c r="R1574" s="29"/>
      <c r="S1574" s="16"/>
    </row>
    <row r="1575" spans="1:19">
      <c r="A1575" s="62" t="s">
        <v>19</v>
      </c>
      <c r="B1575" s="62"/>
      <c r="C1575" s="62"/>
      <c r="D1575" s="62"/>
      <c r="E1575" s="62"/>
      <c r="F1575" s="62"/>
      <c r="G1575" s="62"/>
      <c r="H1575" s="62"/>
      <c r="I1575" s="62"/>
      <c r="J1575" s="62"/>
      <c r="K1575" s="62"/>
      <c r="L1575" s="62"/>
      <c r="M1575" s="62"/>
      <c r="N1575" s="62"/>
      <c r="O1575" s="1"/>
      <c r="P1575" s="32"/>
      <c r="Q1575" s="33"/>
      <c r="R1575" s="29"/>
      <c r="S1575" s="16"/>
    </row>
    <row r="1576" spans="1:19">
      <c r="A1576" s="63" t="s">
        <v>20</v>
      </c>
      <c r="B1576" s="63"/>
      <c r="C1576" s="63" t="s">
        <v>21</v>
      </c>
      <c r="D1576" s="63"/>
      <c r="E1576" s="63" t="s">
        <v>22</v>
      </c>
      <c r="F1576" s="63"/>
      <c r="G1576" s="63" t="s">
        <v>23</v>
      </c>
      <c r="H1576" s="63"/>
      <c r="I1576" s="63"/>
      <c r="J1576" s="63" t="s">
        <v>16</v>
      </c>
      <c r="K1576" s="63"/>
      <c r="L1576" s="63"/>
      <c r="M1576" s="63" t="s">
        <v>17</v>
      </c>
      <c r="N1576" s="63"/>
      <c r="O1576" s="1"/>
      <c r="Q1576" s="32"/>
      <c r="R1576" s="33"/>
      <c r="S1576" s="16"/>
    </row>
    <row r="1577" spans="1:19">
      <c r="A1577" s="60" t="s">
        <v>24</v>
      </c>
      <c r="B1577" s="52"/>
      <c r="C1577" s="61"/>
      <c r="D1577" s="61"/>
      <c r="E1577" s="61">
        <f>C1577+E1516</f>
        <v>32</v>
      </c>
      <c r="F1577" s="61"/>
      <c r="G1577" s="60" t="s">
        <v>51</v>
      </c>
      <c r="H1577" s="51"/>
      <c r="I1577" s="52"/>
      <c r="J1577" s="61"/>
      <c r="K1577" s="61"/>
      <c r="L1577" s="61"/>
      <c r="M1577" s="61">
        <f>K1577+M1516</f>
        <v>1</v>
      </c>
      <c r="N1577" s="61"/>
      <c r="O1577" s="1"/>
      <c r="Q1577" s="32"/>
      <c r="R1577" s="33"/>
      <c r="S1577" s="16"/>
    </row>
    <row r="1578" spans="1:19">
      <c r="A1578" s="60" t="s">
        <v>25</v>
      </c>
      <c r="B1578" s="52"/>
      <c r="C1578" s="61"/>
      <c r="D1578" s="61"/>
      <c r="E1578" s="61">
        <f>C1578+E1517</f>
        <v>29</v>
      </c>
      <c r="F1578" s="61"/>
      <c r="G1578" s="60" t="s">
        <v>50</v>
      </c>
      <c r="H1578" s="51"/>
      <c r="I1578" s="52"/>
      <c r="J1578" s="61"/>
      <c r="K1578" s="61"/>
      <c r="L1578" s="61"/>
      <c r="M1578" s="61">
        <f>K1578+M1517</f>
        <v>1</v>
      </c>
      <c r="N1578" s="61"/>
      <c r="O1578" s="1"/>
      <c r="Q1578" s="32"/>
      <c r="R1578" s="33"/>
      <c r="S1578" s="16"/>
    </row>
    <row r="1579" spans="1:19">
      <c r="A1579" s="60"/>
      <c r="B1579" s="52"/>
      <c r="C1579" s="61"/>
      <c r="D1579" s="61"/>
      <c r="E1579" s="61"/>
      <c r="F1579" s="61"/>
      <c r="G1579" s="60" t="s">
        <v>55</v>
      </c>
      <c r="H1579" s="51"/>
      <c r="I1579" s="52"/>
      <c r="J1579" s="61"/>
      <c r="K1579" s="61"/>
      <c r="L1579" s="61"/>
      <c r="M1579" s="61">
        <f>K1579+M1518</f>
        <v>0</v>
      </c>
      <c r="N1579" s="61"/>
      <c r="O1579" s="2"/>
      <c r="P1579" s="29"/>
      <c r="Q1579" s="32"/>
      <c r="R1579" s="33"/>
      <c r="S1579" s="16"/>
    </row>
    <row r="1580" spans="1:19">
      <c r="A1580" s="53" t="s">
        <v>53</v>
      </c>
      <c r="B1580" s="47"/>
      <c r="C1580" s="53"/>
      <c r="D1580" s="53"/>
      <c r="E1580" s="53"/>
      <c r="F1580" s="53"/>
      <c r="G1580" s="53"/>
      <c r="H1580" s="53"/>
      <c r="I1580" s="53"/>
      <c r="J1580" s="53"/>
      <c r="K1580" s="53"/>
      <c r="L1580" s="53"/>
      <c r="M1580" s="53"/>
      <c r="N1580" s="53"/>
      <c r="O1580" s="1"/>
      <c r="P1580" s="32"/>
      <c r="Q1580" s="32"/>
      <c r="R1580" s="33"/>
      <c r="S1580" s="16"/>
    </row>
    <row r="1581" spans="1:19">
      <c r="A1581" s="45" t="s">
        <v>56</v>
      </c>
      <c r="B1581" s="46"/>
      <c r="C1581" s="46"/>
      <c r="D1581" s="46"/>
      <c r="E1581" s="46"/>
      <c r="F1581" s="46"/>
      <c r="G1581" s="46"/>
      <c r="H1581" s="46"/>
      <c r="I1581" s="46"/>
      <c r="J1581" s="46"/>
      <c r="K1581" s="46"/>
      <c r="L1581" s="46"/>
      <c r="M1581" s="46"/>
      <c r="N1581" s="47"/>
      <c r="O1581" s="1"/>
      <c r="P1581" s="32"/>
      <c r="Q1581" s="34"/>
      <c r="R1581" s="33"/>
      <c r="S1581" s="16"/>
    </row>
    <row r="1582" spans="1:19">
      <c r="A1582" s="54" t="s">
        <v>54</v>
      </c>
      <c r="B1582" s="55"/>
      <c r="C1582" s="55"/>
      <c r="D1582" s="55"/>
      <c r="E1582" s="55"/>
      <c r="F1582" s="55"/>
      <c r="G1582" s="55"/>
      <c r="H1582" s="55"/>
      <c r="I1582" s="55"/>
      <c r="J1582" s="55"/>
      <c r="K1582" s="55"/>
      <c r="L1582" s="55"/>
      <c r="M1582" s="55"/>
      <c r="N1582" s="56"/>
      <c r="O1582" s="1"/>
      <c r="P1582" s="32"/>
      <c r="Q1582" s="32"/>
      <c r="R1582" s="33"/>
      <c r="S1582" s="16"/>
    </row>
    <row r="1583" spans="1:19">
      <c r="A1583" s="40" t="s">
        <v>26</v>
      </c>
      <c r="B1583" s="41"/>
      <c r="C1583" s="40"/>
      <c r="D1583" s="40"/>
      <c r="E1583" s="40"/>
      <c r="F1583" s="40"/>
      <c r="G1583" s="40"/>
      <c r="H1583" s="40"/>
      <c r="I1583" s="40"/>
      <c r="J1583" s="40"/>
      <c r="K1583" s="40"/>
      <c r="L1583" s="40"/>
      <c r="M1583" s="40"/>
      <c r="N1583" s="40"/>
      <c r="O1583" s="1"/>
      <c r="P1583" s="32"/>
      <c r="Q1583" s="32"/>
      <c r="R1583" s="33"/>
      <c r="S1583" s="16"/>
    </row>
    <row r="1584" spans="1:19">
      <c r="A1584" s="57" t="s">
        <v>27</v>
      </c>
      <c r="B1584" s="58"/>
      <c r="C1584" s="58"/>
      <c r="D1584" s="58"/>
      <c r="E1584" s="58"/>
      <c r="F1584" s="58"/>
      <c r="G1584" s="58"/>
      <c r="H1584" s="58"/>
      <c r="I1584" s="58"/>
      <c r="J1584" s="58"/>
      <c r="K1584" s="58"/>
      <c r="L1584" s="58"/>
      <c r="M1584" s="58"/>
      <c r="N1584" s="59"/>
      <c r="O1584" s="1"/>
      <c r="P1584" s="34"/>
      <c r="Q1584" s="34"/>
      <c r="R1584" s="33"/>
      <c r="S1584" s="16"/>
    </row>
    <row r="1585" spans="1:19">
      <c r="A1585" s="57" t="s">
        <v>57</v>
      </c>
      <c r="B1585" s="58"/>
      <c r="C1585" s="58"/>
      <c r="D1585" s="58"/>
      <c r="E1585" s="58"/>
      <c r="F1585" s="58"/>
      <c r="G1585" s="58"/>
      <c r="H1585" s="58"/>
      <c r="I1585" s="58"/>
      <c r="J1585" s="58"/>
      <c r="K1585" s="58"/>
      <c r="L1585" s="58"/>
      <c r="M1585" s="58"/>
      <c r="N1585" s="59"/>
      <c r="O1585" s="1"/>
      <c r="P1585" s="32"/>
      <c r="Q1585" s="32"/>
      <c r="R1585" s="33"/>
      <c r="S1585" s="16"/>
    </row>
    <row r="1586" spans="1:19">
      <c r="A1586" s="57" t="s">
        <v>58</v>
      </c>
      <c r="B1586" s="58"/>
      <c r="C1586" s="58"/>
      <c r="D1586" s="58"/>
      <c r="E1586" s="58"/>
      <c r="F1586" s="58"/>
      <c r="G1586" s="58"/>
      <c r="H1586" s="58"/>
      <c r="I1586" s="58"/>
      <c r="J1586" s="58"/>
      <c r="K1586" s="58"/>
      <c r="L1586" s="58"/>
      <c r="M1586" s="58"/>
      <c r="N1586" s="59"/>
      <c r="O1586" s="1"/>
      <c r="P1586" s="32"/>
      <c r="Q1586" s="32"/>
      <c r="R1586" s="33"/>
      <c r="S1586" s="16"/>
    </row>
    <row r="1587" spans="1:19">
      <c r="A1587" s="57" t="s">
        <v>59</v>
      </c>
      <c r="B1587" s="58"/>
      <c r="C1587" s="58"/>
      <c r="D1587" s="58"/>
      <c r="E1587" s="58"/>
      <c r="F1587" s="58"/>
      <c r="G1587" s="58"/>
      <c r="H1587" s="58"/>
      <c r="I1587" s="58"/>
      <c r="J1587" s="58"/>
      <c r="K1587" s="58"/>
      <c r="L1587" s="58"/>
      <c r="M1587" s="58"/>
      <c r="N1587" s="59"/>
      <c r="O1587" s="1"/>
      <c r="P1587" s="32"/>
      <c r="Q1587" s="34"/>
      <c r="R1587" s="33"/>
      <c r="S1587" s="16"/>
    </row>
    <row r="1588" spans="1:19">
      <c r="A1588" s="57" t="s">
        <v>28</v>
      </c>
      <c r="B1588" s="58"/>
      <c r="C1588" s="58"/>
      <c r="D1588" s="58"/>
      <c r="E1588" s="58"/>
      <c r="F1588" s="58"/>
      <c r="G1588" s="58"/>
      <c r="H1588" s="58"/>
      <c r="I1588" s="58"/>
      <c r="J1588" s="58"/>
      <c r="K1588" s="58"/>
      <c r="L1588" s="58"/>
      <c r="M1588" s="58"/>
      <c r="N1588" s="59"/>
      <c r="O1588" s="1"/>
      <c r="P1588" s="34"/>
      <c r="Q1588" s="32"/>
      <c r="R1588" s="33"/>
      <c r="S1588" s="16"/>
    </row>
    <row r="1589" spans="1:19">
      <c r="A1589" s="40" t="s">
        <v>29</v>
      </c>
      <c r="B1589" s="41"/>
      <c r="C1589" s="40"/>
      <c r="D1589" s="40"/>
      <c r="E1589" s="40"/>
      <c r="F1589" s="40"/>
      <c r="G1589" s="40"/>
      <c r="H1589" s="40"/>
      <c r="I1589" s="40"/>
      <c r="J1589" s="40"/>
      <c r="K1589" s="40"/>
      <c r="L1589" s="40"/>
      <c r="M1589" s="40"/>
      <c r="N1589" s="40"/>
      <c r="O1589" s="1"/>
      <c r="P1589" s="32"/>
      <c r="Q1589" s="32"/>
      <c r="R1589" s="33"/>
      <c r="S1589" s="16"/>
    </row>
    <row r="1590" spans="1:19">
      <c r="A1590" s="42"/>
      <c r="B1590" s="43"/>
      <c r="C1590" s="43"/>
      <c r="D1590" s="43"/>
      <c r="E1590" s="43"/>
      <c r="F1590" s="43"/>
      <c r="G1590" s="43"/>
      <c r="H1590" s="43"/>
      <c r="I1590" s="43"/>
      <c r="J1590" s="43"/>
      <c r="K1590" s="43"/>
      <c r="L1590" s="43"/>
      <c r="M1590" s="43"/>
      <c r="N1590" s="44"/>
      <c r="O1590" s="1"/>
      <c r="P1590" s="32"/>
      <c r="Q1590" s="32"/>
      <c r="R1590" s="33"/>
      <c r="S1590" s="16"/>
    </row>
    <row r="1591" spans="1:19">
      <c r="A1591" s="40" t="s">
        <v>30</v>
      </c>
      <c r="B1591" s="41"/>
      <c r="C1591" s="40"/>
      <c r="D1591" s="40"/>
      <c r="E1591" s="40"/>
      <c r="F1591" s="40"/>
      <c r="G1591" s="40"/>
      <c r="H1591" s="40"/>
      <c r="I1591" s="40"/>
      <c r="J1591" s="40"/>
      <c r="K1591" s="40"/>
      <c r="L1591" s="40"/>
      <c r="M1591" s="40"/>
      <c r="N1591" s="40"/>
      <c r="O1591" s="1"/>
      <c r="P1591" s="32"/>
      <c r="Q1591" s="32"/>
      <c r="R1591" s="33"/>
      <c r="S1591" s="16"/>
    </row>
    <row r="1592" spans="1:19">
      <c r="A1592" s="42"/>
      <c r="B1592" s="43"/>
      <c r="C1592" s="43"/>
      <c r="D1592" s="43"/>
      <c r="E1592" s="43"/>
      <c r="F1592" s="43"/>
      <c r="G1592" s="43"/>
      <c r="H1592" s="43"/>
      <c r="I1592" s="43"/>
      <c r="J1592" s="43"/>
      <c r="K1592" s="43"/>
      <c r="L1592" s="43"/>
      <c r="M1592" s="43"/>
      <c r="N1592" s="44"/>
      <c r="O1592" s="1"/>
      <c r="P1592" s="32"/>
      <c r="Q1592" s="32"/>
      <c r="R1592" s="33"/>
      <c r="S1592" s="16"/>
    </row>
    <row r="1593" spans="1:19">
      <c r="A1593" s="40" t="s">
        <v>31</v>
      </c>
      <c r="B1593" s="41"/>
      <c r="C1593" s="40"/>
      <c r="D1593" s="40"/>
      <c r="E1593" s="40"/>
      <c r="F1593" s="40"/>
      <c r="G1593" s="40"/>
      <c r="H1593" s="40"/>
      <c r="I1593" s="40"/>
      <c r="J1593" s="40"/>
      <c r="K1593" s="40"/>
      <c r="L1593" s="40"/>
      <c r="M1593" s="40"/>
      <c r="N1593" s="40"/>
      <c r="O1593" s="1"/>
      <c r="P1593" s="32"/>
      <c r="Q1593" s="32"/>
      <c r="R1593" s="33"/>
      <c r="S1593" s="17"/>
    </row>
    <row r="1594" spans="1:19">
      <c r="A1594" s="45"/>
      <c r="B1594" s="46"/>
      <c r="C1594" s="46"/>
      <c r="D1594" s="46"/>
      <c r="E1594" s="46"/>
      <c r="F1594" s="46"/>
      <c r="G1594" s="46"/>
      <c r="H1594" s="46"/>
      <c r="I1594" s="46"/>
      <c r="J1594" s="46"/>
      <c r="K1594" s="46"/>
      <c r="L1594" s="46"/>
      <c r="M1594" s="46"/>
      <c r="N1594" s="47"/>
      <c r="O1594" s="1"/>
      <c r="P1594" s="32"/>
      <c r="Q1594" s="32"/>
      <c r="R1594" s="33"/>
      <c r="S1594" s="1"/>
    </row>
    <row r="1595" spans="1:19">
      <c r="A1595" s="48" t="s">
        <v>41</v>
      </c>
      <c r="B1595" s="49"/>
      <c r="C1595" s="50"/>
      <c r="D1595" s="50"/>
      <c r="E1595" s="50"/>
      <c r="F1595" s="50"/>
      <c r="G1595" s="50"/>
      <c r="H1595" s="51"/>
      <c r="I1595" s="51"/>
      <c r="J1595" s="51"/>
      <c r="K1595" s="51"/>
      <c r="L1595" s="51"/>
      <c r="M1595" s="51"/>
      <c r="N1595" s="52"/>
      <c r="O1595" s="1"/>
      <c r="P1595" s="32"/>
      <c r="Q1595" s="32"/>
      <c r="R1595" s="33"/>
      <c r="S1595" s="1"/>
    </row>
    <row r="1596" spans="1:19" ht="28.2">
      <c r="A1596" s="1" t="s">
        <v>45</v>
      </c>
      <c r="B1596" s="7">
        <f>B1535+1</f>
        <v>27</v>
      </c>
      <c r="C1596" s="5"/>
      <c r="D1596" s="5"/>
      <c r="E1596" s="5"/>
      <c r="F1596" s="5"/>
      <c r="G1596" s="5"/>
      <c r="H1596" s="5"/>
      <c r="I1596" s="5"/>
      <c r="J1596" s="5"/>
      <c r="K1596" s="5"/>
      <c r="L1596" s="5"/>
      <c r="M1596" s="5"/>
      <c r="N1596" s="5"/>
      <c r="O1596" s="1"/>
      <c r="P1596" s="32"/>
      <c r="Q1596" s="33"/>
      <c r="R1596" s="29"/>
    </row>
    <row r="1597" spans="1:19">
      <c r="A1597" s="1" t="s">
        <v>46</v>
      </c>
      <c r="B1597" s="1" t="s">
        <v>1</v>
      </c>
      <c r="C1597" s="1" t="s">
        <v>2</v>
      </c>
      <c r="D1597" s="1" t="s">
        <v>3</v>
      </c>
      <c r="E1597" s="1" t="s">
        <v>2</v>
      </c>
      <c r="F1597" s="1"/>
      <c r="G1597" s="1"/>
      <c r="H1597" s="112" t="s">
        <v>4</v>
      </c>
      <c r="I1597" s="112"/>
      <c r="J1597" s="113">
        <f>J1536+1</f>
        <v>46238</v>
      </c>
      <c r="K1597" s="113"/>
      <c r="L1597" s="113"/>
      <c r="M1597" s="114">
        <f>J1597</f>
        <v>46238</v>
      </c>
      <c r="N1597" s="114"/>
      <c r="O1597" s="1"/>
      <c r="P1597" s="32"/>
      <c r="Q1597" s="33"/>
      <c r="R1597" s="29"/>
    </row>
    <row r="1598" spans="1:19">
      <c r="A1598" s="8" t="s">
        <v>5</v>
      </c>
      <c r="B1598" s="115">
        <f>B1529</f>
        <v>0</v>
      </c>
      <c r="C1598" s="116"/>
      <c r="D1598" s="116"/>
      <c r="E1598" s="116"/>
      <c r="F1598" s="116"/>
      <c r="G1598" s="117"/>
      <c r="H1598" s="63" t="s">
        <v>6</v>
      </c>
      <c r="I1598" s="63"/>
      <c r="J1598" s="63"/>
      <c r="K1598" s="63" t="s">
        <v>52</v>
      </c>
      <c r="L1598" s="63"/>
      <c r="M1598" s="63"/>
      <c r="N1598" s="63"/>
      <c r="O1598" s="1"/>
      <c r="P1598" s="32"/>
      <c r="Q1598" s="33"/>
      <c r="R1598" s="29"/>
    </row>
    <row r="1599" spans="1:19">
      <c r="A1599" s="8" t="s">
        <v>32</v>
      </c>
      <c r="B1599" s="10">
        <v>60</v>
      </c>
      <c r="C1599" s="11" t="s">
        <v>43</v>
      </c>
      <c r="D1599" s="71" t="s">
        <v>7</v>
      </c>
      <c r="E1599" s="73"/>
      <c r="F1599" s="10">
        <f>F1538+1</f>
        <v>27</v>
      </c>
      <c r="G1599" s="11" t="s">
        <v>8</v>
      </c>
      <c r="H1599" s="9" t="s">
        <v>9</v>
      </c>
      <c r="I1599" s="10">
        <f>B1599-F1599</f>
        <v>33</v>
      </c>
      <c r="J1599" s="11" t="s">
        <v>8</v>
      </c>
      <c r="K1599" s="118" t="s">
        <v>33</v>
      </c>
      <c r="L1599" s="119"/>
      <c r="M1599" s="12"/>
      <c r="N1599" s="11" t="s">
        <v>8</v>
      </c>
      <c r="O1599" s="1"/>
      <c r="P1599" s="34"/>
      <c r="Q1599" s="33"/>
      <c r="R1599" s="29"/>
    </row>
    <row r="1600" spans="1:19">
      <c r="A1600" s="71" t="s">
        <v>34</v>
      </c>
      <c r="B1600" s="72"/>
      <c r="C1600" s="73"/>
      <c r="D1600" s="120">
        <v>46212</v>
      </c>
      <c r="E1600" s="121"/>
      <c r="F1600" s="121"/>
      <c r="G1600" s="122"/>
      <c r="H1600" s="71" t="s">
        <v>35</v>
      </c>
      <c r="I1600" s="72"/>
      <c r="J1600" s="73"/>
      <c r="K1600" s="120">
        <f>D1600+59</f>
        <v>46271</v>
      </c>
      <c r="L1600" s="121"/>
      <c r="M1600" s="121"/>
      <c r="N1600" s="122"/>
      <c r="O1600" s="1"/>
      <c r="P1600" s="32"/>
      <c r="Q1600" s="33"/>
      <c r="R1600" s="29"/>
    </row>
    <row r="1601" spans="1:18">
      <c r="A1601" s="92" t="s">
        <v>10</v>
      </c>
      <c r="B1601" s="93"/>
      <c r="C1601" s="94"/>
      <c r="D1601" s="98">
        <f>D1540+0.0781/5</f>
        <v>0.15114000000000002</v>
      </c>
      <c r="E1601" s="99"/>
      <c r="F1601" s="99"/>
      <c r="G1601" s="100"/>
      <c r="H1601" s="104" t="s">
        <v>36</v>
      </c>
      <c r="I1601" s="105"/>
      <c r="J1601" s="106"/>
      <c r="K1601" s="110">
        <f>R1632</f>
        <v>0.14786595928238083</v>
      </c>
      <c r="L1601" s="105"/>
      <c r="M1601" s="105"/>
      <c r="N1601" s="106"/>
      <c r="O1601" s="1"/>
      <c r="P1601" s="32"/>
      <c r="Q1601" s="33"/>
      <c r="R1601" s="29"/>
    </row>
    <row r="1602" spans="1:18">
      <c r="A1602" s="95"/>
      <c r="B1602" s="96"/>
      <c r="C1602" s="97"/>
      <c r="D1602" s="101"/>
      <c r="E1602" s="102"/>
      <c r="F1602" s="102"/>
      <c r="G1602" s="103"/>
      <c r="H1602" s="107"/>
      <c r="I1602" s="108"/>
      <c r="J1602" s="109"/>
      <c r="K1602" s="107"/>
      <c r="L1602" s="108"/>
      <c r="M1602" s="108"/>
      <c r="N1602" s="109"/>
      <c r="O1602" s="1"/>
      <c r="P1602" s="32"/>
      <c r="Q1602" s="33"/>
      <c r="R1602" s="29"/>
    </row>
    <row r="1603" spans="1:18">
      <c r="A1603" s="62" t="s">
        <v>11</v>
      </c>
      <c r="B1603" s="62"/>
      <c r="C1603" s="62"/>
      <c r="D1603" s="62"/>
      <c r="E1603" s="62"/>
      <c r="F1603" s="62"/>
      <c r="G1603" s="62"/>
      <c r="H1603" s="62"/>
      <c r="I1603" s="62"/>
      <c r="J1603" s="62"/>
      <c r="K1603" s="62"/>
      <c r="L1603" s="62"/>
      <c r="M1603" s="62"/>
      <c r="N1603" s="62"/>
      <c r="O1603" s="1"/>
      <c r="P1603" s="32"/>
      <c r="Q1603" s="33"/>
      <c r="R1603" s="29"/>
    </row>
    <row r="1604" spans="1:18">
      <c r="A1604" s="111" t="s">
        <v>12</v>
      </c>
      <c r="B1604" s="111"/>
      <c r="C1604" s="111"/>
      <c r="D1604" s="111"/>
      <c r="E1604" s="111"/>
      <c r="F1604" s="14" t="s">
        <v>37</v>
      </c>
      <c r="G1604" s="111" t="s">
        <v>38</v>
      </c>
      <c r="H1604" s="111"/>
      <c r="I1604" s="63" t="s">
        <v>39</v>
      </c>
      <c r="J1604" s="63"/>
      <c r="K1604" s="63"/>
      <c r="L1604" s="63" t="s">
        <v>40</v>
      </c>
      <c r="M1604" s="63"/>
      <c r="N1604" s="9" t="s">
        <v>13</v>
      </c>
      <c r="O1604" s="1"/>
      <c r="P1604" s="28" t="s">
        <v>47</v>
      </c>
      <c r="Q1604" s="29" t="s">
        <v>48</v>
      </c>
      <c r="R1604" s="29" t="s">
        <v>49</v>
      </c>
    </row>
    <row r="1605" spans="1:18">
      <c r="A1605" s="83" t="s">
        <v>67</v>
      </c>
      <c r="B1605" s="84"/>
      <c r="C1605" s="84"/>
      <c r="D1605" s="84"/>
      <c r="E1605" s="85"/>
      <c r="F1605" s="27" t="s">
        <v>60</v>
      </c>
      <c r="G1605" s="67">
        <v>1</v>
      </c>
      <c r="H1605" s="68"/>
      <c r="I1605" s="86"/>
      <c r="J1605" s="87"/>
      <c r="K1605" s="88"/>
      <c r="L1605" s="69">
        <f>I1605+L1544</f>
        <v>1</v>
      </c>
      <c r="M1605" s="70"/>
      <c r="N1605" s="8"/>
      <c r="O1605" s="1"/>
      <c r="P1605" s="30">
        <v>6000</v>
      </c>
      <c r="Q1605" s="38">
        <f>P1605*G1605</f>
        <v>6000</v>
      </c>
      <c r="R1605" s="28">
        <f>L1605*P1605</f>
        <v>6000</v>
      </c>
    </row>
    <row r="1606" spans="1:18">
      <c r="A1606" s="83" t="s">
        <v>68</v>
      </c>
      <c r="B1606" s="84"/>
      <c r="C1606" s="84"/>
      <c r="D1606" s="84"/>
      <c r="E1606" s="85"/>
      <c r="F1606" s="20" t="s">
        <v>60</v>
      </c>
      <c r="G1606" s="67">
        <v>1</v>
      </c>
      <c r="H1606" s="68"/>
      <c r="I1606" s="87"/>
      <c r="J1606" s="87"/>
      <c r="K1606" s="88"/>
      <c r="L1606" s="69">
        <f t="shared" ref="L1606:L1630" si="83">I1606+L1545</f>
        <v>1</v>
      </c>
      <c r="M1606" s="70"/>
      <c r="N1606" s="8"/>
      <c r="O1606" s="1"/>
      <c r="P1606" s="30">
        <v>193300</v>
      </c>
      <c r="Q1606" s="38">
        <f t="shared" ref="Q1606:Q1630" si="84">P1606*G1606</f>
        <v>193300</v>
      </c>
      <c r="R1606" s="28">
        <f>L1606*P1606</f>
        <v>193300</v>
      </c>
    </row>
    <row r="1607" spans="1:18">
      <c r="A1607" s="89" t="s">
        <v>69</v>
      </c>
      <c r="B1607" s="90"/>
      <c r="C1607" s="90"/>
      <c r="D1607" s="90"/>
      <c r="E1607" s="91"/>
      <c r="F1607" s="20" t="s">
        <v>60</v>
      </c>
      <c r="G1607" s="67">
        <v>1</v>
      </c>
      <c r="H1607" s="68"/>
      <c r="I1607" s="87"/>
      <c r="J1607" s="87"/>
      <c r="K1607" s="88"/>
      <c r="L1607" s="69">
        <f t="shared" si="83"/>
        <v>0.5</v>
      </c>
      <c r="M1607" s="70"/>
      <c r="N1607" s="8"/>
      <c r="O1607" s="1"/>
      <c r="P1607" s="30">
        <v>30000</v>
      </c>
      <c r="Q1607" s="38">
        <f t="shared" si="84"/>
        <v>30000</v>
      </c>
      <c r="R1607" s="28">
        <f>L1607*P1607</f>
        <v>15000</v>
      </c>
    </row>
    <row r="1608" spans="1:18">
      <c r="A1608" s="64" t="s">
        <v>70</v>
      </c>
      <c r="B1608" s="65"/>
      <c r="C1608" s="65"/>
      <c r="D1608" s="65"/>
      <c r="E1608" s="66"/>
      <c r="F1608" s="20" t="s">
        <v>60</v>
      </c>
      <c r="G1608" s="67">
        <v>1</v>
      </c>
      <c r="H1608" s="68"/>
      <c r="I1608" s="87"/>
      <c r="J1608" s="87"/>
      <c r="K1608" s="88"/>
      <c r="L1608" s="69">
        <f t="shared" si="83"/>
        <v>1</v>
      </c>
      <c r="M1608" s="70"/>
      <c r="N1608" s="8"/>
      <c r="O1608" s="1"/>
      <c r="P1608" s="31">
        <v>10000</v>
      </c>
      <c r="Q1608" s="38">
        <f t="shared" si="84"/>
        <v>10000</v>
      </c>
      <c r="R1608" s="28">
        <f t="shared" ref="R1608:R1630" si="85">L1608*P1608</f>
        <v>10000</v>
      </c>
    </row>
    <row r="1609" spans="1:18">
      <c r="A1609" s="64" t="s">
        <v>71</v>
      </c>
      <c r="B1609" s="65"/>
      <c r="C1609" s="65"/>
      <c r="D1609" s="65"/>
      <c r="E1609" s="66"/>
      <c r="F1609" s="20" t="s">
        <v>61</v>
      </c>
      <c r="G1609" s="67">
        <v>9</v>
      </c>
      <c r="H1609" s="68"/>
      <c r="I1609" s="87"/>
      <c r="J1609" s="87"/>
      <c r="K1609" s="88"/>
      <c r="L1609" s="69">
        <f t="shared" si="83"/>
        <v>9</v>
      </c>
      <c r="M1609" s="70"/>
      <c r="N1609" s="8"/>
      <c r="O1609" s="1"/>
      <c r="P1609" s="30">
        <v>21000</v>
      </c>
      <c r="Q1609" s="38">
        <f t="shared" si="84"/>
        <v>189000</v>
      </c>
      <c r="R1609" s="28">
        <f t="shared" si="85"/>
        <v>189000</v>
      </c>
    </row>
    <row r="1610" spans="1:18">
      <c r="A1610" s="64" t="s">
        <v>72</v>
      </c>
      <c r="B1610" s="65"/>
      <c r="C1610" s="65"/>
      <c r="D1610" s="65"/>
      <c r="E1610" s="66"/>
      <c r="F1610" s="2" t="s">
        <v>60</v>
      </c>
      <c r="G1610" s="67">
        <v>1</v>
      </c>
      <c r="H1610" s="68"/>
      <c r="I1610" s="87"/>
      <c r="J1610" s="87"/>
      <c r="K1610" s="88"/>
      <c r="L1610" s="69">
        <f t="shared" si="83"/>
        <v>0</v>
      </c>
      <c r="M1610" s="70"/>
      <c r="N1610" s="8"/>
      <c r="O1610" s="1"/>
      <c r="P1610" s="30">
        <v>184468</v>
      </c>
      <c r="Q1610" s="38">
        <f t="shared" si="84"/>
        <v>184468</v>
      </c>
      <c r="R1610" s="28">
        <f t="shared" si="85"/>
        <v>0</v>
      </c>
    </row>
    <row r="1611" spans="1:18">
      <c r="A1611" s="83" t="s">
        <v>73</v>
      </c>
      <c r="B1611" s="84"/>
      <c r="C1611" s="84"/>
      <c r="D1611" s="84"/>
      <c r="E1611" s="85"/>
      <c r="F1611" s="20" t="s">
        <v>62</v>
      </c>
      <c r="G1611" s="67">
        <v>9</v>
      </c>
      <c r="H1611" s="68"/>
      <c r="I1611" s="87"/>
      <c r="J1611" s="87"/>
      <c r="K1611" s="88"/>
      <c r="L1611" s="69">
        <f t="shared" si="83"/>
        <v>0</v>
      </c>
      <c r="M1611" s="70"/>
      <c r="N1611" s="8"/>
      <c r="O1611" s="1"/>
      <c r="P1611" s="30">
        <v>20000</v>
      </c>
      <c r="Q1611" s="38">
        <f t="shared" si="84"/>
        <v>180000</v>
      </c>
      <c r="R1611" s="28">
        <f t="shared" si="85"/>
        <v>0</v>
      </c>
    </row>
    <row r="1612" spans="1:18">
      <c r="A1612" s="83" t="s">
        <v>74</v>
      </c>
      <c r="B1612" s="84"/>
      <c r="C1612" s="84"/>
      <c r="D1612" s="84"/>
      <c r="E1612" s="85"/>
      <c r="F1612" s="20" t="s">
        <v>63</v>
      </c>
      <c r="G1612" s="67">
        <v>52</v>
      </c>
      <c r="H1612" s="68"/>
      <c r="I1612" s="87"/>
      <c r="J1612" s="87"/>
      <c r="K1612" s="88"/>
      <c r="L1612" s="69">
        <f t="shared" si="83"/>
        <v>52</v>
      </c>
      <c r="M1612" s="70"/>
      <c r="N1612" s="8"/>
      <c r="O1612" s="1"/>
      <c r="P1612" s="31">
        <v>2500</v>
      </c>
      <c r="Q1612" s="38">
        <f t="shared" si="84"/>
        <v>130000</v>
      </c>
      <c r="R1612" s="28">
        <f t="shared" si="85"/>
        <v>130000</v>
      </c>
    </row>
    <row r="1613" spans="1:18">
      <c r="A1613" s="83" t="s">
        <v>75</v>
      </c>
      <c r="B1613" s="84"/>
      <c r="C1613" s="84"/>
      <c r="D1613" s="84"/>
      <c r="E1613" s="85"/>
      <c r="F1613" s="20" t="s">
        <v>64</v>
      </c>
      <c r="G1613" s="67">
        <v>1</v>
      </c>
      <c r="H1613" s="68"/>
      <c r="I1613" s="87"/>
      <c r="J1613" s="87"/>
      <c r="K1613" s="88"/>
      <c r="L1613" s="69">
        <f t="shared" si="83"/>
        <v>0</v>
      </c>
      <c r="M1613" s="70"/>
      <c r="N1613" s="8"/>
      <c r="O1613" s="1"/>
      <c r="P1613" s="30">
        <v>80000</v>
      </c>
      <c r="Q1613" s="38">
        <f t="shared" si="84"/>
        <v>80000</v>
      </c>
      <c r="R1613" s="28">
        <f t="shared" si="85"/>
        <v>0</v>
      </c>
    </row>
    <row r="1614" spans="1:18">
      <c r="A1614" s="89" t="s">
        <v>76</v>
      </c>
      <c r="B1614" s="90"/>
      <c r="C1614" s="90"/>
      <c r="D1614" s="90"/>
      <c r="E1614" s="91"/>
      <c r="F1614" s="20" t="s">
        <v>65</v>
      </c>
      <c r="G1614" s="67">
        <v>31</v>
      </c>
      <c r="H1614" s="68"/>
      <c r="I1614" s="87"/>
      <c r="J1614" s="87"/>
      <c r="K1614" s="88"/>
      <c r="L1614" s="69">
        <f t="shared" si="83"/>
        <v>31</v>
      </c>
      <c r="M1614" s="70"/>
      <c r="N1614" s="8"/>
      <c r="O1614" s="1"/>
      <c r="P1614" s="30">
        <v>400</v>
      </c>
      <c r="Q1614" s="38">
        <f t="shared" si="84"/>
        <v>12400</v>
      </c>
      <c r="R1614" s="28">
        <f t="shared" si="85"/>
        <v>12400</v>
      </c>
    </row>
    <row r="1615" spans="1:18">
      <c r="A1615" s="64" t="s">
        <v>77</v>
      </c>
      <c r="B1615" s="65"/>
      <c r="C1615" s="65"/>
      <c r="D1615" s="65"/>
      <c r="E1615" s="66"/>
      <c r="F1615" s="20" t="s">
        <v>65</v>
      </c>
      <c r="G1615" s="67">
        <v>100</v>
      </c>
      <c r="H1615" s="68"/>
      <c r="I1615" s="87"/>
      <c r="J1615" s="87"/>
      <c r="K1615" s="88"/>
      <c r="L1615" s="69">
        <f t="shared" si="83"/>
        <v>0</v>
      </c>
      <c r="M1615" s="70"/>
      <c r="N1615" s="8"/>
      <c r="O1615" s="1"/>
      <c r="P1615" s="30">
        <v>350</v>
      </c>
      <c r="Q1615" s="38">
        <f t="shared" si="84"/>
        <v>35000</v>
      </c>
      <c r="R1615" s="28">
        <f t="shared" si="85"/>
        <v>0</v>
      </c>
    </row>
    <row r="1616" spans="1:18">
      <c r="A1616" s="64" t="s">
        <v>78</v>
      </c>
      <c r="B1616" s="65"/>
      <c r="C1616" s="65"/>
      <c r="D1616" s="65"/>
      <c r="E1616" s="66"/>
      <c r="F1616" s="20" t="s">
        <v>63</v>
      </c>
      <c r="G1616" s="67">
        <v>35</v>
      </c>
      <c r="H1616" s="68"/>
      <c r="I1616" s="87"/>
      <c r="J1616" s="87"/>
      <c r="K1616" s="88"/>
      <c r="L1616" s="69">
        <f t="shared" si="83"/>
        <v>0</v>
      </c>
      <c r="M1616" s="70"/>
      <c r="N1616" s="8"/>
      <c r="O1616" s="1"/>
      <c r="P1616" s="30">
        <v>1200</v>
      </c>
      <c r="Q1616" s="38">
        <f t="shared" si="84"/>
        <v>42000</v>
      </c>
      <c r="R1616" s="28">
        <f t="shared" si="85"/>
        <v>0</v>
      </c>
    </row>
    <row r="1617" spans="1:18">
      <c r="A1617" s="64" t="s">
        <v>79</v>
      </c>
      <c r="B1617" s="65"/>
      <c r="C1617" s="65"/>
      <c r="D1617" s="65"/>
      <c r="E1617" s="66"/>
      <c r="F1617" s="20" t="s">
        <v>63</v>
      </c>
      <c r="G1617" s="67">
        <v>282</v>
      </c>
      <c r="H1617" s="68"/>
      <c r="I1617" s="86"/>
      <c r="J1617" s="87"/>
      <c r="K1617" s="88"/>
      <c r="L1617" s="69">
        <f t="shared" si="83"/>
        <v>60</v>
      </c>
      <c r="M1617" s="70"/>
      <c r="N1617" s="8"/>
      <c r="O1617" s="1"/>
      <c r="P1617" s="30">
        <v>1400</v>
      </c>
      <c r="Q1617" s="38">
        <f t="shared" si="84"/>
        <v>394800</v>
      </c>
      <c r="R1617" s="28">
        <f t="shared" si="85"/>
        <v>84000</v>
      </c>
    </row>
    <row r="1618" spans="1:18">
      <c r="A1618" s="83" t="s">
        <v>80</v>
      </c>
      <c r="B1618" s="84"/>
      <c r="C1618" s="84"/>
      <c r="D1618" s="84"/>
      <c r="E1618" s="85"/>
      <c r="F1618" s="21" t="s">
        <v>65</v>
      </c>
      <c r="G1618" s="67">
        <v>58</v>
      </c>
      <c r="H1618" s="68"/>
      <c r="I1618" s="86"/>
      <c r="J1618" s="87"/>
      <c r="K1618" s="88"/>
      <c r="L1618" s="69">
        <f t="shared" si="83"/>
        <v>0</v>
      </c>
      <c r="M1618" s="70"/>
      <c r="N1618" s="8"/>
      <c r="O1618" s="1"/>
      <c r="P1618" s="30">
        <v>3600</v>
      </c>
      <c r="Q1618" s="38">
        <f t="shared" si="84"/>
        <v>208800</v>
      </c>
      <c r="R1618" s="28">
        <f t="shared" si="85"/>
        <v>0</v>
      </c>
    </row>
    <row r="1619" spans="1:18">
      <c r="A1619" s="83" t="s">
        <v>81</v>
      </c>
      <c r="B1619" s="84"/>
      <c r="C1619" s="84"/>
      <c r="D1619" s="84"/>
      <c r="E1619" s="85"/>
      <c r="F1619" s="21" t="s">
        <v>65</v>
      </c>
      <c r="G1619" s="67">
        <v>360</v>
      </c>
      <c r="H1619" s="68"/>
      <c r="I1619" s="86"/>
      <c r="J1619" s="87"/>
      <c r="K1619" s="88"/>
      <c r="L1619" s="69">
        <f t="shared" si="83"/>
        <v>0</v>
      </c>
      <c r="M1619" s="70"/>
      <c r="N1619" s="8"/>
      <c r="O1619" s="1"/>
      <c r="P1619" s="30">
        <v>230</v>
      </c>
      <c r="Q1619" s="38">
        <f t="shared" si="84"/>
        <v>82800</v>
      </c>
      <c r="R1619" s="28">
        <f t="shared" si="85"/>
        <v>0</v>
      </c>
    </row>
    <row r="1620" spans="1:18">
      <c r="A1620" s="83" t="s">
        <v>82</v>
      </c>
      <c r="B1620" s="84"/>
      <c r="C1620" s="84"/>
      <c r="D1620" s="84"/>
      <c r="E1620" s="85"/>
      <c r="F1620" s="21" t="s">
        <v>65</v>
      </c>
      <c r="G1620" s="67">
        <v>2400</v>
      </c>
      <c r="H1620" s="68"/>
      <c r="I1620" s="86"/>
      <c r="J1620" s="87"/>
      <c r="K1620" s="88"/>
      <c r="L1620" s="69">
        <f t="shared" si="83"/>
        <v>0</v>
      </c>
      <c r="M1620" s="70"/>
      <c r="N1620" s="8"/>
      <c r="O1620" s="1"/>
      <c r="P1620" s="30">
        <v>80</v>
      </c>
      <c r="Q1620" s="38">
        <f t="shared" si="84"/>
        <v>192000</v>
      </c>
      <c r="R1620" s="28">
        <f t="shared" si="85"/>
        <v>0</v>
      </c>
    </row>
    <row r="1621" spans="1:18">
      <c r="A1621" s="89" t="s">
        <v>83</v>
      </c>
      <c r="B1621" s="90"/>
      <c r="C1621" s="90"/>
      <c r="D1621" s="90"/>
      <c r="E1621" s="91"/>
      <c r="F1621" s="21" t="s">
        <v>65</v>
      </c>
      <c r="G1621" s="67">
        <v>360</v>
      </c>
      <c r="H1621" s="68"/>
      <c r="I1621" s="86"/>
      <c r="J1621" s="87"/>
      <c r="K1621" s="88"/>
      <c r="L1621" s="69">
        <f t="shared" si="83"/>
        <v>0</v>
      </c>
      <c r="M1621" s="70"/>
      <c r="N1621" s="8"/>
      <c r="O1621" s="1"/>
      <c r="P1621" s="30">
        <v>420</v>
      </c>
      <c r="Q1621" s="38">
        <f t="shared" si="84"/>
        <v>151200</v>
      </c>
      <c r="R1621" s="28">
        <f t="shared" si="85"/>
        <v>0</v>
      </c>
    </row>
    <row r="1622" spans="1:18">
      <c r="A1622" s="64" t="s">
        <v>84</v>
      </c>
      <c r="B1622" s="65"/>
      <c r="C1622" s="65"/>
      <c r="D1622" s="65"/>
      <c r="E1622" s="66"/>
      <c r="F1622" s="21" t="s">
        <v>65</v>
      </c>
      <c r="G1622" s="67">
        <v>2760</v>
      </c>
      <c r="H1622" s="68"/>
      <c r="I1622" s="86"/>
      <c r="J1622" s="87"/>
      <c r="K1622" s="88"/>
      <c r="L1622" s="69">
        <f t="shared" si="83"/>
        <v>0</v>
      </c>
      <c r="M1622" s="70"/>
      <c r="N1622" s="8"/>
      <c r="O1622" s="1"/>
      <c r="P1622" s="30">
        <v>460</v>
      </c>
      <c r="Q1622" s="38">
        <f t="shared" si="84"/>
        <v>1269600</v>
      </c>
      <c r="R1622" s="28">
        <f t="shared" si="85"/>
        <v>0</v>
      </c>
    </row>
    <row r="1623" spans="1:18">
      <c r="A1623" s="64" t="s">
        <v>85</v>
      </c>
      <c r="B1623" s="65"/>
      <c r="C1623" s="65"/>
      <c r="D1623" s="65"/>
      <c r="E1623" s="66"/>
      <c r="F1623" s="21" t="s">
        <v>65</v>
      </c>
      <c r="G1623" s="67">
        <v>275</v>
      </c>
      <c r="H1623" s="68"/>
      <c r="I1623" s="86"/>
      <c r="J1623" s="87"/>
      <c r="K1623" s="88"/>
      <c r="L1623" s="69">
        <f t="shared" si="83"/>
        <v>0</v>
      </c>
      <c r="M1623" s="70"/>
      <c r="N1623" s="8"/>
      <c r="O1623" s="1"/>
      <c r="P1623" s="31">
        <v>350</v>
      </c>
      <c r="Q1623" s="38">
        <f t="shared" si="84"/>
        <v>96250</v>
      </c>
      <c r="R1623" s="28">
        <f t="shared" si="85"/>
        <v>0</v>
      </c>
    </row>
    <row r="1624" spans="1:18">
      <c r="A1624" s="64" t="s">
        <v>86</v>
      </c>
      <c r="B1624" s="65"/>
      <c r="C1624" s="65"/>
      <c r="D1624" s="65"/>
      <c r="E1624" s="66"/>
      <c r="F1624" s="21" t="s">
        <v>60</v>
      </c>
      <c r="G1624" s="67">
        <v>1</v>
      </c>
      <c r="H1624" s="68"/>
      <c r="I1624" s="86"/>
      <c r="J1624" s="87"/>
      <c r="K1624" s="88"/>
      <c r="L1624" s="69">
        <f t="shared" si="83"/>
        <v>0</v>
      </c>
      <c r="M1624" s="70"/>
      <c r="N1624" s="8"/>
      <c r="O1624" s="2"/>
      <c r="P1624" s="30">
        <v>40000</v>
      </c>
      <c r="Q1624" s="38">
        <f t="shared" si="84"/>
        <v>40000</v>
      </c>
      <c r="R1624" s="28">
        <f t="shared" si="85"/>
        <v>0</v>
      </c>
    </row>
    <row r="1625" spans="1:18">
      <c r="A1625" s="83" t="s">
        <v>87</v>
      </c>
      <c r="B1625" s="84"/>
      <c r="C1625" s="84"/>
      <c r="D1625" s="84"/>
      <c r="E1625" s="85"/>
      <c r="F1625" s="20" t="s">
        <v>60</v>
      </c>
      <c r="G1625" s="67">
        <v>1</v>
      </c>
      <c r="H1625" s="68"/>
      <c r="I1625" s="86"/>
      <c r="J1625" s="87"/>
      <c r="K1625" s="88"/>
      <c r="L1625" s="69">
        <f t="shared" si="83"/>
        <v>0</v>
      </c>
      <c r="M1625" s="70"/>
      <c r="N1625" s="8"/>
      <c r="O1625" s="1"/>
      <c r="P1625" s="31">
        <v>276970</v>
      </c>
      <c r="Q1625" s="38">
        <f t="shared" si="84"/>
        <v>276970</v>
      </c>
      <c r="R1625" s="28">
        <f t="shared" si="85"/>
        <v>0</v>
      </c>
    </row>
    <row r="1626" spans="1:18">
      <c r="A1626" s="83" t="s">
        <v>88</v>
      </c>
      <c r="B1626" s="84"/>
      <c r="C1626" s="84"/>
      <c r="D1626" s="84"/>
      <c r="E1626" s="85"/>
      <c r="F1626" s="20" t="s">
        <v>60</v>
      </c>
      <c r="G1626" s="67">
        <v>1</v>
      </c>
      <c r="H1626" s="68"/>
      <c r="I1626" s="26"/>
      <c r="J1626" s="23"/>
      <c r="K1626" s="24"/>
      <c r="L1626" s="69">
        <f t="shared" si="83"/>
        <v>0</v>
      </c>
      <c r="M1626" s="70"/>
      <c r="N1626" s="25"/>
      <c r="O1626" s="1"/>
      <c r="P1626" s="32">
        <v>60873</v>
      </c>
      <c r="Q1626" s="38">
        <f t="shared" si="84"/>
        <v>60873</v>
      </c>
      <c r="R1626" s="28">
        <f t="shared" si="85"/>
        <v>0</v>
      </c>
    </row>
    <row r="1627" spans="1:18">
      <c r="A1627" s="83" t="s">
        <v>89</v>
      </c>
      <c r="B1627" s="84"/>
      <c r="C1627" s="84"/>
      <c r="D1627" s="84"/>
      <c r="E1627" s="85"/>
      <c r="F1627" s="20" t="s">
        <v>60</v>
      </c>
      <c r="G1627" s="67">
        <v>1</v>
      </c>
      <c r="H1627" s="68"/>
      <c r="I1627" s="26"/>
      <c r="J1627" s="23"/>
      <c r="K1627" s="24"/>
      <c r="L1627" s="69">
        <f t="shared" si="83"/>
        <v>0</v>
      </c>
      <c r="M1627" s="70"/>
      <c r="N1627" s="25"/>
      <c r="O1627" s="1"/>
      <c r="P1627" s="32">
        <v>60873</v>
      </c>
      <c r="Q1627" s="38">
        <f t="shared" si="84"/>
        <v>60873</v>
      </c>
      <c r="R1627" s="28">
        <f t="shared" si="85"/>
        <v>0</v>
      </c>
    </row>
    <row r="1628" spans="1:18">
      <c r="A1628" s="83" t="s">
        <v>90</v>
      </c>
      <c r="B1628" s="84"/>
      <c r="C1628" s="84"/>
      <c r="D1628" s="84"/>
      <c r="E1628" s="85"/>
      <c r="F1628" s="20" t="s">
        <v>60</v>
      </c>
      <c r="G1628" s="67">
        <v>1</v>
      </c>
      <c r="H1628" s="68"/>
      <c r="I1628" s="26"/>
      <c r="J1628" s="23"/>
      <c r="K1628" s="24"/>
      <c r="L1628" s="69">
        <f t="shared" si="83"/>
        <v>0</v>
      </c>
      <c r="M1628" s="70"/>
      <c r="N1628" s="25"/>
      <c r="O1628" s="1"/>
      <c r="P1628" s="34">
        <v>266321</v>
      </c>
      <c r="Q1628" s="38">
        <f t="shared" si="84"/>
        <v>266321</v>
      </c>
      <c r="R1628" s="28">
        <f t="shared" si="85"/>
        <v>0</v>
      </c>
    </row>
    <row r="1629" spans="1:18">
      <c r="A1629" s="83" t="s">
        <v>91</v>
      </c>
      <c r="B1629" s="84"/>
      <c r="C1629" s="84"/>
      <c r="D1629" s="84"/>
      <c r="E1629" s="85"/>
      <c r="F1629" s="2" t="s">
        <v>60</v>
      </c>
      <c r="G1629" s="67">
        <v>1</v>
      </c>
      <c r="H1629" s="68"/>
      <c r="I1629" s="26"/>
      <c r="J1629" s="23"/>
      <c r="K1629" s="24"/>
      <c r="L1629" s="69">
        <f t="shared" si="83"/>
        <v>1</v>
      </c>
      <c r="M1629" s="70"/>
      <c r="N1629" s="25"/>
      <c r="O1629" s="1"/>
      <c r="P1629" s="32">
        <v>13316</v>
      </c>
      <c r="Q1629" s="38">
        <f t="shared" si="84"/>
        <v>13316</v>
      </c>
      <c r="R1629" s="28">
        <f t="shared" si="85"/>
        <v>13316</v>
      </c>
    </row>
    <row r="1630" spans="1:18">
      <c r="A1630" s="83" t="s">
        <v>92</v>
      </c>
      <c r="B1630" s="84"/>
      <c r="C1630" s="84"/>
      <c r="D1630" s="84"/>
      <c r="E1630" s="85"/>
      <c r="F1630" s="20" t="s">
        <v>60</v>
      </c>
      <c r="G1630" s="67">
        <v>1</v>
      </c>
      <c r="H1630" s="68"/>
      <c r="I1630" s="26"/>
      <c r="J1630" s="23"/>
      <c r="K1630" s="24"/>
      <c r="L1630" s="69">
        <f t="shared" si="83"/>
        <v>0</v>
      </c>
      <c r="M1630" s="70"/>
      <c r="N1630" s="25"/>
      <c r="O1630" s="1"/>
      <c r="P1630" s="32">
        <v>210299</v>
      </c>
      <c r="Q1630" s="38">
        <f t="shared" si="84"/>
        <v>210299</v>
      </c>
      <c r="R1630" s="28">
        <f t="shared" si="85"/>
        <v>0</v>
      </c>
    </row>
    <row r="1631" spans="1:18">
      <c r="A1631" s="64"/>
      <c r="B1631" s="65"/>
      <c r="C1631" s="65"/>
      <c r="D1631" s="65"/>
      <c r="E1631" s="66"/>
      <c r="F1631" s="22"/>
      <c r="G1631" s="67"/>
      <c r="H1631" s="68"/>
      <c r="I1631" s="26"/>
      <c r="J1631" s="23"/>
      <c r="K1631" s="24"/>
      <c r="L1631" s="69"/>
      <c r="M1631" s="70"/>
      <c r="N1631" s="25"/>
      <c r="O1631" s="3"/>
      <c r="P1631" s="32"/>
      <c r="Q1631" s="33">
        <f>SUM(Q1605:Q1630)</f>
        <v>4416270</v>
      </c>
      <c r="R1631" s="29">
        <f>SUM(R1605:R1630)</f>
        <v>653016</v>
      </c>
    </row>
    <row r="1632" spans="1:18">
      <c r="A1632" s="64"/>
      <c r="B1632" s="65"/>
      <c r="C1632" s="65"/>
      <c r="D1632" s="65"/>
      <c r="E1632" s="66"/>
      <c r="F1632" s="22"/>
      <c r="G1632" s="67"/>
      <c r="H1632" s="68"/>
      <c r="I1632" s="26"/>
      <c r="J1632" s="23"/>
      <c r="K1632" s="24"/>
      <c r="L1632" s="69"/>
      <c r="M1632" s="70"/>
      <c r="N1632" s="25"/>
      <c r="O1632" s="3"/>
      <c r="P1632" s="32"/>
      <c r="Q1632" s="33"/>
      <c r="R1632" s="37">
        <f>R1631/Q1631</f>
        <v>0.14786595928238083</v>
      </c>
    </row>
    <row r="1633" spans="1:19">
      <c r="A1633" s="62" t="s">
        <v>14</v>
      </c>
      <c r="B1633" s="62"/>
      <c r="C1633" s="62"/>
      <c r="D1633" s="62"/>
      <c r="E1633" s="62"/>
      <c r="F1633" s="62"/>
      <c r="G1633" s="62"/>
      <c r="H1633" s="62"/>
      <c r="I1633" s="62"/>
      <c r="J1633" s="62"/>
      <c r="K1633" s="62"/>
      <c r="L1633" s="62"/>
      <c r="M1633" s="62"/>
      <c r="N1633" s="62"/>
      <c r="O1633" s="1"/>
      <c r="P1633" s="32"/>
      <c r="Q1633" s="33"/>
      <c r="R1633" s="29"/>
      <c r="S1633" s="16"/>
    </row>
    <row r="1634" spans="1:19">
      <c r="A1634" s="71" t="s">
        <v>15</v>
      </c>
      <c r="B1634" s="72"/>
      <c r="C1634" s="72"/>
      <c r="D1634" s="72"/>
      <c r="E1634" s="73"/>
      <c r="F1634" s="9" t="s">
        <v>37</v>
      </c>
      <c r="G1634" s="71" t="s">
        <v>38</v>
      </c>
      <c r="H1634" s="73"/>
      <c r="I1634" s="71" t="s">
        <v>42</v>
      </c>
      <c r="J1634" s="72"/>
      <c r="K1634" s="73"/>
      <c r="L1634" s="74" t="s">
        <v>17</v>
      </c>
      <c r="M1634" s="75"/>
      <c r="N1634" s="9" t="s">
        <v>13</v>
      </c>
      <c r="O1634" s="1"/>
      <c r="P1634" s="32"/>
      <c r="Q1634" s="33"/>
      <c r="R1634" s="29"/>
      <c r="S1634" s="16"/>
    </row>
    <row r="1635" spans="1:19">
      <c r="A1635" s="71"/>
      <c r="B1635" s="72"/>
      <c r="C1635" s="72"/>
      <c r="D1635" s="72"/>
      <c r="E1635" s="73"/>
      <c r="F1635" s="13"/>
      <c r="G1635" s="76"/>
      <c r="H1635" s="77"/>
      <c r="I1635" s="78"/>
      <c r="J1635" s="79"/>
      <c r="K1635" s="80"/>
      <c r="L1635" s="81"/>
      <c r="M1635" s="82"/>
      <c r="N1635" s="8"/>
      <c r="O1635" s="1"/>
      <c r="P1635" s="32"/>
      <c r="Q1635" s="33"/>
      <c r="R1635" s="29"/>
      <c r="S1635" s="16"/>
    </row>
    <row r="1636" spans="1:19">
      <c r="A1636" s="62" t="s">
        <v>19</v>
      </c>
      <c r="B1636" s="62"/>
      <c r="C1636" s="62"/>
      <c r="D1636" s="62"/>
      <c r="E1636" s="62"/>
      <c r="F1636" s="62"/>
      <c r="G1636" s="62"/>
      <c r="H1636" s="62"/>
      <c r="I1636" s="62"/>
      <c r="J1636" s="62"/>
      <c r="K1636" s="62"/>
      <c r="L1636" s="62"/>
      <c r="M1636" s="62"/>
      <c r="N1636" s="62"/>
      <c r="O1636" s="1"/>
      <c r="P1636" s="32"/>
      <c r="Q1636" s="33"/>
      <c r="R1636" s="29"/>
      <c r="S1636" s="16"/>
    </row>
    <row r="1637" spans="1:19">
      <c r="A1637" s="63" t="s">
        <v>20</v>
      </c>
      <c r="B1637" s="63"/>
      <c r="C1637" s="63" t="s">
        <v>21</v>
      </c>
      <c r="D1637" s="63"/>
      <c r="E1637" s="63" t="s">
        <v>22</v>
      </c>
      <c r="F1637" s="63"/>
      <c r="G1637" s="63" t="s">
        <v>23</v>
      </c>
      <c r="H1637" s="63"/>
      <c r="I1637" s="63"/>
      <c r="J1637" s="63" t="s">
        <v>16</v>
      </c>
      <c r="K1637" s="63"/>
      <c r="L1637" s="63"/>
      <c r="M1637" s="63" t="s">
        <v>17</v>
      </c>
      <c r="N1637" s="63"/>
      <c r="O1637" s="1"/>
      <c r="Q1637" s="32"/>
      <c r="R1637" s="33"/>
      <c r="S1637" s="16"/>
    </row>
    <row r="1638" spans="1:19">
      <c r="A1638" s="60" t="s">
        <v>24</v>
      </c>
      <c r="B1638" s="52"/>
      <c r="C1638" s="61"/>
      <c r="D1638" s="61"/>
      <c r="E1638" s="61">
        <f>C1638+E1577</f>
        <v>32</v>
      </c>
      <c r="F1638" s="61"/>
      <c r="G1638" s="60" t="s">
        <v>51</v>
      </c>
      <c r="H1638" s="51"/>
      <c r="I1638" s="52"/>
      <c r="J1638" s="61"/>
      <c r="K1638" s="61"/>
      <c r="L1638" s="61"/>
      <c r="M1638" s="61">
        <f>K1638+M1577</f>
        <v>1</v>
      </c>
      <c r="N1638" s="61"/>
      <c r="O1638" s="1"/>
      <c r="Q1638" s="32"/>
      <c r="R1638" s="33"/>
      <c r="S1638" s="16"/>
    </row>
    <row r="1639" spans="1:19">
      <c r="A1639" s="60" t="s">
        <v>25</v>
      </c>
      <c r="B1639" s="52"/>
      <c r="C1639" s="61"/>
      <c r="D1639" s="61"/>
      <c r="E1639" s="61">
        <f>C1639+E1578</f>
        <v>29</v>
      </c>
      <c r="F1639" s="61"/>
      <c r="G1639" s="60" t="s">
        <v>50</v>
      </c>
      <c r="H1639" s="51"/>
      <c r="I1639" s="52"/>
      <c r="J1639" s="61"/>
      <c r="K1639" s="61"/>
      <c r="L1639" s="61"/>
      <c r="M1639" s="61">
        <f>K1639+M1578</f>
        <v>1</v>
      </c>
      <c r="N1639" s="61"/>
      <c r="O1639" s="1"/>
      <c r="Q1639" s="32"/>
      <c r="R1639" s="33"/>
      <c r="S1639" s="16"/>
    </row>
    <row r="1640" spans="1:19">
      <c r="A1640" s="60"/>
      <c r="B1640" s="52"/>
      <c r="C1640" s="61"/>
      <c r="D1640" s="61"/>
      <c r="E1640" s="61"/>
      <c r="F1640" s="61"/>
      <c r="G1640" s="60" t="s">
        <v>55</v>
      </c>
      <c r="H1640" s="51"/>
      <c r="I1640" s="52"/>
      <c r="J1640" s="61"/>
      <c r="K1640" s="61"/>
      <c r="L1640" s="61"/>
      <c r="M1640" s="61">
        <f>K1640+M1579</f>
        <v>0</v>
      </c>
      <c r="N1640" s="61"/>
      <c r="O1640" s="2"/>
      <c r="P1640" s="29"/>
      <c r="Q1640" s="32"/>
      <c r="R1640" s="33"/>
      <c r="S1640" s="16"/>
    </row>
    <row r="1641" spans="1:19">
      <c r="A1641" s="53" t="s">
        <v>53</v>
      </c>
      <c r="B1641" s="47"/>
      <c r="C1641" s="53"/>
      <c r="D1641" s="53"/>
      <c r="E1641" s="53"/>
      <c r="F1641" s="53"/>
      <c r="G1641" s="53"/>
      <c r="H1641" s="53"/>
      <c r="I1641" s="53"/>
      <c r="J1641" s="53"/>
      <c r="K1641" s="53"/>
      <c r="L1641" s="53"/>
      <c r="M1641" s="53"/>
      <c r="N1641" s="53"/>
      <c r="O1641" s="1"/>
      <c r="P1641" s="32"/>
      <c r="Q1641" s="32"/>
      <c r="R1641" s="33"/>
      <c r="S1641" s="16"/>
    </row>
    <row r="1642" spans="1:19">
      <c r="A1642" s="45" t="s">
        <v>56</v>
      </c>
      <c r="B1642" s="46"/>
      <c r="C1642" s="46"/>
      <c r="D1642" s="46"/>
      <c r="E1642" s="46"/>
      <c r="F1642" s="46"/>
      <c r="G1642" s="46"/>
      <c r="H1642" s="46"/>
      <c r="I1642" s="46"/>
      <c r="J1642" s="46"/>
      <c r="K1642" s="46"/>
      <c r="L1642" s="46"/>
      <c r="M1642" s="46"/>
      <c r="N1642" s="47"/>
      <c r="O1642" s="1"/>
      <c r="P1642" s="32"/>
      <c r="Q1642" s="34"/>
      <c r="R1642" s="33"/>
      <c r="S1642" s="16"/>
    </row>
    <row r="1643" spans="1:19">
      <c r="A1643" s="54" t="s">
        <v>54</v>
      </c>
      <c r="B1643" s="55"/>
      <c r="C1643" s="55"/>
      <c r="D1643" s="55"/>
      <c r="E1643" s="55"/>
      <c r="F1643" s="55"/>
      <c r="G1643" s="55"/>
      <c r="H1643" s="55"/>
      <c r="I1643" s="55"/>
      <c r="J1643" s="55"/>
      <c r="K1643" s="55"/>
      <c r="L1643" s="55"/>
      <c r="M1643" s="55"/>
      <c r="N1643" s="56"/>
      <c r="O1643" s="1"/>
      <c r="P1643" s="32"/>
      <c r="Q1643" s="32"/>
      <c r="R1643" s="33"/>
      <c r="S1643" s="16"/>
    </row>
    <row r="1644" spans="1:19">
      <c r="A1644" s="40" t="s">
        <v>26</v>
      </c>
      <c r="B1644" s="41"/>
      <c r="C1644" s="40"/>
      <c r="D1644" s="40"/>
      <c r="E1644" s="40"/>
      <c r="F1644" s="40"/>
      <c r="G1644" s="40"/>
      <c r="H1644" s="40"/>
      <c r="I1644" s="40"/>
      <c r="J1644" s="40"/>
      <c r="K1644" s="40"/>
      <c r="L1644" s="40"/>
      <c r="M1644" s="40"/>
      <c r="N1644" s="40"/>
      <c r="O1644" s="1"/>
      <c r="P1644" s="32"/>
      <c r="Q1644" s="32"/>
      <c r="R1644" s="33"/>
      <c r="S1644" s="16"/>
    </row>
    <row r="1645" spans="1:19">
      <c r="A1645" s="57" t="s">
        <v>27</v>
      </c>
      <c r="B1645" s="58"/>
      <c r="C1645" s="58"/>
      <c r="D1645" s="58"/>
      <c r="E1645" s="58"/>
      <c r="F1645" s="58"/>
      <c r="G1645" s="58"/>
      <c r="H1645" s="58"/>
      <c r="I1645" s="58"/>
      <c r="J1645" s="58"/>
      <c r="K1645" s="58"/>
      <c r="L1645" s="58"/>
      <c r="M1645" s="58"/>
      <c r="N1645" s="59"/>
      <c r="O1645" s="1"/>
      <c r="P1645" s="34"/>
      <c r="Q1645" s="34"/>
      <c r="R1645" s="33"/>
      <c r="S1645" s="16"/>
    </row>
    <row r="1646" spans="1:19">
      <c r="A1646" s="57" t="s">
        <v>57</v>
      </c>
      <c r="B1646" s="58"/>
      <c r="C1646" s="58"/>
      <c r="D1646" s="58"/>
      <c r="E1646" s="58"/>
      <c r="F1646" s="58"/>
      <c r="G1646" s="58"/>
      <c r="H1646" s="58"/>
      <c r="I1646" s="58"/>
      <c r="J1646" s="58"/>
      <c r="K1646" s="58"/>
      <c r="L1646" s="58"/>
      <c r="M1646" s="58"/>
      <c r="N1646" s="59"/>
      <c r="O1646" s="1"/>
      <c r="P1646" s="32"/>
      <c r="Q1646" s="32"/>
      <c r="R1646" s="33"/>
      <c r="S1646" s="16"/>
    </row>
    <row r="1647" spans="1:19">
      <c r="A1647" s="57" t="s">
        <v>58</v>
      </c>
      <c r="B1647" s="58"/>
      <c r="C1647" s="58"/>
      <c r="D1647" s="58"/>
      <c r="E1647" s="58"/>
      <c r="F1647" s="58"/>
      <c r="G1647" s="58"/>
      <c r="H1647" s="58"/>
      <c r="I1647" s="58"/>
      <c r="J1647" s="58"/>
      <c r="K1647" s="58"/>
      <c r="L1647" s="58"/>
      <c r="M1647" s="58"/>
      <c r="N1647" s="59"/>
      <c r="O1647" s="1"/>
      <c r="P1647" s="32"/>
      <c r="Q1647" s="32"/>
      <c r="R1647" s="33"/>
      <c r="S1647" s="16"/>
    </row>
    <row r="1648" spans="1:19">
      <c r="A1648" s="57" t="s">
        <v>59</v>
      </c>
      <c r="B1648" s="58"/>
      <c r="C1648" s="58"/>
      <c r="D1648" s="58"/>
      <c r="E1648" s="58"/>
      <c r="F1648" s="58"/>
      <c r="G1648" s="58"/>
      <c r="H1648" s="58"/>
      <c r="I1648" s="58"/>
      <c r="J1648" s="58"/>
      <c r="K1648" s="58"/>
      <c r="L1648" s="58"/>
      <c r="M1648" s="58"/>
      <c r="N1648" s="59"/>
      <c r="O1648" s="1"/>
      <c r="P1648" s="32"/>
      <c r="Q1648" s="34"/>
      <c r="R1648" s="33"/>
      <c r="S1648" s="16"/>
    </row>
    <row r="1649" spans="1:19">
      <c r="A1649" s="57" t="s">
        <v>28</v>
      </c>
      <c r="B1649" s="58"/>
      <c r="C1649" s="58"/>
      <c r="D1649" s="58"/>
      <c r="E1649" s="58"/>
      <c r="F1649" s="58"/>
      <c r="G1649" s="58"/>
      <c r="H1649" s="58"/>
      <c r="I1649" s="58"/>
      <c r="J1649" s="58"/>
      <c r="K1649" s="58"/>
      <c r="L1649" s="58"/>
      <c r="M1649" s="58"/>
      <c r="N1649" s="59"/>
      <c r="O1649" s="1"/>
      <c r="P1649" s="34"/>
      <c r="Q1649" s="32"/>
      <c r="R1649" s="33"/>
      <c r="S1649" s="16"/>
    </row>
    <row r="1650" spans="1:19">
      <c r="A1650" s="40" t="s">
        <v>29</v>
      </c>
      <c r="B1650" s="41"/>
      <c r="C1650" s="40"/>
      <c r="D1650" s="40"/>
      <c r="E1650" s="40"/>
      <c r="F1650" s="40"/>
      <c r="G1650" s="40"/>
      <c r="H1650" s="40"/>
      <c r="I1650" s="40"/>
      <c r="J1650" s="40"/>
      <c r="K1650" s="40"/>
      <c r="L1650" s="40"/>
      <c r="M1650" s="40"/>
      <c r="N1650" s="40"/>
      <c r="O1650" s="1"/>
      <c r="P1650" s="32"/>
      <c r="Q1650" s="32"/>
      <c r="R1650" s="33"/>
      <c r="S1650" s="16"/>
    </row>
    <row r="1651" spans="1:19">
      <c r="A1651" s="42"/>
      <c r="B1651" s="43"/>
      <c r="C1651" s="43"/>
      <c r="D1651" s="43"/>
      <c r="E1651" s="43"/>
      <c r="F1651" s="43"/>
      <c r="G1651" s="43"/>
      <c r="H1651" s="43"/>
      <c r="I1651" s="43"/>
      <c r="J1651" s="43"/>
      <c r="K1651" s="43"/>
      <c r="L1651" s="43"/>
      <c r="M1651" s="43"/>
      <c r="N1651" s="44"/>
      <c r="O1651" s="1"/>
      <c r="P1651" s="32"/>
      <c r="Q1651" s="32"/>
      <c r="R1651" s="33"/>
      <c r="S1651" s="16"/>
    </row>
    <row r="1652" spans="1:19">
      <c r="A1652" s="40" t="s">
        <v>30</v>
      </c>
      <c r="B1652" s="41"/>
      <c r="C1652" s="40"/>
      <c r="D1652" s="40"/>
      <c r="E1652" s="40"/>
      <c r="F1652" s="40"/>
      <c r="G1652" s="40"/>
      <c r="H1652" s="40"/>
      <c r="I1652" s="40"/>
      <c r="J1652" s="40"/>
      <c r="K1652" s="40"/>
      <c r="L1652" s="40"/>
      <c r="M1652" s="40"/>
      <c r="N1652" s="40"/>
      <c r="O1652" s="1"/>
      <c r="P1652" s="32"/>
      <c r="Q1652" s="32"/>
      <c r="R1652" s="33"/>
      <c r="S1652" s="16"/>
    </row>
    <row r="1653" spans="1:19">
      <c r="A1653" s="42"/>
      <c r="B1653" s="43"/>
      <c r="C1653" s="43"/>
      <c r="D1653" s="43"/>
      <c r="E1653" s="43"/>
      <c r="F1653" s="43"/>
      <c r="G1653" s="43"/>
      <c r="H1653" s="43"/>
      <c r="I1653" s="43"/>
      <c r="J1653" s="43"/>
      <c r="K1653" s="43"/>
      <c r="L1653" s="43"/>
      <c r="M1653" s="43"/>
      <c r="N1653" s="44"/>
      <c r="O1653" s="1"/>
      <c r="P1653" s="32"/>
      <c r="Q1653" s="32"/>
      <c r="R1653" s="33"/>
      <c r="S1653" s="16"/>
    </row>
    <row r="1654" spans="1:19">
      <c r="A1654" s="40" t="s">
        <v>31</v>
      </c>
      <c r="B1654" s="41"/>
      <c r="C1654" s="40"/>
      <c r="D1654" s="40"/>
      <c r="E1654" s="40"/>
      <c r="F1654" s="40"/>
      <c r="G1654" s="40"/>
      <c r="H1654" s="40"/>
      <c r="I1654" s="40"/>
      <c r="J1654" s="40"/>
      <c r="K1654" s="40"/>
      <c r="L1654" s="40"/>
      <c r="M1654" s="40"/>
      <c r="N1654" s="40"/>
      <c r="O1654" s="1"/>
      <c r="P1654" s="32"/>
      <c r="Q1654" s="32"/>
      <c r="R1654" s="33"/>
      <c r="S1654" s="17"/>
    </row>
    <row r="1655" spans="1:19">
      <c r="A1655" s="45"/>
      <c r="B1655" s="46"/>
      <c r="C1655" s="46"/>
      <c r="D1655" s="46"/>
      <c r="E1655" s="46"/>
      <c r="F1655" s="46"/>
      <c r="G1655" s="46"/>
      <c r="H1655" s="46"/>
      <c r="I1655" s="46"/>
      <c r="J1655" s="46"/>
      <c r="K1655" s="46"/>
      <c r="L1655" s="46"/>
      <c r="M1655" s="46"/>
      <c r="N1655" s="47"/>
      <c r="O1655" s="1"/>
      <c r="P1655" s="32"/>
      <c r="Q1655" s="32"/>
      <c r="R1655" s="33"/>
      <c r="S1655" s="1"/>
    </row>
    <row r="1656" spans="1:19">
      <c r="A1656" s="48" t="s">
        <v>41</v>
      </c>
      <c r="B1656" s="49"/>
      <c r="C1656" s="50"/>
      <c r="D1656" s="50"/>
      <c r="E1656" s="50"/>
      <c r="F1656" s="50"/>
      <c r="G1656" s="50"/>
      <c r="H1656" s="51"/>
      <c r="I1656" s="51"/>
      <c r="J1656" s="51"/>
      <c r="K1656" s="51"/>
      <c r="L1656" s="51"/>
      <c r="M1656" s="51"/>
      <c r="N1656" s="52"/>
      <c r="O1656" s="1"/>
      <c r="P1656" s="32"/>
      <c r="Q1656" s="32"/>
      <c r="R1656" s="33"/>
      <c r="S1656" s="1"/>
    </row>
    <row r="1657" spans="1:19" ht="28.2">
      <c r="A1657" s="1" t="s">
        <v>45</v>
      </c>
      <c r="B1657" s="7">
        <f>B1596+1</f>
        <v>28</v>
      </c>
      <c r="C1657" s="5"/>
      <c r="D1657" s="5"/>
      <c r="E1657" s="5"/>
      <c r="F1657" s="5"/>
      <c r="G1657" s="5"/>
      <c r="H1657" s="5"/>
      <c r="I1657" s="5"/>
      <c r="J1657" s="5"/>
      <c r="K1657" s="5"/>
      <c r="L1657" s="5"/>
      <c r="M1657" s="5"/>
      <c r="N1657" s="5"/>
      <c r="O1657" s="1"/>
      <c r="P1657" s="32"/>
      <c r="Q1657" s="33"/>
      <c r="R1657" s="29"/>
    </row>
    <row r="1658" spans="1:19">
      <c r="A1658" s="1" t="s">
        <v>46</v>
      </c>
      <c r="B1658" s="1" t="s">
        <v>1</v>
      </c>
      <c r="C1658" s="1" t="s">
        <v>2</v>
      </c>
      <c r="D1658" s="1" t="s">
        <v>3</v>
      </c>
      <c r="E1658" s="1" t="s">
        <v>2</v>
      </c>
      <c r="F1658" s="1"/>
      <c r="G1658" s="1"/>
      <c r="H1658" s="112" t="s">
        <v>4</v>
      </c>
      <c r="I1658" s="112"/>
      <c r="J1658" s="113">
        <f>J1597+1</f>
        <v>46239</v>
      </c>
      <c r="K1658" s="113"/>
      <c r="L1658" s="113"/>
      <c r="M1658" s="114">
        <f>J1658</f>
        <v>46239</v>
      </c>
      <c r="N1658" s="114"/>
      <c r="O1658" s="1"/>
      <c r="P1658" s="32"/>
      <c r="Q1658" s="33"/>
      <c r="R1658" s="29"/>
    </row>
    <row r="1659" spans="1:19">
      <c r="A1659" s="8" t="s">
        <v>5</v>
      </c>
      <c r="B1659" s="115">
        <f>B1590</f>
        <v>0</v>
      </c>
      <c r="C1659" s="116"/>
      <c r="D1659" s="116"/>
      <c r="E1659" s="116"/>
      <c r="F1659" s="116"/>
      <c r="G1659" s="117"/>
      <c r="H1659" s="63" t="s">
        <v>6</v>
      </c>
      <c r="I1659" s="63"/>
      <c r="J1659" s="63"/>
      <c r="K1659" s="63" t="s">
        <v>52</v>
      </c>
      <c r="L1659" s="63"/>
      <c r="M1659" s="63"/>
      <c r="N1659" s="63"/>
      <c r="O1659" s="1"/>
      <c r="P1659" s="32"/>
      <c r="Q1659" s="33"/>
      <c r="R1659" s="29"/>
    </row>
    <row r="1660" spans="1:19">
      <c r="A1660" s="8" t="s">
        <v>32</v>
      </c>
      <c r="B1660" s="10">
        <v>60</v>
      </c>
      <c r="C1660" s="11" t="s">
        <v>43</v>
      </c>
      <c r="D1660" s="71" t="s">
        <v>7</v>
      </c>
      <c r="E1660" s="73"/>
      <c r="F1660" s="10">
        <f>F1599+1</f>
        <v>28</v>
      </c>
      <c r="G1660" s="11" t="s">
        <v>8</v>
      </c>
      <c r="H1660" s="9" t="s">
        <v>9</v>
      </c>
      <c r="I1660" s="10">
        <f>B1660-F1660</f>
        <v>32</v>
      </c>
      <c r="J1660" s="11" t="s">
        <v>8</v>
      </c>
      <c r="K1660" s="118" t="s">
        <v>33</v>
      </c>
      <c r="L1660" s="119"/>
      <c r="M1660" s="12"/>
      <c r="N1660" s="11" t="s">
        <v>8</v>
      </c>
      <c r="O1660" s="1"/>
      <c r="P1660" s="34"/>
      <c r="Q1660" s="33"/>
      <c r="R1660" s="29"/>
    </row>
    <row r="1661" spans="1:19">
      <c r="A1661" s="71" t="s">
        <v>34</v>
      </c>
      <c r="B1661" s="72"/>
      <c r="C1661" s="73"/>
      <c r="D1661" s="120">
        <v>46212</v>
      </c>
      <c r="E1661" s="121"/>
      <c r="F1661" s="121"/>
      <c r="G1661" s="122"/>
      <c r="H1661" s="71" t="s">
        <v>35</v>
      </c>
      <c r="I1661" s="72"/>
      <c r="J1661" s="73"/>
      <c r="K1661" s="120">
        <f>D1661+59</f>
        <v>46271</v>
      </c>
      <c r="L1661" s="121"/>
      <c r="M1661" s="121"/>
      <c r="N1661" s="122"/>
      <c r="O1661" s="1"/>
      <c r="P1661" s="32"/>
      <c r="Q1661" s="33"/>
      <c r="R1661" s="29"/>
    </row>
    <row r="1662" spans="1:19">
      <c r="A1662" s="92" t="s">
        <v>10</v>
      </c>
      <c r="B1662" s="93"/>
      <c r="C1662" s="94"/>
      <c r="D1662" s="98">
        <f>D1601+0.0781/5</f>
        <v>0.16676000000000002</v>
      </c>
      <c r="E1662" s="99"/>
      <c r="F1662" s="99"/>
      <c r="G1662" s="100"/>
      <c r="H1662" s="104" t="s">
        <v>36</v>
      </c>
      <c r="I1662" s="105"/>
      <c r="J1662" s="106"/>
      <c r="K1662" s="110">
        <f>R1693</f>
        <v>0.14786595928238083</v>
      </c>
      <c r="L1662" s="105"/>
      <c r="M1662" s="105"/>
      <c r="N1662" s="106"/>
      <c r="O1662" s="1"/>
      <c r="P1662" s="32"/>
      <c r="Q1662" s="33"/>
      <c r="R1662" s="29"/>
    </row>
    <row r="1663" spans="1:19">
      <c r="A1663" s="95"/>
      <c r="B1663" s="96"/>
      <c r="C1663" s="97"/>
      <c r="D1663" s="101"/>
      <c r="E1663" s="102"/>
      <c r="F1663" s="102"/>
      <c r="G1663" s="103"/>
      <c r="H1663" s="107"/>
      <c r="I1663" s="108"/>
      <c r="J1663" s="109"/>
      <c r="K1663" s="107"/>
      <c r="L1663" s="108"/>
      <c r="M1663" s="108"/>
      <c r="N1663" s="109"/>
      <c r="O1663" s="1"/>
      <c r="P1663" s="32"/>
      <c r="Q1663" s="33"/>
      <c r="R1663" s="29"/>
    </row>
    <row r="1664" spans="1:19">
      <c r="A1664" s="62" t="s">
        <v>11</v>
      </c>
      <c r="B1664" s="62"/>
      <c r="C1664" s="62"/>
      <c r="D1664" s="62"/>
      <c r="E1664" s="62"/>
      <c r="F1664" s="62"/>
      <c r="G1664" s="62"/>
      <c r="H1664" s="62"/>
      <c r="I1664" s="62"/>
      <c r="J1664" s="62"/>
      <c r="K1664" s="62"/>
      <c r="L1664" s="62"/>
      <c r="M1664" s="62"/>
      <c r="N1664" s="62"/>
      <c r="O1664" s="1"/>
      <c r="P1664" s="32"/>
      <c r="Q1664" s="33"/>
      <c r="R1664" s="29"/>
    </row>
    <row r="1665" spans="1:18">
      <c r="A1665" s="111" t="s">
        <v>12</v>
      </c>
      <c r="B1665" s="111"/>
      <c r="C1665" s="111"/>
      <c r="D1665" s="111"/>
      <c r="E1665" s="111"/>
      <c r="F1665" s="14" t="s">
        <v>37</v>
      </c>
      <c r="G1665" s="111" t="s">
        <v>38</v>
      </c>
      <c r="H1665" s="111"/>
      <c r="I1665" s="63" t="s">
        <v>39</v>
      </c>
      <c r="J1665" s="63"/>
      <c r="K1665" s="63"/>
      <c r="L1665" s="63" t="s">
        <v>40</v>
      </c>
      <c r="M1665" s="63"/>
      <c r="N1665" s="9" t="s">
        <v>13</v>
      </c>
      <c r="O1665" s="1"/>
      <c r="P1665" s="28" t="s">
        <v>47</v>
      </c>
      <c r="Q1665" s="29" t="s">
        <v>48</v>
      </c>
      <c r="R1665" s="29" t="s">
        <v>49</v>
      </c>
    </row>
    <row r="1666" spans="1:18">
      <c r="A1666" s="83" t="s">
        <v>67</v>
      </c>
      <c r="B1666" s="84"/>
      <c r="C1666" s="84"/>
      <c r="D1666" s="84"/>
      <c r="E1666" s="85"/>
      <c r="F1666" s="27" t="s">
        <v>60</v>
      </c>
      <c r="G1666" s="67">
        <v>1</v>
      </c>
      <c r="H1666" s="68"/>
      <c r="I1666" s="86"/>
      <c r="J1666" s="87"/>
      <c r="K1666" s="88"/>
      <c r="L1666" s="69">
        <f>I1666+L1605</f>
        <v>1</v>
      </c>
      <c r="M1666" s="70"/>
      <c r="N1666" s="8"/>
      <c r="O1666" s="1"/>
      <c r="P1666" s="30">
        <v>6000</v>
      </c>
      <c r="Q1666" s="38">
        <f>P1666*G1666</f>
        <v>6000</v>
      </c>
      <c r="R1666" s="28">
        <f>L1666*P1666</f>
        <v>6000</v>
      </c>
    </row>
    <row r="1667" spans="1:18">
      <c r="A1667" s="83" t="s">
        <v>68</v>
      </c>
      <c r="B1667" s="84"/>
      <c r="C1667" s="84"/>
      <c r="D1667" s="84"/>
      <c r="E1667" s="85"/>
      <c r="F1667" s="20" t="s">
        <v>60</v>
      </c>
      <c r="G1667" s="67">
        <v>1</v>
      </c>
      <c r="H1667" s="68"/>
      <c r="I1667" s="87"/>
      <c r="J1667" s="87"/>
      <c r="K1667" s="88"/>
      <c r="L1667" s="69">
        <f t="shared" ref="L1667:L1691" si="86">I1667+L1606</f>
        <v>1</v>
      </c>
      <c r="M1667" s="70"/>
      <c r="N1667" s="8"/>
      <c r="O1667" s="1"/>
      <c r="P1667" s="30">
        <v>193300</v>
      </c>
      <c r="Q1667" s="38">
        <f t="shared" ref="Q1667:Q1691" si="87">P1667*G1667</f>
        <v>193300</v>
      </c>
      <c r="R1667" s="28">
        <f>L1667*P1667</f>
        <v>193300</v>
      </c>
    </row>
    <row r="1668" spans="1:18">
      <c r="A1668" s="89" t="s">
        <v>69</v>
      </c>
      <c r="B1668" s="90"/>
      <c r="C1668" s="90"/>
      <c r="D1668" s="90"/>
      <c r="E1668" s="91"/>
      <c r="F1668" s="20" t="s">
        <v>60</v>
      </c>
      <c r="G1668" s="67">
        <v>1</v>
      </c>
      <c r="H1668" s="68"/>
      <c r="I1668" s="87"/>
      <c r="J1668" s="87"/>
      <c r="K1668" s="88"/>
      <c r="L1668" s="69">
        <f t="shared" si="86"/>
        <v>0.5</v>
      </c>
      <c r="M1668" s="70"/>
      <c r="N1668" s="8"/>
      <c r="O1668" s="1"/>
      <c r="P1668" s="30">
        <v>30000</v>
      </c>
      <c r="Q1668" s="38">
        <f t="shared" si="87"/>
        <v>30000</v>
      </c>
      <c r="R1668" s="28">
        <f>L1668*P1668</f>
        <v>15000</v>
      </c>
    </row>
    <row r="1669" spans="1:18">
      <c r="A1669" s="64" t="s">
        <v>70</v>
      </c>
      <c r="B1669" s="65"/>
      <c r="C1669" s="65"/>
      <c r="D1669" s="65"/>
      <c r="E1669" s="66"/>
      <c r="F1669" s="20" t="s">
        <v>60</v>
      </c>
      <c r="G1669" s="67">
        <v>1</v>
      </c>
      <c r="H1669" s="68"/>
      <c r="I1669" s="87"/>
      <c r="J1669" s="87"/>
      <c r="K1669" s="88"/>
      <c r="L1669" s="69">
        <f t="shared" si="86"/>
        <v>1</v>
      </c>
      <c r="M1669" s="70"/>
      <c r="N1669" s="8"/>
      <c r="O1669" s="1"/>
      <c r="P1669" s="31">
        <v>10000</v>
      </c>
      <c r="Q1669" s="38">
        <f t="shared" si="87"/>
        <v>10000</v>
      </c>
      <c r="R1669" s="28">
        <f t="shared" ref="R1669:R1691" si="88">L1669*P1669</f>
        <v>10000</v>
      </c>
    </row>
    <row r="1670" spans="1:18">
      <c r="A1670" s="64" t="s">
        <v>71</v>
      </c>
      <c r="B1670" s="65"/>
      <c r="C1670" s="65"/>
      <c r="D1670" s="65"/>
      <c r="E1670" s="66"/>
      <c r="F1670" s="20" t="s">
        <v>61</v>
      </c>
      <c r="G1670" s="67">
        <v>9</v>
      </c>
      <c r="H1670" s="68"/>
      <c r="I1670" s="87"/>
      <c r="J1670" s="87"/>
      <c r="K1670" s="88"/>
      <c r="L1670" s="69">
        <f t="shared" si="86"/>
        <v>9</v>
      </c>
      <c r="M1670" s="70"/>
      <c r="N1670" s="8"/>
      <c r="O1670" s="1"/>
      <c r="P1670" s="30">
        <v>21000</v>
      </c>
      <c r="Q1670" s="38">
        <f t="shared" si="87"/>
        <v>189000</v>
      </c>
      <c r="R1670" s="28">
        <f t="shared" si="88"/>
        <v>189000</v>
      </c>
    </row>
    <row r="1671" spans="1:18">
      <c r="A1671" s="64" t="s">
        <v>72</v>
      </c>
      <c r="B1671" s="65"/>
      <c r="C1671" s="65"/>
      <c r="D1671" s="65"/>
      <c r="E1671" s="66"/>
      <c r="F1671" s="2" t="s">
        <v>60</v>
      </c>
      <c r="G1671" s="67">
        <v>1</v>
      </c>
      <c r="H1671" s="68"/>
      <c r="I1671" s="87"/>
      <c r="J1671" s="87"/>
      <c r="K1671" s="88"/>
      <c r="L1671" s="69">
        <f t="shared" si="86"/>
        <v>0</v>
      </c>
      <c r="M1671" s="70"/>
      <c r="N1671" s="8"/>
      <c r="O1671" s="1"/>
      <c r="P1671" s="30">
        <v>184468</v>
      </c>
      <c r="Q1671" s="38">
        <f t="shared" si="87"/>
        <v>184468</v>
      </c>
      <c r="R1671" s="28">
        <f t="shared" si="88"/>
        <v>0</v>
      </c>
    </row>
    <row r="1672" spans="1:18">
      <c r="A1672" s="83" t="s">
        <v>73</v>
      </c>
      <c r="B1672" s="84"/>
      <c r="C1672" s="84"/>
      <c r="D1672" s="84"/>
      <c r="E1672" s="85"/>
      <c r="F1672" s="20" t="s">
        <v>62</v>
      </c>
      <c r="G1672" s="67">
        <v>9</v>
      </c>
      <c r="H1672" s="68"/>
      <c r="I1672" s="87"/>
      <c r="J1672" s="87"/>
      <c r="K1672" s="88"/>
      <c r="L1672" s="69">
        <f t="shared" si="86"/>
        <v>0</v>
      </c>
      <c r="M1672" s="70"/>
      <c r="N1672" s="8"/>
      <c r="O1672" s="1"/>
      <c r="P1672" s="30">
        <v>20000</v>
      </c>
      <c r="Q1672" s="38">
        <f t="shared" si="87"/>
        <v>180000</v>
      </c>
      <c r="R1672" s="28">
        <f t="shared" si="88"/>
        <v>0</v>
      </c>
    </row>
    <row r="1673" spans="1:18">
      <c r="A1673" s="83" t="s">
        <v>74</v>
      </c>
      <c r="B1673" s="84"/>
      <c r="C1673" s="84"/>
      <c r="D1673" s="84"/>
      <c r="E1673" s="85"/>
      <c r="F1673" s="20" t="s">
        <v>63</v>
      </c>
      <c r="G1673" s="67">
        <v>52</v>
      </c>
      <c r="H1673" s="68"/>
      <c r="I1673" s="87"/>
      <c r="J1673" s="87"/>
      <c r="K1673" s="88"/>
      <c r="L1673" s="69">
        <f t="shared" si="86"/>
        <v>52</v>
      </c>
      <c r="M1673" s="70"/>
      <c r="N1673" s="8"/>
      <c r="O1673" s="1"/>
      <c r="P1673" s="31">
        <v>2500</v>
      </c>
      <c r="Q1673" s="38">
        <f t="shared" si="87"/>
        <v>130000</v>
      </c>
      <c r="R1673" s="28">
        <f t="shared" si="88"/>
        <v>130000</v>
      </c>
    </row>
    <row r="1674" spans="1:18">
      <c r="A1674" s="83" t="s">
        <v>75</v>
      </c>
      <c r="B1674" s="84"/>
      <c r="C1674" s="84"/>
      <c r="D1674" s="84"/>
      <c r="E1674" s="85"/>
      <c r="F1674" s="20" t="s">
        <v>64</v>
      </c>
      <c r="G1674" s="67">
        <v>1</v>
      </c>
      <c r="H1674" s="68"/>
      <c r="I1674" s="87"/>
      <c r="J1674" s="87"/>
      <c r="K1674" s="88"/>
      <c r="L1674" s="69">
        <f t="shared" si="86"/>
        <v>0</v>
      </c>
      <c r="M1674" s="70"/>
      <c r="N1674" s="8"/>
      <c r="O1674" s="1"/>
      <c r="P1674" s="30">
        <v>80000</v>
      </c>
      <c r="Q1674" s="38">
        <f t="shared" si="87"/>
        <v>80000</v>
      </c>
      <c r="R1674" s="28">
        <f t="shared" si="88"/>
        <v>0</v>
      </c>
    </row>
    <row r="1675" spans="1:18">
      <c r="A1675" s="89" t="s">
        <v>76</v>
      </c>
      <c r="B1675" s="90"/>
      <c r="C1675" s="90"/>
      <c r="D1675" s="90"/>
      <c r="E1675" s="91"/>
      <c r="F1675" s="20" t="s">
        <v>65</v>
      </c>
      <c r="G1675" s="67">
        <v>31</v>
      </c>
      <c r="H1675" s="68"/>
      <c r="I1675" s="87"/>
      <c r="J1675" s="87"/>
      <c r="K1675" s="88"/>
      <c r="L1675" s="69">
        <f t="shared" si="86"/>
        <v>31</v>
      </c>
      <c r="M1675" s="70"/>
      <c r="N1675" s="8"/>
      <c r="O1675" s="1"/>
      <c r="P1675" s="30">
        <v>400</v>
      </c>
      <c r="Q1675" s="38">
        <f t="shared" si="87"/>
        <v>12400</v>
      </c>
      <c r="R1675" s="28">
        <f t="shared" si="88"/>
        <v>12400</v>
      </c>
    </row>
    <row r="1676" spans="1:18">
      <c r="A1676" s="64" t="s">
        <v>77</v>
      </c>
      <c r="B1676" s="65"/>
      <c r="C1676" s="65"/>
      <c r="D1676" s="65"/>
      <c r="E1676" s="66"/>
      <c r="F1676" s="20" t="s">
        <v>65</v>
      </c>
      <c r="G1676" s="67">
        <v>100</v>
      </c>
      <c r="H1676" s="68"/>
      <c r="I1676" s="87"/>
      <c r="J1676" s="87"/>
      <c r="K1676" s="88"/>
      <c r="L1676" s="69">
        <f t="shared" si="86"/>
        <v>0</v>
      </c>
      <c r="M1676" s="70"/>
      <c r="N1676" s="8"/>
      <c r="O1676" s="1"/>
      <c r="P1676" s="30">
        <v>350</v>
      </c>
      <c r="Q1676" s="38">
        <f t="shared" si="87"/>
        <v>35000</v>
      </c>
      <c r="R1676" s="28">
        <f t="shared" si="88"/>
        <v>0</v>
      </c>
    </row>
    <row r="1677" spans="1:18">
      <c r="A1677" s="64" t="s">
        <v>78</v>
      </c>
      <c r="B1677" s="65"/>
      <c r="C1677" s="65"/>
      <c r="D1677" s="65"/>
      <c r="E1677" s="66"/>
      <c r="F1677" s="20" t="s">
        <v>63</v>
      </c>
      <c r="G1677" s="67">
        <v>35</v>
      </c>
      <c r="H1677" s="68"/>
      <c r="I1677" s="87"/>
      <c r="J1677" s="87"/>
      <c r="K1677" s="88"/>
      <c r="L1677" s="69">
        <f t="shared" si="86"/>
        <v>0</v>
      </c>
      <c r="M1677" s="70"/>
      <c r="N1677" s="8"/>
      <c r="O1677" s="1"/>
      <c r="P1677" s="30">
        <v>1200</v>
      </c>
      <c r="Q1677" s="38">
        <f t="shared" si="87"/>
        <v>42000</v>
      </c>
      <c r="R1677" s="28">
        <f t="shared" si="88"/>
        <v>0</v>
      </c>
    </row>
    <row r="1678" spans="1:18">
      <c r="A1678" s="64" t="s">
        <v>79</v>
      </c>
      <c r="B1678" s="65"/>
      <c r="C1678" s="65"/>
      <c r="D1678" s="65"/>
      <c r="E1678" s="66"/>
      <c r="F1678" s="20" t="s">
        <v>63</v>
      </c>
      <c r="G1678" s="67">
        <v>282</v>
      </c>
      <c r="H1678" s="68"/>
      <c r="I1678" s="86"/>
      <c r="J1678" s="87"/>
      <c r="K1678" s="88"/>
      <c r="L1678" s="69">
        <f t="shared" si="86"/>
        <v>60</v>
      </c>
      <c r="M1678" s="70"/>
      <c r="N1678" s="8"/>
      <c r="O1678" s="1"/>
      <c r="P1678" s="30">
        <v>1400</v>
      </c>
      <c r="Q1678" s="38">
        <f t="shared" si="87"/>
        <v>394800</v>
      </c>
      <c r="R1678" s="28">
        <f t="shared" si="88"/>
        <v>84000</v>
      </c>
    </row>
    <row r="1679" spans="1:18">
      <c r="A1679" s="83" t="s">
        <v>80</v>
      </c>
      <c r="B1679" s="84"/>
      <c r="C1679" s="84"/>
      <c r="D1679" s="84"/>
      <c r="E1679" s="85"/>
      <c r="F1679" s="21" t="s">
        <v>65</v>
      </c>
      <c r="G1679" s="67">
        <v>58</v>
      </c>
      <c r="H1679" s="68"/>
      <c r="I1679" s="86"/>
      <c r="J1679" s="87"/>
      <c r="K1679" s="88"/>
      <c r="L1679" s="69">
        <f t="shared" si="86"/>
        <v>0</v>
      </c>
      <c r="M1679" s="70"/>
      <c r="N1679" s="8"/>
      <c r="O1679" s="1"/>
      <c r="P1679" s="30">
        <v>3600</v>
      </c>
      <c r="Q1679" s="38">
        <f t="shared" si="87"/>
        <v>208800</v>
      </c>
      <c r="R1679" s="28">
        <f t="shared" si="88"/>
        <v>0</v>
      </c>
    </row>
    <row r="1680" spans="1:18">
      <c r="A1680" s="83" t="s">
        <v>81</v>
      </c>
      <c r="B1680" s="84"/>
      <c r="C1680" s="84"/>
      <c r="D1680" s="84"/>
      <c r="E1680" s="85"/>
      <c r="F1680" s="21" t="s">
        <v>65</v>
      </c>
      <c r="G1680" s="67">
        <v>360</v>
      </c>
      <c r="H1680" s="68"/>
      <c r="I1680" s="86"/>
      <c r="J1680" s="87"/>
      <c r="K1680" s="88"/>
      <c r="L1680" s="69">
        <f t="shared" si="86"/>
        <v>0</v>
      </c>
      <c r="M1680" s="70"/>
      <c r="N1680" s="8"/>
      <c r="O1680" s="1"/>
      <c r="P1680" s="30">
        <v>230</v>
      </c>
      <c r="Q1680" s="38">
        <f t="shared" si="87"/>
        <v>82800</v>
      </c>
      <c r="R1680" s="28">
        <f t="shared" si="88"/>
        <v>0</v>
      </c>
    </row>
    <row r="1681" spans="1:19">
      <c r="A1681" s="83" t="s">
        <v>82</v>
      </c>
      <c r="B1681" s="84"/>
      <c r="C1681" s="84"/>
      <c r="D1681" s="84"/>
      <c r="E1681" s="85"/>
      <c r="F1681" s="21" t="s">
        <v>65</v>
      </c>
      <c r="G1681" s="67">
        <v>2400</v>
      </c>
      <c r="H1681" s="68"/>
      <c r="I1681" s="86"/>
      <c r="J1681" s="87"/>
      <c r="K1681" s="88"/>
      <c r="L1681" s="69">
        <f t="shared" si="86"/>
        <v>0</v>
      </c>
      <c r="M1681" s="70"/>
      <c r="N1681" s="8"/>
      <c r="O1681" s="1"/>
      <c r="P1681" s="30">
        <v>80</v>
      </c>
      <c r="Q1681" s="38">
        <f t="shared" si="87"/>
        <v>192000</v>
      </c>
      <c r="R1681" s="28">
        <f t="shared" si="88"/>
        <v>0</v>
      </c>
    </row>
    <row r="1682" spans="1:19">
      <c r="A1682" s="89" t="s">
        <v>83</v>
      </c>
      <c r="B1682" s="90"/>
      <c r="C1682" s="90"/>
      <c r="D1682" s="90"/>
      <c r="E1682" s="91"/>
      <c r="F1682" s="21" t="s">
        <v>65</v>
      </c>
      <c r="G1682" s="67">
        <v>360</v>
      </c>
      <c r="H1682" s="68"/>
      <c r="I1682" s="86"/>
      <c r="J1682" s="87"/>
      <c r="K1682" s="88"/>
      <c r="L1682" s="69">
        <f t="shared" si="86"/>
        <v>0</v>
      </c>
      <c r="M1682" s="70"/>
      <c r="N1682" s="8"/>
      <c r="O1682" s="1"/>
      <c r="P1682" s="30">
        <v>420</v>
      </c>
      <c r="Q1682" s="38">
        <f t="shared" si="87"/>
        <v>151200</v>
      </c>
      <c r="R1682" s="28">
        <f t="shared" si="88"/>
        <v>0</v>
      </c>
    </row>
    <row r="1683" spans="1:19">
      <c r="A1683" s="64" t="s">
        <v>84</v>
      </c>
      <c r="B1683" s="65"/>
      <c r="C1683" s="65"/>
      <c r="D1683" s="65"/>
      <c r="E1683" s="66"/>
      <c r="F1683" s="21" t="s">
        <v>65</v>
      </c>
      <c r="G1683" s="67">
        <v>2760</v>
      </c>
      <c r="H1683" s="68"/>
      <c r="I1683" s="86"/>
      <c r="J1683" s="87"/>
      <c r="K1683" s="88"/>
      <c r="L1683" s="69">
        <f t="shared" si="86"/>
        <v>0</v>
      </c>
      <c r="M1683" s="70"/>
      <c r="N1683" s="8"/>
      <c r="O1683" s="1"/>
      <c r="P1683" s="30">
        <v>460</v>
      </c>
      <c r="Q1683" s="38">
        <f t="shared" si="87"/>
        <v>1269600</v>
      </c>
      <c r="R1683" s="28">
        <f t="shared" si="88"/>
        <v>0</v>
      </c>
    </row>
    <row r="1684" spans="1:19">
      <c r="A1684" s="64" t="s">
        <v>85</v>
      </c>
      <c r="B1684" s="65"/>
      <c r="C1684" s="65"/>
      <c r="D1684" s="65"/>
      <c r="E1684" s="66"/>
      <c r="F1684" s="21" t="s">
        <v>65</v>
      </c>
      <c r="G1684" s="67">
        <v>275</v>
      </c>
      <c r="H1684" s="68"/>
      <c r="I1684" s="86"/>
      <c r="J1684" s="87"/>
      <c r="K1684" s="88"/>
      <c r="L1684" s="69">
        <f t="shared" si="86"/>
        <v>0</v>
      </c>
      <c r="M1684" s="70"/>
      <c r="N1684" s="8"/>
      <c r="O1684" s="1"/>
      <c r="P1684" s="31">
        <v>350</v>
      </c>
      <c r="Q1684" s="38">
        <f t="shared" si="87"/>
        <v>96250</v>
      </c>
      <c r="R1684" s="28">
        <f t="shared" si="88"/>
        <v>0</v>
      </c>
    </row>
    <row r="1685" spans="1:19">
      <c r="A1685" s="64" t="s">
        <v>86</v>
      </c>
      <c r="B1685" s="65"/>
      <c r="C1685" s="65"/>
      <c r="D1685" s="65"/>
      <c r="E1685" s="66"/>
      <c r="F1685" s="21" t="s">
        <v>60</v>
      </c>
      <c r="G1685" s="67">
        <v>1</v>
      </c>
      <c r="H1685" s="68"/>
      <c r="I1685" s="86"/>
      <c r="J1685" s="87"/>
      <c r="K1685" s="88"/>
      <c r="L1685" s="69">
        <f t="shared" si="86"/>
        <v>0</v>
      </c>
      <c r="M1685" s="70"/>
      <c r="N1685" s="8"/>
      <c r="O1685" s="2"/>
      <c r="P1685" s="30">
        <v>40000</v>
      </c>
      <c r="Q1685" s="38">
        <f t="shared" si="87"/>
        <v>40000</v>
      </c>
      <c r="R1685" s="28">
        <f t="shared" si="88"/>
        <v>0</v>
      </c>
    </row>
    <row r="1686" spans="1:19">
      <c r="A1686" s="83" t="s">
        <v>87</v>
      </c>
      <c r="B1686" s="84"/>
      <c r="C1686" s="84"/>
      <c r="D1686" s="84"/>
      <c r="E1686" s="85"/>
      <c r="F1686" s="20" t="s">
        <v>60</v>
      </c>
      <c r="G1686" s="67">
        <v>1</v>
      </c>
      <c r="H1686" s="68"/>
      <c r="I1686" s="86"/>
      <c r="J1686" s="87"/>
      <c r="K1686" s="88"/>
      <c r="L1686" s="69">
        <f t="shared" si="86"/>
        <v>0</v>
      </c>
      <c r="M1686" s="70"/>
      <c r="N1686" s="8"/>
      <c r="O1686" s="1"/>
      <c r="P1686" s="31">
        <v>276970</v>
      </c>
      <c r="Q1686" s="38">
        <f t="shared" si="87"/>
        <v>276970</v>
      </c>
      <c r="R1686" s="28">
        <f t="shared" si="88"/>
        <v>0</v>
      </c>
    </row>
    <row r="1687" spans="1:19">
      <c r="A1687" s="83" t="s">
        <v>88</v>
      </c>
      <c r="B1687" s="84"/>
      <c r="C1687" s="84"/>
      <c r="D1687" s="84"/>
      <c r="E1687" s="85"/>
      <c r="F1687" s="20" t="s">
        <v>60</v>
      </c>
      <c r="G1687" s="67">
        <v>1</v>
      </c>
      <c r="H1687" s="68"/>
      <c r="I1687" s="26"/>
      <c r="J1687" s="23"/>
      <c r="K1687" s="24"/>
      <c r="L1687" s="69">
        <f t="shared" si="86"/>
        <v>0</v>
      </c>
      <c r="M1687" s="70"/>
      <c r="N1687" s="25"/>
      <c r="O1687" s="1"/>
      <c r="P1687" s="32">
        <v>60873</v>
      </c>
      <c r="Q1687" s="38">
        <f t="shared" si="87"/>
        <v>60873</v>
      </c>
      <c r="R1687" s="28">
        <f t="shared" si="88"/>
        <v>0</v>
      </c>
    </row>
    <row r="1688" spans="1:19">
      <c r="A1688" s="83" t="s">
        <v>89</v>
      </c>
      <c r="B1688" s="84"/>
      <c r="C1688" s="84"/>
      <c r="D1688" s="84"/>
      <c r="E1688" s="85"/>
      <c r="F1688" s="20" t="s">
        <v>60</v>
      </c>
      <c r="G1688" s="67">
        <v>1</v>
      </c>
      <c r="H1688" s="68"/>
      <c r="I1688" s="26"/>
      <c r="J1688" s="23"/>
      <c r="K1688" s="24"/>
      <c r="L1688" s="69">
        <f t="shared" si="86"/>
        <v>0</v>
      </c>
      <c r="M1688" s="70"/>
      <c r="N1688" s="25"/>
      <c r="O1688" s="1"/>
      <c r="P1688" s="32">
        <v>60873</v>
      </c>
      <c r="Q1688" s="38">
        <f t="shared" si="87"/>
        <v>60873</v>
      </c>
      <c r="R1688" s="28">
        <f t="shared" si="88"/>
        <v>0</v>
      </c>
    </row>
    <row r="1689" spans="1:19">
      <c r="A1689" s="83" t="s">
        <v>90</v>
      </c>
      <c r="B1689" s="84"/>
      <c r="C1689" s="84"/>
      <c r="D1689" s="84"/>
      <c r="E1689" s="85"/>
      <c r="F1689" s="20" t="s">
        <v>60</v>
      </c>
      <c r="G1689" s="67">
        <v>1</v>
      </c>
      <c r="H1689" s="68"/>
      <c r="I1689" s="26"/>
      <c r="J1689" s="23"/>
      <c r="K1689" s="24"/>
      <c r="L1689" s="69">
        <f t="shared" si="86"/>
        <v>0</v>
      </c>
      <c r="M1689" s="70"/>
      <c r="N1689" s="25"/>
      <c r="O1689" s="1"/>
      <c r="P1689" s="34">
        <v>266321</v>
      </c>
      <c r="Q1689" s="38">
        <f t="shared" si="87"/>
        <v>266321</v>
      </c>
      <c r="R1689" s="28">
        <f t="shared" si="88"/>
        <v>0</v>
      </c>
    </row>
    <row r="1690" spans="1:19">
      <c r="A1690" s="83" t="s">
        <v>91</v>
      </c>
      <c r="B1690" s="84"/>
      <c r="C1690" s="84"/>
      <c r="D1690" s="84"/>
      <c r="E1690" s="85"/>
      <c r="F1690" s="2" t="s">
        <v>60</v>
      </c>
      <c r="G1690" s="67">
        <v>1</v>
      </c>
      <c r="H1690" s="68"/>
      <c r="I1690" s="26"/>
      <c r="J1690" s="23"/>
      <c r="K1690" s="24"/>
      <c r="L1690" s="69">
        <f t="shared" si="86"/>
        <v>1</v>
      </c>
      <c r="M1690" s="70"/>
      <c r="N1690" s="25"/>
      <c r="O1690" s="1"/>
      <c r="P1690" s="32">
        <v>13316</v>
      </c>
      <c r="Q1690" s="38">
        <f t="shared" si="87"/>
        <v>13316</v>
      </c>
      <c r="R1690" s="28">
        <f t="shared" si="88"/>
        <v>13316</v>
      </c>
    </row>
    <row r="1691" spans="1:19">
      <c r="A1691" s="83" t="s">
        <v>92</v>
      </c>
      <c r="B1691" s="84"/>
      <c r="C1691" s="84"/>
      <c r="D1691" s="84"/>
      <c r="E1691" s="85"/>
      <c r="F1691" s="20" t="s">
        <v>60</v>
      </c>
      <c r="G1691" s="67">
        <v>1</v>
      </c>
      <c r="H1691" s="68"/>
      <c r="I1691" s="26"/>
      <c r="J1691" s="23"/>
      <c r="K1691" s="24"/>
      <c r="L1691" s="69">
        <f t="shared" si="86"/>
        <v>0</v>
      </c>
      <c r="M1691" s="70"/>
      <c r="N1691" s="25"/>
      <c r="O1691" s="1"/>
      <c r="P1691" s="32">
        <v>210299</v>
      </c>
      <c r="Q1691" s="38">
        <f t="shared" si="87"/>
        <v>210299</v>
      </c>
      <c r="R1691" s="28">
        <f t="shared" si="88"/>
        <v>0</v>
      </c>
    </row>
    <row r="1692" spans="1:19">
      <c r="A1692" s="64"/>
      <c r="B1692" s="65"/>
      <c r="C1692" s="65"/>
      <c r="D1692" s="65"/>
      <c r="E1692" s="66"/>
      <c r="F1692" s="22"/>
      <c r="G1692" s="67"/>
      <c r="H1692" s="68"/>
      <c r="I1692" s="26"/>
      <c r="J1692" s="23"/>
      <c r="K1692" s="24"/>
      <c r="L1692" s="69"/>
      <c r="M1692" s="70"/>
      <c r="N1692" s="25"/>
      <c r="O1692" s="3"/>
      <c r="P1692" s="32"/>
      <c r="Q1692" s="33">
        <f>SUM(Q1666:Q1691)</f>
        <v>4416270</v>
      </c>
      <c r="R1692" s="29">
        <f>SUM(R1666:R1691)</f>
        <v>653016</v>
      </c>
    </row>
    <row r="1693" spans="1:19">
      <c r="A1693" s="64"/>
      <c r="B1693" s="65"/>
      <c r="C1693" s="65"/>
      <c r="D1693" s="65"/>
      <c r="E1693" s="66"/>
      <c r="F1693" s="22"/>
      <c r="G1693" s="67"/>
      <c r="H1693" s="68"/>
      <c r="I1693" s="26"/>
      <c r="J1693" s="23"/>
      <c r="K1693" s="24"/>
      <c r="L1693" s="69"/>
      <c r="M1693" s="70"/>
      <c r="N1693" s="25"/>
      <c r="O1693" s="3"/>
      <c r="P1693" s="32"/>
      <c r="Q1693" s="33"/>
      <c r="R1693" s="37">
        <f>R1692/Q1692</f>
        <v>0.14786595928238083</v>
      </c>
    </row>
    <row r="1694" spans="1:19">
      <c r="A1694" s="62" t="s">
        <v>14</v>
      </c>
      <c r="B1694" s="62"/>
      <c r="C1694" s="62"/>
      <c r="D1694" s="62"/>
      <c r="E1694" s="62"/>
      <c r="F1694" s="62"/>
      <c r="G1694" s="62"/>
      <c r="H1694" s="62"/>
      <c r="I1694" s="62"/>
      <c r="J1694" s="62"/>
      <c r="K1694" s="62"/>
      <c r="L1694" s="62"/>
      <c r="M1694" s="62"/>
      <c r="N1694" s="62"/>
      <c r="O1694" s="1"/>
      <c r="P1694" s="32"/>
      <c r="Q1694" s="33"/>
      <c r="R1694" s="29"/>
      <c r="S1694" s="16"/>
    </row>
    <row r="1695" spans="1:19">
      <c r="A1695" s="71" t="s">
        <v>15</v>
      </c>
      <c r="B1695" s="72"/>
      <c r="C1695" s="72"/>
      <c r="D1695" s="72"/>
      <c r="E1695" s="73"/>
      <c r="F1695" s="9" t="s">
        <v>37</v>
      </c>
      <c r="G1695" s="71" t="s">
        <v>38</v>
      </c>
      <c r="H1695" s="73"/>
      <c r="I1695" s="71" t="s">
        <v>42</v>
      </c>
      <c r="J1695" s="72"/>
      <c r="K1695" s="73"/>
      <c r="L1695" s="74" t="s">
        <v>17</v>
      </c>
      <c r="M1695" s="75"/>
      <c r="N1695" s="9" t="s">
        <v>13</v>
      </c>
      <c r="O1695" s="1"/>
      <c r="P1695" s="32"/>
      <c r="Q1695" s="33"/>
      <c r="R1695" s="29"/>
      <c r="S1695" s="16"/>
    </row>
    <row r="1696" spans="1:19">
      <c r="A1696" s="71"/>
      <c r="B1696" s="72"/>
      <c r="C1696" s="72"/>
      <c r="D1696" s="72"/>
      <c r="E1696" s="73"/>
      <c r="F1696" s="13"/>
      <c r="G1696" s="76"/>
      <c r="H1696" s="77"/>
      <c r="I1696" s="78"/>
      <c r="J1696" s="79"/>
      <c r="K1696" s="80"/>
      <c r="L1696" s="81"/>
      <c r="M1696" s="82"/>
      <c r="N1696" s="8"/>
      <c r="O1696" s="1"/>
      <c r="P1696" s="32"/>
      <c r="Q1696" s="33"/>
      <c r="R1696" s="29"/>
      <c r="S1696" s="16"/>
    </row>
    <row r="1697" spans="1:19">
      <c r="A1697" s="62" t="s">
        <v>19</v>
      </c>
      <c r="B1697" s="62"/>
      <c r="C1697" s="62"/>
      <c r="D1697" s="62"/>
      <c r="E1697" s="62"/>
      <c r="F1697" s="62"/>
      <c r="G1697" s="62"/>
      <c r="H1697" s="62"/>
      <c r="I1697" s="62"/>
      <c r="J1697" s="62"/>
      <c r="K1697" s="62"/>
      <c r="L1697" s="62"/>
      <c r="M1697" s="62"/>
      <c r="N1697" s="62"/>
      <c r="O1697" s="1"/>
      <c r="P1697" s="32"/>
      <c r="Q1697" s="33"/>
      <c r="R1697" s="29"/>
      <c r="S1697" s="16"/>
    </row>
    <row r="1698" spans="1:19">
      <c r="A1698" s="63" t="s">
        <v>20</v>
      </c>
      <c r="B1698" s="63"/>
      <c r="C1698" s="63" t="s">
        <v>21</v>
      </c>
      <c r="D1698" s="63"/>
      <c r="E1698" s="63" t="s">
        <v>22</v>
      </c>
      <c r="F1698" s="63"/>
      <c r="G1698" s="63" t="s">
        <v>23</v>
      </c>
      <c r="H1698" s="63"/>
      <c r="I1698" s="63"/>
      <c r="J1698" s="63" t="s">
        <v>16</v>
      </c>
      <c r="K1698" s="63"/>
      <c r="L1698" s="63"/>
      <c r="M1698" s="63" t="s">
        <v>17</v>
      </c>
      <c r="N1698" s="63"/>
      <c r="O1698" s="1"/>
      <c r="Q1698" s="32"/>
      <c r="R1698" s="33"/>
      <c r="S1698" s="16"/>
    </row>
    <row r="1699" spans="1:19">
      <c r="A1699" s="60" t="s">
        <v>24</v>
      </c>
      <c r="B1699" s="52"/>
      <c r="C1699" s="61"/>
      <c r="D1699" s="61"/>
      <c r="E1699" s="61">
        <f>C1699+E1638</f>
        <v>32</v>
      </c>
      <c r="F1699" s="61"/>
      <c r="G1699" s="60" t="s">
        <v>51</v>
      </c>
      <c r="H1699" s="51"/>
      <c r="I1699" s="52"/>
      <c r="J1699" s="61"/>
      <c r="K1699" s="61"/>
      <c r="L1699" s="61"/>
      <c r="M1699" s="61">
        <f>K1699+M1638</f>
        <v>1</v>
      </c>
      <c r="N1699" s="61"/>
      <c r="O1699" s="1"/>
      <c r="Q1699" s="32"/>
      <c r="R1699" s="33"/>
      <c r="S1699" s="16"/>
    </row>
    <row r="1700" spans="1:19">
      <c r="A1700" s="60" t="s">
        <v>25</v>
      </c>
      <c r="B1700" s="52"/>
      <c r="C1700" s="61"/>
      <c r="D1700" s="61"/>
      <c r="E1700" s="61">
        <f>C1700+E1639</f>
        <v>29</v>
      </c>
      <c r="F1700" s="61"/>
      <c r="G1700" s="60" t="s">
        <v>50</v>
      </c>
      <c r="H1700" s="51"/>
      <c r="I1700" s="52"/>
      <c r="J1700" s="61"/>
      <c r="K1700" s="61"/>
      <c r="L1700" s="61"/>
      <c r="M1700" s="61">
        <f>K1700+M1639</f>
        <v>1</v>
      </c>
      <c r="N1700" s="61"/>
      <c r="O1700" s="1"/>
      <c r="Q1700" s="32"/>
      <c r="R1700" s="33"/>
      <c r="S1700" s="16"/>
    </row>
    <row r="1701" spans="1:19">
      <c r="A1701" s="60"/>
      <c r="B1701" s="52"/>
      <c r="C1701" s="61"/>
      <c r="D1701" s="61"/>
      <c r="E1701" s="61"/>
      <c r="F1701" s="61"/>
      <c r="G1701" s="60" t="s">
        <v>55</v>
      </c>
      <c r="H1701" s="51"/>
      <c r="I1701" s="52"/>
      <c r="J1701" s="61"/>
      <c r="K1701" s="61"/>
      <c r="L1701" s="61"/>
      <c r="M1701" s="61">
        <f>K1701+M1640</f>
        <v>0</v>
      </c>
      <c r="N1701" s="61"/>
      <c r="O1701" s="2"/>
      <c r="P1701" s="29"/>
      <c r="Q1701" s="32"/>
      <c r="R1701" s="33"/>
      <c r="S1701" s="16"/>
    </row>
    <row r="1702" spans="1:19">
      <c r="A1702" s="53" t="s">
        <v>53</v>
      </c>
      <c r="B1702" s="47"/>
      <c r="C1702" s="53"/>
      <c r="D1702" s="53"/>
      <c r="E1702" s="53"/>
      <c r="F1702" s="53"/>
      <c r="G1702" s="53"/>
      <c r="H1702" s="53"/>
      <c r="I1702" s="53"/>
      <c r="J1702" s="53"/>
      <c r="K1702" s="53"/>
      <c r="L1702" s="53"/>
      <c r="M1702" s="53"/>
      <c r="N1702" s="53"/>
      <c r="O1702" s="1"/>
      <c r="P1702" s="32"/>
      <c r="Q1702" s="32"/>
      <c r="R1702" s="33"/>
      <c r="S1702" s="16"/>
    </row>
    <row r="1703" spans="1:19">
      <c r="A1703" s="45" t="s">
        <v>56</v>
      </c>
      <c r="B1703" s="46"/>
      <c r="C1703" s="46"/>
      <c r="D1703" s="46"/>
      <c r="E1703" s="46"/>
      <c r="F1703" s="46"/>
      <c r="G1703" s="46"/>
      <c r="H1703" s="46"/>
      <c r="I1703" s="46"/>
      <c r="J1703" s="46"/>
      <c r="K1703" s="46"/>
      <c r="L1703" s="46"/>
      <c r="M1703" s="46"/>
      <c r="N1703" s="47"/>
      <c r="O1703" s="1"/>
      <c r="P1703" s="32"/>
      <c r="Q1703" s="34"/>
      <c r="R1703" s="33"/>
      <c r="S1703" s="16"/>
    </row>
    <row r="1704" spans="1:19">
      <c r="A1704" s="54" t="s">
        <v>54</v>
      </c>
      <c r="B1704" s="55"/>
      <c r="C1704" s="55"/>
      <c r="D1704" s="55"/>
      <c r="E1704" s="55"/>
      <c r="F1704" s="55"/>
      <c r="G1704" s="55"/>
      <c r="H1704" s="55"/>
      <c r="I1704" s="55"/>
      <c r="J1704" s="55"/>
      <c r="K1704" s="55"/>
      <c r="L1704" s="55"/>
      <c r="M1704" s="55"/>
      <c r="N1704" s="56"/>
      <c r="O1704" s="1"/>
      <c r="P1704" s="32"/>
      <c r="Q1704" s="32"/>
      <c r="R1704" s="33"/>
      <c r="S1704" s="16"/>
    </row>
    <row r="1705" spans="1:19">
      <c r="A1705" s="40" t="s">
        <v>26</v>
      </c>
      <c r="B1705" s="41"/>
      <c r="C1705" s="40"/>
      <c r="D1705" s="40"/>
      <c r="E1705" s="40"/>
      <c r="F1705" s="40"/>
      <c r="G1705" s="40"/>
      <c r="H1705" s="40"/>
      <c r="I1705" s="40"/>
      <c r="J1705" s="40"/>
      <c r="K1705" s="40"/>
      <c r="L1705" s="40"/>
      <c r="M1705" s="40"/>
      <c r="N1705" s="40"/>
      <c r="O1705" s="1"/>
      <c r="P1705" s="32"/>
      <c r="Q1705" s="32"/>
      <c r="R1705" s="33"/>
      <c r="S1705" s="16"/>
    </row>
    <row r="1706" spans="1:19">
      <c r="A1706" s="57" t="s">
        <v>27</v>
      </c>
      <c r="B1706" s="58"/>
      <c r="C1706" s="58"/>
      <c r="D1706" s="58"/>
      <c r="E1706" s="58"/>
      <c r="F1706" s="58"/>
      <c r="G1706" s="58"/>
      <c r="H1706" s="58"/>
      <c r="I1706" s="58"/>
      <c r="J1706" s="58"/>
      <c r="K1706" s="58"/>
      <c r="L1706" s="58"/>
      <c r="M1706" s="58"/>
      <c r="N1706" s="59"/>
      <c r="O1706" s="1"/>
      <c r="P1706" s="34"/>
      <c r="Q1706" s="34"/>
      <c r="R1706" s="33"/>
      <c r="S1706" s="16"/>
    </row>
    <row r="1707" spans="1:19">
      <c r="A1707" s="57" t="s">
        <v>57</v>
      </c>
      <c r="B1707" s="58"/>
      <c r="C1707" s="58"/>
      <c r="D1707" s="58"/>
      <c r="E1707" s="58"/>
      <c r="F1707" s="58"/>
      <c r="G1707" s="58"/>
      <c r="H1707" s="58"/>
      <c r="I1707" s="58"/>
      <c r="J1707" s="58"/>
      <c r="K1707" s="58"/>
      <c r="L1707" s="58"/>
      <c r="M1707" s="58"/>
      <c r="N1707" s="59"/>
      <c r="O1707" s="1"/>
      <c r="P1707" s="32"/>
      <c r="Q1707" s="32"/>
      <c r="R1707" s="33"/>
      <c r="S1707" s="16"/>
    </row>
    <row r="1708" spans="1:19">
      <c r="A1708" s="57" t="s">
        <v>58</v>
      </c>
      <c r="B1708" s="58"/>
      <c r="C1708" s="58"/>
      <c r="D1708" s="58"/>
      <c r="E1708" s="58"/>
      <c r="F1708" s="58"/>
      <c r="G1708" s="58"/>
      <c r="H1708" s="58"/>
      <c r="I1708" s="58"/>
      <c r="J1708" s="58"/>
      <c r="K1708" s="58"/>
      <c r="L1708" s="58"/>
      <c r="M1708" s="58"/>
      <c r="N1708" s="59"/>
      <c r="O1708" s="1"/>
      <c r="P1708" s="32"/>
      <c r="Q1708" s="32"/>
      <c r="R1708" s="33"/>
      <c r="S1708" s="16"/>
    </row>
    <row r="1709" spans="1:19">
      <c r="A1709" s="57" t="s">
        <v>59</v>
      </c>
      <c r="B1709" s="58"/>
      <c r="C1709" s="58"/>
      <c r="D1709" s="58"/>
      <c r="E1709" s="58"/>
      <c r="F1709" s="58"/>
      <c r="G1709" s="58"/>
      <c r="H1709" s="58"/>
      <c r="I1709" s="58"/>
      <c r="J1709" s="58"/>
      <c r="K1709" s="58"/>
      <c r="L1709" s="58"/>
      <c r="M1709" s="58"/>
      <c r="N1709" s="59"/>
      <c r="O1709" s="1"/>
      <c r="P1709" s="32"/>
      <c r="Q1709" s="34"/>
      <c r="R1709" s="33"/>
      <c r="S1709" s="16"/>
    </row>
    <row r="1710" spans="1:19">
      <c r="A1710" s="57" t="s">
        <v>28</v>
      </c>
      <c r="B1710" s="58"/>
      <c r="C1710" s="58"/>
      <c r="D1710" s="58"/>
      <c r="E1710" s="58"/>
      <c r="F1710" s="58"/>
      <c r="G1710" s="58"/>
      <c r="H1710" s="58"/>
      <c r="I1710" s="58"/>
      <c r="J1710" s="58"/>
      <c r="K1710" s="58"/>
      <c r="L1710" s="58"/>
      <c r="M1710" s="58"/>
      <c r="N1710" s="59"/>
      <c r="O1710" s="1"/>
      <c r="P1710" s="34"/>
      <c r="Q1710" s="32"/>
      <c r="R1710" s="33"/>
      <c r="S1710" s="16"/>
    </row>
    <row r="1711" spans="1:19">
      <c r="A1711" s="40" t="s">
        <v>29</v>
      </c>
      <c r="B1711" s="41"/>
      <c r="C1711" s="40"/>
      <c r="D1711" s="40"/>
      <c r="E1711" s="40"/>
      <c r="F1711" s="40"/>
      <c r="G1711" s="40"/>
      <c r="H1711" s="40"/>
      <c r="I1711" s="40"/>
      <c r="J1711" s="40"/>
      <c r="K1711" s="40"/>
      <c r="L1711" s="40"/>
      <c r="M1711" s="40"/>
      <c r="N1711" s="40"/>
      <c r="O1711" s="1"/>
      <c r="P1711" s="32"/>
      <c r="Q1711" s="32"/>
      <c r="R1711" s="33"/>
      <c r="S1711" s="16"/>
    </row>
    <row r="1712" spans="1:19">
      <c r="A1712" s="42"/>
      <c r="B1712" s="43"/>
      <c r="C1712" s="43"/>
      <c r="D1712" s="43"/>
      <c r="E1712" s="43"/>
      <c r="F1712" s="43"/>
      <c r="G1712" s="43"/>
      <c r="H1712" s="43"/>
      <c r="I1712" s="43"/>
      <c r="J1712" s="43"/>
      <c r="K1712" s="43"/>
      <c r="L1712" s="43"/>
      <c r="M1712" s="43"/>
      <c r="N1712" s="44"/>
      <c r="O1712" s="1"/>
      <c r="P1712" s="32"/>
      <c r="Q1712" s="32"/>
      <c r="R1712" s="33"/>
      <c r="S1712" s="16"/>
    </row>
    <row r="1713" spans="1:19">
      <c r="A1713" s="40" t="s">
        <v>30</v>
      </c>
      <c r="B1713" s="41"/>
      <c r="C1713" s="40"/>
      <c r="D1713" s="40"/>
      <c r="E1713" s="40"/>
      <c r="F1713" s="40"/>
      <c r="G1713" s="40"/>
      <c r="H1713" s="40"/>
      <c r="I1713" s="40"/>
      <c r="J1713" s="40"/>
      <c r="K1713" s="40"/>
      <c r="L1713" s="40"/>
      <c r="M1713" s="40"/>
      <c r="N1713" s="40"/>
      <c r="O1713" s="1"/>
      <c r="P1713" s="32"/>
      <c r="Q1713" s="32"/>
      <c r="R1713" s="33"/>
      <c r="S1713" s="16"/>
    </row>
    <row r="1714" spans="1:19">
      <c r="A1714" s="42"/>
      <c r="B1714" s="43"/>
      <c r="C1714" s="43"/>
      <c r="D1714" s="43"/>
      <c r="E1714" s="43"/>
      <c r="F1714" s="43"/>
      <c r="G1714" s="43"/>
      <c r="H1714" s="43"/>
      <c r="I1714" s="43"/>
      <c r="J1714" s="43"/>
      <c r="K1714" s="43"/>
      <c r="L1714" s="43"/>
      <c r="M1714" s="43"/>
      <c r="N1714" s="44"/>
      <c r="O1714" s="1"/>
      <c r="P1714" s="32"/>
      <c r="Q1714" s="32"/>
      <c r="R1714" s="33"/>
      <c r="S1714" s="16"/>
    </row>
    <row r="1715" spans="1:19">
      <c r="A1715" s="40" t="s">
        <v>31</v>
      </c>
      <c r="B1715" s="41"/>
      <c r="C1715" s="40"/>
      <c r="D1715" s="40"/>
      <c r="E1715" s="40"/>
      <c r="F1715" s="40"/>
      <c r="G1715" s="40"/>
      <c r="H1715" s="40"/>
      <c r="I1715" s="40"/>
      <c r="J1715" s="40"/>
      <c r="K1715" s="40"/>
      <c r="L1715" s="40"/>
      <c r="M1715" s="40"/>
      <c r="N1715" s="40"/>
      <c r="O1715" s="1"/>
      <c r="P1715" s="32"/>
      <c r="Q1715" s="32"/>
      <c r="R1715" s="33"/>
      <c r="S1715" s="17"/>
    </row>
    <row r="1716" spans="1:19">
      <c r="A1716" s="45"/>
      <c r="B1716" s="46"/>
      <c r="C1716" s="46"/>
      <c r="D1716" s="46"/>
      <c r="E1716" s="46"/>
      <c r="F1716" s="46"/>
      <c r="G1716" s="46"/>
      <c r="H1716" s="46"/>
      <c r="I1716" s="46"/>
      <c r="J1716" s="46"/>
      <c r="K1716" s="46"/>
      <c r="L1716" s="46"/>
      <c r="M1716" s="46"/>
      <c r="N1716" s="47"/>
      <c r="O1716" s="1"/>
      <c r="P1716" s="32"/>
      <c r="Q1716" s="32"/>
      <c r="R1716" s="33"/>
      <c r="S1716" s="1"/>
    </row>
    <row r="1717" spans="1:19">
      <c r="A1717" s="48" t="s">
        <v>41</v>
      </c>
      <c r="B1717" s="49"/>
      <c r="C1717" s="50"/>
      <c r="D1717" s="50"/>
      <c r="E1717" s="50"/>
      <c r="F1717" s="50"/>
      <c r="G1717" s="50"/>
      <c r="H1717" s="51"/>
      <c r="I1717" s="51"/>
      <c r="J1717" s="51"/>
      <c r="K1717" s="51"/>
      <c r="L1717" s="51"/>
      <c r="M1717" s="51"/>
      <c r="N1717" s="52"/>
      <c r="O1717" s="1"/>
      <c r="P1717" s="32"/>
      <c r="Q1717" s="32"/>
      <c r="R1717" s="33"/>
      <c r="S1717" s="1"/>
    </row>
    <row r="1718" spans="1:19" ht="28.2">
      <c r="A1718" s="1" t="s">
        <v>45</v>
      </c>
      <c r="B1718" s="7">
        <f>B1657+1</f>
        <v>29</v>
      </c>
      <c r="C1718" s="5"/>
      <c r="D1718" s="5"/>
      <c r="E1718" s="5"/>
      <c r="F1718" s="5"/>
      <c r="G1718" s="5"/>
      <c r="H1718" s="5"/>
      <c r="I1718" s="5"/>
      <c r="J1718" s="5"/>
      <c r="K1718" s="5"/>
      <c r="L1718" s="5"/>
      <c r="M1718" s="5"/>
      <c r="N1718" s="5"/>
      <c r="O1718" s="1"/>
      <c r="P1718" s="32"/>
      <c r="Q1718" s="33"/>
      <c r="R1718" s="29"/>
    </row>
    <row r="1719" spans="1:19">
      <c r="A1719" s="1" t="s">
        <v>46</v>
      </c>
      <c r="B1719" s="1" t="s">
        <v>1</v>
      </c>
      <c r="C1719" s="1" t="s">
        <v>2</v>
      </c>
      <c r="D1719" s="1" t="s">
        <v>3</v>
      </c>
      <c r="E1719" s="1" t="s">
        <v>2</v>
      </c>
      <c r="F1719" s="1"/>
      <c r="G1719" s="1"/>
      <c r="H1719" s="112" t="s">
        <v>4</v>
      </c>
      <c r="I1719" s="112"/>
      <c r="J1719" s="113">
        <f>J1658+1</f>
        <v>46240</v>
      </c>
      <c r="K1719" s="113"/>
      <c r="L1719" s="113"/>
      <c r="M1719" s="114">
        <f>J1719</f>
        <v>46240</v>
      </c>
      <c r="N1719" s="114"/>
      <c r="O1719" s="1"/>
      <c r="P1719" s="32"/>
      <c r="Q1719" s="33"/>
      <c r="R1719" s="29"/>
    </row>
    <row r="1720" spans="1:19">
      <c r="A1720" s="8" t="s">
        <v>5</v>
      </c>
      <c r="B1720" s="115">
        <f>B1651</f>
        <v>0</v>
      </c>
      <c r="C1720" s="116"/>
      <c r="D1720" s="116"/>
      <c r="E1720" s="116"/>
      <c r="F1720" s="116"/>
      <c r="G1720" s="117"/>
      <c r="H1720" s="63" t="s">
        <v>6</v>
      </c>
      <c r="I1720" s="63"/>
      <c r="J1720" s="63"/>
      <c r="K1720" s="63" t="s">
        <v>52</v>
      </c>
      <c r="L1720" s="63"/>
      <c r="M1720" s="63"/>
      <c r="N1720" s="63"/>
      <c r="O1720" s="1"/>
      <c r="P1720" s="32"/>
      <c r="Q1720" s="33"/>
      <c r="R1720" s="29"/>
    </row>
    <row r="1721" spans="1:19">
      <c r="A1721" s="8" t="s">
        <v>32</v>
      </c>
      <c r="B1721" s="10">
        <v>60</v>
      </c>
      <c r="C1721" s="11" t="s">
        <v>43</v>
      </c>
      <c r="D1721" s="71" t="s">
        <v>7</v>
      </c>
      <c r="E1721" s="73"/>
      <c r="F1721" s="10">
        <f>F1660+1</f>
        <v>29</v>
      </c>
      <c r="G1721" s="11" t="s">
        <v>8</v>
      </c>
      <c r="H1721" s="9" t="s">
        <v>9</v>
      </c>
      <c r="I1721" s="10">
        <f>B1721-F1721</f>
        <v>31</v>
      </c>
      <c r="J1721" s="11" t="s">
        <v>8</v>
      </c>
      <c r="K1721" s="118" t="s">
        <v>33</v>
      </c>
      <c r="L1721" s="119"/>
      <c r="M1721" s="12"/>
      <c r="N1721" s="11" t="s">
        <v>8</v>
      </c>
      <c r="O1721" s="1"/>
      <c r="P1721" s="34"/>
      <c r="Q1721" s="33"/>
      <c r="R1721" s="29"/>
    </row>
    <row r="1722" spans="1:19">
      <c r="A1722" s="71" t="s">
        <v>34</v>
      </c>
      <c r="B1722" s="72"/>
      <c r="C1722" s="73"/>
      <c r="D1722" s="120">
        <v>46212</v>
      </c>
      <c r="E1722" s="121"/>
      <c r="F1722" s="121"/>
      <c r="G1722" s="122"/>
      <c r="H1722" s="71" t="s">
        <v>35</v>
      </c>
      <c r="I1722" s="72"/>
      <c r="J1722" s="73"/>
      <c r="K1722" s="120">
        <f>D1722+59</f>
        <v>46271</v>
      </c>
      <c r="L1722" s="121"/>
      <c r="M1722" s="121"/>
      <c r="N1722" s="122"/>
      <c r="O1722" s="1"/>
      <c r="P1722" s="32"/>
      <c r="Q1722" s="33"/>
      <c r="R1722" s="29"/>
    </row>
    <row r="1723" spans="1:19">
      <c r="A1723" s="92" t="s">
        <v>10</v>
      </c>
      <c r="B1723" s="93"/>
      <c r="C1723" s="94"/>
      <c r="D1723" s="98">
        <f>D1662+0.0781/5</f>
        <v>0.18238000000000001</v>
      </c>
      <c r="E1723" s="99"/>
      <c r="F1723" s="99"/>
      <c r="G1723" s="100"/>
      <c r="H1723" s="104" t="s">
        <v>36</v>
      </c>
      <c r="I1723" s="105"/>
      <c r="J1723" s="106"/>
      <c r="K1723" s="110">
        <f>R1754</f>
        <v>0.14786595928238083</v>
      </c>
      <c r="L1723" s="105"/>
      <c r="M1723" s="105"/>
      <c r="N1723" s="106"/>
      <c r="O1723" s="1"/>
      <c r="P1723" s="32"/>
      <c r="Q1723" s="33"/>
      <c r="R1723" s="29"/>
    </row>
    <row r="1724" spans="1:19">
      <c r="A1724" s="95"/>
      <c r="B1724" s="96"/>
      <c r="C1724" s="97"/>
      <c r="D1724" s="101"/>
      <c r="E1724" s="102"/>
      <c r="F1724" s="102"/>
      <c r="G1724" s="103"/>
      <c r="H1724" s="107"/>
      <c r="I1724" s="108"/>
      <c r="J1724" s="109"/>
      <c r="K1724" s="107"/>
      <c r="L1724" s="108"/>
      <c r="M1724" s="108"/>
      <c r="N1724" s="109"/>
      <c r="O1724" s="1"/>
      <c r="P1724" s="32"/>
      <c r="Q1724" s="33"/>
      <c r="R1724" s="29"/>
    </row>
    <row r="1725" spans="1:19">
      <c r="A1725" s="62" t="s">
        <v>11</v>
      </c>
      <c r="B1725" s="62"/>
      <c r="C1725" s="62"/>
      <c r="D1725" s="62"/>
      <c r="E1725" s="62"/>
      <c r="F1725" s="62"/>
      <c r="G1725" s="62"/>
      <c r="H1725" s="62"/>
      <c r="I1725" s="62"/>
      <c r="J1725" s="62"/>
      <c r="K1725" s="62"/>
      <c r="L1725" s="62"/>
      <c r="M1725" s="62"/>
      <c r="N1725" s="62"/>
      <c r="O1725" s="1"/>
      <c r="P1725" s="32"/>
      <c r="Q1725" s="33"/>
      <c r="R1725" s="29"/>
    </row>
    <row r="1726" spans="1:19">
      <c r="A1726" s="111" t="s">
        <v>12</v>
      </c>
      <c r="B1726" s="111"/>
      <c r="C1726" s="111"/>
      <c r="D1726" s="111"/>
      <c r="E1726" s="111"/>
      <c r="F1726" s="14" t="s">
        <v>37</v>
      </c>
      <c r="G1726" s="111" t="s">
        <v>38</v>
      </c>
      <c r="H1726" s="111"/>
      <c r="I1726" s="63" t="s">
        <v>39</v>
      </c>
      <c r="J1726" s="63"/>
      <c r="K1726" s="63"/>
      <c r="L1726" s="63" t="s">
        <v>40</v>
      </c>
      <c r="M1726" s="63"/>
      <c r="N1726" s="9" t="s">
        <v>13</v>
      </c>
      <c r="O1726" s="1"/>
      <c r="P1726" s="28" t="s">
        <v>47</v>
      </c>
      <c r="Q1726" s="29" t="s">
        <v>48</v>
      </c>
      <c r="R1726" s="29" t="s">
        <v>49</v>
      </c>
    </row>
    <row r="1727" spans="1:19">
      <c r="A1727" s="83" t="s">
        <v>67</v>
      </c>
      <c r="B1727" s="84"/>
      <c r="C1727" s="84"/>
      <c r="D1727" s="84"/>
      <c r="E1727" s="85"/>
      <c r="F1727" s="27" t="s">
        <v>60</v>
      </c>
      <c r="G1727" s="67">
        <v>1</v>
      </c>
      <c r="H1727" s="68"/>
      <c r="I1727" s="86"/>
      <c r="J1727" s="87"/>
      <c r="K1727" s="88"/>
      <c r="L1727" s="69">
        <f>I1727+L1666</f>
        <v>1</v>
      </c>
      <c r="M1727" s="70"/>
      <c r="N1727" s="8"/>
      <c r="O1727" s="1"/>
      <c r="P1727" s="30">
        <v>6000</v>
      </c>
      <c r="Q1727" s="38">
        <f>P1727*G1727</f>
        <v>6000</v>
      </c>
      <c r="R1727" s="28">
        <f>L1727*P1727</f>
        <v>6000</v>
      </c>
    </row>
    <row r="1728" spans="1:19">
      <c r="A1728" s="83" t="s">
        <v>68</v>
      </c>
      <c r="B1728" s="84"/>
      <c r="C1728" s="84"/>
      <c r="D1728" s="84"/>
      <c r="E1728" s="85"/>
      <c r="F1728" s="20" t="s">
        <v>60</v>
      </c>
      <c r="G1728" s="67">
        <v>1</v>
      </c>
      <c r="H1728" s="68"/>
      <c r="I1728" s="87"/>
      <c r="J1728" s="87"/>
      <c r="K1728" s="88"/>
      <c r="L1728" s="69">
        <f t="shared" ref="L1728:L1752" si="89">I1728+L1667</f>
        <v>1</v>
      </c>
      <c r="M1728" s="70"/>
      <c r="N1728" s="8"/>
      <c r="O1728" s="1"/>
      <c r="P1728" s="30">
        <v>193300</v>
      </c>
      <c r="Q1728" s="38">
        <f t="shared" ref="Q1728:Q1752" si="90">P1728*G1728</f>
        <v>193300</v>
      </c>
      <c r="R1728" s="28">
        <f>L1728*P1728</f>
        <v>193300</v>
      </c>
    </row>
    <row r="1729" spans="1:18">
      <c r="A1729" s="89" t="s">
        <v>69</v>
      </c>
      <c r="B1729" s="90"/>
      <c r="C1729" s="90"/>
      <c r="D1729" s="90"/>
      <c r="E1729" s="91"/>
      <c r="F1729" s="20" t="s">
        <v>60</v>
      </c>
      <c r="G1729" s="67">
        <v>1</v>
      </c>
      <c r="H1729" s="68"/>
      <c r="I1729" s="87"/>
      <c r="J1729" s="87"/>
      <c r="K1729" s="88"/>
      <c r="L1729" s="69">
        <f t="shared" si="89"/>
        <v>0.5</v>
      </c>
      <c r="M1729" s="70"/>
      <c r="N1729" s="8"/>
      <c r="O1729" s="1"/>
      <c r="P1729" s="30">
        <v>30000</v>
      </c>
      <c r="Q1729" s="38">
        <f t="shared" si="90"/>
        <v>30000</v>
      </c>
      <c r="R1729" s="28">
        <f>L1729*P1729</f>
        <v>15000</v>
      </c>
    </row>
    <row r="1730" spans="1:18">
      <c r="A1730" s="64" t="s">
        <v>70</v>
      </c>
      <c r="B1730" s="65"/>
      <c r="C1730" s="65"/>
      <c r="D1730" s="65"/>
      <c r="E1730" s="66"/>
      <c r="F1730" s="20" t="s">
        <v>60</v>
      </c>
      <c r="G1730" s="67">
        <v>1</v>
      </c>
      <c r="H1730" s="68"/>
      <c r="I1730" s="87"/>
      <c r="J1730" s="87"/>
      <c r="K1730" s="88"/>
      <c r="L1730" s="69">
        <f t="shared" si="89"/>
        <v>1</v>
      </c>
      <c r="M1730" s="70"/>
      <c r="N1730" s="8"/>
      <c r="O1730" s="1"/>
      <c r="P1730" s="31">
        <v>10000</v>
      </c>
      <c r="Q1730" s="38">
        <f t="shared" si="90"/>
        <v>10000</v>
      </c>
      <c r="R1730" s="28">
        <f t="shared" ref="R1730:R1752" si="91">L1730*P1730</f>
        <v>10000</v>
      </c>
    </row>
    <row r="1731" spans="1:18">
      <c r="A1731" s="64" t="s">
        <v>71</v>
      </c>
      <c r="B1731" s="65"/>
      <c r="C1731" s="65"/>
      <c r="D1731" s="65"/>
      <c r="E1731" s="66"/>
      <c r="F1731" s="20" t="s">
        <v>61</v>
      </c>
      <c r="G1731" s="67">
        <v>9</v>
      </c>
      <c r="H1731" s="68"/>
      <c r="I1731" s="87"/>
      <c r="J1731" s="87"/>
      <c r="K1731" s="88"/>
      <c r="L1731" s="69">
        <f t="shared" si="89"/>
        <v>9</v>
      </c>
      <c r="M1731" s="70"/>
      <c r="N1731" s="8"/>
      <c r="O1731" s="1"/>
      <c r="P1731" s="30">
        <v>21000</v>
      </c>
      <c r="Q1731" s="38">
        <f t="shared" si="90"/>
        <v>189000</v>
      </c>
      <c r="R1731" s="28">
        <f t="shared" si="91"/>
        <v>189000</v>
      </c>
    </row>
    <row r="1732" spans="1:18">
      <c r="A1732" s="64" t="s">
        <v>72</v>
      </c>
      <c r="B1732" s="65"/>
      <c r="C1732" s="65"/>
      <c r="D1732" s="65"/>
      <c r="E1732" s="66"/>
      <c r="F1732" s="2" t="s">
        <v>60</v>
      </c>
      <c r="G1732" s="67">
        <v>1</v>
      </c>
      <c r="H1732" s="68"/>
      <c r="I1732" s="87"/>
      <c r="J1732" s="87"/>
      <c r="K1732" s="88"/>
      <c r="L1732" s="69">
        <f t="shared" si="89"/>
        <v>0</v>
      </c>
      <c r="M1732" s="70"/>
      <c r="N1732" s="8"/>
      <c r="O1732" s="1"/>
      <c r="P1732" s="30">
        <v>184468</v>
      </c>
      <c r="Q1732" s="38">
        <f t="shared" si="90"/>
        <v>184468</v>
      </c>
      <c r="R1732" s="28">
        <f t="shared" si="91"/>
        <v>0</v>
      </c>
    </row>
    <row r="1733" spans="1:18">
      <c r="A1733" s="83" t="s">
        <v>73</v>
      </c>
      <c r="B1733" s="84"/>
      <c r="C1733" s="84"/>
      <c r="D1733" s="84"/>
      <c r="E1733" s="85"/>
      <c r="F1733" s="20" t="s">
        <v>62</v>
      </c>
      <c r="G1733" s="67">
        <v>9</v>
      </c>
      <c r="H1733" s="68"/>
      <c r="I1733" s="87"/>
      <c r="J1733" s="87"/>
      <c r="K1733" s="88"/>
      <c r="L1733" s="69">
        <f t="shared" si="89"/>
        <v>0</v>
      </c>
      <c r="M1733" s="70"/>
      <c r="N1733" s="8"/>
      <c r="O1733" s="1"/>
      <c r="P1733" s="30">
        <v>20000</v>
      </c>
      <c r="Q1733" s="38">
        <f t="shared" si="90"/>
        <v>180000</v>
      </c>
      <c r="R1733" s="28">
        <f t="shared" si="91"/>
        <v>0</v>
      </c>
    </row>
    <row r="1734" spans="1:18">
      <c r="A1734" s="83" t="s">
        <v>74</v>
      </c>
      <c r="B1734" s="84"/>
      <c r="C1734" s="84"/>
      <c r="D1734" s="84"/>
      <c r="E1734" s="85"/>
      <c r="F1734" s="20" t="s">
        <v>63</v>
      </c>
      <c r="G1734" s="67">
        <v>52</v>
      </c>
      <c r="H1734" s="68"/>
      <c r="I1734" s="87"/>
      <c r="J1734" s="87"/>
      <c r="K1734" s="88"/>
      <c r="L1734" s="69">
        <f t="shared" si="89"/>
        <v>52</v>
      </c>
      <c r="M1734" s="70"/>
      <c r="N1734" s="8"/>
      <c r="O1734" s="1"/>
      <c r="P1734" s="31">
        <v>2500</v>
      </c>
      <c r="Q1734" s="38">
        <f t="shared" si="90"/>
        <v>130000</v>
      </c>
      <c r="R1734" s="28">
        <f t="shared" si="91"/>
        <v>130000</v>
      </c>
    </row>
    <row r="1735" spans="1:18">
      <c r="A1735" s="83" t="s">
        <v>75</v>
      </c>
      <c r="B1735" s="84"/>
      <c r="C1735" s="84"/>
      <c r="D1735" s="84"/>
      <c r="E1735" s="85"/>
      <c r="F1735" s="20" t="s">
        <v>64</v>
      </c>
      <c r="G1735" s="67">
        <v>1</v>
      </c>
      <c r="H1735" s="68"/>
      <c r="I1735" s="87"/>
      <c r="J1735" s="87"/>
      <c r="K1735" s="88"/>
      <c r="L1735" s="69">
        <f t="shared" si="89"/>
        <v>0</v>
      </c>
      <c r="M1735" s="70"/>
      <c r="N1735" s="8"/>
      <c r="O1735" s="1"/>
      <c r="P1735" s="30">
        <v>80000</v>
      </c>
      <c r="Q1735" s="38">
        <f t="shared" si="90"/>
        <v>80000</v>
      </c>
      <c r="R1735" s="28">
        <f t="shared" si="91"/>
        <v>0</v>
      </c>
    </row>
    <row r="1736" spans="1:18">
      <c r="A1736" s="89" t="s">
        <v>76</v>
      </c>
      <c r="B1736" s="90"/>
      <c r="C1736" s="90"/>
      <c r="D1736" s="90"/>
      <c r="E1736" s="91"/>
      <c r="F1736" s="20" t="s">
        <v>65</v>
      </c>
      <c r="G1736" s="67">
        <v>31</v>
      </c>
      <c r="H1736" s="68"/>
      <c r="I1736" s="87"/>
      <c r="J1736" s="87"/>
      <c r="K1736" s="88"/>
      <c r="L1736" s="69">
        <f t="shared" si="89"/>
        <v>31</v>
      </c>
      <c r="M1736" s="70"/>
      <c r="N1736" s="8"/>
      <c r="O1736" s="1"/>
      <c r="P1736" s="30">
        <v>400</v>
      </c>
      <c r="Q1736" s="38">
        <f t="shared" si="90"/>
        <v>12400</v>
      </c>
      <c r="R1736" s="28">
        <f t="shared" si="91"/>
        <v>12400</v>
      </c>
    </row>
    <row r="1737" spans="1:18">
      <c r="A1737" s="64" t="s">
        <v>77</v>
      </c>
      <c r="B1737" s="65"/>
      <c r="C1737" s="65"/>
      <c r="D1737" s="65"/>
      <c r="E1737" s="66"/>
      <c r="F1737" s="20" t="s">
        <v>65</v>
      </c>
      <c r="G1737" s="67">
        <v>100</v>
      </c>
      <c r="H1737" s="68"/>
      <c r="I1737" s="87"/>
      <c r="J1737" s="87"/>
      <c r="K1737" s="88"/>
      <c r="L1737" s="69">
        <f t="shared" si="89"/>
        <v>0</v>
      </c>
      <c r="M1737" s="70"/>
      <c r="N1737" s="8"/>
      <c r="O1737" s="1"/>
      <c r="P1737" s="30">
        <v>350</v>
      </c>
      <c r="Q1737" s="38">
        <f t="shared" si="90"/>
        <v>35000</v>
      </c>
      <c r="R1737" s="28">
        <f t="shared" si="91"/>
        <v>0</v>
      </c>
    </row>
    <row r="1738" spans="1:18">
      <c r="A1738" s="64" t="s">
        <v>78</v>
      </c>
      <c r="B1738" s="65"/>
      <c r="C1738" s="65"/>
      <c r="D1738" s="65"/>
      <c r="E1738" s="66"/>
      <c r="F1738" s="20" t="s">
        <v>63</v>
      </c>
      <c r="G1738" s="67">
        <v>35</v>
      </c>
      <c r="H1738" s="68"/>
      <c r="I1738" s="87"/>
      <c r="J1738" s="87"/>
      <c r="K1738" s="88"/>
      <c r="L1738" s="69">
        <f t="shared" si="89"/>
        <v>0</v>
      </c>
      <c r="M1738" s="70"/>
      <c r="N1738" s="8"/>
      <c r="O1738" s="1"/>
      <c r="P1738" s="30">
        <v>1200</v>
      </c>
      <c r="Q1738" s="38">
        <f t="shared" si="90"/>
        <v>42000</v>
      </c>
      <c r="R1738" s="28">
        <f t="shared" si="91"/>
        <v>0</v>
      </c>
    </row>
    <row r="1739" spans="1:18">
      <c r="A1739" s="64" t="s">
        <v>79</v>
      </c>
      <c r="B1739" s="65"/>
      <c r="C1739" s="65"/>
      <c r="D1739" s="65"/>
      <c r="E1739" s="66"/>
      <c r="F1739" s="20" t="s">
        <v>63</v>
      </c>
      <c r="G1739" s="67">
        <v>282</v>
      </c>
      <c r="H1739" s="68"/>
      <c r="I1739" s="86"/>
      <c r="J1739" s="87"/>
      <c r="K1739" s="88"/>
      <c r="L1739" s="69">
        <f t="shared" si="89"/>
        <v>60</v>
      </c>
      <c r="M1739" s="70"/>
      <c r="N1739" s="8"/>
      <c r="O1739" s="1"/>
      <c r="P1739" s="30">
        <v>1400</v>
      </c>
      <c r="Q1739" s="38">
        <f t="shared" si="90"/>
        <v>394800</v>
      </c>
      <c r="R1739" s="28">
        <f t="shared" si="91"/>
        <v>84000</v>
      </c>
    </row>
    <row r="1740" spans="1:18">
      <c r="A1740" s="83" t="s">
        <v>80</v>
      </c>
      <c r="B1740" s="84"/>
      <c r="C1740" s="84"/>
      <c r="D1740" s="84"/>
      <c r="E1740" s="85"/>
      <c r="F1740" s="21" t="s">
        <v>65</v>
      </c>
      <c r="G1740" s="67">
        <v>58</v>
      </c>
      <c r="H1740" s="68"/>
      <c r="I1740" s="86"/>
      <c r="J1740" s="87"/>
      <c r="K1740" s="88"/>
      <c r="L1740" s="69">
        <f t="shared" si="89"/>
        <v>0</v>
      </c>
      <c r="M1740" s="70"/>
      <c r="N1740" s="8"/>
      <c r="O1740" s="1"/>
      <c r="P1740" s="30">
        <v>3600</v>
      </c>
      <c r="Q1740" s="38">
        <f t="shared" si="90"/>
        <v>208800</v>
      </c>
      <c r="R1740" s="28">
        <f t="shared" si="91"/>
        <v>0</v>
      </c>
    </row>
    <row r="1741" spans="1:18">
      <c r="A1741" s="83" t="s">
        <v>81</v>
      </c>
      <c r="B1741" s="84"/>
      <c r="C1741" s="84"/>
      <c r="D1741" s="84"/>
      <c r="E1741" s="85"/>
      <c r="F1741" s="21" t="s">
        <v>65</v>
      </c>
      <c r="G1741" s="67">
        <v>360</v>
      </c>
      <c r="H1741" s="68"/>
      <c r="I1741" s="86"/>
      <c r="J1741" s="87"/>
      <c r="K1741" s="88"/>
      <c r="L1741" s="69">
        <f t="shared" si="89"/>
        <v>0</v>
      </c>
      <c r="M1741" s="70"/>
      <c r="N1741" s="8"/>
      <c r="O1741" s="1"/>
      <c r="P1741" s="30">
        <v>230</v>
      </c>
      <c r="Q1741" s="38">
        <f t="shared" si="90"/>
        <v>82800</v>
      </c>
      <c r="R1741" s="28">
        <f t="shared" si="91"/>
        <v>0</v>
      </c>
    </row>
    <row r="1742" spans="1:18">
      <c r="A1742" s="83" t="s">
        <v>82</v>
      </c>
      <c r="B1742" s="84"/>
      <c r="C1742" s="84"/>
      <c r="D1742" s="84"/>
      <c r="E1742" s="85"/>
      <c r="F1742" s="21" t="s">
        <v>65</v>
      </c>
      <c r="G1742" s="67">
        <v>2400</v>
      </c>
      <c r="H1742" s="68"/>
      <c r="I1742" s="86"/>
      <c r="J1742" s="87"/>
      <c r="K1742" s="88"/>
      <c r="L1742" s="69">
        <f t="shared" si="89"/>
        <v>0</v>
      </c>
      <c r="M1742" s="70"/>
      <c r="N1742" s="8"/>
      <c r="O1742" s="1"/>
      <c r="P1742" s="30">
        <v>80</v>
      </c>
      <c r="Q1742" s="38">
        <f t="shared" si="90"/>
        <v>192000</v>
      </c>
      <c r="R1742" s="28">
        <f t="shared" si="91"/>
        <v>0</v>
      </c>
    </row>
    <row r="1743" spans="1:18">
      <c r="A1743" s="89" t="s">
        <v>83</v>
      </c>
      <c r="B1743" s="90"/>
      <c r="C1743" s="90"/>
      <c r="D1743" s="90"/>
      <c r="E1743" s="91"/>
      <c r="F1743" s="21" t="s">
        <v>65</v>
      </c>
      <c r="G1743" s="67">
        <v>360</v>
      </c>
      <c r="H1743" s="68"/>
      <c r="I1743" s="86"/>
      <c r="J1743" s="87"/>
      <c r="K1743" s="88"/>
      <c r="L1743" s="69">
        <f t="shared" si="89"/>
        <v>0</v>
      </c>
      <c r="M1743" s="70"/>
      <c r="N1743" s="8"/>
      <c r="O1743" s="1"/>
      <c r="P1743" s="30">
        <v>420</v>
      </c>
      <c r="Q1743" s="38">
        <f t="shared" si="90"/>
        <v>151200</v>
      </c>
      <c r="R1743" s="28">
        <f t="shared" si="91"/>
        <v>0</v>
      </c>
    </row>
    <row r="1744" spans="1:18">
      <c r="A1744" s="64" t="s">
        <v>84</v>
      </c>
      <c r="B1744" s="65"/>
      <c r="C1744" s="65"/>
      <c r="D1744" s="65"/>
      <c r="E1744" s="66"/>
      <c r="F1744" s="21" t="s">
        <v>65</v>
      </c>
      <c r="G1744" s="67">
        <v>2760</v>
      </c>
      <c r="H1744" s="68"/>
      <c r="I1744" s="86"/>
      <c r="J1744" s="87"/>
      <c r="K1744" s="88"/>
      <c r="L1744" s="69">
        <f t="shared" si="89"/>
        <v>0</v>
      </c>
      <c r="M1744" s="70"/>
      <c r="N1744" s="8"/>
      <c r="O1744" s="1"/>
      <c r="P1744" s="30">
        <v>460</v>
      </c>
      <c r="Q1744" s="38">
        <f t="shared" si="90"/>
        <v>1269600</v>
      </c>
      <c r="R1744" s="28">
        <f t="shared" si="91"/>
        <v>0</v>
      </c>
    </row>
    <row r="1745" spans="1:19">
      <c r="A1745" s="64" t="s">
        <v>85</v>
      </c>
      <c r="B1745" s="65"/>
      <c r="C1745" s="65"/>
      <c r="D1745" s="65"/>
      <c r="E1745" s="66"/>
      <c r="F1745" s="21" t="s">
        <v>65</v>
      </c>
      <c r="G1745" s="67">
        <v>275</v>
      </c>
      <c r="H1745" s="68"/>
      <c r="I1745" s="86"/>
      <c r="J1745" s="87"/>
      <c r="K1745" s="88"/>
      <c r="L1745" s="69">
        <f t="shared" si="89"/>
        <v>0</v>
      </c>
      <c r="M1745" s="70"/>
      <c r="N1745" s="8"/>
      <c r="O1745" s="1"/>
      <c r="P1745" s="31">
        <v>350</v>
      </c>
      <c r="Q1745" s="38">
        <f t="shared" si="90"/>
        <v>96250</v>
      </c>
      <c r="R1745" s="28">
        <f t="shared" si="91"/>
        <v>0</v>
      </c>
    </row>
    <row r="1746" spans="1:19">
      <c r="A1746" s="64" t="s">
        <v>86</v>
      </c>
      <c r="B1746" s="65"/>
      <c r="C1746" s="65"/>
      <c r="D1746" s="65"/>
      <c r="E1746" s="66"/>
      <c r="F1746" s="21" t="s">
        <v>60</v>
      </c>
      <c r="G1746" s="67">
        <v>1</v>
      </c>
      <c r="H1746" s="68"/>
      <c r="I1746" s="86"/>
      <c r="J1746" s="87"/>
      <c r="K1746" s="88"/>
      <c r="L1746" s="69">
        <f t="shared" si="89"/>
        <v>0</v>
      </c>
      <c r="M1746" s="70"/>
      <c r="N1746" s="8"/>
      <c r="O1746" s="2"/>
      <c r="P1746" s="30">
        <v>40000</v>
      </c>
      <c r="Q1746" s="38">
        <f t="shared" si="90"/>
        <v>40000</v>
      </c>
      <c r="R1746" s="28">
        <f t="shared" si="91"/>
        <v>0</v>
      </c>
    </row>
    <row r="1747" spans="1:19">
      <c r="A1747" s="83" t="s">
        <v>87</v>
      </c>
      <c r="B1747" s="84"/>
      <c r="C1747" s="84"/>
      <c r="D1747" s="84"/>
      <c r="E1747" s="85"/>
      <c r="F1747" s="20" t="s">
        <v>60</v>
      </c>
      <c r="G1747" s="67">
        <v>1</v>
      </c>
      <c r="H1747" s="68"/>
      <c r="I1747" s="86"/>
      <c r="J1747" s="87"/>
      <c r="K1747" s="88"/>
      <c r="L1747" s="69">
        <f t="shared" si="89"/>
        <v>0</v>
      </c>
      <c r="M1747" s="70"/>
      <c r="N1747" s="8"/>
      <c r="O1747" s="1"/>
      <c r="P1747" s="31">
        <v>276970</v>
      </c>
      <c r="Q1747" s="38">
        <f t="shared" si="90"/>
        <v>276970</v>
      </c>
      <c r="R1747" s="28">
        <f t="shared" si="91"/>
        <v>0</v>
      </c>
    </row>
    <row r="1748" spans="1:19">
      <c r="A1748" s="83" t="s">
        <v>88</v>
      </c>
      <c r="B1748" s="84"/>
      <c r="C1748" s="84"/>
      <c r="D1748" s="84"/>
      <c r="E1748" s="85"/>
      <c r="F1748" s="20" t="s">
        <v>60</v>
      </c>
      <c r="G1748" s="67">
        <v>1</v>
      </c>
      <c r="H1748" s="68"/>
      <c r="I1748" s="26"/>
      <c r="J1748" s="23"/>
      <c r="K1748" s="24"/>
      <c r="L1748" s="69">
        <f t="shared" si="89"/>
        <v>0</v>
      </c>
      <c r="M1748" s="70"/>
      <c r="N1748" s="25"/>
      <c r="O1748" s="1"/>
      <c r="P1748" s="32">
        <v>60873</v>
      </c>
      <c r="Q1748" s="38">
        <f t="shared" si="90"/>
        <v>60873</v>
      </c>
      <c r="R1748" s="28">
        <f t="shared" si="91"/>
        <v>0</v>
      </c>
    </row>
    <row r="1749" spans="1:19">
      <c r="A1749" s="83" t="s">
        <v>89</v>
      </c>
      <c r="B1749" s="84"/>
      <c r="C1749" s="84"/>
      <c r="D1749" s="84"/>
      <c r="E1749" s="85"/>
      <c r="F1749" s="20" t="s">
        <v>60</v>
      </c>
      <c r="G1749" s="67">
        <v>1</v>
      </c>
      <c r="H1749" s="68"/>
      <c r="I1749" s="26"/>
      <c r="J1749" s="23"/>
      <c r="K1749" s="24"/>
      <c r="L1749" s="69">
        <f t="shared" si="89"/>
        <v>0</v>
      </c>
      <c r="M1749" s="70"/>
      <c r="N1749" s="25"/>
      <c r="O1749" s="1"/>
      <c r="P1749" s="32">
        <v>60873</v>
      </c>
      <c r="Q1749" s="38">
        <f t="shared" si="90"/>
        <v>60873</v>
      </c>
      <c r="R1749" s="28">
        <f t="shared" si="91"/>
        <v>0</v>
      </c>
    </row>
    <row r="1750" spans="1:19">
      <c r="A1750" s="83" t="s">
        <v>90</v>
      </c>
      <c r="B1750" s="84"/>
      <c r="C1750" s="84"/>
      <c r="D1750" s="84"/>
      <c r="E1750" s="85"/>
      <c r="F1750" s="20" t="s">
        <v>60</v>
      </c>
      <c r="G1750" s="67">
        <v>1</v>
      </c>
      <c r="H1750" s="68"/>
      <c r="I1750" s="26"/>
      <c r="J1750" s="23"/>
      <c r="K1750" s="24"/>
      <c r="L1750" s="69">
        <f t="shared" si="89"/>
        <v>0</v>
      </c>
      <c r="M1750" s="70"/>
      <c r="N1750" s="25"/>
      <c r="O1750" s="1"/>
      <c r="P1750" s="34">
        <v>266321</v>
      </c>
      <c r="Q1750" s="38">
        <f t="shared" si="90"/>
        <v>266321</v>
      </c>
      <c r="R1750" s="28">
        <f t="shared" si="91"/>
        <v>0</v>
      </c>
    </row>
    <row r="1751" spans="1:19">
      <c r="A1751" s="83" t="s">
        <v>91</v>
      </c>
      <c r="B1751" s="84"/>
      <c r="C1751" s="84"/>
      <c r="D1751" s="84"/>
      <c r="E1751" s="85"/>
      <c r="F1751" s="2" t="s">
        <v>60</v>
      </c>
      <c r="G1751" s="67">
        <v>1</v>
      </c>
      <c r="H1751" s="68"/>
      <c r="I1751" s="26"/>
      <c r="J1751" s="23"/>
      <c r="K1751" s="24"/>
      <c r="L1751" s="69">
        <f t="shared" si="89"/>
        <v>1</v>
      </c>
      <c r="M1751" s="70"/>
      <c r="N1751" s="25"/>
      <c r="O1751" s="1"/>
      <c r="P1751" s="32">
        <v>13316</v>
      </c>
      <c r="Q1751" s="38">
        <f t="shared" si="90"/>
        <v>13316</v>
      </c>
      <c r="R1751" s="28">
        <f t="shared" si="91"/>
        <v>13316</v>
      </c>
    </row>
    <row r="1752" spans="1:19">
      <c r="A1752" s="83" t="s">
        <v>92</v>
      </c>
      <c r="B1752" s="84"/>
      <c r="C1752" s="84"/>
      <c r="D1752" s="84"/>
      <c r="E1752" s="85"/>
      <c r="F1752" s="20" t="s">
        <v>60</v>
      </c>
      <c r="G1752" s="67">
        <v>1</v>
      </c>
      <c r="H1752" s="68"/>
      <c r="I1752" s="26"/>
      <c r="J1752" s="23"/>
      <c r="K1752" s="24"/>
      <c r="L1752" s="69">
        <f t="shared" si="89"/>
        <v>0</v>
      </c>
      <c r="M1752" s="70"/>
      <c r="N1752" s="25"/>
      <c r="O1752" s="1"/>
      <c r="P1752" s="32">
        <v>210299</v>
      </c>
      <c r="Q1752" s="38">
        <f t="shared" si="90"/>
        <v>210299</v>
      </c>
      <c r="R1752" s="28">
        <f t="shared" si="91"/>
        <v>0</v>
      </c>
    </row>
    <row r="1753" spans="1:19">
      <c r="A1753" s="64"/>
      <c r="B1753" s="65"/>
      <c r="C1753" s="65"/>
      <c r="D1753" s="65"/>
      <c r="E1753" s="66"/>
      <c r="F1753" s="22"/>
      <c r="G1753" s="67"/>
      <c r="H1753" s="68"/>
      <c r="I1753" s="26"/>
      <c r="J1753" s="23"/>
      <c r="K1753" s="24"/>
      <c r="L1753" s="69"/>
      <c r="M1753" s="70"/>
      <c r="N1753" s="25"/>
      <c r="O1753" s="3"/>
      <c r="P1753" s="32"/>
      <c r="Q1753" s="33">
        <f>SUM(Q1727:Q1752)</f>
        <v>4416270</v>
      </c>
      <c r="R1753" s="29">
        <f>SUM(R1727:R1752)</f>
        <v>653016</v>
      </c>
    </row>
    <row r="1754" spans="1:19">
      <c r="A1754" s="64"/>
      <c r="B1754" s="65"/>
      <c r="C1754" s="65"/>
      <c r="D1754" s="65"/>
      <c r="E1754" s="66"/>
      <c r="F1754" s="22"/>
      <c r="G1754" s="67"/>
      <c r="H1754" s="68"/>
      <c r="I1754" s="26"/>
      <c r="J1754" s="23"/>
      <c r="K1754" s="24"/>
      <c r="L1754" s="69"/>
      <c r="M1754" s="70"/>
      <c r="N1754" s="25"/>
      <c r="O1754" s="3"/>
      <c r="P1754" s="32"/>
      <c r="Q1754" s="33"/>
      <c r="R1754" s="37">
        <f>R1753/Q1753</f>
        <v>0.14786595928238083</v>
      </c>
    </row>
    <row r="1755" spans="1:19">
      <c r="A1755" s="62" t="s">
        <v>14</v>
      </c>
      <c r="B1755" s="62"/>
      <c r="C1755" s="62"/>
      <c r="D1755" s="62"/>
      <c r="E1755" s="62"/>
      <c r="F1755" s="62"/>
      <c r="G1755" s="62"/>
      <c r="H1755" s="62"/>
      <c r="I1755" s="62"/>
      <c r="J1755" s="62"/>
      <c r="K1755" s="62"/>
      <c r="L1755" s="62"/>
      <c r="M1755" s="62"/>
      <c r="N1755" s="62"/>
      <c r="O1755" s="1"/>
      <c r="P1755" s="32"/>
      <c r="Q1755" s="33"/>
      <c r="R1755" s="29"/>
      <c r="S1755" s="16"/>
    </row>
    <row r="1756" spans="1:19">
      <c r="A1756" s="71" t="s">
        <v>15</v>
      </c>
      <c r="B1756" s="72"/>
      <c r="C1756" s="72"/>
      <c r="D1756" s="72"/>
      <c r="E1756" s="73"/>
      <c r="F1756" s="9" t="s">
        <v>37</v>
      </c>
      <c r="G1756" s="71" t="s">
        <v>38</v>
      </c>
      <c r="H1756" s="73"/>
      <c r="I1756" s="71" t="s">
        <v>42</v>
      </c>
      <c r="J1756" s="72"/>
      <c r="K1756" s="73"/>
      <c r="L1756" s="74" t="s">
        <v>17</v>
      </c>
      <c r="M1756" s="75"/>
      <c r="N1756" s="9" t="s">
        <v>13</v>
      </c>
      <c r="O1756" s="1"/>
      <c r="P1756" s="32"/>
      <c r="Q1756" s="33"/>
      <c r="R1756" s="29"/>
      <c r="S1756" s="16"/>
    </row>
    <row r="1757" spans="1:19">
      <c r="A1757" s="71"/>
      <c r="B1757" s="72"/>
      <c r="C1757" s="72"/>
      <c r="D1757" s="72"/>
      <c r="E1757" s="73"/>
      <c r="F1757" s="13"/>
      <c r="G1757" s="76"/>
      <c r="H1757" s="77"/>
      <c r="I1757" s="78"/>
      <c r="J1757" s="79"/>
      <c r="K1757" s="80"/>
      <c r="L1757" s="81"/>
      <c r="M1757" s="82"/>
      <c r="N1757" s="8"/>
      <c r="O1757" s="1"/>
      <c r="P1757" s="32"/>
      <c r="Q1757" s="33"/>
      <c r="R1757" s="29"/>
      <c r="S1757" s="16"/>
    </row>
    <row r="1758" spans="1:19">
      <c r="A1758" s="62" t="s">
        <v>19</v>
      </c>
      <c r="B1758" s="62"/>
      <c r="C1758" s="62"/>
      <c r="D1758" s="62"/>
      <c r="E1758" s="62"/>
      <c r="F1758" s="62"/>
      <c r="G1758" s="62"/>
      <c r="H1758" s="62"/>
      <c r="I1758" s="62"/>
      <c r="J1758" s="62"/>
      <c r="K1758" s="62"/>
      <c r="L1758" s="62"/>
      <c r="M1758" s="62"/>
      <c r="N1758" s="62"/>
      <c r="O1758" s="1"/>
      <c r="P1758" s="32"/>
      <c r="Q1758" s="33"/>
      <c r="R1758" s="29"/>
      <c r="S1758" s="16"/>
    </row>
    <row r="1759" spans="1:19">
      <c r="A1759" s="63" t="s">
        <v>20</v>
      </c>
      <c r="B1759" s="63"/>
      <c r="C1759" s="63" t="s">
        <v>21</v>
      </c>
      <c r="D1759" s="63"/>
      <c r="E1759" s="63" t="s">
        <v>22</v>
      </c>
      <c r="F1759" s="63"/>
      <c r="G1759" s="63" t="s">
        <v>23</v>
      </c>
      <c r="H1759" s="63"/>
      <c r="I1759" s="63"/>
      <c r="J1759" s="63" t="s">
        <v>16</v>
      </c>
      <c r="K1759" s="63"/>
      <c r="L1759" s="63"/>
      <c r="M1759" s="63" t="s">
        <v>17</v>
      </c>
      <c r="N1759" s="63"/>
      <c r="O1759" s="1"/>
      <c r="Q1759" s="32"/>
      <c r="R1759" s="33"/>
      <c r="S1759" s="16"/>
    </row>
    <row r="1760" spans="1:19">
      <c r="A1760" s="60" t="s">
        <v>24</v>
      </c>
      <c r="B1760" s="52"/>
      <c r="C1760" s="61"/>
      <c r="D1760" s="61"/>
      <c r="E1760" s="61">
        <f>C1760+E1699</f>
        <v>32</v>
      </c>
      <c r="F1760" s="61"/>
      <c r="G1760" s="60" t="s">
        <v>51</v>
      </c>
      <c r="H1760" s="51"/>
      <c r="I1760" s="52"/>
      <c r="J1760" s="61"/>
      <c r="K1760" s="61"/>
      <c r="L1760" s="61"/>
      <c r="M1760" s="61">
        <f>K1760+M1699</f>
        <v>1</v>
      </c>
      <c r="N1760" s="61"/>
      <c r="O1760" s="1"/>
      <c r="Q1760" s="32"/>
      <c r="R1760" s="33"/>
      <c r="S1760" s="16"/>
    </row>
    <row r="1761" spans="1:19">
      <c r="A1761" s="60" t="s">
        <v>25</v>
      </c>
      <c r="B1761" s="52"/>
      <c r="C1761" s="61"/>
      <c r="D1761" s="61"/>
      <c r="E1761" s="61">
        <f>C1761+E1700</f>
        <v>29</v>
      </c>
      <c r="F1761" s="61"/>
      <c r="G1761" s="60" t="s">
        <v>50</v>
      </c>
      <c r="H1761" s="51"/>
      <c r="I1761" s="52"/>
      <c r="J1761" s="61"/>
      <c r="K1761" s="61"/>
      <c r="L1761" s="61"/>
      <c r="M1761" s="61">
        <f>K1761+M1700</f>
        <v>1</v>
      </c>
      <c r="N1761" s="61"/>
      <c r="O1761" s="1"/>
      <c r="Q1761" s="32"/>
      <c r="R1761" s="33"/>
      <c r="S1761" s="16"/>
    </row>
    <row r="1762" spans="1:19">
      <c r="A1762" s="60"/>
      <c r="B1762" s="52"/>
      <c r="C1762" s="61"/>
      <c r="D1762" s="61"/>
      <c r="E1762" s="61"/>
      <c r="F1762" s="61"/>
      <c r="G1762" s="60" t="s">
        <v>55</v>
      </c>
      <c r="H1762" s="51"/>
      <c r="I1762" s="52"/>
      <c r="J1762" s="61"/>
      <c r="K1762" s="61"/>
      <c r="L1762" s="61"/>
      <c r="M1762" s="61">
        <f>K1762+M1701</f>
        <v>0</v>
      </c>
      <c r="N1762" s="61"/>
      <c r="O1762" s="2"/>
      <c r="P1762" s="29"/>
      <c r="Q1762" s="32"/>
      <c r="R1762" s="33"/>
      <c r="S1762" s="16"/>
    </row>
    <row r="1763" spans="1:19">
      <c r="A1763" s="53" t="s">
        <v>53</v>
      </c>
      <c r="B1763" s="47"/>
      <c r="C1763" s="53"/>
      <c r="D1763" s="53"/>
      <c r="E1763" s="53"/>
      <c r="F1763" s="53"/>
      <c r="G1763" s="53"/>
      <c r="H1763" s="53"/>
      <c r="I1763" s="53"/>
      <c r="J1763" s="53"/>
      <c r="K1763" s="53"/>
      <c r="L1763" s="53"/>
      <c r="M1763" s="53"/>
      <c r="N1763" s="53"/>
      <c r="O1763" s="1"/>
      <c r="P1763" s="32"/>
      <c r="Q1763" s="32"/>
      <c r="R1763" s="33"/>
      <c r="S1763" s="16"/>
    </row>
    <row r="1764" spans="1:19">
      <c r="A1764" s="45" t="s">
        <v>56</v>
      </c>
      <c r="B1764" s="46"/>
      <c r="C1764" s="46"/>
      <c r="D1764" s="46"/>
      <c r="E1764" s="46"/>
      <c r="F1764" s="46"/>
      <c r="G1764" s="46"/>
      <c r="H1764" s="46"/>
      <c r="I1764" s="46"/>
      <c r="J1764" s="46"/>
      <c r="K1764" s="46"/>
      <c r="L1764" s="46"/>
      <c r="M1764" s="46"/>
      <c r="N1764" s="47"/>
      <c r="O1764" s="1"/>
      <c r="P1764" s="32"/>
      <c r="Q1764" s="34"/>
      <c r="R1764" s="33"/>
      <c r="S1764" s="16"/>
    </row>
    <row r="1765" spans="1:19">
      <c r="A1765" s="54" t="s">
        <v>54</v>
      </c>
      <c r="B1765" s="55"/>
      <c r="C1765" s="55"/>
      <c r="D1765" s="55"/>
      <c r="E1765" s="55"/>
      <c r="F1765" s="55"/>
      <c r="G1765" s="55"/>
      <c r="H1765" s="55"/>
      <c r="I1765" s="55"/>
      <c r="J1765" s="55"/>
      <c r="K1765" s="55"/>
      <c r="L1765" s="55"/>
      <c r="M1765" s="55"/>
      <c r="N1765" s="56"/>
      <c r="O1765" s="1"/>
      <c r="P1765" s="32"/>
      <c r="Q1765" s="32"/>
      <c r="R1765" s="33"/>
      <c r="S1765" s="16"/>
    </row>
    <row r="1766" spans="1:19">
      <c r="A1766" s="40" t="s">
        <v>26</v>
      </c>
      <c r="B1766" s="41"/>
      <c r="C1766" s="40"/>
      <c r="D1766" s="40"/>
      <c r="E1766" s="40"/>
      <c r="F1766" s="40"/>
      <c r="G1766" s="40"/>
      <c r="H1766" s="40"/>
      <c r="I1766" s="40"/>
      <c r="J1766" s="40"/>
      <c r="K1766" s="40"/>
      <c r="L1766" s="40"/>
      <c r="M1766" s="40"/>
      <c r="N1766" s="40"/>
      <c r="O1766" s="1"/>
      <c r="P1766" s="32"/>
      <c r="Q1766" s="32"/>
      <c r="R1766" s="33"/>
      <c r="S1766" s="16"/>
    </row>
    <row r="1767" spans="1:19">
      <c r="A1767" s="57" t="s">
        <v>27</v>
      </c>
      <c r="B1767" s="58"/>
      <c r="C1767" s="58"/>
      <c r="D1767" s="58"/>
      <c r="E1767" s="58"/>
      <c r="F1767" s="58"/>
      <c r="G1767" s="58"/>
      <c r="H1767" s="58"/>
      <c r="I1767" s="58"/>
      <c r="J1767" s="58"/>
      <c r="K1767" s="58"/>
      <c r="L1767" s="58"/>
      <c r="M1767" s="58"/>
      <c r="N1767" s="59"/>
      <c r="O1767" s="1"/>
      <c r="P1767" s="34"/>
      <c r="Q1767" s="34"/>
      <c r="R1767" s="33"/>
      <c r="S1767" s="16"/>
    </row>
    <row r="1768" spans="1:19">
      <c r="A1768" s="57" t="s">
        <v>57</v>
      </c>
      <c r="B1768" s="58"/>
      <c r="C1768" s="58"/>
      <c r="D1768" s="58"/>
      <c r="E1768" s="58"/>
      <c r="F1768" s="58"/>
      <c r="G1768" s="58"/>
      <c r="H1768" s="58"/>
      <c r="I1768" s="58"/>
      <c r="J1768" s="58"/>
      <c r="K1768" s="58"/>
      <c r="L1768" s="58"/>
      <c r="M1768" s="58"/>
      <c r="N1768" s="59"/>
      <c r="O1768" s="1"/>
      <c r="P1768" s="32"/>
      <c r="Q1768" s="32"/>
      <c r="R1768" s="33"/>
      <c r="S1768" s="16"/>
    </row>
    <row r="1769" spans="1:19">
      <c r="A1769" s="57" t="s">
        <v>58</v>
      </c>
      <c r="B1769" s="58"/>
      <c r="C1769" s="58"/>
      <c r="D1769" s="58"/>
      <c r="E1769" s="58"/>
      <c r="F1769" s="58"/>
      <c r="G1769" s="58"/>
      <c r="H1769" s="58"/>
      <c r="I1769" s="58"/>
      <c r="J1769" s="58"/>
      <c r="K1769" s="58"/>
      <c r="L1769" s="58"/>
      <c r="M1769" s="58"/>
      <c r="N1769" s="59"/>
      <c r="O1769" s="1"/>
      <c r="P1769" s="32"/>
      <c r="Q1769" s="32"/>
      <c r="R1769" s="33"/>
      <c r="S1769" s="16"/>
    </row>
    <row r="1770" spans="1:19">
      <c r="A1770" s="57" t="s">
        <v>59</v>
      </c>
      <c r="B1770" s="58"/>
      <c r="C1770" s="58"/>
      <c r="D1770" s="58"/>
      <c r="E1770" s="58"/>
      <c r="F1770" s="58"/>
      <c r="G1770" s="58"/>
      <c r="H1770" s="58"/>
      <c r="I1770" s="58"/>
      <c r="J1770" s="58"/>
      <c r="K1770" s="58"/>
      <c r="L1770" s="58"/>
      <c r="M1770" s="58"/>
      <c r="N1770" s="59"/>
      <c r="O1770" s="1"/>
      <c r="P1770" s="32"/>
      <c r="Q1770" s="34"/>
      <c r="R1770" s="33"/>
      <c r="S1770" s="16"/>
    </row>
    <row r="1771" spans="1:19">
      <c r="A1771" s="57" t="s">
        <v>28</v>
      </c>
      <c r="B1771" s="58"/>
      <c r="C1771" s="58"/>
      <c r="D1771" s="58"/>
      <c r="E1771" s="58"/>
      <c r="F1771" s="58"/>
      <c r="G1771" s="58"/>
      <c r="H1771" s="58"/>
      <c r="I1771" s="58"/>
      <c r="J1771" s="58"/>
      <c r="K1771" s="58"/>
      <c r="L1771" s="58"/>
      <c r="M1771" s="58"/>
      <c r="N1771" s="59"/>
      <c r="O1771" s="1"/>
      <c r="P1771" s="34"/>
      <c r="Q1771" s="32"/>
      <c r="R1771" s="33"/>
      <c r="S1771" s="16"/>
    </row>
    <row r="1772" spans="1:19">
      <c r="A1772" s="40" t="s">
        <v>29</v>
      </c>
      <c r="B1772" s="41"/>
      <c r="C1772" s="40"/>
      <c r="D1772" s="40"/>
      <c r="E1772" s="40"/>
      <c r="F1772" s="40"/>
      <c r="G1772" s="40"/>
      <c r="H1772" s="40"/>
      <c r="I1772" s="40"/>
      <c r="J1772" s="40"/>
      <c r="K1772" s="40"/>
      <c r="L1772" s="40"/>
      <c r="M1772" s="40"/>
      <c r="N1772" s="40"/>
      <c r="O1772" s="1"/>
      <c r="P1772" s="32"/>
      <c r="Q1772" s="32"/>
      <c r="R1772" s="33"/>
      <c r="S1772" s="16"/>
    </row>
    <row r="1773" spans="1:19">
      <c r="A1773" s="42"/>
      <c r="B1773" s="43"/>
      <c r="C1773" s="43"/>
      <c r="D1773" s="43"/>
      <c r="E1773" s="43"/>
      <c r="F1773" s="43"/>
      <c r="G1773" s="43"/>
      <c r="H1773" s="43"/>
      <c r="I1773" s="43"/>
      <c r="J1773" s="43"/>
      <c r="K1773" s="43"/>
      <c r="L1773" s="43"/>
      <c r="M1773" s="43"/>
      <c r="N1773" s="44"/>
      <c r="O1773" s="1"/>
      <c r="P1773" s="32"/>
      <c r="Q1773" s="32"/>
      <c r="R1773" s="33"/>
      <c r="S1773" s="16"/>
    </row>
    <row r="1774" spans="1:19">
      <c r="A1774" s="40" t="s">
        <v>30</v>
      </c>
      <c r="B1774" s="41"/>
      <c r="C1774" s="40"/>
      <c r="D1774" s="40"/>
      <c r="E1774" s="40"/>
      <c r="F1774" s="40"/>
      <c r="G1774" s="40"/>
      <c r="H1774" s="40"/>
      <c r="I1774" s="40"/>
      <c r="J1774" s="40"/>
      <c r="K1774" s="40"/>
      <c r="L1774" s="40"/>
      <c r="M1774" s="40"/>
      <c r="N1774" s="40"/>
      <c r="O1774" s="1"/>
      <c r="P1774" s="32"/>
      <c r="Q1774" s="32"/>
      <c r="R1774" s="33"/>
      <c r="S1774" s="16"/>
    </row>
    <row r="1775" spans="1:19">
      <c r="A1775" s="42"/>
      <c r="B1775" s="43"/>
      <c r="C1775" s="43"/>
      <c r="D1775" s="43"/>
      <c r="E1775" s="43"/>
      <c r="F1775" s="43"/>
      <c r="G1775" s="43"/>
      <c r="H1775" s="43"/>
      <c r="I1775" s="43"/>
      <c r="J1775" s="43"/>
      <c r="K1775" s="43"/>
      <c r="L1775" s="43"/>
      <c r="M1775" s="43"/>
      <c r="N1775" s="44"/>
      <c r="O1775" s="1"/>
      <c r="P1775" s="32"/>
      <c r="Q1775" s="32"/>
      <c r="R1775" s="33"/>
      <c r="S1775" s="16"/>
    </row>
    <row r="1776" spans="1:19">
      <c r="A1776" s="40" t="s">
        <v>31</v>
      </c>
      <c r="B1776" s="41"/>
      <c r="C1776" s="40"/>
      <c r="D1776" s="40"/>
      <c r="E1776" s="40"/>
      <c r="F1776" s="40"/>
      <c r="G1776" s="40"/>
      <c r="H1776" s="40"/>
      <c r="I1776" s="40"/>
      <c r="J1776" s="40"/>
      <c r="K1776" s="40"/>
      <c r="L1776" s="40"/>
      <c r="M1776" s="40"/>
      <c r="N1776" s="40"/>
      <c r="O1776" s="1"/>
      <c r="P1776" s="32"/>
      <c r="Q1776" s="32"/>
      <c r="R1776" s="33"/>
      <c r="S1776" s="17"/>
    </row>
    <row r="1777" spans="1:19">
      <c r="A1777" s="45"/>
      <c r="B1777" s="46"/>
      <c r="C1777" s="46"/>
      <c r="D1777" s="46"/>
      <c r="E1777" s="46"/>
      <c r="F1777" s="46"/>
      <c r="G1777" s="46"/>
      <c r="H1777" s="46"/>
      <c r="I1777" s="46"/>
      <c r="J1777" s="46"/>
      <c r="K1777" s="46"/>
      <c r="L1777" s="46"/>
      <c r="M1777" s="46"/>
      <c r="N1777" s="47"/>
      <c r="O1777" s="1"/>
      <c r="P1777" s="32"/>
      <c r="Q1777" s="32"/>
      <c r="R1777" s="33"/>
      <c r="S1777" s="1"/>
    </row>
    <row r="1778" spans="1:19">
      <c r="A1778" s="48" t="s">
        <v>41</v>
      </c>
      <c r="B1778" s="49"/>
      <c r="C1778" s="50"/>
      <c r="D1778" s="50"/>
      <c r="E1778" s="50"/>
      <c r="F1778" s="50"/>
      <c r="G1778" s="50"/>
      <c r="H1778" s="51"/>
      <c r="I1778" s="51"/>
      <c r="J1778" s="51"/>
      <c r="K1778" s="51"/>
      <c r="L1778" s="51"/>
      <c r="M1778" s="51"/>
      <c r="N1778" s="52"/>
      <c r="O1778" s="1"/>
      <c r="P1778" s="32"/>
      <c r="Q1778" s="32"/>
      <c r="R1778" s="33"/>
      <c r="S1778" s="1"/>
    </row>
    <row r="1779" spans="1:19" ht="28.2">
      <c r="A1779" s="1" t="s">
        <v>45</v>
      </c>
      <c r="B1779" s="7">
        <f>B1718+1</f>
        <v>30</v>
      </c>
      <c r="C1779" s="5"/>
      <c r="D1779" s="5"/>
      <c r="E1779" s="5"/>
      <c r="F1779" s="5"/>
      <c r="G1779" s="5"/>
      <c r="H1779" s="5"/>
      <c r="I1779" s="5"/>
      <c r="J1779" s="5"/>
      <c r="K1779" s="5"/>
      <c r="L1779" s="5"/>
      <c r="M1779" s="5"/>
      <c r="N1779" s="5"/>
      <c r="O1779" s="1"/>
      <c r="P1779" s="32"/>
      <c r="Q1779" s="33"/>
      <c r="R1779" s="29"/>
    </row>
    <row r="1780" spans="1:19">
      <c r="A1780" s="1" t="s">
        <v>46</v>
      </c>
      <c r="B1780" s="1" t="s">
        <v>1</v>
      </c>
      <c r="C1780" s="1" t="s">
        <v>2</v>
      </c>
      <c r="D1780" s="1" t="s">
        <v>3</v>
      </c>
      <c r="E1780" s="1" t="s">
        <v>2</v>
      </c>
      <c r="F1780" s="1"/>
      <c r="G1780" s="1"/>
      <c r="H1780" s="112" t="s">
        <v>4</v>
      </c>
      <c r="I1780" s="112"/>
      <c r="J1780" s="113">
        <f>J1719+1</f>
        <v>46241</v>
      </c>
      <c r="K1780" s="113"/>
      <c r="L1780" s="113"/>
      <c r="M1780" s="114">
        <f>J1780</f>
        <v>46241</v>
      </c>
      <c r="N1780" s="114"/>
      <c r="O1780" s="1"/>
      <c r="P1780" s="32"/>
      <c r="Q1780" s="33"/>
      <c r="R1780" s="29"/>
    </row>
    <row r="1781" spans="1:19">
      <c r="A1781" s="8" t="s">
        <v>5</v>
      </c>
      <c r="B1781" s="115">
        <f>B1712</f>
        <v>0</v>
      </c>
      <c r="C1781" s="116"/>
      <c r="D1781" s="116"/>
      <c r="E1781" s="116"/>
      <c r="F1781" s="116"/>
      <c r="G1781" s="117"/>
      <c r="H1781" s="63" t="s">
        <v>6</v>
      </c>
      <c r="I1781" s="63"/>
      <c r="J1781" s="63"/>
      <c r="K1781" s="63" t="s">
        <v>52</v>
      </c>
      <c r="L1781" s="63"/>
      <c r="M1781" s="63"/>
      <c r="N1781" s="63"/>
      <c r="O1781" s="1"/>
      <c r="P1781" s="32"/>
      <c r="Q1781" s="33"/>
      <c r="R1781" s="29"/>
    </row>
    <row r="1782" spans="1:19">
      <c r="A1782" s="8" t="s">
        <v>32</v>
      </c>
      <c r="B1782" s="10">
        <v>60</v>
      </c>
      <c r="C1782" s="11" t="s">
        <v>43</v>
      </c>
      <c r="D1782" s="71" t="s">
        <v>7</v>
      </c>
      <c r="E1782" s="73"/>
      <c r="F1782" s="10">
        <f>F1721+1</f>
        <v>30</v>
      </c>
      <c r="G1782" s="11" t="s">
        <v>8</v>
      </c>
      <c r="H1782" s="9" t="s">
        <v>9</v>
      </c>
      <c r="I1782" s="10">
        <f>B1782-F1782</f>
        <v>30</v>
      </c>
      <c r="J1782" s="11" t="s">
        <v>8</v>
      </c>
      <c r="K1782" s="118" t="s">
        <v>33</v>
      </c>
      <c r="L1782" s="119"/>
      <c r="M1782" s="12"/>
      <c r="N1782" s="11" t="s">
        <v>8</v>
      </c>
      <c r="O1782" s="1"/>
      <c r="P1782" s="34"/>
      <c r="Q1782" s="33"/>
      <c r="R1782" s="29"/>
    </row>
    <row r="1783" spans="1:19">
      <c r="A1783" s="71" t="s">
        <v>34</v>
      </c>
      <c r="B1783" s="72"/>
      <c r="C1783" s="73"/>
      <c r="D1783" s="120">
        <v>46212</v>
      </c>
      <c r="E1783" s="121"/>
      <c r="F1783" s="121"/>
      <c r="G1783" s="122"/>
      <c r="H1783" s="71" t="s">
        <v>35</v>
      </c>
      <c r="I1783" s="72"/>
      <c r="J1783" s="73"/>
      <c r="K1783" s="120">
        <f>D1783+59</f>
        <v>46271</v>
      </c>
      <c r="L1783" s="121"/>
      <c r="M1783" s="121"/>
      <c r="N1783" s="122"/>
      <c r="O1783" s="1"/>
      <c r="P1783" s="32"/>
      <c r="Q1783" s="33"/>
      <c r="R1783" s="29"/>
    </row>
    <row r="1784" spans="1:19">
      <c r="A1784" s="92" t="s">
        <v>10</v>
      </c>
      <c r="B1784" s="93"/>
      <c r="C1784" s="94"/>
      <c r="D1784" s="98">
        <f>D1723+0.0781/5</f>
        <v>0.19800000000000001</v>
      </c>
      <c r="E1784" s="99"/>
      <c r="F1784" s="99"/>
      <c r="G1784" s="100"/>
      <c r="H1784" s="104" t="s">
        <v>36</v>
      </c>
      <c r="I1784" s="105"/>
      <c r="J1784" s="106"/>
      <c r="K1784" s="110">
        <f>R1815</f>
        <v>0.14786595928238083</v>
      </c>
      <c r="L1784" s="105"/>
      <c r="M1784" s="105"/>
      <c r="N1784" s="106"/>
      <c r="O1784" s="1"/>
      <c r="P1784" s="32"/>
      <c r="Q1784" s="33"/>
      <c r="R1784" s="29"/>
    </row>
    <row r="1785" spans="1:19">
      <c r="A1785" s="95"/>
      <c r="B1785" s="96"/>
      <c r="C1785" s="97"/>
      <c r="D1785" s="101"/>
      <c r="E1785" s="102"/>
      <c r="F1785" s="102"/>
      <c r="G1785" s="103"/>
      <c r="H1785" s="107"/>
      <c r="I1785" s="108"/>
      <c r="J1785" s="109"/>
      <c r="K1785" s="107"/>
      <c r="L1785" s="108"/>
      <c r="M1785" s="108"/>
      <c r="N1785" s="109"/>
      <c r="O1785" s="1"/>
      <c r="P1785" s="32"/>
      <c r="Q1785" s="33"/>
      <c r="R1785" s="29"/>
    </row>
    <row r="1786" spans="1:19">
      <c r="A1786" s="62" t="s">
        <v>11</v>
      </c>
      <c r="B1786" s="62"/>
      <c r="C1786" s="62"/>
      <c r="D1786" s="62"/>
      <c r="E1786" s="62"/>
      <c r="F1786" s="62"/>
      <c r="G1786" s="62"/>
      <c r="H1786" s="62"/>
      <c r="I1786" s="62"/>
      <c r="J1786" s="62"/>
      <c r="K1786" s="62"/>
      <c r="L1786" s="62"/>
      <c r="M1786" s="62"/>
      <c r="N1786" s="62"/>
      <c r="O1786" s="1"/>
      <c r="P1786" s="32"/>
      <c r="Q1786" s="33"/>
      <c r="R1786" s="29"/>
    </row>
    <row r="1787" spans="1:19">
      <c r="A1787" s="111" t="s">
        <v>12</v>
      </c>
      <c r="B1787" s="111"/>
      <c r="C1787" s="111"/>
      <c r="D1787" s="111"/>
      <c r="E1787" s="111"/>
      <c r="F1787" s="14" t="s">
        <v>37</v>
      </c>
      <c r="G1787" s="111" t="s">
        <v>38</v>
      </c>
      <c r="H1787" s="111"/>
      <c r="I1787" s="63" t="s">
        <v>39</v>
      </c>
      <c r="J1787" s="63"/>
      <c r="K1787" s="63"/>
      <c r="L1787" s="63" t="s">
        <v>40</v>
      </c>
      <c r="M1787" s="63"/>
      <c r="N1787" s="9" t="s">
        <v>13</v>
      </c>
      <c r="O1787" s="1"/>
      <c r="P1787" s="28" t="s">
        <v>47</v>
      </c>
      <c r="Q1787" s="29" t="s">
        <v>48</v>
      </c>
      <c r="R1787" s="29" t="s">
        <v>49</v>
      </c>
    </row>
    <row r="1788" spans="1:19">
      <c r="A1788" s="83" t="s">
        <v>67</v>
      </c>
      <c r="B1788" s="84"/>
      <c r="C1788" s="84"/>
      <c r="D1788" s="84"/>
      <c r="E1788" s="85"/>
      <c r="F1788" s="27" t="s">
        <v>60</v>
      </c>
      <c r="G1788" s="67">
        <v>1</v>
      </c>
      <c r="H1788" s="68"/>
      <c r="I1788" s="86"/>
      <c r="J1788" s="87"/>
      <c r="K1788" s="88"/>
      <c r="L1788" s="69">
        <f>I1788+L1727</f>
        <v>1</v>
      </c>
      <c r="M1788" s="70"/>
      <c r="N1788" s="8"/>
      <c r="O1788" s="1"/>
      <c r="P1788" s="30">
        <v>6000</v>
      </c>
      <c r="Q1788" s="38">
        <f>P1788*G1788</f>
        <v>6000</v>
      </c>
      <c r="R1788" s="28">
        <f>L1788*P1788</f>
        <v>6000</v>
      </c>
    </row>
    <row r="1789" spans="1:19">
      <c r="A1789" s="83" t="s">
        <v>68</v>
      </c>
      <c r="B1789" s="84"/>
      <c r="C1789" s="84"/>
      <c r="D1789" s="84"/>
      <c r="E1789" s="85"/>
      <c r="F1789" s="20" t="s">
        <v>60</v>
      </c>
      <c r="G1789" s="67">
        <v>1</v>
      </c>
      <c r="H1789" s="68"/>
      <c r="I1789" s="87"/>
      <c r="J1789" s="87"/>
      <c r="K1789" s="88"/>
      <c r="L1789" s="69">
        <f t="shared" ref="L1789:L1813" si="92">I1789+L1728</f>
        <v>1</v>
      </c>
      <c r="M1789" s="70"/>
      <c r="N1789" s="8"/>
      <c r="O1789" s="1"/>
      <c r="P1789" s="30">
        <v>193300</v>
      </c>
      <c r="Q1789" s="38">
        <f t="shared" ref="Q1789:Q1813" si="93">P1789*G1789</f>
        <v>193300</v>
      </c>
      <c r="R1789" s="28">
        <f>L1789*P1789</f>
        <v>193300</v>
      </c>
    </row>
    <row r="1790" spans="1:19">
      <c r="A1790" s="89" t="s">
        <v>69</v>
      </c>
      <c r="B1790" s="90"/>
      <c r="C1790" s="90"/>
      <c r="D1790" s="90"/>
      <c r="E1790" s="91"/>
      <c r="F1790" s="20" t="s">
        <v>60</v>
      </c>
      <c r="G1790" s="67">
        <v>1</v>
      </c>
      <c r="H1790" s="68"/>
      <c r="I1790" s="87"/>
      <c r="J1790" s="87"/>
      <c r="K1790" s="88"/>
      <c r="L1790" s="69">
        <f t="shared" si="92"/>
        <v>0.5</v>
      </c>
      <c r="M1790" s="70"/>
      <c r="N1790" s="8"/>
      <c r="O1790" s="1"/>
      <c r="P1790" s="30">
        <v>30000</v>
      </c>
      <c r="Q1790" s="38">
        <f t="shared" si="93"/>
        <v>30000</v>
      </c>
      <c r="R1790" s="28">
        <f>L1790*P1790</f>
        <v>15000</v>
      </c>
    </row>
    <row r="1791" spans="1:19">
      <c r="A1791" s="64" t="s">
        <v>70</v>
      </c>
      <c r="B1791" s="65"/>
      <c r="C1791" s="65"/>
      <c r="D1791" s="65"/>
      <c r="E1791" s="66"/>
      <c r="F1791" s="20" t="s">
        <v>60</v>
      </c>
      <c r="G1791" s="67">
        <v>1</v>
      </c>
      <c r="H1791" s="68"/>
      <c r="I1791" s="87"/>
      <c r="J1791" s="87"/>
      <c r="K1791" s="88"/>
      <c r="L1791" s="69">
        <f t="shared" si="92"/>
        <v>1</v>
      </c>
      <c r="M1791" s="70"/>
      <c r="N1791" s="8"/>
      <c r="O1791" s="1"/>
      <c r="P1791" s="31">
        <v>10000</v>
      </c>
      <c r="Q1791" s="38">
        <f t="shared" si="93"/>
        <v>10000</v>
      </c>
      <c r="R1791" s="28">
        <f t="shared" ref="R1791:R1813" si="94">L1791*P1791</f>
        <v>10000</v>
      </c>
    </row>
    <row r="1792" spans="1:19">
      <c r="A1792" s="64" t="s">
        <v>71</v>
      </c>
      <c r="B1792" s="65"/>
      <c r="C1792" s="65"/>
      <c r="D1792" s="65"/>
      <c r="E1792" s="66"/>
      <c r="F1792" s="20" t="s">
        <v>61</v>
      </c>
      <c r="G1792" s="67">
        <v>9</v>
      </c>
      <c r="H1792" s="68"/>
      <c r="I1792" s="87"/>
      <c r="J1792" s="87"/>
      <c r="K1792" s="88"/>
      <c r="L1792" s="69">
        <f t="shared" si="92"/>
        <v>9</v>
      </c>
      <c r="M1792" s="70"/>
      <c r="N1792" s="8"/>
      <c r="O1792" s="1"/>
      <c r="P1792" s="30">
        <v>21000</v>
      </c>
      <c r="Q1792" s="38">
        <f t="shared" si="93"/>
        <v>189000</v>
      </c>
      <c r="R1792" s="28">
        <f t="shared" si="94"/>
        <v>189000</v>
      </c>
    </row>
    <row r="1793" spans="1:18">
      <c r="A1793" s="64" t="s">
        <v>72</v>
      </c>
      <c r="B1793" s="65"/>
      <c r="C1793" s="65"/>
      <c r="D1793" s="65"/>
      <c r="E1793" s="66"/>
      <c r="F1793" s="2" t="s">
        <v>60</v>
      </c>
      <c r="G1793" s="67">
        <v>1</v>
      </c>
      <c r="H1793" s="68"/>
      <c r="I1793" s="87"/>
      <c r="J1793" s="87"/>
      <c r="K1793" s="88"/>
      <c r="L1793" s="69">
        <f t="shared" si="92"/>
        <v>0</v>
      </c>
      <c r="M1793" s="70"/>
      <c r="N1793" s="8"/>
      <c r="O1793" s="1"/>
      <c r="P1793" s="30">
        <v>184468</v>
      </c>
      <c r="Q1793" s="38">
        <f t="shared" si="93"/>
        <v>184468</v>
      </c>
      <c r="R1793" s="28">
        <f t="shared" si="94"/>
        <v>0</v>
      </c>
    </row>
    <row r="1794" spans="1:18">
      <c r="A1794" s="83" t="s">
        <v>73</v>
      </c>
      <c r="B1794" s="84"/>
      <c r="C1794" s="84"/>
      <c r="D1794" s="84"/>
      <c r="E1794" s="85"/>
      <c r="F1794" s="20" t="s">
        <v>62</v>
      </c>
      <c r="G1794" s="67">
        <v>9</v>
      </c>
      <c r="H1794" s="68"/>
      <c r="I1794" s="87"/>
      <c r="J1794" s="87"/>
      <c r="K1794" s="88"/>
      <c r="L1794" s="69">
        <f t="shared" si="92"/>
        <v>0</v>
      </c>
      <c r="M1794" s="70"/>
      <c r="N1794" s="8"/>
      <c r="O1794" s="1"/>
      <c r="P1794" s="30">
        <v>20000</v>
      </c>
      <c r="Q1794" s="38">
        <f t="shared" si="93"/>
        <v>180000</v>
      </c>
      <c r="R1794" s="28">
        <f t="shared" si="94"/>
        <v>0</v>
      </c>
    </row>
    <row r="1795" spans="1:18">
      <c r="A1795" s="83" t="s">
        <v>74</v>
      </c>
      <c r="B1795" s="84"/>
      <c r="C1795" s="84"/>
      <c r="D1795" s="84"/>
      <c r="E1795" s="85"/>
      <c r="F1795" s="20" t="s">
        <v>63</v>
      </c>
      <c r="G1795" s="67">
        <v>52</v>
      </c>
      <c r="H1795" s="68"/>
      <c r="I1795" s="87"/>
      <c r="J1795" s="87"/>
      <c r="K1795" s="88"/>
      <c r="L1795" s="69">
        <f t="shared" si="92"/>
        <v>52</v>
      </c>
      <c r="M1795" s="70"/>
      <c r="N1795" s="8"/>
      <c r="O1795" s="1"/>
      <c r="P1795" s="31">
        <v>2500</v>
      </c>
      <c r="Q1795" s="38">
        <f t="shared" si="93"/>
        <v>130000</v>
      </c>
      <c r="R1795" s="28">
        <f t="shared" si="94"/>
        <v>130000</v>
      </c>
    </row>
    <row r="1796" spans="1:18">
      <c r="A1796" s="83" t="s">
        <v>75</v>
      </c>
      <c r="B1796" s="84"/>
      <c r="C1796" s="84"/>
      <c r="D1796" s="84"/>
      <c r="E1796" s="85"/>
      <c r="F1796" s="20" t="s">
        <v>64</v>
      </c>
      <c r="G1796" s="67">
        <v>1</v>
      </c>
      <c r="H1796" s="68"/>
      <c r="I1796" s="87"/>
      <c r="J1796" s="87"/>
      <c r="K1796" s="88"/>
      <c r="L1796" s="69">
        <f t="shared" si="92"/>
        <v>0</v>
      </c>
      <c r="M1796" s="70"/>
      <c r="N1796" s="8"/>
      <c r="O1796" s="1"/>
      <c r="P1796" s="30">
        <v>80000</v>
      </c>
      <c r="Q1796" s="38">
        <f t="shared" si="93"/>
        <v>80000</v>
      </c>
      <c r="R1796" s="28">
        <f t="shared" si="94"/>
        <v>0</v>
      </c>
    </row>
    <row r="1797" spans="1:18">
      <c r="A1797" s="89" t="s">
        <v>76</v>
      </c>
      <c r="B1797" s="90"/>
      <c r="C1797" s="90"/>
      <c r="D1797" s="90"/>
      <c r="E1797" s="91"/>
      <c r="F1797" s="20" t="s">
        <v>65</v>
      </c>
      <c r="G1797" s="67">
        <v>31</v>
      </c>
      <c r="H1797" s="68"/>
      <c r="I1797" s="87"/>
      <c r="J1797" s="87"/>
      <c r="K1797" s="88"/>
      <c r="L1797" s="69">
        <f t="shared" si="92"/>
        <v>31</v>
      </c>
      <c r="M1797" s="70"/>
      <c r="N1797" s="8"/>
      <c r="O1797" s="1"/>
      <c r="P1797" s="30">
        <v>400</v>
      </c>
      <c r="Q1797" s="38">
        <f t="shared" si="93"/>
        <v>12400</v>
      </c>
      <c r="R1797" s="28">
        <f t="shared" si="94"/>
        <v>12400</v>
      </c>
    </row>
    <row r="1798" spans="1:18">
      <c r="A1798" s="64" t="s">
        <v>77</v>
      </c>
      <c r="B1798" s="65"/>
      <c r="C1798" s="65"/>
      <c r="D1798" s="65"/>
      <c r="E1798" s="66"/>
      <c r="F1798" s="20" t="s">
        <v>65</v>
      </c>
      <c r="G1798" s="67">
        <v>100</v>
      </c>
      <c r="H1798" s="68"/>
      <c r="I1798" s="87"/>
      <c r="J1798" s="87"/>
      <c r="K1798" s="88"/>
      <c r="L1798" s="69">
        <f t="shared" si="92"/>
        <v>0</v>
      </c>
      <c r="M1798" s="70"/>
      <c r="N1798" s="8"/>
      <c r="O1798" s="1"/>
      <c r="P1798" s="30">
        <v>350</v>
      </c>
      <c r="Q1798" s="38">
        <f t="shared" si="93"/>
        <v>35000</v>
      </c>
      <c r="R1798" s="28">
        <f t="shared" si="94"/>
        <v>0</v>
      </c>
    </row>
    <row r="1799" spans="1:18">
      <c r="A1799" s="64" t="s">
        <v>78</v>
      </c>
      <c r="B1799" s="65"/>
      <c r="C1799" s="65"/>
      <c r="D1799" s="65"/>
      <c r="E1799" s="66"/>
      <c r="F1799" s="20" t="s">
        <v>63</v>
      </c>
      <c r="G1799" s="67">
        <v>35</v>
      </c>
      <c r="H1799" s="68"/>
      <c r="I1799" s="87"/>
      <c r="J1799" s="87"/>
      <c r="K1799" s="88"/>
      <c r="L1799" s="69">
        <f t="shared" si="92"/>
        <v>0</v>
      </c>
      <c r="M1799" s="70"/>
      <c r="N1799" s="8"/>
      <c r="O1799" s="1"/>
      <c r="P1799" s="30">
        <v>1200</v>
      </c>
      <c r="Q1799" s="38">
        <f t="shared" si="93"/>
        <v>42000</v>
      </c>
      <c r="R1799" s="28">
        <f t="shared" si="94"/>
        <v>0</v>
      </c>
    </row>
    <row r="1800" spans="1:18">
      <c r="A1800" s="64" t="s">
        <v>79</v>
      </c>
      <c r="B1800" s="65"/>
      <c r="C1800" s="65"/>
      <c r="D1800" s="65"/>
      <c r="E1800" s="66"/>
      <c r="F1800" s="20" t="s">
        <v>63</v>
      </c>
      <c r="G1800" s="67">
        <v>282</v>
      </c>
      <c r="H1800" s="68"/>
      <c r="I1800" s="86"/>
      <c r="J1800" s="87"/>
      <c r="K1800" s="88"/>
      <c r="L1800" s="69">
        <f t="shared" si="92"/>
        <v>60</v>
      </c>
      <c r="M1800" s="70"/>
      <c r="N1800" s="8"/>
      <c r="O1800" s="1"/>
      <c r="P1800" s="30">
        <v>1400</v>
      </c>
      <c r="Q1800" s="38">
        <f t="shared" si="93"/>
        <v>394800</v>
      </c>
      <c r="R1800" s="28">
        <f t="shared" si="94"/>
        <v>84000</v>
      </c>
    </row>
    <row r="1801" spans="1:18">
      <c r="A1801" s="83" t="s">
        <v>80</v>
      </c>
      <c r="B1801" s="84"/>
      <c r="C1801" s="84"/>
      <c r="D1801" s="84"/>
      <c r="E1801" s="85"/>
      <c r="F1801" s="21" t="s">
        <v>65</v>
      </c>
      <c r="G1801" s="67">
        <v>58</v>
      </c>
      <c r="H1801" s="68"/>
      <c r="I1801" s="86"/>
      <c r="J1801" s="87"/>
      <c r="K1801" s="88"/>
      <c r="L1801" s="69">
        <f t="shared" si="92"/>
        <v>0</v>
      </c>
      <c r="M1801" s="70"/>
      <c r="N1801" s="8"/>
      <c r="O1801" s="1"/>
      <c r="P1801" s="30">
        <v>3600</v>
      </c>
      <c r="Q1801" s="38">
        <f t="shared" si="93"/>
        <v>208800</v>
      </c>
      <c r="R1801" s="28">
        <f t="shared" si="94"/>
        <v>0</v>
      </c>
    </row>
    <row r="1802" spans="1:18">
      <c r="A1802" s="83" t="s">
        <v>81</v>
      </c>
      <c r="B1802" s="84"/>
      <c r="C1802" s="84"/>
      <c r="D1802" s="84"/>
      <c r="E1802" s="85"/>
      <c r="F1802" s="21" t="s">
        <v>65</v>
      </c>
      <c r="G1802" s="67">
        <v>360</v>
      </c>
      <c r="H1802" s="68"/>
      <c r="I1802" s="86"/>
      <c r="J1802" s="87"/>
      <c r="K1802" s="88"/>
      <c r="L1802" s="69">
        <f t="shared" si="92"/>
        <v>0</v>
      </c>
      <c r="M1802" s="70"/>
      <c r="N1802" s="8"/>
      <c r="O1802" s="1"/>
      <c r="P1802" s="30">
        <v>230</v>
      </c>
      <c r="Q1802" s="38">
        <f t="shared" si="93"/>
        <v>82800</v>
      </c>
      <c r="R1802" s="28">
        <f t="shared" si="94"/>
        <v>0</v>
      </c>
    </row>
    <row r="1803" spans="1:18">
      <c r="A1803" s="83" t="s">
        <v>82</v>
      </c>
      <c r="B1803" s="84"/>
      <c r="C1803" s="84"/>
      <c r="D1803" s="84"/>
      <c r="E1803" s="85"/>
      <c r="F1803" s="21" t="s">
        <v>65</v>
      </c>
      <c r="G1803" s="67">
        <v>2400</v>
      </c>
      <c r="H1803" s="68"/>
      <c r="I1803" s="86"/>
      <c r="J1803" s="87"/>
      <c r="K1803" s="88"/>
      <c r="L1803" s="69">
        <f t="shared" si="92"/>
        <v>0</v>
      </c>
      <c r="M1803" s="70"/>
      <c r="N1803" s="8"/>
      <c r="O1803" s="1"/>
      <c r="P1803" s="30">
        <v>80</v>
      </c>
      <c r="Q1803" s="38">
        <f t="shared" si="93"/>
        <v>192000</v>
      </c>
      <c r="R1803" s="28">
        <f t="shared" si="94"/>
        <v>0</v>
      </c>
    </row>
    <row r="1804" spans="1:18">
      <c r="A1804" s="89" t="s">
        <v>83</v>
      </c>
      <c r="B1804" s="90"/>
      <c r="C1804" s="90"/>
      <c r="D1804" s="90"/>
      <c r="E1804" s="91"/>
      <c r="F1804" s="21" t="s">
        <v>65</v>
      </c>
      <c r="G1804" s="67">
        <v>360</v>
      </c>
      <c r="H1804" s="68"/>
      <c r="I1804" s="86"/>
      <c r="J1804" s="87"/>
      <c r="K1804" s="88"/>
      <c r="L1804" s="69">
        <f t="shared" si="92"/>
        <v>0</v>
      </c>
      <c r="M1804" s="70"/>
      <c r="N1804" s="8"/>
      <c r="O1804" s="1"/>
      <c r="P1804" s="30">
        <v>420</v>
      </c>
      <c r="Q1804" s="38">
        <f t="shared" si="93"/>
        <v>151200</v>
      </c>
      <c r="R1804" s="28">
        <f t="shared" si="94"/>
        <v>0</v>
      </c>
    </row>
    <row r="1805" spans="1:18">
      <c r="A1805" s="64" t="s">
        <v>84</v>
      </c>
      <c r="B1805" s="65"/>
      <c r="C1805" s="65"/>
      <c r="D1805" s="65"/>
      <c r="E1805" s="66"/>
      <c r="F1805" s="21" t="s">
        <v>65</v>
      </c>
      <c r="G1805" s="67">
        <v>2760</v>
      </c>
      <c r="H1805" s="68"/>
      <c r="I1805" s="86"/>
      <c r="J1805" s="87"/>
      <c r="K1805" s="88"/>
      <c r="L1805" s="69">
        <f t="shared" si="92"/>
        <v>0</v>
      </c>
      <c r="M1805" s="70"/>
      <c r="N1805" s="8"/>
      <c r="O1805" s="1"/>
      <c r="P1805" s="30">
        <v>460</v>
      </c>
      <c r="Q1805" s="38">
        <f t="shared" si="93"/>
        <v>1269600</v>
      </c>
      <c r="R1805" s="28">
        <f t="shared" si="94"/>
        <v>0</v>
      </c>
    </row>
    <row r="1806" spans="1:18">
      <c r="A1806" s="64" t="s">
        <v>85</v>
      </c>
      <c r="B1806" s="65"/>
      <c r="C1806" s="65"/>
      <c r="D1806" s="65"/>
      <c r="E1806" s="66"/>
      <c r="F1806" s="21" t="s">
        <v>65</v>
      </c>
      <c r="G1806" s="67">
        <v>275</v>
      </c>
      <c r="H1806" s="68"/>
      <c r="I1806" s="86"/>
      <c r="J1806" s="87"/>
      <c r="K1806" s="88"/>
      <c r="L1806" s="69">
        <f t="shared" si="92"/>
        <v>0</v>
      </c>
      <c r="M1806" s="70"/>
      <c r="N1806" s="8"/>
      <c r="O1806" s="1"/>
      <c r="P1806" s="31">
        <v>350</v>
      </c>
      <c r="Q1806" s="38">
        <f t="shared" si="93"/>
        <v>96250</v>
      </c>
      <c r="R1806" s="28">
        <f t="shared" si="94"/>
        <v>0</v>
      </c>
    </row>
    <row r="1807" spans="1:18">
      <c r="A1807" s="64" t="s">
        <v>86</v>
      </c>
      <c r="B1807" s="65"/>
      <c r="C1807" s="65"/>
      <c r="D1807" s="65"/>
      <c r="E1807" s="66"/>
      <c r="F1807" s="21" t="s">
        <v>60</v>
      </c>
      <c r="G1807" s="67">
        <v>1</v>
      </c>
      <c r="H1807" s="68"/>
      <c r="I1807" s="86"/>
      <c r="J1807" s="87"/>
      <c r="K1807" s="88"/>
      <c r="L1807" s="69">
        <f t="shared" si="92"/>
        <v>0</v>
      </c>
      <c r="M1807" s="70"/>
      <c r="N1807" s="8"/>
      <c r="O1807" s="2"/>
      <c r="P1807" s="30">
        <v>40000</v>
      </c>
      <c r="Q1807" s="38">
        <f t="shared" si="93"/>
        <v>40000</v>
      </c>
      <c r="R1807" s="28">
        <f t="shared" si="94"/>
        <v>0</v>
      </c>
    </row>
    <row r="1808" spans="1:18">
      <c r="A1808" s="83" t="s">
        <v>87</v>
      </c>
      <c r="B1808" s="84"/>
      <c r="C1808" s="84"/>
      <c r="D1808" s="84"/>
      <c r="E1808" s="85"/>
      <c r="F1808" s="20" t="s">
        <v>60</v>
      </c>
      <c r="G1808" s="67">
        <v>1</v>
      </c>
      <c r="H1808" s="68"/>
      <c r="I1808" s="86"/>
      <c r="J1808" s="87"/>
      <c r="K1808" s="88"/>
      <c r="L1808" s="69">
        <f t="shared" si="92"/>
        <v>0</v>
      </c>
      <c r="M1808" s="70"/>
      <c r="N1808" s="8"/>
      <c r="O1808" s="1"/>
      <c r="P1808" s="31">
        <v>276970</v>
      </c>
      <c r="Q1808" s="38">
        <f t="shared" si="93"/>
        <v>276970</v>
      </c>
      <c r="R1808" s="28">
        <f t="shared" si="94"/>
        <v>0</v>
      </c>
    </row>
    <row r="1809" spans="1:19">
      <c r="A1809" s="83" t="s">
        <v>88</v>
      </c>
      <c r="B1809" s="84"/>
      <c r="C1809" s="84"/>
      <c r="D1809" s="84"/>
      <c r="E1809" s="85"/>
      <c r="F1809" s="20" t="s">
        <v>60</v>
      </c>
      <c r="G1809" s="67">
        <v>1</v>
      </c>
      <c r="H1809" s="68"/>
      <c r="I1809" s="26"/>
      <c r="J1809" s="23"/>
      <c r="K1809" s="24"/>
      <c r="L1809" s="69">
        <f t="shared" si="92"/>
        <v>0</v>
      </c>
      <c r="M1809" s="70"/>
      <c r="N1809" s="25"/>
      <c r="O1809" s="1"/>
      <c r="P1809" s="32">
        <v>60873</v>
      </c>
      <c r="Q1809" s="38">
        <f t="shared" si="93"/>
        <v>60873</v>
      </c>
      <c r="R1809" s="28">
        <f t="shared" si="94"/>
        <v>0</v>
      </c>
    </row>
    <row r="1810" spans="1:19">
      <c r="A1810" s="83" t="s">
        <v>89</v>
      </c>
      <c r="B1810" s="84"/>
      <c r="C1810" s="84"/>
      <c r="D1810" s="84"/>
      <c r="E1810" s="85"/>
      <c r="F1810" s="20" t="s">
        <v>60</v>
      </c>
      <c r="G1810" s="67">
        <v>1</v>
      </c>
      <c r="H1810" s="68"/>
      <c r="I1810" s="26"/>
      <c r="J1810" s="23"/>
      <c r="K1810" s="24"/>
      <c r="L1810" s="69">
        <f t="shared" si="92"/>
        <v>0</v>
      </c>
      <c r="M1810" s="70"/>
      <c r="N1810" s="25"/>
      <c r="O1810" s="1"/>
      <c r="P1810" s="32">
        <v>60873</v>
      </c>
      <c r="Q1810" s="38">
        <f t="shared" si="93"/>
        <v>60873</v>
      </c>
      <c r="R1810" s="28">
        <f t="shared" si="94"/>
        <v>0</v>
      </c>
    </row>
    <row r="1811" spans="1:19">
      <c r="A1811" s="83" t="s">
        <v>90</v>
      </c>
      <c r="B1811" s="84"/>
      <c r="C1811" s="84"/>
      <c r="D1811" s="84"/>
      <c r="E1811" s="85"/>
      <c r="F1811" s="20" t="s">
        <v>60</v>
      </c>
      <c r="G1811" s="67">
        <v>1</v>
      </c>
      <c r="H1811" s="68"/>
      <c r="I1811" s="26"/>
      <c r="J1811" s="23"/>
      <c r="K1811" s="24"/>
      <c r="L1811" s="69">
        <f t="shared" si="92"/>
        <v>0</v>
      </c>
      <c r="M1811" s="70"/>
      <c r="N1811" s="25"/>
      <c r="O1811" s="1"/>
      <c r="P1811" s="34">
        <v>266321</v>
      </c>
      <c r="Q1811" s="38">
        <f t="shared" si="93"/>
        <v>266321</v>
      </c>
      <c r="R1811" s="28">
        <f t="shared" si="94"/>
        <v>0</v>
      </c>
    </row>
    <row r="1812" spans="1:19">
      <c r="A1812" s="83" t="s">
        <v>91</v>
      </c>
      <c r="B1812" s="84"/>
      <c r="C1812" s="84"/>
      <c r="D1812" s="84"/>
      <c r="E1812" s="85"/>
      <c r="F1812" s="2" t="s">
        <v>60</v>
      </c>
      <c r="G1812" s="67">
        <v>1</v>
      </c>
      <c r="H1812" s="68"/>
      <c r="I1812" s="26"/>
      <c r="J1812" s="23"/>
      <c r="K1812" s="24"/>
      <c r="L1812" s="69">
        <f t="shared" si="92"/>
        <v>1</v>
      </c>
      <c r="M1812" s="70"/>
      <c r="N1812" s="25"/>
      <c r="O1812" s="1"/>
      <c r="P1812" s="32">
        <v>13316</v>
      </c>
      <c r="Q1812" s="38">
        <f t="shared" si="93"/>
        <v>13316</v>
      </c>
      <c r="R1812" s="28">
        <f t="shared" si="94"/>
        <v>13316</v>
      </c>
    </row>
    <row r="1813" spans="1:19">
      <c r="A1813" s="83" t="s">
        <v>92</v>
      </c>
      <c r="B1813" s="84"/>
      <c r="C1813" s="84"/>
      <c r="D1813" s="84"/>
      <c r="E1813" s="85"/>
      <c r="F1813" s="20" t="s">
        <v>60</v>
      </c>
      <c r="G1813" s="67">
        <v>1</v>
      </c>
      <c r="H1813" s="68"/>
      <c r="I1813" s="26"/>
      <c r="J1813" s="23"/>
      <c r="K1813" s="24"/>
      <c r="L1813" s="69">
        <f t="shared" si="92"/>
        <v>0</v>
      </c>
      <c r="M1813" s="70"/>
      <c r="N1813" s="25"/>
      <c r="O1813" s="1"/>
      <c r="P1813" s="32">
        <v>210299</v>
      </c>
      <c r="Q1813" s="38">
        <f t="shared" si="93"/>
        <v>210299</v>
      </c>
      <c r="R1813" s="28">
        <f t="shared" si="94"/>
        <v>0</v>
      </c>
    </row>
    <row r="1814" spans="1:19">
      <c r="A1814" s="64"/>
      <c r="B1814" s="65"/>
      <c r="C1814" s="65"/>
      <c r="D1814" s="65"/>
      <c r="E1814" s="66"/>
      <c r="F1814" s="22"/>
      <c r="G1814" s="67"/>
      <c r="H1814" s="68"/>
      <c r="I1814" s="26"/>
      <c r="J1814" s="23"/>
      <c r="K1814" s="24"/>
      <c r="L1814" s="69"/>
      <c r="M1814" s="70"/>
      <c r="N1814" s="25"/>
      <c r="O1814" s="3"/>
      <c r="P1814" s="32"/>
      <c r="Q1814" s="33">
        <f>SUM(Q1788:Q1813)</f>
        <v>4416270</v>
      </c>
      <c r="R1814" s="29">
        <f>SUM(R1788:R1813)</f>
        <v>653016</v>
      </c>
    </row>
    <row r="1815" spans="1:19">
      <c r="A1815" s="64"/>
      <c r="B1815" s="65"/>
      <c r="C1815" s="65"/>
      <c r="D1815" s="65"/>
      <c r="E1815" s="66"/>
      <c r="F1815" s="22"/>
      <c r="G1815" s="67"/>
      <c r="H1815" s="68"/>
      <c r="I1815" s="26"/>
      <c r="J1815" s="23"/>
      <c r="K1815" s="24"/>
      <c r="L1815" s="69"/>
      <c r="M1815" s="70"/>
      <c r="N1815" s="25"/>
      <c r="O1815" s="3"/>
      <c r="P1815" s="32"/>
      <c r="Q1815" s="33"/>
      <c r="R1815" s="37">
        <f>R1814/Q1814</f>
        <v>0.14786595928238083</v>
      </c>
    </row>
    <row r="1816" spans="1:19">
      <c r="A1816" s="62" t="s">
        <v>14</v>
      </c>
      <c r="B1816" s="62"/>
      <c r="C1816" s="62"/>
      <c r="D1816" s="62"/>
      <c r="E1816" s="62"/>
      <c r="F1816" s="62"/>
      <c r="G1816" s="62"/>
      <c r="H1816" s="62"/>
      <c r="I1816" s="62"/>
      <c r="J1816" s="62"/>
      <c r="K1816" s="62"/>
      <c r="L1816" s="62"/>
      <c r="M1816" s="62"/>
      <c r="N1816" s="62"/>
      <c r="O1816" s="1"/>
      <c r="P1816" s="32"/>
      <c r="Q1816" s="33"/>
      <c r="R1816" s="29"/>
      <c r="S1816" s="16"/>
    </row>
    <row r="1817" spans="1:19">
      <c r="A1817" s="71" t="s">
        <v>15</v>
      </c>
      <c r="B1817" s="72"/>
      <c r="C1817" s="72"/>
      <c r="D1817" s="72"/>
      <c r="E1817" s="73"/>
      <c r="F1817" s="9" t="s">
        <v>37</v>
      </c>
      <c r="G1817" s="71" t="s">
        <v>38</v>
      </c>
      <c r="H1817" s="73"/>
      <c r="I1817" s="71" t="s">
        <v>42</v>
      </c>
      <c r="J1817" s="72"/>
      <c r="K1817" s="73"/>
      <c r="L1817" s="74" t="s">
        <v>17</v>
      </c>
      <c r="M1817" s="75"/>
      <c r="N1817" s="9" t="s">
        <v>13</v>
      </c>
      <c r="O1817" s="1"/>
      <c r="P1817" s="32"/>
      <c r="Q1817" s="33"/>
      <c r="R1817" s="29"/>
      <c r="S1817" s="16"/>
    </row>
    <row r="1818" spans="1:19">
      <c r="A1818" s="71"/>
      <c r="B1818" s="72"/>
      <c r="C1818" s="72"/>
      <c r="D1818" s="72"/>
      <c r="E1818" s="73"/>
      <c r="F1818" s="13"/>
      <c r="G1818" s="76"/>
      <c r="H1818" s="77"/>
      <c r="I1818" s="78"/>
      <c r="J1818" s="79"/>
      <c r="K1818" s="80"/>
      <c r="L1818" s="81"/>
      <c r="M1818" s="82"/>
      <c r="N1818" s="8"/>
      <c r="O1818" s="1"/>
      <c r="P1818" s="32"/>
      <c r="Q1818" s="33"/>
      <c r="R1818" s="29"/>
      <c r="S1818" s="16"/>
    </row>
    <row r="1819" spans="1:19">
      <c r="A1819" s="62" t="s">
        <v>19</v>
      </c>
      <c r="B1819" s="62"/>
      <c r="C1819" s="62"/>
      <c r="D1819" s="62"/>
      <c r="E1819" s="62"/>
      <c r="F1819" s="62"/>
      <c r="G1819" s="62"/>
      <c r="H1819" s="62"/>
      <c r="I1819" s="62"/>
      <c r="J1819" s="62"/>
      <c r="K1819" s="62"/>
      <c r="L1819" s="62"/>
      <c r="M1819" s="62"/>
      <c r="N1819" s="62"/>
      <c r="O1819" s="1"/>
      <c r="P1819" s="32"/>
      <c r="Q1819" s="33"/>
      <c r="R1819" s="29"/>
      <c r="S1819" s="16"/>
    </row>
    <row r="1820" spans="1:19">
      <c r="A1820" s="63" t="s">
        <v>20</v>
      </c>
      <c r="B1820" s="63"/>
      <c r="C1820" s="63" t="s">
        <v>21</v>
      </c>
      <c r="D1820" s="63"/>
      <c r="E1820" s="63" t="s">
        <v>22</v>
      </c>
      <c r="F1820" s="63"/>
      <c r="G1820" s="63" t="s">
        <v>23</v>
      </c>
      <c r="H1820" s="63"/>
      <c r="I1820" s="63"/>
      <c r="J1820" s="63" t="s">
        <v>16</v>
      </c>
      <c r="K1820" s="63"/>
      <c r="L1820" s="63"/>
      <c r="M1820" s="63" t="s">
        <v>17</v>
      </c>
      <c r="N1820" s="63"/>
      <c r="O1820" s="1"/>
      <c r="Q1820" s="32"/>
      <c r="R1820" s="33"/>
      <c r="S1820" s="16"/>
    </row>
    <row r="1821" spans="1:19">
      <c r="A1821" s="60" t="s">
        <v>24</v>
      </c>
      <c r="B1821" s="52"/>
      <c r="C1821" s="61"/>
      <c r="D1821" s="61"/>
      <c r="E1821" s="61">
        <f>C1821+E1760</f>
        <v>32</v>
      </c>
      <c r="F1821" s="61"/>
      <c r="G1821" s="60" t="s">
        <v>51</v>
      </c>
      <c r="H1821" s="51"/>
      <c r="I1821" s="52"/>
      <c r="J1821" s="61"/>
      <c r="K1821" s="61"/>
      <c r="L1821" s="61"/>
      <c r="M1821" s="61">
        <f>K1821+M1760</f>
        <v>1</v>
      </c>
      <c r="N1821" s="61"/>
      <c r="O1821" s="1"/>
      <c r="Q1821" s="32"/>
      <c r="R1821" s="33"/>
      <c r="S1821" s="16"/>
    </row>
    <row r="1822" spans="1:19">
      <c r="A1822" s="60" t="s">
        <v>25</v>
      </c>
      <c r="B1822" s="52"/>
      <c r="C1822" s="61"/>
      <c r="D1822" s="61"/>
      <c r="E1822" s="61">
        <f>C1822+E1761</f>
        <v>29</v>
      </c>
      <c r="F1822" s="61"/>
      <c r="G1822" s="60" t="s">
        <v>50</v>
      </c>
      <c r="H1822" s="51"/>
      <c r="I1822" s="52"/>
      <c r="J1822" s="61"/>
      <c r="K1822" s="61"/>
      <c r="L1822" s="61"/>
      <c r="M1822" s="61">
        <f>K1822+M1761</f>
        <v>1</v>
      </c>
      <c r="N1822" s="61"/>
      <c r="O1822" s="1"/>
      <c r="Q1822" s="32"/>
      <c r="R1822" s="33"/>
      <c r="S1822" s="16"/>
    </row>
    <row r="1823" spans="1:19">
      <c r="A1823" s="60"/>
      <c r="B1823" s="52"/>
      <c r="C1823" s="61"/>
      <c r="D1823" s="61"/>
      <c r="E1823" s="61"/>
      <c r="F1823" s="61"/>
      <c r="G1823" s="60" t="s">
        <v>55</v>
      </c>
      <c r="H1823" s="51"/>
      <c r="I1823" s="52"/>
      <c r="J1823" s="61"/>
      <c r="K1823" s="61"/>
      <c r="L1823" s="61"/>
      <c r="M1823" s="61">
        <f>K1823+M1762</f>
        <v>0</v>
      </c>
      <c r="N1823" s="61"/>
      <c r="O1823" s="2"/>
      <c r="P1823" s="29"/>
      <c r="Q1823" s="32"/>
      <c r="R1823" s="33"/>
      <c r="S1823" s="16"/>
    </row>
    <row r="1824" spans="1:19">
      <c r="A1824" s="53" t="s">
        <v>53</v>
      </c>
      <c r="B1824" s="47"/>
      <c r="C1824" s="53"/>
      <c r="D1824" s="53"/>
      <c r="E1824" s="53"/>
      <c r="F1824" s="53"/>
      <c r="G1824" s="53"/>
      <c r="H1824" s="53"/>
      <c r="I1824" s="53"/>
      <c r="J1824" s="53"/>
      <c r="K1824" s="53"/>
      <c r="L1824" s="53"/>
      <c r="M1824" s="53"/>
      <c r="N1824" s="53"/>
      <c r="O1824" s="1"/>
      <c r="P1824" s="32"/>
      <c r="Q1824" s="32"/>
      <c r="R1824" s="33"/>
      <c r="S1824" s="16"/>
    </row>
    <row r="1825" spans="1:19">
      <c r="A1825" s="45" t="s">
        <v>56</v>
      </c>
      <c r="B1825" s="46"/>
      <c r="C1825" s="46"/>
      <c r="D1825" s="46"/>
      <c r="E1825" s="46"/>
      <c r="F1825" s="46"/>
      <c r="G1825" s="46"/>
      <c r="H1825" s="46"/>
      <c r="I1825" s="46"/>
      <c r="J1825" s="46"/>
      <c r="K1825" s="46"/>
      <c r="L1825" s="46"/>
      <c r="M1825" s="46"/>
      <c r="N1825" s="47"/>
      <c r="O1825" s="1"/>
      <c r="P1825" s="32"/>
      <c r="Q1825" s="34"/>
      <c r="R1825" s="33"/>
      <c r="S1825" s="16"/>
    </row>
    <row r="1826" spans="1:19">
      <c r="A1826" s="54" t="s">
        <v>54</v>
      </c>
      <c r="B1826" s="55"/>
      <c r="C1826" s="55"/>
      <c r="D1826" s="55"/>
      <c r="E1826" s="55"/>
      <c r="F1826" s="55"/>
      <c r="G1826" s="55"/>
      <c r="H1826" s="55"/>
      <c r="I1826" s="55"/>
      <c r="J1826" s="55"/>
      <c r="K1826" s="55"/>
      <c r="L1826" s="55"/>
      <c r="M1826" s="55"/>
      <c r="N1826" s="56"/>
      <c r="O1826" s="1"/>
      <c r="P1826" s="32"/>
      <c r="Q1826" s="32"/>
      <c r="R1826" s="33"/>
      <c r="S1826" s="16"/>
    </row>
    <row r="1827" spans="1:19">
      <c r="A1827" s="40" t="s">
        <v>26</v>
      </c>
      <c r="B1827" s="41"/>
      <c r="C1827" s="40"/>
      <c r="D1827" s="40"/>
      <c r="E1827" s="40"/>
      <c r="F1827" s="40"/>
      <c r="G1827" s="40"/>
      <c r="H1827" s="40"/>
      <c r="I1827" s="40"/>
      <c r="J1827" s="40"/>
      <c r="K1827" s="40"/>
      <c r="L1827" s="40"/>
      <c r="M1827" s="40"/>
      <c r="N1827" s="40"/>
      <c r="O1827" s="1"/>
      <c r="P1827" s="32"/>
      <c r="Q1827" s="32"/>
      <c r="R1827" s="33"/>
      <c r="S1827" s="16"/>
    </row>
    <row r="1828" spans="1:19">
      <c r="A1828" s="57" t="s">
        <v>27</v>
      </c>
      <c r="B1828" s="58"/>
      <c r="C1828" s="58"/>
      <c r="D1828" s="58"/>
      <c r="E1828" s="58"/>
      <c r="F1828" s="58"/>
      <c r="G1828" s="58"/>
      <c r="H1828" s="58"/>
      <c r="I1828" s="58"/>
      <c r="J1828" s="58"/>
      <c r="K1828" s="58"/>
      <c r="L1828" s="58"/>
      <c r="M1828" s="58"/>
      <c r="N1828" s="59"/>
      <c r="O1828" s="1"/>
      <c r="P1828" s="34"/>
      <c r="Q1828" s="34"/>
      <c r="R1828" s="33"/>
      <c r="S1828" s="16"/>
    </row>
    <row r="1829" spans="1:19">
      <c r="A1829" s="57" t="s">
        <v>57</v>
      </c>
      <c r="B1829" s="58"/>
      <c r="C1829" s="58"/>
      <c r="D1829" s="58"/>
      <c r="E1829" s="58"/>
      <c r="F1829" s="58"/>
      <c r="G1829" s="58"/>
      <c r="H1829" s="58"/>
      <c r="I1829" s="58"/>
      <c r="J1829" s="58"/>
      <c r="K1829" s="58"/>
      <c r="L1829" s="58"/>
      <c r="M1829" s="58"/>
      <c r="N1829" s="59"/>
      <c r="O1829" s="1"/>
      <c r="P1829" s="32"/>
      <c r="Q1829" s="32"/>
      <c r="R1829" s="33"/>
      <c r="S1829" s="16"/>
    </row>
    <row r="1830" spans="1:19">
      <c r="A1830" s="57" t="s">
        <v>58</v>
      </c>
      <c r="B1830" s="58"/>
      <c r="C1830" s="58"/>
      <c r="D1830" s="58"/>
      <c r="E1830" s="58"/>
      <c r="F1830" s="58"/>
      <c r="G1830" s="58"/>
      <c r="H1830" s="58"/>
      <c r="I1830" s="58"/>
      <c r="J1830" s="58"/>
      <c r="K1830" s="58"/>
      <c r="L1830" s="58"/>
      <c r="M1830" s="58"/>
      <c r="N1830" s="59"/>
      <c r="O1830" s="1"/>
      <c r="P1830" s="32"/>
      <c r="Q1830" s="32"/>
      <c r="R1830" s="33"/>
      <c r="S1830" s="16"/>
    </row>
    <row r="1831" spans="1:19">
      <c r="A1831" s="57" t="s">
        <v>59</v>
      </c>
      <c r="B1831" s="58"/>
      <c r="C1831" s="58"/>
      <c r="D1831" s="58"/>
      <c r="E1831" s="58"/>
      <c r="F1831" s="58"/>
      <c r="G1831" s="58"/>
      <c r="H1831" s="58"/>
      <c r="I1831" s="58"/>
      <c r="J1831" s="58"/>
      <c r="K1831" s="58"/>
      <c r="L1831" s="58"/>
      <c r="M1831" s="58"/>
      <c r="N1831" s="59"/>
      <c r="O1831" s="1"/>
      <c r="P1831" s="32"/>
      <c r="Q1831" s="34"/>
      <c r="R1831" s="33"/>
      <c r="S1831" s="16"/>
    </row>
    <row r="1832" spans="1:19">
      <c r="A1832" s="57" t="s">
        <v>28</v>
      </c>
      <c r="B1832" s="58"/>
      <c r="C1832" s="58"/>
      <c r="D1832" s="58"/>
      <c r="E1832" s="58"/>
      <c r="F1832" s="58"/>
      <c r="G1832" s="58"/>
      <c r="H1832" s="58"/>
      <c r="I1832" s="58"/>
      <c r="J1832" s="58"/>
      <c r="K1832" s="58"/>
      <c r="L1832" s="58"/>
      <c r="M1832" s="58"/>
      <c r="N1832" s="59"/>
      <c r="O1832" s="1"/>
      <c r="P1832" s="34"/>
      <c r="Q1832" s="32"/>
      <c r="R1832" s="33"/>
      <c r="S1832" s="16"/>
    </row>
    <row r="1833" spans="1:19">
      <c r="A1833" s="40" t="s">
        <v>29</v>
      </c>
      <c r="B1833" s="41"/>
      <c r="C1833" s="40"/>
      <c r="D1833" s="40"/>
      <c r="E1833" s="40"/>
      <c r="F1833" s="40"/>
      <c r="G1833" s="40"/>
      <c r="H1833" s="40"/>
      <c r="I1833" s="40"/>
      <c r="J1833" s="40"/>
      <c r="K1833" s="40"/>
      <c r="L1833" s="40"/>
      <c r="M1833" s="40"/>
      <c r="N1833" s="40"/>
      <c r="O1833" s="1"/>
      <c r="P1833" s="32"/>
      <c r="Q1833" s="32"/>
      <c r="R1833" s="33"/>
      <c r="S1833" s="16"/>
    </row>
    <row r="1834" spans="1:19">
      <c r="A1834" s="42"/>
      <c r="B1834" s="43"/>
      <c r="C1834" s="43"/>
      <c r="D1834" s="43"/>
      <c r="E1834" s="43"/>
      <c r="F1834" s="43"/>
      <c r="G1834" s="43"/>
      <c r="H1834" s="43"/>
      <c r="I1834" s="43"/>
      <c r="J1834" s="43"/>
      <c r="K1834" s="43"/>
      <c r="L1834" s="43"/>
      <c r="M1834" s="43"/>
      <c r="N1834" s="44"/>
      <c r="O1834" s="1"/>
      <c r="P1834" s="32"/>
      <c r="Q1834" s="32"/>
      <c r="R1834" s="33"/>
      <c r="S1834" s="16"/>
    </row>
    <row r="1835" spans="1:19">
      <c r="A1835" s="40" t="s">
        <v>30</v>
      </c>
      <c r="B1835" s="41"/>
      <c r="C1835" s="40"/>
      <c r="D1835" s="40"/>
      <c r="E1835" s="40"/>
      <c r="F1835" s="40"/>
      <c r="G1835" s="40"/>
      <c r="H1835" s="40"/>
      <c r="I1835" s="40"/>
      <c r="J1835" s="40"/>
      <c r="K1835" s="40"/>
      <c r="L1835" s="40"/>
      <c r="M1835" s="40"/>
      <c r="N1835" s="40"/>
      <c r="O1835" s="1"/>
      <c r="P1835" s="32"/>
      <c r="Q1835" s="32"/>
      <c r="R1835" s="33"/>
      <c r="S1835" s="16"/>
    </row>
    <row r="1836" spans="1:19">
      <c r="A1836" s="42"/>
      <c r="B1836" s="43"/>
      <c r="C1836" s="43"/>
      <c r="D1836" s="43"/>
      <c r="E1836" s="43"/>
      <c r="F1836" s="43"/>
      <c r="G1836" s="43"/>
      <c r="H1836" s="43"/>
      <c r="I1836" s="43"/>
      <c r="J1836" s="43"/>
      <c r="K1836" s="43"/>
      <c r="L1836" s="43"/>
      <c r="M1836" s="43"/>
      <c r="N1836" s="44"/>
      <c r="O1836" s="1"/>
      <c r="P1836" s="32"/>
      <c r="Q1836" s="32"/>
      <c r="R1836" s="33"/>
      <c r="S1836" s="16"/>
    </row>
    <row r="1837" spans="1:19">
      <c r="A1837" s="40" t="s">
        <v>31</v>
      </c>
      <c r="B1837" s="41"/>
      <c r="C1837" s="40"/>
      <c r="D1837" s="40"/>
      <c r="E1837" s="40"/>
      <c r="F1837" s="40"/>
      <c r="G1837" s="40"/>
      <c r="H1837" s="40"/>
      <c r="I1837" s="40"/>
      <c r="J1837" s="40"/>
      <c r="K1837" s="40"/>
      <c r="L1837" s="40"/>
      <c r="M1837" s="40"/>
      <c r="N1837" s="40"/>
      <c r="O1837" s="1"/>
      <c r="P1837" s="32"/>
      <c r="Q1837" s="32"/>
      <c r="R1837" s="33"/>
      <c r="S1837" s="17"/>
    </row>
    <row r="1838" spans="1:19">
      <c r="A1838" s="45"/>
      <c r="B1838" s="46"/>
      <c r="C1838" s="46"/>
      <c r="D1838" s="46"/>
      <c r="E1838" s="46"/>
      <c r="F1838" s="46"/>
      <c r="G1838" s="46"/>
      <c r="H1838" s="46"/>
      <c r="I1838" s="46"/>
      <c r="J1838" s="46"/>
      <c r="K1838" s="46"/>
      <c r="L1838" s="46"/>
      <c r="M1838" s="46"/>
      <c r="N1838" s="47"/>
      <c r="O1838" s="1"/>
      <c r="P1838" s="32"/>
      <c r="Q1838" s="32"/>
      <c r="R1838" s="33"/>
      <c r="S1838" s="1"/>
    </row>
    <row r="1839" spans="1:19">
      <c r="A1839" s="48" t="s">
        <v>41</v>
      </c>
      <c r="B1839" s="49"/>
      <c r="C1839" s="50"/>
      <c r="D1839" s="50"/>
      <c r="E1839" s="50"/>
      <c r="F1839" s="50"/>
      <c r="G1839" s="50"/>
      <c r="H1839" s="51"/>
      <c r="I1839" s="51"/>
      <c r="J1839" s="51"/>
      <c r="K1839" s="51"/>
      <c r="L1839" s="51"/>
      <c r="M1839" s="51"/>
      <c r="N1839" s="52"/>
      <c r="O1839" s="1"/>
      <c r="P1839" s="32"/>
      <c r="Q1839" s="32"/>
      <c r="R1839" s="33"/>
      <c r="S1839" s="1"/>
    </row>
  </sheetData>
  <mergeCells count="5410">
    <mergeCell ref="H6:J6"/>
    <mergeCell ref="D6:G6"/>
    <mergeCell ref="K6:N6"/>
    <mergeCell ref="G10:H10"/>
    <mergeCell ref="A11:E11"/>
    <mergeCell ref="L14:M14"/>
    <mergeCell ref="G11:H11"/>
    <mergeCell ref="A23:E23"/>
    <mergeCell ref="G23:H23"/>
    <mergeCell ref="A15:E15"/>
    <mergeCell ref="G14:H14"/>
    <mergeCell ref="G15:H15"/>
    <mergeCell ref="A6:C6"/>
    <mergeCell ref="A21:E21"/>
    <mergeCell ref="G21:H21"/>
    <mergeCell ref="I21:K21"/>
    <mergeCell ref="L21:M21"/>
    <mergeCell ref="I14:K14"/>
    <mergeCell ref="L19:M19"/>
    <mergeCell ref="A16:E16"/>
    <mergeCell ref="L16:M16"/>
    <mergeCell ref="L18:M18"/>
    <mergeCell ref="A19:E19"/>
    <mergeCell ref="L20:M20"/>
    <mergeCell ref="I16:K16"/>
    <mergeCell ref="A17:E17"/>
    <mergeCell ref="A18:E18"/>
    <mergeCell ref="I18:K18"/>
    <mergeCell ref="I11:K11"/>
    <mergeCell ref="L11:M11"/>
    <mergeCell ref="L13:M13"/>
    <mergeCell ref="A14:E14"/>
    <mergeCell ref="I35:K35"/>
    <mergeCell ref="L35:M35"/>
    <mergeCell ref="L25:M25"/>
    <mergeCell ref="G25:H25"/>
    <mergeCell ref="A35:E35"/>
    <mergeCell ref="I19:K19"/>
    <mergeCell ref="A20:E20"/>
    <mergeCell ref="G20:H20"/>
    <mergeCell ref="I20:K20"/>
    <mergeCell ref="G32:H32"/>
    <mergeCell ref="I23:K23"/>
    <mergeCell ref="L23:M23"/>
    <mergeCell ref="A30:E30"/>
    <mergeCell ref="I29:K29"/>
    <mergeCell ref="I28:K28"/>
    <mergeCell ref="A1:N1"/>
    <mergeCell ref="H3:I3"/>
    <mergeCell ref="J3:L3"/>
    <mergeCell ref="B4:G4"/>
    <mergeCell ref="H4:J4"/>
    <mergeCell ref="K4:N4"/>
    <mergeCell ref="M3:N3"/>
    <mergeCell ref="A9:N9"/>
    <mergeCell ref="I10:K10"/>
    <mergeCell ref="K7:N8"/>
    <mergeCell ref="D7:G8"/>
    <mergeCell ref="A7:C8"/>
    <mergeCell ref="A10:E10"/>
    <mergeCell ref="H7:J8"/>
    <mergeCell ref="D5:E5"/>
    <mergeCell ref="K5:L5"/>
    <mergeCell ref="L10:M10"/>
    <mergeCell ref="G45:H45"/>
    <mergeCell ref="G46:H46"/>
    <mergeCell ref="I44:K44"/>
    <mergeCell ref="I45:K45"/>
    <mergeCell ref="I46:K46"/>
    <mergeCell ref="A37:E37"/>
    <mergeCell ref="A45:E45"/>
    <mergeCell ref="I36:K36"/>
    <mergeCell ref="L36:M36"/>
    <mergeCell ref="I37:K37"/>
    <mergeCell ref="G34:H34"/>
    <mergeCell ref="G35:H35"/>
    <mergeCell ref="A39:E39"/>
    <mergeCell ref="G37:H37"/>
    <mergeCell ref="L37:M37"/>
    <mergeCell ref="I15:K15"/>
    <mergeCell ref="L15:M15"/>
    <mergeCell ref="G22:H22"/>
    <mergeCell ref="I22:K22"/>
    <mergeCell ref="L22:M22"/>
    <mergeCell ref="G19:H19"/>
    <mergeCell ref="G36:H36"/>
    <mergeCell ref="A24:E24"/>
    <mergeCell ref="G28:H28"/>
    <mergeCell ref="G27:H27"/>
    <mergeCell ref="L32:M32"/>
    <mergeCell ref="A36:E36"/>
    <mergeCell ref="G26:H26"/>
    <mergeCell ref="I26:K26"/>
    <mergeCell ref="L26:M26"/>
    <mergeCell ref="I34:K34"/>
    <mergeCell ref="L34:M34"/>
    <mergeCell ref="L12:M12"/>
    <mergeCell ref="A13:E13"/>
    <mergeCell ref="I13:K13"/>
    <mergeCell ref="I17:K17"/>
    <mergeCell ref="I25:K25"/>
    <mergeCell ref="I24:K24"/>
    <mergeCell ref="L24:M24"/>
    <mergeCell ref="G29:H29"/>
    <mergeCell ref="A27:E27"/>
    <mergeCell ref="A28:E28"/>
    <mergeCell ref="A29:E29"/>
    <mergeCell ref="L30:M30"/>
    <mergeCell ref="L31:M31"/>
    <mergeCell ref="L33:M33"/>
    <mergeCell ref="G16:H16"/>
    <mergeCell ref="G17:H17"/>
    <mergeCell ref="G18:H18"/>
    <mergeCell ref="I33:K33"/>
    <mergeCell ref="I30:K30"/>
    <mergeCell ref="I32:K32"/>
    <mergeCell ref="I31:K31"/>
    <mergeCell ref="G33:H33"/>
    <mergeCell ref="G24:H24"/>
    <mergeCell ref="A22:E22"/>
    <mergeCell ref="L17:M17"/>
    <mergeCell ref="A12:E12"/>
    <mergeCell ref="I12:K12"/>
    <mergeCell ref="G12:H12"/>
    <mergeCell ref="G13:H13"/>
    <mergeCell ref="C53:D53"/>
    <mergeCell ref="G53:I53"/>
    <mergeCell ref="A46:E46"/>
    <mergeCell ref="A38:E38"/>
    <mergeCell ref="L38:M38"/>
    <mergeCell ref="L39:M39"/>
    <mergeCell ref="L40:M40"/>
    <mergeCell ref="L41:M41"/>
    <mergeCell ref="L42:M42"/>
    <mergeCell ref="L43:M43"/>
    <mergeCell ref="L44:M44"/>
    <mergeCell ref="L45:M45"/>
    <mergeCell ref="L46:M46"/>
    <mergeCell ref="I38:K38"/>
    <mergeCell ref="I39:K39"/>
    <mergeCell ref="I40:K40"/>
    <mergeCell ref="A25:E25"/>
    <mergeCell ref="I27:K27"/>
    <mergeCell ref="L29:M29"/>
    <mergeCell ref="L28:M28"/>
    <mergeCell ref="L27:M27"/>
    <mergeCell ref="M52:N52"/>
    <mergeCell ref="L48:M48"/>
    <mergeCell ref="G51:I51"/>
    <mergeCell ref="A31:E31"/>
    <mergeCell ref="A32:E32"/>
    <mergeCell ref="A26:E26"/>
    <mergeCell ref="A33:E33"/>
    <mergeCell ref="G41:H41"/>
    <mergeCell ref="G42:H42"/>
    <mergeCell ref="G43:H43"/>
    <mergeCell ref="G44:H44"/>
    <mergeCell ref="A61:N61"/>
    <mergeCell ref="A68:N68"/>
    <mergeCell ref="I48:K48"/>
    <mergeCell ref="A47:N47"/>
    <mergeCell ref="A52:B52"/>
    <mergeCell ref="C52:D52"/>
    <mergeCell ref="G31:H31"/>
    <mergeCell ref="G30:H30"/>
    <mergeCell ref="A34:E34"/>
    <mergeCell ref="A48:E48"/>
    <mergeCell ref="G52:I52"/>
    <mergeCell ref="G48:H48"/>
    <mergeCell ref="J52:L52"/>
    <mergeCell ref="J51:L51"/>
    <mergeCell ref="A40:E40"/>
    <mergeCell ref="A41:E41"/>
    <mergeCell ref="A42:E42"/>
    <mergeCell ref="A43:E43"/>
    <mergeCell ref="A44:E44"/>
    <mergeCell ref="G38:H38"/>
    <mergeCell ref="G39:H39"/>
    <mergeCell ref="G40:H40"/>
    <mergeCell ref="E53:F53"/>
    <mergeCell ref="M51:N51"/>
    <mergeCell ref="E52:F52"/>
    <mergeCell ref="A50:N50"/>
    <mergeCell ref="A51:B51"/>
    <mergeCell ref="C51:D51"/>
    <mergeCell ref="E51:F51"/>
    <mergeCell ref="J53:L53"/>
    <mergeCell ref="M53:N53"/>
    <mergeCell ref="A53:B53"/>
    <mergeCell ref="G54:I54"/>
    <mergeCell ref="A54:B54"/>
    <mergeCell ref="C54:D54"/>
    <mergeCell ref="E54:F54"/>
    <mergeCell ref="A49:E49"/>
    <mergeCell ref="G49:H49"/>
    <mergeCell ref="I49:K49"/>
    <mergeCell ref="L49:M49"/>
    <mergeCell ref="M54:N54"/>
    <mergeCell ref="J54:L54"/>
    <mergeCell ref="D74:E74"/>
    <mergeCell ref="K74:L74"/>
    <mergeCell ref="A75:C75"/>
    <mergeCell ref="D75:G75"/>
    <mergeCell ref="H75:J75"/>
    <mergeCell ref="K75:N75"/>
    <mergeCell ref="A58:N58"/>
    <mergeCell ref="A56:N56"/>
    <mergeCell ref="H72:I72"/>
    <mergeCell ref="J72:L72"/>
    <mergeCell ref="M72:N72"/>
    <mergeCell ref="B73:G73"/>
    <mergeCell ref="H73:J73"/>
    <mergeCell ref="A60:N60"/>
    <mergeCell ref="A57:N57"/>
    <mergeCell ref="A70:B70"/>
    <mergeCell ref="A63:N63"/>
    <mergeCell ref="A64:N64"/>
    <mergeCell ref="A67:N67"/>
    <mergeCell ref="A69:N69"/>
    <mergeCell ref="M70:N70"/>
    <mergeCell ref="A66:N66"/>
    <mergeCell ref="A76:C77"/>
    <mergeCell ref="A87:E87"/>
    <mergeCell ref="G87:H87"/>
    <mergeCell ref="I87:K87"/>
    <mergeCell ref="L87:M87"/>
    <mergeCell ref="D76:G77"/>
    <mergeCell ref="H76:J77"/>
    <mergeCell ref="K76:N77"/>
    <mergeCell ref="A78:N78"/>
    <mergeCell ref="A82:E82"/>
    <mergeCell ref="G82:H82"/>
    <mergeCell ref="I82:K82"/>
    <mergeCell ref="L82:M82"/>
    <mergeCell ref="A83:E83"/>
    <mergeCell ref="G83:H83"/>
    <mergeCell ref="I83:K83"/>
    <mergeCell ref="L83:M83"/>
    <mergeCell ref="A84:E84"/>
    <mergeCell ref="G84:H84"/>
    <mergeCell ref="I84:K84"/>
    <mergeCell ref="L84:M84"/>
    <mergeCell ref="A85:E85"/>
    <mergeCell ref="G85:H85"/>
    <mergeCell ref="I85:K85"/>
    <mergeCell ref="L85:M85"/>
    <mergeCell ref="A86:E86"/>
    <mergeCell ref="G86:H86"/>
    <mergeCell ref="I86:K86"/>
    <mergeCell ref="L86:M86"/>
    <mergeCell ref="A99:E99"/>
    <mergeCell ref="G99:H99"/>
    <mergeCell ref="A93:E93"/>
    <mergeCell ref="G93:H93"/>
    <mergeCell ref="I93:K93"/>
    <mergeCell ref="L93:M93"/>
    <mergeCell ref="A94:E94"/>
    <mergeCell ref="G94:H94"/>
    <mergeCell ref="I94:K94"/>
    <mergeCell ref="L94:M94"/>
    <mergeCell ref="A101:E101"/>
    <mergeCell ref="I99:K99"/>
    <mergeCell ref="L99:M99"/>
    <mergeCell ref="A62:N62"/>
    <mergeCell ref="A55:N55"/>
    <mergeCell ref="A59:N59"/>
    <mergeCell ref="A65:N65"/>
    <mergeCell ref="C70:G70"/>
    <mergeCell ref="H70:L70"/>
    <mergeCell ref="K73:N73"/>
    <mergeCell ref="A81:E81"/>
    <mergeCell ref="G81:H81"/>
    <mergeCell ref="I81:K81"/>
    <mergeCell ref="L81:M81"/>
    <mergeCell ref="A79:E79"/>
    <mergeCell ref="G79:H79"/>
    <mergeCell ref="I79:K79"/>
    <mergeCell ref="L79:M79"/>
    <mergeCell ref="A80:E80"/>
    <mergeCell ref="G80:H80"/>
    <mergeCell ref="I80:K80"/>
    <mergeCell ref="L80:M80"/>
    <mergeCell ref="A88:E88"/>
    <mergeCell ref="G88:H88"/>
    <mergeCell ref="I88:K88"/>
    <mergeCell ref="L88:M88"/>
    <mergeCell ref="I91:K91"/>
    <mergeCell ref="L91:M91"/>
    <mergeCell ref="A97:E97"/>
    <mergeCell ref="G97:H97"/>
    <mergeCell ref="I97:K97"/>
    <mergeCell ref="L97:M97"/>
    <mergeCell ref="A98:E98"/>
    <mergeCell ref="G98:H98"/>
    <mergeCell ref="I98:K98"/>
    <mergeCell ref="L98:M98"/>
    <mergeCell ref="A92:E92"/>
    <mergeCell ref="G92:H92"/>
    <mergeCell ref="I92:K92"/>
    <mergeCell ref="L92:M92"/>
    <mergeCell ref="A91:E91"/>
    <mergeCell ref="G91:H91"/>
    <mergeCell ref="E114:F114"/>
    <mergeCell ref="G114:I114"/>
    <mergeCell ref="J115:L115"/>
    <mergeCell ref="M115:N115"/>
    <mergeCell ref="A89:E89"/>
    <mergeCell ref="G89:H89"/>
    <mergeCell ref="I89:K89"/>
    <mergeCell ref="L89:M89"/>
    <mergeCell ref="A90:E90"/>
    <mergeCell ref="G90:H90"/>
    <mergeCell ref="I90:K90"/>
    <mergeCell ref="L90:M90"/>
    <mergeCell ref="A111:N111"/>
    <mergeCell ref="A95:E95"/>
    <mergeCell ref="G95:H95"/>
    <mergeCell ref="I95:K95"/>
    <mergeCell ref="L95:M95"/>
    <mergeCell ref="A96:E96"/>
    <mergeCell ref="G96:H96"/>
    <mergeCell ref="I96:K96"/>
    <mergeCell ref="L96:M96"/>
    <mergeCell ref="A100:E100"/>
    <mergeCell ref="G100:H100"/>
    <mergeCell ref="I100:K100"/>
    <mergeCell ref="L100:M100"/>
    <mergeCell ref="A102:E102"/>
    <mergeCell ref="A103:E103"/>
    <mergeCell ref="A104:E104"/>
    <mergeCell ref="A105:E105"/>
    <mergeCell ref="A106:E106"/>
    <mergeCell ref="A107:E107"/>
    <mergeCell ref="G101:H101"/>
    <mergeCell ref="A126:N126"/>
    <mergeCell ref="A127:N127"/>
    <mergeCell ref="A128:N128"/>
    <mergeCell ref="A131:B131"/>
    <mergeCell ref="C131:G131"/>
    <mergeCell ref="H131:L131"/>
    <mergeCell ref="M131:N131"/>
    <mergeCell ref="A129:N129"/>
    <mergeCell ref="A130:N130"/>
    <mergeCell ref="A117:N117"/>
    <mergeCell ref="A118:N118"/>
    <mergeCell ref="A119:N119"/>
    <mergeCell ref="A110:E110"/>
    <mergeCell ref="G110:H110"/>
    <mergeCell ref="I110:K110"/>
    <mergeCell ref="L110:M110"/>
    <mergeCell ref="A108:N108"/>
    <mergeCell ref="A109:E109"/>
    <mergeCell ref="G109:H109"/>
    <mergeCell ref="I109:K109"/>
    <mergeCell ref="L109:M109"/>
    <mergeCell ref="A113:B113"/>
    <mergeCell ref="C113:D113"/>
    <mergeCell ref="E113:F113"/>
    <mergeCell ref="G113:I113"/>
    <mergeCell ref="J113:L113"/>
    <mergeCell ref="M113:N113"/>
    <mergeCell ref="J114:L114"/>
    <mergeCell ref="M114:N114"/>
    <mergeCell ref="A115:B115"/>
    <mergeCell ref="C115:D115"/>
    <mergeCell ref="E115:F115"/>
    <mergeCell ref="A120:N120"/>
    <mergeCell ref="A121:N121"/>
    <mergeCell ref="A122:N122"/>
    <mergeCell ref="A123:N123"/>
    <mergeCell ref="A124:N124"/>
    <mergeCell ref="A125:N125"/>
    <mergeCell ref="I41:K41"/>
    <mergeCell ref="I42:K42"/>
    <mergeCell ref="I43:K43"/>
    <mergeCell ref="G102:H102"/>
    <mergeCell ref="G103:H103"/>
    <mergeCell ref="G104:H104"/>
    <mergeCell ref="G105:H105"/>
    <mergeCell ref="G106:H106"/>
    <mergeCell ref="G107:H107"/>
    <mergeCell ref="L101:M101"/>
    <mergeCell ref="L102:M102"/>
    <mergeCell ref="L103:M103"/>
    <mergeCell ref="L104:M104"/>
    <mergeCell ref="L105:M105"/>
    <mergeCell ref="L106:M106"/>
    <mergeCell ref="L107:M107"/>
    <mergeCell ref="G115:I115"/>
    <mergeCell ref="A112:B112"/>
    <mergeCell ref="C112:D112"/>
    <mergeCell ref="E112:F112"/>
    <mergeCell ref="G112:I112"/>
    <mergeCell ref="J112:L112"/>
    <mergeCell ref="M112:N112"/>
    <mergeCell ref="A116:N116"/>
    <mergeCell ref="A114:B114"/>
    <mergeCell ref="C114:D114"/>
    <mergeCell ref="A137:C138"/>
    <mergeCell ref="D137:G138"/>
    <mergeCell ref="H137:J138"/>
    <mergeCell ref="K137:N138"/>
    <mergeCell ref="A139:N139"/>
    <mergeCell ref="A140:E140"/>
    <mergeCell ref="G140:H140"/>
    <mergeCell ref="I140:K140"/>
    <mergeCell ref="L140:M140"/>
    <mergeCell ref="H133:I133"/>
    <mergeCell ref="J133:L133"/>
    <mergeCell ref="M133:N133"/>
    <mergeCell ref="B134:G134"/>
    <mergeCell ref="H134:J134"/>
    <mergeCell ref="K134:N134"/>
    <mergeCell ref="D135:E135"/>
    <mergeCell ref="K135:L135"/>
    <mergeCell ref="A136:C136"/>
    <mergeCell ref="D136:G136"/>
    <mergeCell ref="H136:J136"/>
    <mergeCell ref="K136:N136"/>
    <mergeCell ref="A144:E144"/>
    <mergeCell ref="G144:H144"/>
    <mergeCell ref="I144:K144"/>
    <mergeCell ref="L144:M144"/>
    <mergeCell ref="A145:E145"/>
    <mergeCell ref="G145:H145"/>
    <mergeCell ref="I145:K145"/>
    <mergeCell ref="L145:M145"/>
    <mergeCell ref="A146:E146"/>
    <mergeCell ref="G146:H146"/>
    <mergeCell ref="I146:K146"/>
    <mergeCell ref="L146:M146"/>
    <mergeCell ref="A141:E141"/>
    <mergeCell ref="G141:H141"/>
    <mergeCell ref="I141:K141"/>
    <mergeCell ref="L141:M141"/>
    <mergeCell ref="A142:E142"/>
    <mergeCell ref="G142:H142"/>
    <mergeCell ref="I142:K142"/>
    <mergeCell ref="L142:M142"/>
    <mergeCell ref="A143:E143"/>
    <mergeCell ref="G143:H143"/>
    <mergeCell ref="I143:K143"/>
    <mergeCell ref="L143:M143"/>
    <mergeCell ref="A150:E150"/>
    <mergeCell ref="G150:H150"/>
    <mergeCell ref="I150:K150"/>
    <mergeCell ref="L150:M150"/>
    <mergeCell ref="A151:E151"/>
    <mergeCell ref="G151:H151"/>
    <mergeCell ref="I151:K151"/>
    <mergeCell ref="L151:M151"/>
    <mergeCell ref="A152:E152"/>
    <mergeCell ref="G152:H152"/>
    <mergeCell ref="I152:K152"/>
    <mergeCell ref="L152:M152"/>
    <mergeCell ref="A147:E147"/>
    <mergeCell ref="G147:H147"/>
    <mergeCell ref="I147:K147"/>
    <mergeCell ref="L147:M147"/>
    <mergeCell ref="A148:E148"/>
    <mergeCell ref="G148:H148"/>
    <mergeCell ref="I148:K148"/>
    <mergeCell ref="L148:M148"/>
    <mergeCell ref="A149:E149"/>
    <mergeCell ref="G149:H149"/>
    <mergeCell ref="I149:K149"/>
    <mergeCell ref="L149:M149"/>
    <mergeCell ref="A156:E156"/>
    <mergeCell ref="G156:H156"/>
    <mergeCell ref="I156:K156"/>
    <mergeCell ref="L156:M156"/>
    <mergeCell ref="A157:E157"/>
    <mergeCell ref="G157:H157"/>
    <mergeCell ref="I157:K157"/>
    <mergeCell ref="L157:M157"/>
    <mergeCell ref="A158:E158"/>
    <mergeCell ref="G158:H158"/>
    <mergeCell ref="I158:K158"/>
    <mergeCell ref="L158:M158"/>
    <mergeCell ref="A153:E153"/>
    <mergeCell ref="G153:H153"/>
    <mergeCell ref="I153:K153"/>
    <mergeCell ref="L153:M153"/>
    <mergeCell ref="A154:E154"/>
    <mergeCell ref="G154:H154"/>
    <mergeCell ref="I154:K154"/>
    <mergeCell ref="L154:M154"/>
    <mergeCell ref="A155:E155"/>
    <mergeCell ref="G155:H155"/>
    <mergeCell ref="I155:K155"/>
    <mergeCell ref="L155:M155"/>
    <mergeCell ref="A162:E162"/>
    <mergeCell ref="G162:H162"/>
    <mergeCell ref="L162:M162"/>
    <mergeCell ref="A163:E163"/>
    <mergeCell ref="G163:H163"/>
    <mergeCell ref="L163:M163"/>
    <mergeCell ref="A164:E164"/>
    <mergeCell ref="G164:H164"/>
    <mergeCell ref="L164:M164"/>
    <mergeCell ref="A159:E159"/>
    <mergeCell ref="G159:H159"/>
    <mergeCell ref="I159:K159"/>
    <mergeCell ref="L159:M159"/>
    <mergeCell ref="A160:E160"/>
    <mergeCell ref="G160:H160"/>
    <mergeCell ref="I160:K160"/>
    <mergeCell ref="L160:M160"/>
    <mergeCell ref="A161:E161"/>
    <mergeCell ref="G161:H161"/>
    <mergeCell ref="I161:K161"/>
    <mergeCell ref="L161:M161"/>
    <mergeCell ref="A168:E168"/>
    <mergeCell ref="G168:H168"/>
    <mergeCell ref="L168:M168"/>
    <mergeCell ref="A169:N169"/>
    <mergeCell ref="A170:E170"/>
    <mergeCell ref="G170:H170"/>
    <mergeCell ref="I170:K170"/>
    <mergeCell ref="L170:M170"/>
    <mergeCell ref="A171:E171"/>
    <mergeCell ref="G171:H171"/>
    <mergeCell ref="I171:K171"/>
    <mergeCell ref="L171:M171"/>
    <mergeCell ref="A165:E165"/>
    <mergeCell ref="G165:H165"/>
    <mergeCell ref="L165:M165"/>
    <mergeCell ref="A166:E166"/>
    <mergeCell ref="G166:H166"/>
    <mergeCell ref="L166:M166"/>
    <mergeCell ref="A167:E167"/>
    <mergeCell ref="G167:H167"/>
    <mergeCell ref="L167:M167"/>
    <mergeCell ref="A175:B175"/>
    <mergeCell ref="C175:D175"/>
    <mergeCell ref="E175:F175"/>
    <mergeCell ref="G175:I175"/>
    <mergeCell ref="J175:L175"/>
    <mergeCell ref="M175:N175"/>
    <mergeCell ref="A176:B176"/>
    <mergeCell ref="C176:D176"/>
    <mergeCell ref="E176:F176"/>
    <mergeCell ref="G176:I176"/>
    <mergeCell ref="J176:L176"/>
    <mergeCell ref="M176:N176"/>
    <mergeCell ref="A172:N172"/>
    <mergeCell ref="A173:B173"/>
    <mergeCell ref="C173:D173"/>
    <mergeCell ref="E173:F173"/>
    <mergeCell ref="G173:I173"/>
    <mergeCell ref="J173:L173"/>
    <mergeCell ref="M173:N173"/>
    <mergeCell ref="A174:B174"/>
    <mergeCell ref="C174:D174"/>
    <mergeCell ref="E174:F174"/>
    <mergeCell ref="G174:I174"/>
    <mergeCell ref="J174:L174"/>
    <mergeCell ref="M174:N174"/>
    <mergeCell ref="A186:N186"/>
    <mergeCell ref="A187:N187"/>
    <mergeCell ref="A188:N188"/>
    <mergeCell ref="A189:N189"/>
    <mergeCell ref="A190:N190"/>
    <mergeCell ref="A191:N191"/>
    <mergeCell ref="A192:B192"/>
    <mergeCell ref="C192:G192"/>
    <mergeCell ref="H192:L192"/>
    <mergeCell ref="M192:N192"/>
    <mergeCell ref="A177:N177"/>
    <mergeCell ref="A178:N178"/>
    <mergeCell ref="A179:N179"/>
    <mergeCell ref="A180:N180"/>
    <mergeCell ref="A181:N181"/>
    <mergeCell ref="A182:N182"/>
    <mergeCell ref="A183:N183"/>
    <mergeCell ref="A184:N184"/>
    <mergeCell ref="A185:N185"/>
    <mergeCell ref="A198:C199"/>
    <mergeCell ref="D198:G199"/>
    <mergeCell ref="H198:J199"/>
    <mergeCell ref="K198:N199"/>
    <mergeCell ref="A200:N200"/>
    <mergeCell ref="A201:E201"/>
    <mergeCell ref="G201:H201"/>
    <mergeCell ref="I201:K201"/>
    <mergeCell ref="L201:M201"/>
    <mergeCell ref="H194:I194"/>
    <mergeCell ref="J194:L194"/>
    <mergeCell ref="M194:N194"/>
    <mergeCell ref="B195:G195"/>
    <mergeCell ref="H195:J195"/>
    <mergeCell ref="K195:N195"/>
    <mergeCell ref="D196:E196"/>
    <mergeCell ref="K196:L196"/>
    <mergeCell ref="A197:C197"/>
    <mergeCell ref="D197:G197"/>
    <mergeCell ref="H197:J197"/>
    <mergeCell ref="K197:N197"/>
    <mergeCell ref="A205:E205"/>
    <mergeCell ref="G205:H205"/>
    <mergeCell ref="I205:K205"/>
    <mergeCell ref="L205:M205"/>
    <mergeCell ref="A206:E206"/>
    <mergeCell ref="G206:H206"/>
    <mergeCell ref="I206:K206"/>
    <mergeCell ref="L206:M206"/>
    <mergeCell ref="A207:E207"/>
    <mergeCell ref="G207:H207"/>
    <mergeCell ref="I207:K207"/>
    <mergeCell ref="L207:M207"/>
    <mergeCell ref="A202:E202"/>
    <mergeCell ref="G202:H202"/>
    <mergeCell ref="I202:K202"/>
    <mergeCell ref="L202:M202"/>
    <mergeCell ref="A203:E203"/>
    <mergeCell ref="G203:H203"/>
    <mergeCell ref="I203:K203"/>
    <mergeCell ref="L203:M203"/>
    <mergeCell ref="A204:E204"/>
    <mergeCell ref="G204:H204"/>
    <mergeCell ref="I204:K204"/>
    <mergeCell ref="L204:M204"/>
    <mergeCell ref="A211:E211"/>
    <mergeCell ref="G211:H211"/>
    <mergeCell ref="I211:K211"/>
    <mergeCell ref="L211:M211"/>
    <mergeCell ref="A212:E212"/>
    <mergeCell ref="G212:H212"/>
    <mergeCell ref="I212:K212"/>
    <mergeCell ref="L212:M212"/>
    <mergeCell ref="A213:E213"/>
    <mergeCell ref="G213:H213"/>
    <mergeCell ref="I213:K213"/>
    <mergeCell ref="L213:M213"/>
    <mergeCell ref="A208:E208"/>
    <mergeCell ref="G208:H208"/>
    <mergeCell ref="I208:K208"/>
    <mergeCell ref="L208:M208"/>
    <mergeCell ref="A209:E209"/>
    <mergeCell ref="G209:H209"/>
    <mergeCell ref="I209:K209"/>
    <mergeCell ref="L209:M209"/>
    <mergeCell ref="A210:E210"/>
    <mergeCell ref="G210:H210"/>
    <mergeCell ref="I210:K210"/>
    <mergeCell ref="L210:M210"/>
    <mergeCell ref="A217:E217"/>
    <mergeCell ref="G217:H217"/>
    <mergeCell ref="I217:K217"/>
    <mergeCell ref="L217:M217"/>
    <mergeCell ref="A218:E218"/>
    <mergeCell ref="G218:H218"/>
    <mergeCell ref="I218:K218"/>
    <mergeCell ref="L218:M218"/>
    <mergeCell ref="A219:E219"/>
    <mergeCell ref="G219:H219"/>
    <mergeCell ref="I219:K219"/>
    <mergeCell ref="L219:M219"/>
    <mergeCell ref="A214:E214"/>
    <mergeCell ref="G214:H214"/>
    <mergeCell ref="I214:K214"/>
    <mergeCell ref="L214:M214"/>
    <mergeCell ref="A215:E215"/>
    <mergeCell ref="G215:H215"/>
    <mergeCell ref="I215:K215"/>
    <mergeCell ref="L215:M215"/>
    <mergeCell ref="A216:E216"/>
    <mergeCell ref="G216:H216"/>
    <mergeCell ref="I216:K216"/>
    <mergeCell ref="L216:M216"/>
    <mergeCell ref="A223:E223"/>
    <mergeCell ref="G223:H223"/>
    <mergeCell ref="L223:M223"/>
    <mergeCell ref="A224:E224"/>
    <mergeCell ref="G224:H224"/>
    <mergeCell ref="L224:M224"/>
    <mergeCell ref="A225:E225"/>
    <mergeCell ref="G225:H225"/>
    <mergeCell ref="L225:M225"/>
    <mergeCell ref="A220:E220"/>
    <mergeCell ref="G220:H220"/>
    <mergeCell ref="I220:K220"/>
    <mergeCell ref="L220:M220"/>
    <mergeCell ref="A221:E221"/>
    <mergeCell ref="G221:H221"/>
    <mergeCell ref="I221:K221"/>
    <mergeCell ref="L221:M221"/>
    <mergeCell ref="A222:E222"/>
    <mergeCell ref="G222:H222"/>
    <mergeCell ref="I222:K222"/>
    <mergeCell ref="L222:M222"/>
    <mergeCell ref="A229:E229"/>
    <mergeCell ref="G229:H229"/>
    <mergeCell ref="L229:M229"/>
    <mergeCell ref="A230:N230"/>
    <mergeCell ref="A231:E231"/>
    <mergeCell ref="G231:H231"/>
    <mergeCell ref="I231:K231"/>
    <mergeCell ref="L231:M231"/>
    <mergeCell ref="A232:E232"/>
    <mergeCell ref="G232:H232"/>
    <mergeCell ref="I232:K232"/>
    <mergeCell ref="L232:M232"/>
    <mergeCell ref="A226:E226"/>
    <mergeCell ref="G226:H226"/>
    <mergeCell ref="L226:M226"/>
    <mergeCell ref="A227:E227"/>
    <mergeCell ref="G227:H227"/>
    <mergeCell ref="L227:M227"/>
    <mergeCell ref="A228:E228"/>
    <mergeCell ref="G228:H228"/>
    <mergeCell ref="L228:M228"/>
    <mergeCell ref="A236:B236"/>
    <mergeCell ref="C236:D236"/>
    <mergeCell ref="E236:F236"/>
    <mergeCell ref="G236:I236"/>
    <mergeCell ref="J236:L236"/>
    <mergeCell ref="M236:N236"/>
    <mergeCell ref="A237:B237"/>
    <mergeCell ref="C237:D237"/>
    <mergeCell ref="E237:F237"/>
    <mergeCell ref="G237:I237"/>
    <mergeCell ref="J237:L237"/>
    <mergeCell ref="M237:N237"/>
    <mergeCell ref="A233:N233"/>
    <mergeCell ref="A234:B234"/>
    <mergeCell ref="C234:D234"/>
    <mergeCell ref="E234:F234"/>
    <mergeCell ref="G234:I234"/>
    <mergeCell ref="J234:L234"/>
    <mergeCell ref="M234:N234"/>
    <mergeCell ref="A235:B235"/>
    <mergeCell ref="C235:D235"/>
    <mergeCell ref="E235:F235"/>
    <mergeCell ref="G235:I235"/>
    <mergeCell ref="J235:L235"/>
    <mergeCell ref="M235:N235"/>
    <mergeCell ref="A247:N247"/>
    <mergeCell ref="A248:N248"/>
    <mergeCell ref="A249:N249"/>
    <mergeCell ref="A250:N250"/>
    <mergeCell ref="A251:N251"/>
    <mergeCell ref="A252:N252"/>
    <mergeCell ref="A253:B253"/>
    <mergeCell ref="C253:G253"/>
    <mergeCell ref="H253:L253"/>
    <mergeCell ref="M253:N253"/>
    <mergeCell ref="A238:N238"/>
    <mergeCell ref="A239:N239"/>
    <mergeCell ref="A240:N240"/>
    <mergeCell ref="A241:N241"/>
    <mergeCell ref="A242:N242"/>
    <mergeCell ref="A243:N243"/>
    <mergeCell ref="A244:N244"/>
    <mergeCell ref="A245:N245"/>
    <mergeCell ref="A246:N246"/>
    <mergeCell ref="A259:C260"/>
    <mergeCell ref="D259:G260"/>
    <mergeCell ref="H259:J260"/>
    <mergeCell ref="K259:N260"/>
    <mergeCell ref="A261:N261"/>
    <mergeCell ref="A262:E262"/>
    <mergeCell ref="G262:H262"/>
    <mergeCell ref="I262:K262"/>
    <mergeCell ref="L262:M262"/>
    <mergeCell ref="H255:I255"/>
    <mergeCell ref="J255:L255"/>
    <mergeCell ref="M255:N255"/>
    <mergeCell ref="B256:G256"/>
    <mergeCell ref="H256:J256"/>
    <mergeCell ref="K256:N256"/>
    <mergeCell ref="D257:E257"/>
    <mergeCell ref="K257:L257"/>
    <mergeCell ref="A258:C258"/>
    <mergeCell ref="D258:G258"/>
    <mergeCell ref="H258:J258"/>
    <mergeCell ref="K258:N258"/>
    <mergeCell ref="A266:E266"/>
    <mergeCell ref="G266:H266"/>
    <mergeCell ref="I266:K266"/>
    <mergeCell ref="L266:M266"/>
    <mergeCell ref="A267:E267"/>
    <mergeCell ref="G267:H267"/>
    <mergeCell ref="I267:K267"/>
    <mergeCell ref="L267:M267"/>
    <mergeCell ref="A268:E268"/>
    <mergeCell ref="G268:H268"/>
    <mergeCell ref="I268:K268"/>
    <mergeCell ref="L268:M268"/>
    <mergeCell ref="A263:E263"/>
    <mergeCell ref="G263:H263"/>
    <mergeCell ref="I263:K263"/>
    <mergeCell ref="L263:M263"/>
    <mergeCell ref="A264:E264"/>
    <mergeCell ref="G264:H264"/>
    <mergeCell ref="I264:K264"/>
    <mergeCell ref="L264:M264"/>
    <mergeCell ref="A265:E265"/>
    <mergeCell ref="G265:H265"/>
    <mergeCell ref="I265:K265"/>
    <mergeCell ref="L265:M265"/>
    <mergeCell ref="A272:E272"/>
    <mergeCell ref="G272:H272"/>
    <mergeCell ref="I272:K272"/>
    <mergeCell ref="L272:M272"/>
    <mergeCell ref="A273:E273"/>
    <mergeCell ref="G273:H273"/>
    <mergeCell ref="I273:K273"/>
    <mergeCell ref="L273:M273"/>
    <mergeCell ref="A274:E274"/>
    <mergeCell ref="G274:H274"/>
    <mergeCell ref="I274:K274"/>
    <mergeCell ref="L274:M274"/>
    <mergeCell ref="A269:E269"/>
    <mergeCell ref="G269:H269"/>
    <mergeCell ref="I269:K269"/>
    <mergeCell ref="L269:M269"/>
    <mergeCell ref="A270:E270"/>
    <mergeCell ref="G270:H270"/>
    <mergeCell ref="I270:K270"/>
    <mergeCell ref="L270:M270"/>
    <mergeCell ref="A271:E271"/>
    <mergeCell ref="G271:H271"/>
    <mergeCell ref="I271:K271"/>
    <mergeCell ref="L271:M271"/>
    <mergeCell ref="A278:E278"/>
    <mergeCell ref="G278:H278"/>
    <mergeCell ref="I278:K278"/>
    <mergeCell ref="L278:M278"/>
    <mergeCell ref="A279:E279"/>
    <mergeCell ref="G279:H279"/>
    <mergeCell ref="I279:K279"/>
    <mergeCell ref="L279:M279"/>
    <mergeCell ref="A280:E280"/>
    <mergeCell ref="G280:H280"/>
    <mergeCell ref="I280:K280"/>
    <mergeCell ref="L280:M280"/>
    <mergeCell ref="A275:E275"/>
    <mergeCell ref="G275:H275"/>
    <mergeCell ref="I275:K275"/>
    <mergeCell ref="L275:M275"/>
    <mergeCell ref="A276:E276"/>
    <mergeCell ref="G276:H276"/>
    <mergeCell ref="I276:K276"/>
    <mergeCell ref="L276:M276"/>
    <mergeCell ref="A277:E277"/>
    <mergeCell ref="G277:H277"/>
    <mergeCell ref="I277:K277"/>
    <mergeCell ref="L277:M277"/>
    <mergeCell ref="A284:E284"/>
    <mergeCell ref="G284:H284"/>
    <mergeCell ref="L284:M284"/>
    <mergeCell ref="A285:E285"/>
    <mergeCell ref="G285:H285"/>
    <mergeCell ref="L285:M285"/>
    <mergeCell ref="A286:E286"/>
    <mergeCell ref="G286:H286"/>
    <mergeCell ref="L286:M286"/>
    <mergeCell ref="A281:E281"/>
    <mergeCell ref="G281:H281"/>
    <mergeCell ref="I281:K281"/>
    <mergeCell ref="L281:M281"/>
    <mergeCell ref="A282:E282"/>
    <mergeCell ref="G282:H282"/>
    <mergeCell ref="I282:K282"/>
    <mergeCell ref="L282:M282"/>
    <mergeCell ref="A283:E283"/>
    <mergeCell ref="G283:H283"/>
    <mergeCell ref="I283:K283"/>
    <mergeCell ref="L283:M283"/>
    <mergeCell ref="A290:E290"/>
    <mergeCell ref="G290:H290"/>
    <mergeCell ref="L290:M290"/>
    <mergeCell ref="A291:N291"/>
    <mergeCell ref="A292:E292"/>
    <mergeCell ref="G292:H292"/>
    <mergeCell ref="I292:K292"/>
    <mergeCell ref="L292:M292"/>
    <mergeCell ref="A293:E293"/>
    <mergeCell ref="G293:H293"/>
    <mergeCell ref="I293:K293"/>
    <mergeCell ref="L293:M293"/>
    <mergeCell ref="A287:E287"/>
    <mergeCell ref="G287:H287"/>
    <mergeCell ref="L287:M287"/>
    <mergeCell ref="A288:E288"/>
    <mergeCell ref="G288:H288"/>
    <mergeCell ref="L288:M288"/>
    <mergeCell ref="A289:E289"/>
    <mergeCell ref="G289:H289"/>
    <mergeCell ref="L289:M289"/>
    <mergeCell ref="A297:B297"/>
    <mergeCell ref="C297:D297"/>
    <mergeCell ref="E297:F297"/>
    <mergeCell ref="G297:I297"/>
    <mergeCell ref="J297:L297"/>
    <mergeCell ref="M297:N297"/>
    <mergeCell ref="A298:B298"/>
    <mergeCell ref="C298:D298"/>
    <mergeCell ref="E298:F298"/>
    <mergeCell ref="G298:I298"/>
    <mergeCell ref="J298:L298"/>
    <mergeCell ref="M298:N298"/>
    <mergeCell ref="A294:N294"/>
    <mergeCell ref="A295:B295"/>
    <mergeCell ref="C295:D295"/>
    <mergeCell ref="E295:F295"/>
    <mergeCell ref="G295:I295"/>
    <mergeCell ref="J295:L295"/>
    <mergeCell ref="M295:N295"/>
    <mergeCell ref="A296:B296"/>
    <mergeCell ref="C296:D296"/>
    <mergeCell ref="E296:F296"/>
    <mergeCell ref="G296:I296"/>
    <mergeCell ref="J296:L296"/>
    <mergeCell ref="M296:N296"/>
    <mergeCell ref="A308:N308"/>
    <mergeCell ref="A309:N309"/>
    <mergeCell ref="A310:N310"/>
    <mergeCell ref="A311:N311"/>
    <mergeCell ref="A312:N312"/>
    <mergeCell ref="A313:N313"/>
    <mergeCell ref="A314:B314"/>
    <mergeCell ref="C314:G314"/>
    <mergeCell ref="H314:L314"/>
    <mergeCell ref="M314:N314"/>
    <mergeCell ref="A299:N299"/>
    <mergeCell ref="A300:N300"/>
    <mergeCell ref="A301:N301"/>
    <mergeCell ref="A302:N302"/>
    <mergeCell ref="A303:N303"/>
    <mergeCell ref="A304:N304"/>
    <mergeCell ref="A305:N305"/>
    <mergeCell ref="A306:N306"/>
    <mergeCell ref="A307:N307"/>
    <mergeCell ref="A320:C321"/>
    <mergeCell ref="D320:G321"/>
    <mergeCell ref="H320:J321"/>
    <mergeCell ref="K320:N321"/>
    <mergeCell ref="A322:N322"/>
    <mergeCell ref="A323:E323"/>
    <mergeCell ref="G323:H323"/>
    <mergeCell ref="I323:K323"/>
    <mergeCell ref="L323:M323"/>
    <mergeCell ref="H316:I316"/>
    <mergeCell ref="J316:L316"/>
    <mergeCell ref="M316:N316"/>
    <mergeCell ref="B317:G317"/>
    <mergeCell ref="H317:J317"/>
    <mergeCell ref="K317:N317"/>
    <mergeCell ref="D318:E318"/>
    <mergeCell ref="K318:L318"/>
    <mergeCell ref="A319:C319"/>
    <mergeCell ref="D319:G319"/>
    <mergeCell ref="H319:J319"/>
    <mergeCell ref="K319:N319"/>
    <mergeCell ref="A327:E327"/>
    <mergeCell ref="G327:H327"/>
    <mergeCell ref="I327:K327"/>
    <mergeCell ref="L327:M327"/>
    <mergeCell ref="A328:E328"/>
    <mergeCell ref="G328:H328"/>
    <mergeCell ref="I328:K328"/>
    <mergeCell ref="L328:M328"/>
    <mergeCell ref="A329:E329"/>
    <mergeCell ref="G329:H329"/>
    <mergeCell ref="I329:K329"/>
    <mergeCell ref="L329:M329"/>
    <mergeCell ref="A324:E324"/>
    <mergeCell ref="G324:H324"/>
    <mergeCell ref="I324:K324"/>
    <mergeCell ref="L324:M324"/>
    <mergeCell ref="A325:E325"/>
    <mergeCell ref="G325:H325"/>
    <mergeCell ref="I325:K325"/>
    <mergeCell ref="L325:M325"/>
    <mergeCell ref="A326:E326"/>
    <mergeCell ref="G326:H326"/>
    <mergeCell ref="I326:K326"/>
    <mergeCell ref="L326:M326"/>
    <mergeCell ref="A333:E333"/>
    <mergeCell ref="G333:H333"/>
    <mergeCell ref="I333:K333"/>
    <mergeCell ref="L333:M333"/>
    <mergeCell ref="A334:E334"/>
    <mergeCell ref="G334:H334"/>
    <mergeCell ref="I334:K334"/>
    <mergeCell ref="L334:M334"/>
    <mergeCell ref="A335:E335"/>
    <mergeCell ref="G335:H335"/>
    <mergeCell ref="I335:K335"/>
    <mergeCell ref="L335:M335"/>
    <mergeCell ref="A330:E330"/>
    <mergeCell ref="G330:H330"/>
    <mergeCell ref="I330:K330"/>
    <mergeCell ref="L330:M330"/>
    <mergeCell ref="A331:E331"/>
    <mergeCell ref="G331:H331"/>
    <mergeCell ref="I331:K331"/>
    <mergeCell ref="L331:M331"/>
    <mergeCell ref="A332:E332"/>
    <mergeCell ref="G332:H332"/>
    <mergeCell ref="I332:K332"/>
    <mergeCell ref="L332:M332"/>
    <mergeCell ref="A339:E339"/>
    <mergeCell ref="G339:H339"/>
    <mergeCell ref="I339:K339"/>
    <mergeCell ref="L339:M339"/>
    <mergeCell ref="A340:E340"/>
    <mergeCell ref="G340:H340"/>
    <mergeCell ref="I340:K340"/>
    <mergeCell ref="L340:M340"/>
    <mergeCell ref="A341:E341"/>
    <mergeCell ref="G341:H341"/>
    <mergeCell ref="I341:K341"/>
    <mergeCell ref="L341:M341"/>
    <mergeCell ref="A336:E336"/>
    <mergeCell ref="G336:H336"/>
    <mergeCell ref="I336:K336"/>
    <mergeCell ref="L336:M336"/>
    <mergeCell ref="A337:E337"/>
    <mergeCell ref="G337:H337"/>
    <mergeCell ref="I337:K337"/>
    <mergeCell ref="L337:M337"/>
    <mergeCell ref="A338:E338"/>
    <mergeCell ref="G338:H338"/>
    <mergeCell ref="I338:K338"/>
    <mergeCell ref="L338:M338"/>
    <mergeCell ref="A345:E345"/>
    <mergeCell ref="G345:H345"/>
    <mergeCell ref="L345:M345"/>
    <mergeCell ref="A346:E346"/>
    <mergeCell ref="G346:H346"/>
    <mergeCell ref="L346:M346"/>
    <mergeCell ref="A347:E347"/>
    <mergeCell ref="G347:H347"/>
    <mergeCell ref="L347:M347"/>
    <mergeCell ref="A342:E342"/>
    <mergeCell ref="G342:H342"/>
    <mergeCell ref="I342:K342"/>
    <mergeCell ref="L342:M342"/>
    <mergeCell ref="A343:E343"/>
    <mergeCell ref="G343:H343"/>
    <mergeCell ref="I343:K343"/>
    <mergeCell ref="L343:M343"/>
    <mergeCell ref="A344:E344"/>
    <mergeCell ref="G344:H344"/>
    <mergeCell ref="I344:K344"/>
    <mergeCell ref="L344:M344"/>
    <mergeCell ref="A351:E351"/>
    <mergeCell ref="G351:H351"/>
    <mergeCell ref="L351:M351"/>
    <mergeCell ref="A352:N352"/>
    <mergeCell ref="A353:E353"/>
    <mergeCell ref="G353:H353"/>
    <mergeCell ref="I353:K353"/>
    <mergeCell ref="L353:M353"/>
    <mergeCell ref="A354:E354"/>
    <mergeCell ref="G354:H354"/>
    <mergeCell ref="I354:K354"/>
    <mergeCell ref="L354:M354"/>
    <mergeCell ref="A348:E348"/>
    <mergeCell ref="G348:H348"/>
    <mergeCell ref="L348:M348"/>
    <mergeCell ref="A349:E349"/>
    <mergeCell ref="G349:H349"/>
    <mergeCell ref="L349:M349"/>
    <mergeCell ref="A350:E350"/>
    <mergeCell ref="G350:H350"/>
    <mergeCell ref="L350:M350"/>
    <mergeCell ref="A358:B358"/>
    <mergeCell ref="C358:D358"/>
    <mergeCell ref="E358:F358"/>
    <mergeCell ref="G358:I358"/>
    <mergeCell ref="J358:L358"/>
    <mergeCell ref="M358:N358"/>
    <mergeCell ref="A359:B359"/>
    <mergeCell ref="C359:D359"/>
    <mergeCell ref="E359:F359"/>
    <mergeCell ref="G359:I359"/>
    <mergeCell ref="J359:L359"/>
    <mergeCell ref="M359:N359"/>
    <mergeCell ref="A355:N355"/>
    <mergeCell ref="A356:B356"/>
    <mergeCell ref="C356:D356"/>
    <mergeCell ref="E356:F356"/>
    <mergeCell ref="G356:I356"/>
    <mergeCell ref="J356:L356"/>
    <mergeCell ref="M356:N356"/>
    <mergeCell ref="A357:B357"/>
    <mergeCell ref="C357:D357"/>
    <mergeCell ref="E357:F357"/>
    <mergeCell ref="G357:I357"/>
    <mergeCell ref="J357:L357"/>
    <mergeCell ref="M357:N357"/>
    <mergeCell ref="A369:N369"/>
    <mergeCell ref="A370:N370"/>
    <mergeCell ref="A371:N371"/>
    <mergeCell ref="A372:N372"/>
    <mergeCell ref="A373:N373"/>
    <mergeCell ref="A374:N374"/>
    <mergeCell ref="A375:B375"/>
    <mergeCell ref="C375:G375"/>
    <mergeCell ref="H375:L375"/>
    <mergeCell ref="M375:N375"/>
    <mergeCell ref="A360:N360"/>
    <mergeCell ref="A361:N361"/>
    <mergeCell ref="A362:N362"/>
    <mergeCell ref="A363:N363"/>
    <mergeCell ref="A364:N364"/>
    <mergeCell ref="A365:N365"/>
    <mergeCell ref="A366:N366"/>
    <mergeCell ref="A367:N367"/>
    <mergeCell ref="A368:N368"/>
    <mergeCell ref="A381:C382"/>
    <mergeCell ref="D381:G382"/>
    <mergeCell ref="H381:J382"/>
    <mergeCell ref="K381:N382"/>
    <mergeCell ref="A383:N383"/>
    <mergeCell ref="A384:E384"/>
    <mergeCell ref="G384:H384"/>
    <mergeCell ref="I384:K384"/>
    <mergeCell ref="L384:M384"/>
    <mergeCell ref="H377:I377"/>
    <mergeCell ref="J377:L377"/>
    <mergeCell ref="M377:N377"/>
    <mergeCell ref="B378:G378"/>
    <mergeCell ref="H378:J378"/>
    <mergeCell ref="K378:N378"/>
    <mergeCell ref="D379:E379"/>
    <mergeCell ref="K379:L379"/>
    <mergeCell ref="A380:C380"/>
    <mergeCell ref="D380:G380"/>
    <mergeCell ref="H380:J380"/>
    <mergeCell ref="K380:N380"/>
    <mergeCell ref="A388:E388"/>
    <mergeCell ref="G388:H388"/>
    <mergeCell ref="I388:K388"/>
    <mergeCell ref="L388:M388"/>
    <mergeCell ref="A389:E389"/>
    <mergeCell ref="G389:H389"/>
    <mergeCell ref="I389:K389"/>
    <mergeCell ref="L389:M389"/>
    <mergeCell ref="A390:E390"/>
    <mergeCell ref="G390:H390"/>
    <mergeCell ref="I390:K390"/>
    <mergeCell ref="L390:M390"/>
    <mergeCell ref="A385:E385"/>
    <mergeCell ref="G385:H385"/>
    <mergeCell ref="I385:K385"/>
    <mergeCell ref="L385:M385"/>
    <mergeCell ref="A386:E386"/>
    <mergeCell ref="G386:H386"/>
    <mergeCell ref="I386:K386"/>
    <mergeCell ref="L386:M386"/>
    <mergeCell ref="A387:E387"/>
    <mergeCell ref="G387:H387"/>
    <mergeCell ref="I387:K387"/>
    <mergeCell ref="L387:M387"/>
    <mergeCell ref="A394:E394"/>
    <mergeCell ref="G394:H394"/>
    <mergeCell ref="I394:K394"/>
    <mergeCell ref="L394:M394"/>
    <mergeCell ref="A395:E395"/>
    <mergeCell ref="G395:H395"/>
    <mergeCell ref="I395:K395"/>
    <mergeCell ref="L395:M395"/>
    <mergeCell ref="A396:E396"/>
    <mergeCell ref="G396:H396"/>
    <mergeCell ref="I396:K396"/>
    <mergeCell ref="L396:M396"/>
    <mergeCell ref="A391:E391"/>
    <mergeCell ref="G391:H391"/>
    <mergeCell ref="I391:K391"/>
    <mergeCell ref="L391:M391"/>
    <mergeCell ref="A392:E392"/>
    <mergeCell ref="G392:H392"/>
    <mergeCell ref="I392:K392"/>
    <mergeCell ref="L392:M392"/>
    <mergeCell ref="A393:E393"/>
    <mergeCell ref="G393:H393"/>
    <mergeCell ref="I393:K393"/>
    <mergeCell ref="L393:M393"/>
    <mergeCell ref="A400:E400"/>
    <mergeCell ref="G400:H400"/>
    <mergeCell ref="I400:K400"/>
    <mergeCell ref="L400:M400"/>
    <mergeCell ref="A401:E401"/>
    <mergeCell ref="G401:H401"/>
    <mergeCell ref="I401:K401"/>
    <mergeCell ref="L401:M401"/>
    <mergeCell ref="A402:E402"/>
    <mergeCell ref="G402:H402"/>
    <mergeCell ref="I402:K402"/>
    <mergeCell ref="L402:M402"/>
    <mergeCell ref="A397:E397"/>
    <mergeCell ref="G397:H397"/>
    <mergeCell ref="I397:K397"/>
    <mergeCell ref="L397:M397"/>
    <mergeCell ref="A398:E398"/>
    <mergeCell ref="G398:H398"/>
    <mergeCell ref="I398:K398"/>
    <mergeCell ref="L398:M398"/>
    <mergeCell ref="A399:E399"/>
    <mergeCell ref="G399:H399"/>
    <mergeCell ref="I399:K399"/>
    <mergeCell ref="L399:M399"/>
    <mergeCell ref="A406:E406"/>
    <mergeCell ref="G406:H406"/>
    <mergeCell ref="L406:M406"/>
    <mergeCell ref="A407:E407"/>
    <mergeCell ref="G407:H407"/>
    <mergeCell ref="L407:M407"/>
    <mergeCell ref="A408:E408"/>
    <mergeCell ref="G408:H408"/>
    <mergeCell ref="L408:M408"/>
    <mergeCell ref="A403:E403"/>
    <mergeCell ref="G403:H403"/>
    <mergeCell ref="I403:K403"/>
    <mergeCell ref="L403:M403"/>
    <mergeCell ref="A404:E404"/>
    <mergeCell ref="G404:H404"/>
    <mergeCell ref="I404:K404"/>
    <mergeCell ref="L404:M404"/>
    <mergeCell ref="A405:E405"/>
    <mergeCell ref="G405:H405"/>
    <mergeCell ref="I405:K405"/>
    <mergeCell ref="L405:M405"/>
    <mergeCell ref="A412:E412"/>
    <mergeCell ref="G412:H412"/>
    <mergeCell ref="L412:M412"/>
    <mergeCell ref="A413:N413"/>
    <mergeCell ref="A414:E414"/>
    <mergeCell ref="G414:H414"/>
    <mergeCell ref="I414:K414"/>
    <mergeCell ref="L414:M414"/>
    <mergeCell ref="A415:E415"/>
    <mergeCell ref="G415:H415"/>
    <mergeCell ref="I415:K415"/>
    <mergeCell ref="L415:M415"/>
    <mergeCell ref="A409:E409"/>
    <mergeCell ref="G409:H409"/>
    <mergeCell ref="L409:M409"/>
    <mergeCell ref="A410:E410"/>
    <mergeCell ref="G410:H410"/>
    <mergeCell ref="L410:M410"/>
    <mergeCell ref="A411:E411"/>
    <mergeCell ref="G411:H411"/>
    <mergeCell ref="L411:M411"/>
    <mergeCell ref="A419:B419"/>
    <mergeCell ref="C419:D419"/>
    <mergeCell ref="E419:F419"/>
    <mergeCell ref="G419:I419"/>
    <mergeCell ref="J419:L419"/>
    <mergeCell ref="M419:N419"/>
    <mergeCell ref="A420:B420"/>
    <mergeCell ref="C420:D420"/>
    <mergeCell ref="E420:F420"/>
    <mergeCell ref="G420:I420"/>
    <mergeCell ref="J420:L420"/>
    <mergeCell ref="M420:N420"/>
    <mergeCell ref="A416:N416"/>
    <mergeCell ref="A417:B417"/>
    <mergeCell ref="C417:D417"/>
    <mergeCell ref="E417:F417"/>
    <mergeCell ref="G417:I417"/>
    <mergeCell ref="J417:L417"/>
    <mergeCell ref="M417:N417"/>
    <mergeCell ref="A418:B418"/>
    <mergeCell ref="C418:D418"/>
    <mergeCell ref="E418:F418"/>
    <mergeCell ref="G418:I418"/>
    <mergeCell ref="J418:L418"/>
    <mergeCell ref="M418:N418"/>
    <mergeCell ref="A430:N430"/>
    <mergeCell ref="A431:N431"/>
    <mergeCell ref="A432:N432"/>
    <mergeCell ref="A433:N433"/>
    <mergeCell ref="A434:N434"/>
    <mergeCell ref="A435:N435"/>
    <mergeCell ref="A436:B436"/>
    <mergeCell ref="C436:G436"/>
    <mergeCell ref="H436:L436"/>
    <mergeCell ref="M436:N436"/>
    <mergeCell ref="A421:N421"/>
    <mergeCell ref="A422:N422"/>
    <mergeCell ref="A423:N423"/>
    <mergeCell ref="A424:N424"/>
    <mergeCell ref="A425:N425"/>
    <mergeCell ref="A426:N426"/>
    <mergeCell ref="A427:N427"/>
    <mergeCell ref="A428:N428"/>
    <mergeCell ref="A429:N429"/>
    <mergeCell ref="A442:C443"/>
    <mergeCell ref="D442:G443"/>
    <mergeCell ref="H442:J443"/>
    <mergeCell ref="K442:N443"/>
    <mergeCell ref="A444:N444"/>
    <mergeCell ref="A445:E445"/>
    <mergeCell ref="G445:H445"/>
    <mergeCell ref="I445:K445"/>
    <mergeCell ref="L445:M445"/>
    <mergeCell ref="H438:I438"/>
    <mergeCell ref="J438:L438"/>
    <mergeCell ref="M438:N438"/>
    <mergeCell ref="B439:G439"/>
    <mergeCell ref="H439:J439"/>
    <mergeCell ref="K439:N439"/>
    <mergeCell ref="D440:E440"/>
    <mergeCell ref="K440:L440"/>
    <mergeCell ref="A441:C441"/>
    <mergeCell ref="D441:G441"/>
    <mergeCell ref="H441:J441"/>
    <mergeCell ref="K441:N441"/>
    <mergeCell ref="A449:E449"/>
    <mergeCell ref="G449:H449"/>
    <mergeCell ref="I449:K449"/>
    <mergeCell ref="L449:M449"/>
    <mergeCell ref="A450:E450"/>
    <mergeCell ref="G450:H450"/>
    <mergeCell ref="I450:K450"/>
    <mergeCell ref="L450:M450"/>
    <mergeCell ref="A451:E451"/>
    <mergeCell ref="G451:H451"/>
    <mergeCell ref="I451:K451"/>
    <mergeCell ref="L451:M451"/>
    <mergeCell ref="A446:E446"/>
    <mergeCell ref="G446:H446"/>
    <mergeCell ref="I446:K446"/>
    <mergeCell ref="L446:M446"/>
    <mergeCell ref="A447:E447"/>
    <mergeCell ref="G447:H447"/>
    <mergeCell ref="I447:K447"/>
    <mergeCell ref="L447:M447"/>
    <mergeCell ref="A448:E448"/>
    <mergeCell ref="G448:H448"/>
    <mergeCell ref="I448:K448"/>
    <mergeCell ref="L448:M448"/>
    <mergeCell ref="A455:E455"/>
    <mergeCell ref="G455:H455"/>
    <mergeCell ref="I455:K455"/>
    <mergeCell ref="L455:M455"/>
    <mergeCell ref="A456:E456"/>
    <mergeCell ref="G456:H456"/>
    <mergeCell ref="I456:K456"/>
    <mergeCell ref="L456:M456"/>
    <mergeCell ref="A457:E457"/>
    <mergeCell ref="G457:H457"/>
    <mergeCell ref="I457:K457"/>
    <mergeCell ref="L457:M457"/>
    <mergeCell ref="A452:E452"/>
    <mergeCell ref="G452:H452"/>
    <mergeCell ref="I452:K452"/>
    <mergeCell ref="L452:M452"/>
    <mergeCell ref="A453:E453"/>
    <mergeCell ref="G453:H453"/>
    <mergeCell ref="I453:K453"/>
    <mergeCell ref="L453:M453"/>
    <mergeCell ref="A454:E454"/>
    <mergeCell ref="G454:H454"/>
    <mergeCell ref="I454:K454"/>
    <mergeCell ref="L454:M454"/>
    <mergeCell ref="A461:E461"/>
    <mergeCell ref="G461:H461"/>
    <mergeCell ref="I461:K461"/>
    <mergeCell ref="L461:M461"/>
    <mergeCell ref="A462:E462"/>
    <mergeCell ref="G462:H462"/>
    <mergeCell ref="I462:K462"/>
    <mergeCell ref="L462:M462"/>
    <mergeCell ref="A463:E463"/>
    <mergeCell ref="G463:H463"/>
    <mergeCell ref="I463:K463"/>
    <mergeCell ref="L463:M463"/>
    <mergeCell ref="A458:E458"/>
    <mergeCell ref="G458:H458"/>
    <mergeCell ref="I458:K458"/>
    <mergeCell ref="L458:M458"/>
    <mergeCell ref="A459:E459"/>
    <mergeCell ref="G459:H459"/>
    <mergeCell ref="I459:K459"/>
    <mergeCell ref="L459:M459"/>
    <mergeCell ref="A460:E460"/>
    <mergeCell ref="G460:H460"/>
    <mergeCell ref="I460:K460"/>
    <mergeCell ref="L460:M460"/>
    <mergeCell ref="A467:E467"/>
    <mergeCell ref="G467:H467"/>
    <mergeCell ref="L467:M467"/>
    <mergeCell ref="A468:E468"/>
    <mergeCell ref="G468:H468"/>
    <mergeCell ref="L468:M468"/>
    <mergeCell ref="A469:E469"/>
    <mergeCell ref="G469:H469"/>
    <mergeCell ref="L469:M469"/>
    <mergeCell ref="A464:E464"/>
    <mergeCell ref="G464:H464"/>
    <mergeCell ref="I464:K464"/>
    <mergeCell ref="L464:M464"/>
    <mergeCell ref="A465:E465"/>
    <mergeCell ref="G465:H465"/>
    <mergeCell ref="I465:K465"/>
    <mergeCell ref="L465:M465"/>
    <mergeCell ref="A466:E466"/>
    <mergeCell ref="G466:H466"/>
    <mergeCell ref="I466:K466"/>
    <mergeCell ref="L466:M466"/>
    <mergeCell ref="A473:E473"/>
    <mergeCell ref="G473:H473"/>
    <mergeCell ref="L473:M473"/>
    <mergeCell ref="A474:N474"/>
    <mergeCell ref="A475:E475"/>
    <mergeCell ref="G475:H475"/>
    <mergeCell ref="I475:K475"/>
    <mergeCell ref="L475:M475"/>
    <mergeCell ref="A476:E476"/>
    <mergeCell ref="G476:H476"/>
    <mergeCell ref="I476:K476"/>
    <mergeCell ref="L476:M476"/>
    <mergeCell ref="A470:E470"/>
    <mergeCell ref="G470:H470"/>
    <mergeCell ref="L470:M470"/>
    <mergeCell ref="A471:E471"/>
    <mergeCell ref="G471:H471"/>
    <mergeCell ref="L471:M471"/>
    <mergeCell ref="A472:E472"/>
    <mergeCell ref="G472:H472"/>
    <mergeCell ref="L472:M472"/>
    <mergeCell ref="A480:B480"/>
    <mergeCell ref="C480:D480"/>
    <mergeCell ref="E480:F480"/>
    <mergeCell ref="G480:I480"/>
    <mergeCell ref="J480:L480"/>
    <mergeCell ref="M480:N480"/>
    <mergeCell ref="A481:B481"/>
    <mergeCell ref="C481:D481"/>
    <mergeCell ref="E481:F481"/>
    <mergeCell ref="G481:I481"/>
    <mergeCell ref="J481:L481"/>
    <mergeCell ref="M481:N481"/>
    <mergeCell ref="A477:N477"/>
    <mergeCell ref="A478:B478"/>
    <mergeCell ref="C478:D478"/>
    <mergeCell ref="E478:F478"/>
    <mergeCell ref="G478:I478"/>
    <mergeCell ref="J478:L478"/>
    <mergeCell ref="M478:N478"/>
    <mergeCell ref="A479:B479"/>
    <mergeCell ref="C479:D479"/>
    <mergeCell ref="E479:F479"/>
    <mergeCell ref="G479:I479"/>
    <mergeCell ref="J479:L479"/>
    <mergeCell ref="M479:N479"/>
    <mergeCell ref="A491:N491"/>
    <mergeCell ref="A492:N492"/>
    <mergeCell ref="A493:N493"/>
    <mergeCell ref="A494:N494"/>
    <mergeCell ref="A495:N495"/>
    <mergeCell ref="A496:N496"/>
    <mergeCell ref="A497:B497"/>
    <mergeCell ref="C497:G497"/>
    <mergeCell ref="H497:L497"/>
    <mergeCell ref="M497:N497"/>
    <mergeCell ref="A482:N482"/>
    <mergeCell ref="A483:N483"/>
    <mergeCell ref="A484:N484"/>
    <mergeCell ref="A485:N485"/>
    <mergeCell ref="A486:N486"/>
    <mergeCell ref="A487:N487"/>
    <mergeCell ref="A488:N488"/>
    <mergeCell ref="A489:N489"/>
    <mergeCell ref="A490:N490"/>
    <mergeCell ref="A503:C504"/>
    <mergeCell ref="D503:G504"/>
    <mergeCell ref="H503:J504"/>
    <mergeCell ref="K503:N504"/>
    <mergeCell ref="A505:N505"/>
    <mergeCell ref="A506:E506"/>
    <mergeCell ref="G506:H506"/>
    <mergeCell ref="I506:K506"/>
    <mergeCell ref="L506:M506"/>
    <mergeCell ref="H499:I499"/>
    <mergeCell ref="J499:L499"/>
    <mergeCell ref="M499:N499"/>
    <mergeCell ref="B500:G500"/>
    <mergeCell ref="H500:J500"/>
    <mergeCell ref="K500:N500"/>
    <mergeCell ref="D501:E501"/>
    <mergeCell ref="K501:L501"/>
    <mergeCell ref="A502:C502"/>
    <mergeCell ref="D502:G502"/>
    <mergeCell ref="H502:J502"/>
    <mergeCell ref="K502:N502"/>
    <mergeCell ref="A510:E510"/>
    <mergeCell ref="G510:H510"/>
    <mergeCell ref="I510:K510"/>
    <mergeCell ref="L510:M510"/>
    <mergeCell ref="A511:E511"/>
    <mergeCell ref="G511:H511"/>
    <mergeCell ref="I511:K511"/>
    <mergeCell ref="L511:M511"/>
    <mergeCell ref="A512:E512"/>
    <mergeCell ref="G512:H512"/>
    <mergeCell ref="I512:K512"/>
    <mergeCell ref="L512:M512"/>
    <mergeCell ref="A507:E507"/>
    <mergeCell ref="G507:H507"/>
    <mergeCell ref="I507:K507"/>
    <mergeCell ref="L507:M507"/>
    <mergeCell ref="A508:E508"/>
    <mergeCell ref="G508:H508"/>
    <mergeCell ref="I508:K508"/>
    <mergeCell ref="L508:M508"/>
    <mergeCell ref="A509:E509"/>
    <mergeCell ref="G509:H509"/>
    <mergeCell ref="I509:K509"/>
    <mergeCell ref="L509:M509"/>
    <mergeCell ref="A516:E516"/>
    <mergeCell ref="G516:H516"/>
    <mergeCell ref="I516:K516"/>
    <mergeCell ref="L516:M516"/>
    <mergeCell ref="A517:E517"/>
    <mergeCell ref="G517:H517"/>
    <mergeCell ref="I517:K517"/>
    <mergeCell ref="L517:M517"/>
    <mergeCell ref="A518:E518"/>
    <mergeCell ref="G518:H518"/>
    <mergeCell ref="I518:K518"/>
    <mergeCell ref="L518:M518"/>
    <mergeCell ref="A513:E513"/>
    <mergeCell ref="G513:H513"/>
    <mergeCell ref="I513:K513"/>
    <mergeCell ref="L513:M513"/>
    <mergeCell ref="A514:E514"/>
    <mergeCell ref="G514:H514"/>
    <mergeCell ref="I514:K514"/>
    <mergeCell ref="L514:M514"/>
    <mergeCell ref="A515:E515"/>
    <mergeCell ref="G515:H515"/>
    <mergeCell ref="I515:K515"/>
    <mergeCell ref="L515:M515"/>
    <mergeCell ref="A522:E522"/>
    <mergeCell ref="G522:H522"/>
    <mergeCell ref="I522:K522"/>
    <mergeCell ref="L522:M522"/>
    <mergeCell ref="A523:E523"/>
    <mergeCell ref="G523:H523"/>
    <mergeCell ref="I523:K523"/>
    <mergeCell ref="L523:M523"/>
    <mergeCell ref="A524:E524"/>
    <mergeCell ref="G524:H524"/>
    <mergeCell ref="I524:K524"/>
    <mergeCell ref="L524:M524"/>
    <mergeCell ref="A519:E519"/>
    <mergeCell ref="G519:H519"/>
    <mergeCell ref="I519:K519"/>
    <mergeCell ref="L519:M519"/>
    <mergeCell ref="A520:E520"/>
    <mergeCell ref="G520:H520"/>
    <mergeCell ref="I520:K520"/>
    <mergeCell ref="L520:M520"/>
    <mergeCell ref="A521:E521"/>
    <mergeCell ref="G521:H521"/>
    <mergeCell ref="I521:K521"/>
    <mergeCell ref="L521:M521"/>
    <mergeCell ref="A528:E528"/>
    <mergeCell ref="G528:H528"/>
    <mergeCell ref="L528:M528"/>
    <mergeCell ref="A529:E529"/>
    <mergeCell ref="G529:H529"/>
    <mergeCell ref="L529:M529"/>
    <mergeCell ref="A530:E530"/>
    <mergeCell ref="G530:H530"/>
    <mergeCell ref="L530:M530"/>
    <mergeCell ref="A525:E525"/>
    <mergeCell ref="G525:H525"/>
    <mergeCell ref="I525:K525"/>
    <mergeCell ref="L525:M525"/>
    <mergeCell ref="A526:E526"/>
    <mergeCell ref="G526:H526"/>
    <mergeCell ref="I526:K526"/>
    <mergeCell ref="L526:M526"/>
    <mergeCell ref="A527:E527"/>
    <mergeCell ref="G527:H527"/>
    <mergeCell ref="I527:K527"/>
    <mergeCell ref="L527:M527"/>
    <mergeCell ref="A534:E534"/>
    <mergeCell ref="G534:H534"/>
    <mergeCell ref="L534:M534"/>
    <mergeCell ref="A535:N535"/>
    <mergeCell ref="A536:E536"/>
    <mergeCell ref="G536:H536"/>
    <mergeCell ref="I536:K536"/>
    <mergeCell ref="L536:M536"/>
    <mergeCell ref="A537:E537"/>
    <mergeCell ref="G537:H537"/>
    <mergeCell ref="I537:K537"/>
    <mergeCell ref="L537:M537"/>
    <mergeCell ref="A531:E531"/>
    <mergeCell ref="G531:H531"/>
    <mergeCell ref="L531:M531"/>
    <mergeCell ref="A532:E532"/>
    <mergeCell ref="G532:H532"/>
    <mergeCell ref="L532:M532"/>
    <mergeCell ref="A533:E533"/>
    <mergeCell ref="G533:H533"/>
    <mergeCell ref="L533:M533"/>
    <mergeCell ref="A541:B541"/>
    <mergeCell ref="C541:D541"/>
    <mergeCell ref="E541:F541"/>
    <mergeCell ref="G541:I541"/>
    <mergeCell ref="J541:L541"/>
    <mergeCell ref="M541:N541"/>
    <mergeCell ref="A542:B542"/>
    <mergeCell ref="C542:D542"/>
    <mergeCell ref="E542:F542"/>
    <mergeCell ref="G542:I542"/>
    <mergeCell ref="J542:L542"/>
    <mergeCell ref="M542:N542"/>
    <mergeCell ref="A538:N538"/>
    <mergeCell ref="A539:B539"/>
    <mergeCell ref="C539:D539"/>
    <mergeCell ref="E539:F539"/>
    <mergeCell ref="G539:I539"/>
    <mergeCell ref="J539:L539"/>
    <mergeCell ref="M539:N539"/>
    <mergeCell ref="A540:B540"/>
    <mergeCell ref="C540:D540"/>
    <mergeCell ref="E540:F540"/>
    <mergeCell ref="G540:I540"/>
    <mergeCell ref="J540:L540"/>
    <mergeCell ref="M540:N540"/>
    <mergeCell ref="A552:N552"/>
    <mergeCell ref="A553:N553"/>
    <mergeCell ref="A554:N554"/>
    <mergeCell ref="A555:N555"/>
    <mergeCell ref="A556:N556"/>
    <mergeCell ref="A557:N557"/>
    <mergeCell ref="A558:B558"/>
    <mergeCell ref="C558:G558"/>
    <mergeCell ref="H558:L558"/>
    <mergeCell ref="M558:N558"/>
    <mergeCell ref="A543:N543"/>
    <mergeCell ref="A544:N544"/>
    <mergeCell ref="A545:N545"/>
    <mergeCell ref="A546:N546"/>
    <mergeCell ref="A547:N547"/>
    <mergeCell ref="A548:N548"/>
    <mergeCell ref="A549:N549"/>
    <mergeCell ref="A550:N550"/>
    <mergeCell ref="A551:N551"/>
    <mergeCell ref="A564:C565"/>
    <mergeCell ref="D564:G565"/>
    <mergeCell ref="H564:J565"/>
    <mergeCell ref="K564:N565"/>
    <mergeCell ref="A566:N566"/>
    <mergeCell ref="A567:E567"/>
    <mergeCell ref="G567:H567"/>
    <mergeCell ref="I567:K567"/>
    <mergeCell ref="L567:M567"/>
    <mergeCell ref="H560:I560"/>
    <mergeCell ref="J560:L560"/>
    <mergeCell ref="M560:N560"/>
    <mergeCell ref="B561:G561"/>
    <mergeCell ref="H561:J561"/>
    <mergeCell ref="K561:N561"/>
    <mergeCell ref="D562:E562"/>
    <mergeCell ref="K562:L562"/>
    <mergeCell ref="A563:C563"/>
    <mergeCell ref="D563:G563"/>
    <mergeCell ref="H563:J563"/>
    <mergeCell ref="K563:N563"/>
    <mergeCell ref="A571:E571"/>
    <mergeCell ref="G571:H571"/>
    <mergeCell ref="I571:K571"/>
    <mergeCell ref="L571:M571"/>
    <mergeCell ref="A572:E572"/>
    <mergeCell ref="G572:H572"/>
    <mergeCell ref="I572:K572"/>
    <mergeCell ref="L572:M572"/>
    <mergeCell ref="A573:E573"/>
    <mergeCell ref="G573:H573"/>
    <mergeCell ref="I573:K573"/>
    <mergeCell ref="L573:M573"/>
    <mergeCell ref="A568:E568"/>
    <mergeCell ref="G568:H568"/>
    <mergeCell ref="I568:K568"/>
    <mergeCell ref="L568:M568"/>
    <mergeCell ref="A569:E569"/>
    <mergeCell ref="G569:H569"/>
    <mergeCell ref="I569:K569"/>
    <mergeCell ref="L569:M569"/>
    <mergeCell ref="A570:E570"/>
    <mergeCell ref="G570:H570"/>
    <mergeCell ref="I570:K570"/>
    <mergeCell ref="L570:M570"/>
    <mergeCell ref="A577:E577"/>
    <mergeCell ref="G577:H577"/>
    <mergeCell ref="I577:K577"/>
    <mergeCell ref="L577:M577"/>
    <mergeCell ref="A578:E578"/>
    <mergeCell ref="G578:H578"/>
    <mergeCell ref="I578:K578"/>
    <mergeCell ref="L578:M578"/>
    <mergeCell ref="A579:E579"/>
    <mergeCell ref="G579:H579"/>
    <mergeCell ref="I579:K579"/>
    <mergeCell ref="L579:M579"/>
    <mergeCell ref="A574:E574"/>
    <mergeCell ref="G574:H574"/>
    <mergeCell ref="I574:K574"/>
    <mergeCell ref="L574:M574"/>
    <mergeCell ref="A575:E575"/>
    <mergeCell ref="G575:H575"/>
    <mergeCell ref="I575:K575"/>
    <mergeCell ref="L575:M575"/>
    <mergeCell ref="A576:E576"/>
    <mergeCell ref="G576:H576"/>
    <mergeCell ref="I576:K576"/>
    <mergeCell ref="L576:M576"/>
    <mergeCell ref="A583:E583"/>
    <mergeCell ref="G583:H583"/>
    <mergeCell ref="I583:K583"/>
    <mergeCell ref="L583:M583"/>
    <mergeCell ref="A584:E584"/>
    <mergeCell ref="G584:H584"/>
    <mergeCell ref="I584:K584"/>
    <mergeCell ref="L584:M584"/>
    <mergeCell ref="A585:E585"/>
    <mergeCell ref="G585:H585"/>
    <mergeCell ref="I585:K585"/>
    <mergeCell ref="L585:M585"/>
    <mergeCell ref="A580:E580"/>
    <mergeCell ref="G580:H580"/>
    <mergeCell ref="I580:K580"/>
    <mergeCell ref="L580:M580"/>
    <mergeCell ref="A581:E581"/>
    <mergeCell ref="G581:H581"/>
    <mergeCell ref="I581:K581"/>
    <mergeCell ref="L581:M581"/>
    <mergeCell ref="A582:E582"/>
    <mergeCell ref="G582:H582"/>
    <mergeCell ref="I582:K582"/>
    <mergeCell ref="L582:M582"/>
    <mergeCell ref="A589:E589"/>
    <mergeCell ref="G589:H589"/>
    <mergeCell ref="L589:M589"/>
    <mergeCell ref="A590:E590"/>
    <mergeCell ref="G590:H590"/>
    <mergeCell ref="L590:M590"/>
    <mergeCell ref="A591:E591"/>
    <mergeCell ref="G591:H591"/>
    <mergeCell ref="L591:M591"/>
    <mergeCell ref="A586:E586"/>
    <mergeCell ref="G586:H586"/>
    <mergeCell ref="I586:K586"/>
    <mergeCell ref="L586:M586"/>
    <mergeCell ref="A587:E587"/>
    <mergeCell ref="G587:H587"/>
    <mergeCell ref="I587:K587"/>
    <mergeCell ref="L587:M587"/>
    <mergeCell ref="A588:E588"/>
    <mergeCell ref="G588:H588"/>
    <mergeCell ref="I588:K588"/>
    <mergeCell ref="L588:M588"/>
    <mergeCell ref="A595:E595"/>
    <mergeCell ref="G595:H595"/>
    <mergeCell ref="L595:M595"/>
    <mergeCell ref="A596:N596"/>
    <mergeCell ref="A597:E597"/>
    <mergeCell ref="G597:H597"/>
    <mergeCell ref="I597:K597"/>
    <mergeCell ref="L597:M597"/>
    <mergeCell ref="A598:E598"/>
    <mergeCell ref="G598:H598"/>
    <mergeCell ref="I598:K598"/>
    <mergeCell ref="L598:M598"/>
    <mergeCell ref="A592:E592"/>
    <mergeCell ref="G592:H592"/>
    <mergeCell ref="L592:M592"/>
    <mergeCell ref="A593:E593"/>
    <mergeCell ref="G593:H593"/>
    <mergeCell ref="L593:M593"/>
    <mergeCell ref="A594:E594"/>
    <mergeCell ref="G594:H594"/>
    <mergeCell ref="L594:M594"/>
    <mergeCell ref="A602:B602"/>
    <mergeCell ref="C602:D602"/>
    <mergeCell ref="E602:F602"/>
    <mergeCell ref="G602:I602"/>
    <mergeCell ref="J602:L602"/>
    <mergeCell ref="M602:N602"/>
    <mergeCell ref="A603:B603"/>
    <mergeCell ref="C603:D603"/>
    <mergeCell ref="E603:F603"/>
    <mergeCell ref="G603:I603"/>
    <mergeCell ref="J603:L603"/>
    <mergeCell ref="M603:N603"/>
    <mergeCell ref="A599:N599"/>
    <mergeCell ref="A600:B600"/>
    <mergeCell ref="C600:D600"/>
    <mergeCell ref="E600:F600"/>
    <mergeCell ref="G600:I600"/>
    <mergeCell ref="J600:L600"/>
    <mergeCell ref="M600:N600"/>
    <mergeCell ref="A601:B601"/>
    <mergeCell ref="C601:D601"/>
    <mergeCell ref="E601:F601"/>
    <mergeCell ref="G601:I601"/>
    <mergeCell ref="J601:L601"/>
    <mergeCell ref="M601:N601"/>
    <mergeCell ref="A613:N613"/>
    <mergeCell ref="A614:N614"/>
    <mergeCell ref="A615:N615"/>
    <mergeCell ref="A616:N616"/>
    <mergeCell ref="A617:N617"/>
    <mergeCell ref="A618:N618"/>
    <mergeCell ref="A619:B619"/>
    <mergeCell ref="C619:G619"/>
    <mergeCell ref="H619:L619"/>
    <mergeCell ref="M619:N619"/>
    <mergeCell ref="A604:N604"/>
    <mergeCell ref="A605:N605"/>
    <mergeCell ref="A606:N606"/>
    <mergeCell ref="A607:N607"/>
    <mergeCell ref="A608:N608"/>
    <mergeCell ref="A609:N609"/>
    <mergeCell ref="A610:N610"/>
    <mergeCell ref="A611:N611"/>
    <mergeCell ref="A612:N612"/>
    <mergeCell ref="A625:C626"/>
    <mergeCell ref="D625:G626"/>
    <mergeCell ref="H625:J626"/>
    <mergeCell ref="K625:N626"/>
    <mergeCell ref="A627:N627"/>
    <mergeCell ref="A628:E628"/>
    <mergeCell ref="G628:H628"/>
    <mergeCell ref="I628:K628"/>
    <mergeCell ref="L628:M628"/>
    <mergeCell ref="H621:I621"/>
    <mergeCell ref="J621:L621"/>
    <mergeCell ref="M621:N621"/>
    <mergeCell ref="B622:G622"/>
    <mergeCell ref="H622:J622"/>
    <mergeCell ref="K622:N622"/>
    <mergeCell ref="D623:E623"/>
    <mergeCell ref="K623:L623"/>
    <mergeCell ref="A624:C624"/>
    <mergeCell ref="D624:G624"/>
    <mergeCell ref="H624:J624"/>
    <mergeCell ref="K624:N624"/>
    <mergeCell ref="A632:E632"/>
    <mergeCell ref="G632:H632"/>
    <mergeCell ref="I632:K632"/>
    <mergeCell ref="L632:M632"/>
    <mergeCell ref="A633:E633"/>
    <mergeCell ref="G633:H633"/>
    <mergeCell ref="I633:K633"/>
    <mergeCell ref="L633:M633"/>
    <mergeCell ref="A634:E634"/>
    <mergeCell ref="G634:H634"/>
    <mergeCell ref="I634:K634"/>
    <mergeCell ref="L634:M634"/>
    <mergeCell ref="A629:E629"/>
    <mergeCell ref="G629:H629"/>
    <mergeCell ref="I629:K629"/>
    <mergeCell ref="L629:M629"/>
    <mergeCell ref="A630:E630"/>
    <mergeCell ref="G630:H630"/>
    <mergeCell ref="I630:K630"/>
    <mergeCell ref="L630:M630"/>
    <mergeCell ref="A631:E631"/>
    <mergeCell ref="G631:H631"/>
    <mergeCell ref="I631:K631"/>
    <mergeCell ref="L631:M631"/>
    <mergeCell ref="A638:E638"/>
    <mergeCell ref="G638:H638"/>
    <mergeCell ref="I638:K638"/>
    <mergeCell ref="L638:M638"/>
    <mergeCell ref="A639:E639"/>
    <mergeCell ref="G639:H639"/>
    <mergeCell ref="I639:K639"/>
    <mergeCell ref="L639:M639"/>
    <mergeCell ref="A640:E640"/>
    <mergeCell ref="G640:H640"/>
    <mergeCell ref="I640:K640"/>
    <mergeCell ref="L640:M640"/>
    <mergeCell ref="A635:E635"/>
    <mergeCell ref="G635:H635"/>
    <mergeCell ref="I635:K635"/>
    <mergeCell ref="L635:M635"/>
    <mergeCell ref="A636:E636"/>
    <mergeCell ref="G636:H636"/>
    <mergeCell ref="I636:K636"/>
    <mergeCell ref="L636:M636"/>
    <mergeCell ref="A637:E637"/>
    <mergeCell ref="G637:H637"/>
    <mergeCell ref="I637:K637"/>
    <mergeCell ref="L637:M637"/>
    <mergeCell ref="A644:E644"/>
    <mergeCell ref="G644:H644"/>
    <mergeCell ref="I644:K644"/>
    <mergeCell ref="L644:M644"/>
    <mergeCell ref="A645:E645"/>
    <mergeCell ref="G645:H645"/>
    <mergeCell ref="I645:K645"/>
    <mergeCell ref="L645:M645"/>
    <mergeCell ref="A646:E646"/>
    <mergeCell ref="G646:H646"/>
    <mergeCell ref="I646:K646"/>
    <mergeCell ref="L646:M646"/>
    <mergeCell ref="A641:E641"/>
    <mergeCell ref="G641:H641"/>
    <mergeCell ref="I641:K641"/>
    <mergeCell ref="L641:M641"/>
    <mergeCell ref="A642:E642"/>
    <mergeCell ref="G642:H642"/>
    <mergeCell ref="I642:K642"/>
    <mergeCell ref="L642:M642"/>
    <mergeCell ref="A643:E643"/>
    <mergeCell ref="G643:H643"/>
    <mergeCell ref="I643:K643"/>
    <mergeCell ref="L643:M643"/>
    <mergeCell ref="A650:E650"/>
    <mergeCell ref="G650:H650"/>
    <mergeCell ref="L650:M650"/>
    <mergeCell ref="A651:E651"/>
    <mergeCell ref="G651:H651"/>
    <mergeCell ref="L651:M651"/>
    <mergeCell ref="A652:E652"/>
    <mergeCell ref="G652:H652"/>
    <mergeCell ref="L652:M652"/>
    <mergeCell ref="A647:E647"/>
    <mergeCell ref="G647:H647"/>
    <mergeCell ref="I647:K647"/>
    <mergeCell ref="L647:M647"/>
    <mergeCell ref="A648:E648"/>
    <mergeCell ref="G648:H648"/>
    <mergeCell ref="I648:K648"/>
    <mergeCell ref="L648:M648"/>
    <mergeCell ref="A649:E649"/>
    <mergeCell ref="G649:H649"/>
    <mergeCell ref="I649:K649"/>
    <mergeCell ref="L649:M649"/>
    <mergeCell ref="A656:E656"/>
    <mergeCell ref="G656:H656"/>
    <mergeCell ref="L656:M656"/>
    <mergeCell ref="A657:N657"/>
    <mergeCell ref="A658:E658"/>
    <mergeCell ref="G658:H658"/>
    <mergeCell ref="I658:K658"/>
    <mergeCell ref="L658:M658"/>
    <mergeCell ref="A659:E659"/>
    <mergeCell ref="G659:H659"/>
    <mergeCell ref="I659:K659"/>
    <mergeCell ref="L659:M659"/>
    <mergeCell ref="A653:E653"/>
    <mergeCell ref="G653:H653"/>
    <mergeCell ref="L653:M653"/>
    <mergeCell ref="A654:E654"/>
    <mergeCell ref="G654:H654"/>
    <mergeCell ref="L654:M654"/>
    <mergeCell ref="A655:E655"/>
    <mergeCell ref="G655:H655"/>
    <mergeCell ref="L655:M655"/>
    <mergeCell ref="A663:B663"/>
    <mergeCell ref="C663:D663"/>
    <mergeCell ref="E663:F663"/>
    <mergeCell ref="G663:I663"/>
    <mergeCell ref="J663:L663"/>
    <mergeCell ref="M663:N663"/>
    <mergeCell ref="A664:B664"/>
    <mergeCell ref="C664:D664"/>
    <mergeCell ref="E664:F664"/>
    <mergeCell ref="G664:I664"/>
    <mergeCell ref="J664:L664"/>
    <mergeCell ref="M664:N664"/>
    <mergeCell ref="A660:N660"/>
    <mergeCell ref="A661:B661"/>
    <mergeCell ref="C661:D661"/>
    <mergeCell ref="E661:F661"/>
    <mergeCell ref="G661:I661"/>
    <mergeCell ref="J661:L661"/>
    <mergeCell ref="M661:N661"/>
    <mergeCell ref="A662:B662"/>
    <mergeCell ref="C662:D662"/>
    <mergeCell ref="E662:F662"/>
    <mergeCell ref="G662:I662"/>
    <mergeCell ref="J662:L662"/>
    <mergeCell ref="M662:N662"/>
    <mergeCell ref="A674:N674"/>
    <mergeCell ref="A675:N675"/>
    <mergeCell ref="A676:N676"/>
    <mergeCell ref="A677:N677"/>
    <mergeCell ref="A678:N678"/>
    <mergeCell ref="A679:N679"/>
    <mergeCell ref="A680:B680"/>
    <mergeCell ref="C680:G680"/>
    <mergeCell ref="H680:L680"/>
    <mergeCell ref="M680:N680"/>
    <mergeCell ref="A665:N665"/>
    <mergeCell ref="A666:N666"/>
    <mergeCell ref="A667:N667"/>
    <mergeCell ref="A668:N668"/>
    <mergeCell ref="A669:N669"/>
    <mergeCell ref="A670:N670"/>
    <mergeCell ref="A671:N671"/>
    <mergeCell ref="A672:N672"/>
    <mergeCell ref="A673:N673"/>
    <mergeCell ref="A686:C687"/>
    <mergeCell ref="D686:G687"/>
    <mergeCell ref="H686:J687"/>
    <mergeCell ref="K686:N687"/>
    <mergeCell ref="A688:N688"/>
    <mergeCell ref="A689:E689"/>
    <mergeCell ref="G689:H689"/>
    <mergeCell ref="I689:K689"/>
    <mergeCell ref="L689:M689"/>
    <mergeCell ref="H682:I682"/>
    <mergeCell ref="J682:L682"/>
    <mergeCell ref="M682:N682"/>
    <mergeCell ref="B683:G683"/>
    <mergeCell ref="H683:J683"/>
    <mergeCell ref="K683:N683"/>
    <mergeCell ref="D684:E684"/>
    <mergeCell ref="K684:L684"/>
    <mergeCell ref="A685:C685"/>
    <mergeCell ref="D685:G685"/>
    <mergeCell ref="H685:J685"/>
    <mergeCell ref="K685:N685"/>
    <mergeCell ref="A693:E693"/>
    <mergeCell ref="G693:H693"/>
    <mergeCell ref="I693:K693"/>
    <mergeCell ref="L693:M693"/>
    <mergeCell ref="A694:E694"/>
    <mergeCell ref="G694:H694"/>
    <mergeCell ref="I694:K694"/>
    <mergeCell ref="L694:M694"/>
    <mergeCell ref="A695:E695"/>
    <mergeCell ref="G695:H695"/>
    <mergeCell ref="I695:K695"/>
    <mergeCell ref="L695:M695"/>
    <mergeCell ref="A690:E690"/>
    <mergeCell ref="G690:H690"/>
    <mergeCell ref="I690:K690"/>
    <mergeCell ref="L690:M690"/>
    <mergeCell ref="A691:E691"/>
    <mergeCell ref="G691:H691"/>
    <mergeCell ref="I691:K691"/>
    <mergeCell ref="L691:M691"/>
    <mergeCell ref="A692:E692"/>
    <mergeCell ref="G692:H692"/>
    <mergeCell ref="I692:K692"/>
    <mergeCell ref="L692:M692"/>
    <mergeCell ref="A699:E699"/>
    <mergeCell ref="G699:H699"/>
    <mergeCell ref="I699:K699"/>
    <mergeCell ref="L699:M699"/>
    <mergeCell ref="A700:E700"/>
    <mergeCell ref="G700:H700"/>
    <mergeCell ref="I700:K700"/>
    <mergeCell ref="L700:M700"/>
    <mergeCell ref="A701:E701"/>
    <mergeCell ref="G701:H701"/>
    <mergeCell ref="I701:K701"/>
    <mergeCell ref="L701:M701"/>
    <mergeCell ref="A696:E696"/>
    <mergeCell ref="G696:H696"/>
    <mergeCell ref="I696:K696"/>
    <mergeCell ref="L696:M696"/>
    <mergeCell ref="A697:E697"/>
    <mergeCell ref="G697:H697"/>
    <mergeCell ref="I697:K697"/>
    <mergeCell ref="L697:M697"/>
    <mergeCell ref="A698:E698"/>
    <mergeCell ref="G698:H698"/>
    <mergeCell ref="I698:K698"/>
    <mergeCell ref="L698:M698"/>
    <mergeCell ref="A705:E705"/>
    <mergeCell ref="G705:H705"/>
    <mergeCell ref="I705:K705"/>
    <mergeCell ref="L705:M705"/>
    <mergeCell ref="A706:E706"/>
    <mergeCell ref="G706:H706"/>
    <mergeCell ref="I706:K706"/>
    <mergeCell ref="L706:M706"/>
    <mergeCell ref="A707:E707"/>
    <mergeCell ref="G707:H707"/>
    <mergeCell ref="I707:K707"/>
    <mergeCell ref="L707:M707"/>
    <mergeCell ref="A702:E702"/>
    <mergeCell ref="G702:H702"/>
    <mergeCell ref="I702:K702"/>
    <mergeCell ref="L702:M702"/>
    <mergeCell ref="A703:E703"/>
    <mergeCell ref="G703:H703"/>
    <mergeCell ref="I703:K703"/>
    <mergeCell ref="L703:M703"/>
    <mergeCell ref="A704:E704"/>
    <mergeCell ref="G704:H704"/>
    <mergeCell ref="I704:K704"/>
    <mergeCell ref="L704:M704"/>
    <mergeCell ref="A711:E711"/>
    <mergeCell ref="G711:H711"/>
    <mergeCell ref="L711:M711"/>
    <mergeCell ref="A712:E712"/>
    <mergeCell ref="G712:H712"/>
    <mergeCell ref="L712:M712"/>
    <mergeCell ref="A713:E713"/>
    <mergeCell ref="G713:H713"/>
    <mergeCell ref="L713:M713"/>
    <mergeCell ref="A708:E708"/>
    <mergeCell ref="G708:H708"/>
    <mergeCell ref="I708:K708"/>
    <mergeCell ref="L708:M708"/>
    <mergeCell ref="A709:E709"/>
    <mergeCell ref="G709:H709"/>
    <mergeCell ref="I709:K709"/>
    <mergeCell ref="L709:M709"/>
    <mergeCell ref="A710:E710"/>
    <mergeCell ref="G710:H710"/>
    <mergeCell ref="I710:K710"/>
    <mergeCell ref="L710:M710"/>
    <mergeCell ref="A717:E717"/>
    <mergeCell ref="G717:H717"/>
    <mergeCell ref="L717:M717"/>
    <mergeCell ref="A718:N718"/>
    <mergeCell ref="A719:E719"/>
    <mergeCell ref="G719:H719"/>
    <mergeCell ref="I719:K719"/>
    <mergeCell ref="L719:M719"/>
    <mergeCell ref="A720:E720"/>
    <mergeCell ref="G720:H720"/>
    <mergeCell ref="I720:K720"/>
    <mergeCell ref="L720:M720"/>
    <mergeCell ref="A714:E714"/>
    <mergeCell ref="G714:H714"/>
    <mergeCell ref="L714:M714"/>
    <mergeCell ref="A715:E715"/>
    <mergeCell ref="G715:H715"/>
    <mergeCell ref="L715:M715"/>
    <mergeCell ref="A716:E716"/>
    <mergeCell ref="G716:H716"/>
    <mergeCell ref="L716:M716"/>
    <mergeCell ref="A724:B724"/>
    <mergeCell ref="C724:D724"/>
    <mergeCell ref="E724:F724"/>
    <mergeCell ref="G724:I724"/>
    <mergeCell ref="J724:L724"/>
    <mergeCell ref="M724:N724"/>
    <mergeCell ref="A725:B725"/>
    <mergeCell ref="C725:D725"/>
    <mergeCell ref="E725:F725"/>
    <mergeCell ref="G725:I725"/>
    <mergeCell ref="J725:L725"/>
    <mergeCell ref="M725:N725"/>
    <mergeCell ref="A721:N721"/>
    <mergeCell ref="A722:B722"/>
    <mergeCell ref="C722:D722"/>
    <mergeCell ref="E722:F722"/>
    <mergeCell ref="G722:I722"/>
    <mergeCell ref="J722:L722"/>
    <mergeCell ref="M722:N722"/>
    <mergeCell ref="A723:B723"/>
    <mergeCell ref="C723:D723"/>
    <mergeCell ref="E723:F723"/>
    <mergeCell ref="G723:I723"/>
    <mergeCell ref="J723:L723"/>
    <mergeCell ref="M723:N723"/>
    <mergeCell ref="A735:N735"/>
    <mergeCell ref="A736:N736"/>
    <mergeCell ref="A737:N737"/>
    <mergeCell ref="A738:N738"/>
    <mergeCell ref="A739:N739"/>
    <mergeCell ref="A740:N740"/>
    <mergeCell ref="A741:B741"/>
    <mergeCell ref="C741:G741"/>
    <mergeCell ref="H741:L741"/>
    <mergeCell ref="M741:N741"/>
    <mergeCell ref="A726:N726"/>
    <mergeCell ref="A727:N727"/>
    <mergeCell ref="A728:N728"/>
    <mergeCell ref="A729:N729"/>
    <mergeCell ref="A730:N730"/>
    <mergeCell ref="A731:N731"/>
    <mergeCell ref="A732:N732"/>
    <mergeCell ref="A733:N733"/>
    <mergeCell ref="A734:N734"/>
    <mergeCell ref="A747:C748"/>
    <mergeCell ref="D747:G748"/>
    <mergeCell ref="H747:J748"/>
    <mergeCell ref="K747:N748"/>
    <mergeCell ref="A749:N749"/>
    <mergeCell ref="A750:E750"/>
    <mergeCell ref="G750:H750"/>
    <mergeCell ref="I750:K750"/>
    <mergeCell ref="L750:M750"/>
    <mergeCell ref="H743:I743"/>
    <mergeCell ref="J743:L743"/>
    <mergeCell ref="M743:N743"/>
    <mergeCell ref="B744:G744"/>
    <mergeCell ref="H744:J744"/>
    <mergeCell ref="K744:N744"/>
    <mergeCell ref="D745:E745"/>
    <mergeCell ref="K745:L745"/>
    <mergeCell ref="A746:C746"/>
    <mergeCell ref="D746:G746"/>
    <mergeCell ref="H746:J746"/>
    <mergeCell ref="K746:N746"/>
    <mergeCell ref="A754:E754"/>
    <mergeCell ref="G754:H754"/>
    <mergeCell ref="I754:K754"/>
    <mergeCell ref="L754:M754"/>
    <mergeCell ref="A755:E755"/>
    <mergeCell ref="G755:H755"/>
    <mergeCell ref="I755:K755"/>
    <mergeCell ref="L755:M755"/>
    <mergeCell ref="A756:E756"/>
    <mergeCell ref="G756:H756"/>
    <mergeCell ref="I756:K756"/>
    <mergeCell ref="L756:M756"/>
    <mergeCell ref="A751:E751"/>
    <mergeCell ref="G751:H751"/>
    <mergeCell ref="I751:K751"/>
    <mergeCell ref="L751:M751"/>
    <mergeCell ref="A752:E752"/>
    <mergeCell ref="G752:H752"/>
    <mergeCell ref="I752:K752"/>
    <mergeCell ref="L752:M752"/>
    <mergeCell ref="A753:E753"/>
    <mergeCell ref="G753:H753"/>
    <mergeCell ref="I753:K753"/>
    <mergeCell ref="L753:M753"/>
    <mergeCell ref="A760:E760"/>
    <mergeCell ref="G760:H760"/>
    <mergeCell ref="I760:K760"/>
    <mergeCell ref="L760:M760"/>
    <mergeCell ref="A761:E761"/>
    <mergeCell ref="G761:H761"/>
    <mergeCell ref="I761:K761"/>
    <mergeCell ref="L761:M761"/>
    <mergeCell ref="A762:E762"/>
    <mergeCell ref="G762:H762"/>
    <mergeCell ref="I762:K762"/>
    <mergeCell ref="L762:M762"/>
    <mergeCell ref="A757:E757"/>
    <mergeCell ref="G757:H757"/>
    <mergeCell ref="I757:K757"/>
    <mergeCell ref="L757:M757"/>
    <mergeCell ref="A758:E758"/>
    <mergeCell ref="G758:H758"/>
    <mergeCell ref="I758:K758"/>
    <mergeCell ref="L758:M758"/>
    <mergeCell ref="A759:E759"/>
    <mergeCell ref="G759:H759"/>
    <mergeCell ref="I759:K759"/>
    <mergeCell ref="L759:M759"/>
    <mergeCell ref="A766:E766"/>
    <mergeCell ref="G766:H766"/>
    <mergeCell ref="I766:K766"/>
    <mergeCell ref="L766:M766"/>
    <mergeCell ref="A767:E767"/>
    <mergeCell ref="G767:H767"/>
    <mergeCell ref="I767:K767"/>
    <mergeCell ref="L767:M767"/>
    <mergeCell ref="A768:E768"/>
    <mergeCell ref="G768:H768"/>
    <mergeCell ref="I768:K768"/>
    <mergeCell ref="L768:M768"/>
    <mergeCell ref="A763:E763"/>
    <mergeCell ref="G763:H763"/>
    <mergeCell ref="I763:K763"/>
    <mergeCell ref="L763:M763"/>
    <mergeCell ref="A764:E764"/>
    <mergeCell ref="G764:H764"/>
    <mergeCell ref="I764:K764"/>
    <mergeCell ref="L764:M764"/>
    <mergeCell ref="A765:E765"/>
    <mergeCell ref="G765:H765"/>
    <mergeCell ref="I765:K765"/>
    <mergeCell ref="L765:M765"/>
    <mergeCell ref="A772:E772"/>
    <mergeCell ref="G772:H772"/>
    <mergeCell ref="L772:M772"/>
    <mergeCell ref="A773:E773"/>
    <mergeCell ref="G773:H773"/>
    <mergeCell ref="L773:M773"/>
    <mergeCell ref="A774:E774"/>
    <mergeCell ref="G774:H774"/>
    <mergeCell ref="L774:M774"/>
    <mergeCell ref="A769:E769"/>
    <mergeCell ref="G769:H769"/>
    <mergeCell ref="I769:K769"/>
    <mergeCell ref="L769:M769"/>
    <mergeCell ref="A770:E770"/>
    <mergeCell ref="G770:H770"/>
    <mergeCell ref="I770:K770"/>
    <mergeCell ref="L770:M770"/>
    <mergeCell ref="A771:E771"/>
    <mergeCell ref="G771:H771"/>
    <mergeCell ref="I771:K771"/>
    <mergeCell ref="L771:M771"/>
    <mergeCell ref="A778:E778"/>
    <mergeCell ref="G778:H778"/>
    <mergeCell ref="L778:M778"/>
    <mergeCell ref="A779:N779"/>
    <mergeCell ref="A780:E780"/>
    <mergeCell ref="G780:H780"/>
    <mergeCell ref="I780:K780"/>
    <mergeCell ref="L780:M780"/>
    <mergeCell ref="A781:E781"/>
    <mergeCell ref="G781:H781"/>
    <mergeCell ref="I781:K781"/>
    <mergeCell ref="L781:M781"/>
    <mergeCell ref="A775:E775"/>
    <mergeCell ref="G775:H775"/>
    <mergeCell ref="L775:M775"/>
    <mergeCell ref="A776:E776"/>
    <mergeCell ref="G776:H776"/>
    <mergeCell ref="L776:M776"/>
    <mergeCell ref="A777:E777"/>
    <mergeCell ref="G777:H777"/>
    <mergeCell ref="L777:M777"/>
    <mergeCell ref="A785:B785"/>
    <mergeCell ref="C785:D785"/>
    <mergeCell ref="E785:F785"/>
    <mergeCell ref="G785:I785"/>
    <mergeCell ref="J785:L785"/>
    <mergeCell ref="M785:N785"/>
    <mergeCell ref="A786:B786"/>
    <mergeCell ref="C786:D786"/>
    <mergeCell ref="E786:F786"/>
    <mergeCell ref="G786:I786"/>
    <mergeCell ref="J786:L786"/>
    <mergeCell ref="M786:N786"/>
    <mergeCell ref="A782:N782"/>
    <mergeCell ref="A783:B783"/>
    <mergeCell ref="C783:D783"/>
    <mergeCell ref="E783:F783"/>
    <mergeCell ref="G783:I783"/>
    <mergeCell ref="J783:L783"/>
    <mergeCell ref="M783:N783"/>
    <mergeCell ref="A784:B784"/>
    <mergeCell ref="C784:D784"/>
    <mergeCell ref="E784:F784"/>
    <mergeCell ref="G784:I784"/>
    <mergeCell ref="J784:L784"/>
    <mergeCell ref="M784:N784"/>
    <mergeCell ref="A796:N796"/>
    <mergeCell ref="A797:N797"/>
    <mergeCell ref="A798:N798"/>
    <mergeCell ref="A799:N799"/>
    <mergeCell ref="A800:N800"/>
    <mergeCell ref="A801:N801"/>
    <mergeCell ref="A802:B802"/>
    <mergeCell ref="C802:G802"/>
    <mergeCell ref="H802:L802"/>
    <mergeCell ref="M802:N802"/>
    <mergeCell ref="A787:N787"/>
    <mergeCell ref="A788:N788"/>
    <mergeCell ref="A789:N789"/>
    <mergeCell ref="A790:N790"/>
    <mergeCell ref="A791:N791"/>
    <mergeCell ref="A792:N792"/>
    <mergeCell ref="A793:N793"/>
    <mergeCell ref="A794:N794"/>
    <mergeCell ref="A795:N795"/>
    <mergeCell ref="A808:C809"/>
    <mergeCell ref="D808:G809"/>
    <mergeCell ref="H808:J809"/>
    <mergeCell ref="K808:N809"/>
    <mergeCell ref="A810:N810"/>
    <mergeCell ref="A811:E811"/>
    <mergeCell ref="G811:H811"/>
    <mergeCell ref="I811:K811"/>
    <mergeCell ref="L811:M811"/>
    <mergeCell ref="H804:I804"/>
    <mergeCell ref="J804:L804"/>
    <mergeCell ref="M804:N804"/>
    <mergeCell ref="B805:G805"/>
    <mergeCell ref="H805:J805"/>
    <mergeCell ref="K805:N805"/>
    <mergeCell ref="D806:E806"/>
    <mergeCell ref="K806:L806"/>
    <mergeCell ref="A807:C807"/>
    <mergeCell ref="D807:G807"/>
    <mergeCell ref="H807:J807"/>
    <mergeCell ref="K807:N807"/>
    <mergeCell ref="A815:E815"/>
    <mergeCell ref="G815:H815"/>
    <mergeCell ref="I815:K815"/>
    <mergeCell ref="L815:M815"/>
    <mergeCell ref="A816:E816"/>
    <mergeCell ref="G816:H816"/>
    <mergeCell ref="I816:K816"/>
    <mergeCell ref="L816:M816"/>
    <mergeCell ref="A817:E817"/>
    <mergeCell ref="G817:H817"/>
    <mergeCell ref="I817:K817"/>
    <mergeCell ref="L817:M817"/>
    <mergeCell ref="A812:E812"/>
    <mergeCell ref="G812:H812"/>
    <mergeCell ref="I812:K812"/>
    <mergeCell ref="L812:M812"/>
    <mergeCell ref="A813:E813"/>
    <mergeCell ref="G813:H813"/>
    <mergeCell ref="I813:K813"/>
    <mergeCell ref="L813:M813"/>
    <mergeCell ref="A814:E814"/>
    <mergeCell ref="G814:H814"/>
    <mergeCell ref="I814:K814"/>
    <mergeCell ref="L814:M814"/>
    <mergeCell ref="A821:E821"/>
    <mergeCell ref="G821:H821"/>
    <mergeCell ref="I821:K821"/>
    <mergeCell ref="L821:M821"/>
    <mergeCell ref="A822:E822"/>
    <mergeCell ref="G822:H822"/>
    <mergeCell ref="I822:K822"/>
    <mergeCell ref="L822:M822"/>
    <mergeCell ref="A823:E823"/>
    <mergeCell ref="G823:H823"/>
    <mergeCell ref="I823:K823"/>
    <mergeCell ref="L823:M823"/>
    <mergeCell ref="A818:E818"/>
    <mergeCell ref="G818:H818"/>
    <mergeCell ref="I818:K818"/>
    <mergeCell ref="L818:M818"/>
    <mergeCell ref="A819:E819"/>
    <mergeCell ref="G819:H819"/>
    <mergeCell ref="I819:K819"/>
    <mergeCell ref="L819:M819"/>
    <mergeCell ref="A820:E820"/>
    <mergeCell ref="G820:H820"/>
    <mergeCell ref="I820:K820"/>
    <mergeCell ref="L820:M820"/>
    <mergeCell ref="A827:E827"/>
    <mergeCell ref="G827:H827"/>
    <mergeCell ref="I827:K827"/>
    <mergeCell ref="L827:M827"/>
    <mergeCell ref="A828:E828"/>
    <mergeCell ref="G828:H828"/>
    <mergeCell ref="I828:K828"/>
    <mergeCell ref="L828:M828"/>
    <mergeCell ref="A829:E829"/>
    <mergeCell ref="G829:H829"/>
    <mergeCell ref="I829:K829"/>
    <mergeCell ref="L829:M829"/>
    <mergeCell ref="A824:E824"/>
    <mergeCell ref="G824:H824"/>
    <mergeCell ref="I824:K824"/>
    <mergeCell ref="L824:M824"/>
    <mergeCell ref="A825:E825"/>
    <mergeCell ref="G825:H825"/>
    <mergeCell ref="I825:K825"/>
    <mergeCell ref="L825:M825"/>
    <mergeCell ref="A826:E826"/>
    <mergeCell ref="G826:H826"/>
    <mergeCell ref="I826:K826"/>
    <mergeCell ref="L826:M826"/>
    <mergeCell ref="A833:E833"/>
    <mergeCell ref="G833:H833"/>
    <mergeCell ref="L833:M833"/>
    <mergeCell ref="A834:E834"/>
    <mergeCell ref="G834:H834"/>
    <mergeCell ref="L834:M834"/>
    <mergeCell ref="A835:E835"/>
    <mergeCell ref="G835:H835"/>
    <mergeCell ref="L835:M835"/>
    <mergeCell ref="A830:E830"/>
    <mergeCell ref="G830:H830"/>
    <mergeCell ref="I830:K830"/>
    <mergeCell ref="L830:M830"/>
    <mergeCell ref="A831:E831"/>
    <mergeCell ref="G831:H831"/>
    <mergeCell ref="I831:K831"/>
    <mergeCell ref="L831:M831"/>
    <mergeCell ref="A832:E832"/>
    <mergeCell ref="G832:H832"/>
    <mergeCell ref="I832:K832"/>
    <mergeCell ref="L832:M832"/>
    <mergeCell ref="A839:E839"/>
    <mergeCell ref="G839:H839"/>
    <mergeCell ref="L839:M839"/>
    <mergeCell ref="A840:N840"/>
    <mergeCell ref="A841:E841"/>
    <mergeCell ref="G841:H841"/>
    <mergeCell ref="I841:K841"/>
    <mergeCell ref="L841:M841"/>
    <mergeCell ref="A842:E842"/>
    <mergeCell ref="G842:H842"/>
    <mergeCell ref="I842:K842"/>
    <mergeCell ref="L842:M842"/>
    <mergeCell ref="A836:E836"/>
    <mergeCell ref="G836:H836"/>
    <mergeCell ref="L836:M836"/>
    <mergeCell ref="A837:E837"/>
    <mergeCell ref="G837:H837"/>
    <mergeCell ref="L837:M837"/>
    <mergeCell ref="A838:E838"/>
    <mergeCell ref="G838:H838"/>
    <mergeCell ref="L838:M838"/>
    <mergeCell ref="A846:B846"/>
    <mergeCell ref="C846:D846"/>
    <mergeCell ref="E846:F846"/>
    <mergeCell ref="G846:I846"/>
    <mergeCell ref="J846:L846"/>
    <mergeCell ref="M846:N846"/>
    <mergeCell ref="A847:B847"/>
    <mergeCell ref="C847:D847"/>
    <mergeCell ref="E847:F847"/>
    <mergeCell ref="G847:I847"/>
    <mergeCell ref="J847:L847"/>
    <mergeCell ref="M847:N847"/>
    <mergeCell ref="A843:N843"/>
    <mergeCell ref="A844:B844"/>
    <mergeCell ref="C844:D844"/>
    <mergeCell ref="E844:F844"/>
    <mergeCell ref="G844:I844"/>
    <mergeCell ref="J844:L844"/>
    <mergeCell ref="M844:N844"/>
    <mergeCell ref="A845:B845"/>
    <mergeCell ref="C845:D845"/>
    <mergeCell ref="E845:F845"/>
    <mergeCell ref="G845:I845"/>
    <mergeCell ref="J845:L845"/>
    <mergeCell ref="M845:N845"/>
    <mergeCell ref="A857:N857"/>
    <mergeCell ref="A858:N858"/>
    <mergeCell ref="A859:N859"/>
    <mergeCell ref="A860:N860"/>
    <mergeCell ref="A861:N861"/>
    <mergeCell ref="A862:N862"/>
    <mergeCell ref="A863:B863"/>
    <mergeCell ref="C863:G863"/>
    <mergeCell ref="H863:L863"/>
    <mergeCell ref="M863:N863"/>
    <mergeCell ref="A848:N848"/>
    <mergeCell ref="A849:N849"/>
    <mergeCell ref="A850:N850"/>
    <mergeCell ref="A851:N851"/>
    <mergeCell ref="A852:N852"/>
    <mergeCell ref="A853:N853"/>
    <mergeCell ref="A854:N854"/>
    <mergeCell ref="A855:N855"/>
    <mergeCell ref="A856:N856"/>
    <mergeCell ref="A869:C870"/>
    <mergeCell ref="D869:G870"/>
    <mergeCell ref="H869:J870"/>
    <mergeCell ref="K869:N870"/>
    <mergeCell ref="A871:N871"/>
    <mergeCell ref="A872:E872"/>
    <mergeCell ref="G872:H872"/>
    <mergeCell ref="I872:K872"/>
    <mergeCell ref="L872:M872"/>
    <mergeCell ref="H865:I865"/>
    <mergeCell ref="J865:L865"/>
    <mergeCell ref="M865:N865"/>
    <mergeCell ref="B866:G866"/>
    <mergeCell ref="H866:J866"/>
    <mergeCell ref="K866:N866"/>
    <mergeCell ref="D867:E867"/>
    <mergeCell ref="K867:L867"/>
    <mergeCell ref="A868:C868"/>
    <mergeCell ref="D868:G868"/>
    <mergeCell ref="H868:J868"/>
    <mergeCell ref="K868:N868"/>
    <mergeCell ref="A876:E876"/>
    <mergeCell ref="G876:H876"/>
    <mergeCell ref="I876:K876"/>
    <mergeCell ref="L876:M876"/>
    <mergeCell ref="A877:E877"/>
    <mergeCell ref="G877:H877"/>
    <mergeCell ref="I877:K877"/>
    <mergeCell ref="L877:M877"/>
    <mergeCell ref="A878:E878"/>
    <mergeCell ref="G878:H878"/>
    <mergeCell ref="I878:K878"/>
    <mergeCell ref="L878:M878"/>
    <mergeCell ref="A873:E873"/>
    <mergeCell ref="G873:H873"/>
    <mergeCell ref="I873:K873"/>
    <mergeCell ref="L873:M873"/>
    <mergeCell ref="A874:E874"/>
    <mergeCell ref="G874:H874"/>
    <mergeCell ref="I874:K874"/>
    <mergeCell ref="L874:M874"/>
    <mergeCell ref="A875:E875"/>
    <mergeCell ref="G875:H875"/>
    <mergeCell ref="I875:K875"/>
    <mergeCell ref="L875:M875"/>
    <mergeCell ref="A882:E882"/>
    <mergeCell ref="G882:H882"/>
    <mergeCell ref="I882:K882"/>
    <mergeCell ref="L882:M882"/>
    <mergeCell ref="A883:E883"/>
    <mergeCell ref="G883:H883"/>
    <mergeCell ref="I883:K883"/>
    <mergeCell ref="L883:M883"/>
    <mergeCell ref="A884:E884"/>
    <mergeCell ref="G884:H884"/>
    <mergeCell ref="I884:K884"/>
    <mergeCell ref="L884:M884"/>
    <mergeCell ref="A879:E879"/>
    <mergeCell ref="G879:H879"/>
    <mergeCell ref="I879:K879"/>
    <mergeCell ref="L879:M879"/>
    <mergeCell ref="A880:E880"/>
    <mergeCell ref="G880:H880"/>
    <mergeCell ref="I880:K880"/>
    <mergeCell ref="L880:M880"/>
    <mergeCell ref="A881:E881"/>
    <mergeCell ref="G881:H881"/>
    <mergeCell ref="I881:K881"/>
    <mergeCell ref="L881:M881"/>
    <mergeCell ref="A888:E888"/>
    <mergeCell ref="G888:H888"/>
    <mergeCell ref="I888:K888"/>
    <mergeCell ref="L888:M888"/>
    <mergeCell ref="A889:E889"/>
    <mergeCell ref="G889:H889"/>
    <mergeCell ref="I889:K889"/>
    <mergeCell ref="L889:M889"/>
    <mergeCell ref="A890:E890"/>
    <mergeCell ref="G890:H890"/>
    <mergeCell ref="I890:K890"/>
    <mergeCell ref="L890:M890"/>
    <mergeCell ref="A885:E885"/>
    <mergeCell ref="G885:H885"/>
    <mergeCell ref="I885:K885"/>
    <mergeCell ref="L885:M885"/>
    <mergeCell ref="A886:E886"/>
    <mergeCell ref="G886:H886"/>
    <mergeCell ref="I886:K886"/>
    <mergeCell ref="L886:M886"/>
    <mergeCell ref="A887:E887"/>
    <mergeCell ref="G887:H887"/>
    <mergeCell ref="I887:K887"/>
    <mergeCell ref="L887:M887"/>
    <mergeCell ref="A894:E894"/>
    <mergeCell ref="G894:H894"/>
    <mergeCell ref="L894:M894"/>
    <mergeCell ref="A895:E895"/>
    <mergeCell ref="G895:H895"/>
    <mergeCell ref="L895:M895"/>
    <mergeCell ref="A896:E896"/>
    <mergeCell ref="G896:H896"/>
    <mergeCell ref="L896:M896"/>
    <mergeCell ref="A891:E891"/>
    <mergeCell ref="G891:H891"/>
    <mergeCell ref="I891:K891"/>
    <mergeCell ref="L891:M891"/>
    <mergeCell ref="A892:E892"/>
    <mergeCell ref="G892:H892"/>
    <mergeCell ref="I892:K892"/>
    <mergeCell ref="L892:M892"/>
    <mergeCell ref="A893:E893"/>
    <mergeCell ref="G893:H893"/>
    <mergeCell ref="I893:K893"/>
    <mergeCell ref="L893:M893"/>
    <mergeCell ref="A900:E900"/>
    <mergeCell ref="G900:H900"/>
    <mergeCell ref="L900:M900"/>
    <mergeCell ref="A901:N901"/>
    <mergeCell ref="A902:E902"/>
    <mergeCell ref="G902:H902"/>
    <mergeCell ref="I902:K902"/>
    <mergeCell ref="L902:M902"/>
    <mergeCell ref="A903:E903"/>
    <mergeCell ref="G903:H903"/>
    <mergeCell ref="I903:K903"/>
    <mergeCell ref="L903:M903"/>
    <mergeCell ref="A897:E897"/>
    <mergeCell ref="G897:H897"/>
    <mergeCell ref="L897:M897"/>
    <mergeCell ref="A898:E898"/>
    <mergeCell ref="G898:H898"/>
    <mergeCell ref="L898:M898"/>
    <mergeCell ref="A899:E899"/>
    <mergeCell ref="G899:H899"/>
    <mergeCell ref="L899:M899"/>
    <mergeCell ref="A907:B907"/>
    <mergeCell ref="C907:D907"/>
    <mergeCell ref="E907:F907"/>
    <mergeCell ref="G907:I907"/>
    <mergeCell ref="J907:L907"/>
    <mergeCell ref="M907:N907"/>
    <mergeCell ref="A908:B908"/>
    <mergeCell ref="C908:D908"/>
    <mergeCell ref="E908:F908"/>
    <mergeCell ref="G908:I908"/>
    <mergeCell ref="J908:L908"/>
    <mergeCell ref="M908:N908"/>
    <mergeCell ref="A904:N904"/>
    <mergeCell ref="A905:B905"/>
    <mergeCell ref="C905:D905"/>
    <mergeCell ref="E905:F905"/>
    <mergeCell ref="G905:I905"/>
    <mergeCell ref="J905:L905"/>
    <mergeCell ref="M905:N905"/>
    <mergeCell ref="A906:B906"/>
    <mergeCell ref="C906:D906"/>
    <mergeCell ref="E906:F906"/>
    <mergeCell ref="G906:I906"/>
    <mergeCell ref="J906:L906"/>
    <mergeCell ref="M906:N906"/>
    <mergeCell ref="A918:N918"/>
    <mergeCell ref="A919:N919"/>
    <mergeCell ref="A920:N920"/>
    <mergeCell ref="A921:N921"/>
    <mergeCell ref="A922:N922"/>
    <mergeCell ref="A923:N923"/>
    <mergeCell ref="A924:B924"/>
    <mergeCell ref="C924:G924"/>
    <mergeCell ref="H924:L924"/>
    <mergeCell ref="M924:N924"/>
    <mergeCell ref="A909:N909"/>
    <mergeCell ref="A910:N910"/>
    <mergeCell ref="A911:N911"/>
    <mergeCell ref="A912:N912"/>
    <mergeCell ref="A913:N913"/>
    <mergeCell ref="A914:N914"/>
    <mergeCell ref="A915:N915"/>
    <mergeCell ref="A916:N916"/>
    <mergeCell ref="A917:N917"/>
    <mergeCell ref="A930:C931"/>
    <mergeCell ref="D930:G931"/>
    <mergeCell ref="H930:J931"/>
    <mergeCell ref="K930:N931"/>
    <mergeCell ref="A932:N932"/>
    <mergeCell ref="A933:E933"/>
    <mergeCell ref="G933:H933"/>
    <mergeCell ref="I933:K933"/>
    <mergeCell ref="L933:M933"/>
    <mergeCell ref="H926:I926"/>
    <mergeCell ref="J926:L926"/>
    <mergeCell ref="M926:N926"/>
    <mergeCell ref="B927:G927"/>
    <mergeCell ref="H927:J927"/>
    <mergeCell ref="K927:N927"/>
    <mergeCell ref="D928:E928"/>
    <mergeCell ref="K928:L928"/>
    <mergeCell ref="A929:C929"/>
    <mergeCell ref="D929:G929"/>
    <mergeCell ref="H929:J929"/>
    <mergeCell ref="K929:N929"/>
    <mergeCell ref="A937:E937"/>
    <mergeCell ref="G937:H937"/>
    <mergeCell ref="I937:K937"/>
    <mergeCell ref="L937:M937"/>
    <mergeCell ref="A938:E938"/>
    <mergeCell ref="G938:H938"/>
    <mergeCell ref="I938:K938"/>
    <mergeCell ref="L938:M938"/>
    <mergeCell ref="A939:E939"/>
    <mergeCell ref="G939:H939"/>
    <mergeCell ref="I939:K939"/>
    <mergeCell ref="L939:M939"/>
    <mergeCell ref="A934:E934"/>
    <mergeCell ref="G934:H934"/>
    <mergeCell ref="I934:K934"/>
    <mergeCell ref="L934:M934"/>
    <mergeCell ref="A935:E935"/>
    <mergeCell ref="G935:H935"/>
    <mergeCell ref="I935:K935"/>
    <mergeCell ref="L935:M935"/>
    <mergeCell ref="A936:E936"/>
    <mergeCell ref="G936:H936"/>
    <mergeCell ref="I936:K936"/>
    <mergeCell ref="L936:M936"/>
    <mergeCell ref="A943:E943"/>
    <mergeCell ref="G943:H943"/>
    <mergeCell ref="I943:K943"/>
    <mergeCell ref="L943:M943"/>
    <mergeCell ref="A944:E944"/>
    <mergeCell ref="G944:H944"/>
    <mergeCell ref="I944:K944"/>
    <mergeCell ref="L944:M944"/>
    <mergeCell ref="A945:E945"/>
    <mergeCell ref="G945:H945"/>
    <mergeCell ref="I945:K945"/>
    <mergeCell ref="L945:M945"/>
    <mergeCell ref="A940:E940"/>
    <mergeCell ref="G940:H940"/>
    <mergeCell ref="I940:K940"/>
    <mergeCell ref="L940:M940"/>
    <mergeCell ref="A941:E941"/>
    <mergeCell ref="G941:H941"/>
    <mergeCell ref="I941:K941"/>
    <mergeCell ref="L941:M941"/>
    <mergeCell ref="A942:E942"/>
    <mergeCell ref="G942:H942"/>
    <mergeCell ref="I942:K942"/>
    <mergeCell ref="L942:M942"/>
    <mergeCell ref="A949:E949"/>
    <mergeCell ref="G949:H949"/>
    <mergeCell ref="I949:K949"/>
    <mergeCell ref="L949:M949"/>
    <mergeCell ref="A950:E950"/>
    <mergeCell ref="G950:H950"/>
    <mergeCell ref="I950:K950"/>
    <mergeCell ref="L950:M950"/>
    <mergeCell ref="A951:E951"/>
    <mergeCell ref="G951:H951"/>
    <mergeCell ref="I951:K951"/>
    <mergeCell ref="L951:M951"/>
    <mergeCell ref="A946:E946"/>
    <mergeCell ref="G946:H946"/>
    <mergeCell ref="I946:K946"/>
    <mergeCell ref="L946:M946"/>
    <mergeCell ref="A947:E947"/>
    <mergeCell ref="G947:H947"/>
    <mergeCell ref="I947:K947"/>
    <mergeCell ref="L947:M947"/>
    <mergeCell ref="A948:E948"/>
    <mergeCell ref="G948:H948"/>
    <mergeCell ref="I948:K948"/>
    <mergeCell ref="L948:M948"/>
    <mergeCell ref="A955:E955"/>
    <mergeCell ref="G955:H955"/>
    <mergeCell ref="L955:M955"/>
    <mergeCell ref="A956:E956"/>
    <mergeCell ref="G956:H956"/>
    <mergeCell ref="L956:M956"/>
    <mergeCell ref="A957:E957"/>
    <mergeCell ref="G957:H957"/>
    <mergeCell ref="L957:M957"/>
    <mergeCell ref="A952:E952"/>
    <mergeCell ref="G952:H952"/>
    <mergeCell ref="I952:K952"/>
    <mergeCell ref="L952:M952"/>
    <mergeCell ref="A953:E953"/>
    <mergeCell ref="G953:H953"/>
    <mergeCell ref="I953:K953"/>
    <mergeCell ref="L953:M953"/>
    <mergeCell ref="A954:E954"/>
    <mergeCell ref="G954:H954"/>
    <mergeCell ref="I954:K954"/>
    <mergeCell ref="L954:M954"/>
    <mergeCell ref="A961:E961"/>
    <mergeCell ref="G961:H961"/>
    <mergeCell ref="L961:M961"/>
    <mergeCell ref="A962:N962"/>
    <mergeCell ref="A963:E963"/>
    <mergeCell ref="G963:H963"/>
    <mergeCell ref="I963:K963"/>
    <mergeCell ref="L963:M963"/>
    <mergeCell ref="A964:E964"/>
    <mergeCell ref="G964:H964"/>
    <mergeCell ref="I964:K964"/>
    <mergeCell ref="L964:M964"/>
    <mergeCell ref="A958:E958"/>
    <mergeCell ref="G958:H958"/>
    <mergeCell ref="L958:M958"/>
    <mergeCell ref="A959:E959"/>
    <mergeCell ref="G959:H959"/>
    <mergeCell ref="L959:M959"/>
    <mergeCell ref="A960:E960"/>
    <mergeCell ref="G960:H960"/>
    <mergeCell ref="L960:M960"/>
    <mergeCell ref="A968:B968"/>
    <mergeCell ref="C968:D968"/>
    <mergeCell ref="E968:F968"/>
    <mergeCell ref="G968:I968"/>
    <mergeCell ref="J968:L968"/>
    <mergeCell ref="M968:N968"/>
    <mergeCell ref="A969:B969"/>
    <mergeCell ref="C969:D969"/>
    <mergeCell ref="E969:F969"/>
    <mergeCell ref="G969:I969"/>
    <mergeCell ref="J969:L969"/>
    <mergeCell ref="M969:N969"/>
    <mergeCell ref="A965:N965"/>
    <mergeCell ref="A966:B966"/>
    <mergeCell ref="C966:D966"/>
    <mergeCell ref="E966:F966"/>
    <mergeCell ref="G966:I966"/>
    <mergeCell ref="J966:L966"/>
    <mergeCell ref="M966:N966"/>
    <mergeCell ref="A967:B967"/>
    <mergeCell ref="C967:D967"/>
    <mergeCell ref="E967:F967"/>
    <mergeCell ref="G967:I967"/>
    <mergeCell ref="J967:L967"/>
    <mergeCell ref="M967:N967"/>
    <mergeCell ref="A979:N979"/>
    <mergeCell ref="A980:N980"/>
    <mergeCell ref="A981:N981"/>
    <mergeCell ref="A982:N982"/>
    <mergeCell ref="A983:N983"/>
    <mergeCell ref="A984:N984"/>
    <mergeCell ref="A985:B985"/>
    <mergeCell ref="C985:G985"/>
    <mergeCell ref="H985:L985"/>
    <mergeCell ref="M985:N985"/>
    <mergeCell ref="A970:N970"/>
    <mergeCell ref="A971:N971"/>
    <mergeCell ref="A972:N972"/>
    <mergeCell ref="A973:N973"/>
    <mergeCell ref="A974:N974"/>
    <mergeCell ref="A975:N975"/>
    <mergeCell ref="A976:N976"/>
    <mergeCell ref="A977:N977"/>
    <mergeCell ref="A978:N978"/>
    <mergeCell ref="A991:C992"/>
    <mergeCell ref="D991:G992"/>
    <mergeCell ref="H991:J992"/>
    <mergeCell ref="K991:N992"/>
    <mergeCell ref="A993:N993"/>
    <mergeCell ref="A994:E994"/>
    <mergeCell ref="G994:H994"/>
    <mergeCell ref="I994:K994"/>
    <mergeCell ref="L994:M994"/>
    <mergeCell ref="H987:I987"/>
    <mergeCell ref="J987:L987"/>
    <mergeCell ref="M987:N987"/>
    <mergeCell ref="B988:G988"/>
    <mergeCell ref="H988:J988"/>
    <mergeCell ref="K988:N988"/>
    <mergeCell ref="D989:E989"/>
    <mergeCell ref="K989:L989"/>
    <mergeCell ref="A990:C990"/>
    <mergeCell ref="D990:G990"/>
    <mergeCell ref="H990:J990"/>
    <mergeCell ref="K990:N990"/>
    <mergeCell ref="A998:E998"/>
    <mergeCell ref="G998:H998"/>
    <mergeCell ref="I998:K998"/>
    <mergeCell ref="L998:M998"/>
    <mergeCell ref="A999:E999"/>
    <mergeCell ref="G999:H999"/>
    <mergeCell ref="I999:K999"/>
    <mergeCell ref="L999:M999"/>
    <mergeCell ref="A1000:E1000"/>
    <mergeCell ref="G1000:H1000"/>
    <mergeCell ref="I1000:K1000"/>
    <mergeCell ref="L1000:M1000"/>
    <mergeCell ref="A995:E995"/>
    <mergeCell ref="G995:H995"/>
    <mergeCell ref="I995:K995"/>
    <mergeCell ref="L995:M995"/>
    <mergeCell ref="A996:E996"/>
    <mergeCell ref="G996:H996"/>
    <mergeCell ref="I996:K996"/>
    <mergeCell ref="L996:M996"/>
    <mergeCell ref="A997:E997"/>
    <mergeCell ref="G997:H997"/>
    <mergeCell ref="I997:K997"/>
    <mergeCell ref="L997:M997"/>
    <mergeCell ref="A1004:E1004"/>
    <mergeCell ref="G1004:H1004"/>
    <mergeCell ref="I1004:K1004"/>
    <mergeCell ref="L1004:M1004"/>
    <mergeCell ref="A1005:E1005"/>
    <mergeCell ref="G1005:H1005"/>
    <mergeCell ref="I1005:K1005"/>
    <mergeCell ref="L1005:M1005"/>
    <mergeCell ref="A1006:E1006"/>
    <mergeCell ref="G1006:H1006"/>
    <mergeCell ref="I1006:K1006"/>
    <mergeCell ref="L1006:M1006"/>
    <mergeCell ref="A1001:E1001"/>
    <mergeCell ref="G1001:H1001"/>
    <mergeCell ref="I1001:K1001"/>
    <mergeCell ref="L1001:M1001"/>
    <mergeCell ref="A1002:E1002"/>
    <mergeCell ref="G1002:H1002"/>
    <mergeCell ref="I1002:K1002"/>
    <mergeCell ref="L1002:M1002"/>
    <mergeCell ref="A1003:E1003"/>
    <mergeCell ref="G1003:H1003"/>
    <mergeCell ref="I1003:K1003"/>
    <mergeCell ref="L1003:M1003"/>
    <mergeCell ref="A1010:E1010"/>
    <mergeCell ref="G1010:H1010"/>
    <mergeCell ref="I1010:K1010"/>
    <mergeCell ref="L1010:M1010"/>
    <mergeCell ref="A1011:E1011"/>
    <mergeCell ref="G1011:H1011"/>
    <mergeCell ref="I1011:K1011"/>
    <mergeCell ref="L1011:M1011"/>
    <mergeCell ref="A1012:E1012"/>
    <mergeCell ref="G1012:H1012"/>
    <mergeCell ref="I1012:K1012"/>
    <mergeCell ref="L1012:M1012"/>
    <mergeCell ref="A1007:E1007"/>
    <mergeCell ref="G1007:H1007"/>
    <mergeCell ref="I1007:K1007"/>
    <mergeCell ref="L1007:M1007"/>
    <mergeCell ref="A1008:E1008"/>
    <mergeCell ref="G1008:H1008"/>
    <mergeCell ref="I1008:K1008"/>
    <mergeCell ref="L1008:M1008"/>
    <mergeCell ref="A1009:E1009"/>
    <mergeCell ref="G1009:H1009"/>
    <mergeCell ref="I1009:K1009"/>
    <mergeCell ref="L1009:M1009"/>
    <mergeCell ref="A1016:E1016"/>
    <mergeCell ref="G1016:H1016"/>
    <mergeCell ref="L1016:M1016"/>
    <mergeCell ref="A1017:E1017"/>
    <mergeCell ref="G1017:H1017"/>
    <mergeCell ref="L1017:M1017"/>
    <mergeCell ref="A1018:E1018"/>
    <mergeCell ref="G1018:H1018"/>
    <mergeCell ref="L1018:M1018"/>
    <mergeCell ref="A1013:E1013"/>
    <mergeCell ref="G1013:H1013"/>
    <mergeCell ref="I1013:K1013"/>
    <mergeCell ref="L1013:M1013"/>
    <mergeCell ref="A1014:E1014"/>
    <mergeCell ref="G1014:H1014"/>
    <mergeCell ref="I1014:K1014"/>
    <mergeCell ref="L1014:M1014"/>
    <mergeCell ref="A1015:E1015"/>
    <mergeCell ref="G1015:H1015"/>
    <mergeCell ref="I1015:K1015"/>
    <mergeCell ref="L1015:M1015"/>
    <mergeCell ref="A1022:E1022"/>
    <mergeCell ref="G1022:H1022"/>
    <mergeCell ref="L1022:M1022"/>
    <mergeCell ref="A1023:N1023"/>
    <mergeCell ref="A1024:E1024"/>
    <mergeCell ref="G1024:H1024"/>
    <mergeCell ref="I1024:K1024"/>
    <mergeCell ref="L1024:M1024"/>
    <mergeCell ref="A1025:E1025"/>
    <mergeCell ref="G1025:H1025"/>
    <mergeCell ref="I1025:K1025"/>
    <mergeCell ref="L1025:M1025"/>
    <mergeCell ref="A1019:E1019"/>
    <mergeCell ref="G1019:H1019"/>
    <mergeCell ref="L1019:M1019"/>
    <mergeCell ref="A1020:E1020"/>
    <mergeCell ref="G1020:H1020"/>
    <mergeCell ref="L1020:M1020"/>
    <mergeCell ref="A1021:E1021"/>
    <mergeCell ref="G1021:H1021"/>
    <mergeCell ref="L1021:M1021"/>
    <mergeCell ref="A1029:B1029"/>
    <mergeCell ref="C1029:D1029"/>
    <mergeCell ref="E1029:F1029"/>
    <mergeCell ref="G1029:I1029"/>
    <mergeCell ref="J1029:L1029"/>
    <mergeCell ref="M1029:N1029"/>
    <mergeCell ref="A1030:B1030"/>
    <mergeCell ref="C1030:D1030"/>
    <mergeCell ref="E1030:F1030"/>
    <mergeCell ref="G1030:I1030"/>
    <mergeCell ref="J1030:L1030"/>
    <mergeCell ref="M1030:N1030"/>
    <mergeCell ref="A1026:N1026"/>
    <mergeCell ref="A1027:B1027"/>
    <mergeCell ref="C1027:D1027"/>
    <mergeCell ref="E1027:F1027"/>
    <mergeCell ref="G1027:I1027"/>
    <mergeCell ref="J1027:L1027"/>
    <mergeCell ref="M1027:N1027"/>
    <mergeCell ref="A1028:B1028"/>
    <mergeCell ref="C1028:D1028"/>
    <mergeCell ref="E1028:F1028"/>
    <mergeCell ref="G1028:I1028"/>
    <mergeCell ref="J1028:L1028"/>
    <mergeCell ref="M1028:N1028"/>
    <mergeCell ref="A1040:N1040"/>
    <mergeCell ref="A1041:N1041"/>
    <mergeCell ref="A1042:N1042"/>
    <mergeCell ref="A1043:N1043"/>
    <mergeCell ref="A1044:N1044"/>
    <mergeCell ref="A1045:N1045"/>
    <mergeCell ref="A1046:B1046"/>
    <mergeCell ref="C1046:G1046"/>
    <mergeCell ref="H1046:L1046"/>
    <mergeCell ref="M1046:N1046"/>
    <mergeCell ref="A1031:N1031"/>
    <mergeCell ref="A1032:N1032"/>
    <mergeCell ref="A1033:N1033"/>
    <mergeCell ref="A1034:N1034"/>
    <mergeCell ref="A1035:N1035"/>
    <mergeCell ref="A1036:N1036"/>
    <mergeCell ref="A1037:N1037"/>
    <mergeCell ref="A1038:N1038"/>
    <mergeCell ref="A1039:N1039"/>
    <mergeCell ref="A1052:C1053"/>
    <mergeCell ref="D1052:G1053"/>
    <mergeCell ref="H1052:J1053"/>
    <mergeCell ref="K1052:N1053"/>
    <mergeCell ref="A1054:N1054"/>
    <mergeCell ref="A1055:E1055"/>
    <mergeCell ref="G1055:H1055"/>
    <mergeCell ref="I1055:K1055"/>
    <mergeCell ref="L1055:M1055"/>
    <mergeCell ref="H1048:I1048"/>
    <mergeCell ref="J1048:L1048"/>
    <mergeCell ref="M1048:N1048"/>
    <mergeCell ref="B1049:G1049"/>
    <mergeCell ref="H1049:J1049"/>
    <mergeCell ref="K1049:N1049"/>
    <mergeCell ref="D1050:E1050"/>
    <mergeCell ref="K1050:L1050"/>
    <mergeCell ref="A1051:C1051"/>
    <mergeCell ref="D1051:G1051"/>
    <mergeCell ref="H1051:J1051"/>
    <mergeCell ref="K1051:N1051"/>
    <mergeCell ref="A1059:E1059"/>
    <mergeCell ref="G1059:H1059"/>
    <mergeCell ref="I1059:K1059"/>
    <mergeCell ref="L1059:M1059"/>
    <mergeCell ref="A1060:E1060"/>
    <mergeCell ref="G1060:H1060"/>
    <mergeCell ref="I1060:K1060"/>
    <mergeCell ref="L1060:M1060"/>
    <mergeCell ref="A1061:E1061"/>
    <mergeCell ref="G1061:H1061"/>
    <mergeCell ref="I1061:K1061"/>
    <mergeCell ref="L1061:M1061"/>
    <mergeCell ref="A1056:E1056"/>
    <mergeCell ref="G1056:H1056"/>
    <mergeCell ref="I1056:K1056"/>
    <mergeCell ref="L1056:M1056"/>
    <mergeCell ref="A1057:E1057"/>
    <mergeCell ref="G1057:H1057"/>
    <mergeCell ref="I1057:K1057"/>
    <mergeCell ref="L1057:M1057"/>
    <mergeCell ref="A1058:E1058"/>
    <mergeCell ref="G1058:H1058"/>
    <mergeCell ref="I1058:K1058"/>
    <mergeCell ref="L1058:M1058"/>
    <mergeCell ref="A1065:E1065"/>
    <mergeCell ref="G1065:H1065"/>
    <mergeCell ref="I1065:K1065"/>
    <mergeCell ref="L1065:M1065"/>
    <mergeCell ref="A1066:E1066"/>
    <mergeCell ref="G1066:H1066"/>
    <mergeCell ref="I1066:K1066"/>
    <mergeCell ref="L1066:M1066"/>
    <mergeCell ref="A1067:E1067"/>
    <mergeCell ref="G1067:H1067"/>
    <mergeCell ref="I1067:K1067"/>
    <mergeCell ref="L1067:M1067"/>
    <mergeCell ref="A1062:E1062"/>
    <mergeCell ref="G1062:H1062"/>
    <mergeCell ref="I1062:K1062"/>
    <mergeCell ref="L1062:M1062"/>
    <mergeCell ref="A1063:E1063"/>
    <mergeCell ref="G1063:H1063"/>
    <mergeCell ref="I1063:K1063"/>
    <mergeCell ref="L1063:M1063"/>
    <mergeCell ref="A1064:E1064"/>
    <mergeCell ref="G1064:H1064"/>
    <mergeCell ref="I1064:K1064"/>
    <mergeCell ref="L1064:M1064"/>
    <mergeCell ref="A1071:E1071"/>
    <mergeCell ref="G1071:H1071"/>
    <mergeCell ref="I1071:K1071"/>
    <mergeCell ref="L1071:M1071"/>
    <mergeCell ref="A1072:E1072"/>
    <mergeCell ref="G1072:H1072"/>
    <mergeCell ref="I1072:K1072"/>
    <mergeCell ref="L1072:M1072"/>
    <mergeCell ref="A1073:E1073"/>
    <mergeCell ref="G1073:H1073"/>
    <mergeCell ref="I1073:K1073"/>
    <mergeCell ref="L1073:M1073"/>
    <mergeCell ref="A1068:E1068"/>
    <mergeCell ref="G1068:H1068"/>
    <mergeCell ref="I1068:K1068"/>
    <mergeCell ref="L1068:M1068"/>
    <mergeCell ref="A1069:E1069"/>
    <mergeCell ref="G1069:H1069"/>
    <mergeCell ref="I1069:K1069"/>
    <mergeCell ref="L1069:M1069"/>
    <mergeCell ref="A1070:E1070"/>
    <mergeCell ref="G1070:H1070"/>
    <mergeCell ref="I1070:K1070"/>
    <mergeCell ref="L1070:M1070"/>
    <mergeCell ref="A1077:E1077"/>
    <mergeCell ref="G1077:H1077"/>
    <mergeCell ref="L1077:M1077"/>
    <mergeCell ref="A1078:E1078"/>
    <mergeCell ref="G1078:H1078"/>
    <mergeCell ref="L1078:M1078"/>
    <mergeCell ref="A1079:E1079"/>
    <mergeCell ref="G1079:H1079"/>
    <mergeCell ref="L1079:M1079"/>
    <mergeCell ref="A1074:E1074"/>
    <mergeCell ref="G1074:H1074"/>
    <mergeCell ref="I1074:K1074"/>
    <mergeCell ref="L1074:M1074"/>
    <mergeCell ref="A1075:E1075"/>
    <mergeCell ref="G1075:H1075"/>
    <mergeCell ref="I1075:K1075"/>
    <mergeCell ref="L1075:M1075"/>
    <mergeCell ref="A1076:E1076"/>
    <mergeCell ref="G1076:H1076"/>
    <mergeCell ref="I1076:K1076"/>
    <mergeCell ref="L1076:M1076"/>
    <mergeCell ref="A1083:E1083"/>
    <mergeCell ref="G1083:H1083"/>
    <mergeCell ref="L1083:M1083"/>
    <mergeCell ref="A1084:N1084"/>
    <mergeCell ref="A1085:E1085"/>
    <mergeCell ref="G1085:H1085"/>
    <mergeCell ref="I1085:K1085"/>
    <mergeCell ref="L1085:M1085"/>
    <mergeCell ref="A1086:E1086"/>
    <mergeCell ref="G1086:H1086"/>
    <mergeCell ref="I1086:K1086"/>
    <mergeCell ref="L1086:M1086"/>
    <mergeCell ref="A1080:E1080"/>
    <mergeCell ref="G1080:H1080"/>
    <mergeCell ref="L1080:M1080"/>
    <mergeCell ref="A1081:E1081"/>
    <mergeCell ref="G1081:H1081"/>
    <mergeCell ref="L1081:M1081"/>
    <mergeCell ref="A1082:E1082"/>
    <mergeCell ref="G1082:H1082"/>
    <mergeCell ref="L1082:M1082"/>
    <mergeCell ref="A1090:B1090"/>
    <mergeCell ref="C1090:D1090"/>
    <mergeCell ref="E1090:F1090"/>
    <mergeCell ref="G1090:I1090"/>
    <mergeCell ref="J1090:L1090"/>
    <mergeCell ref="M1090:N1090"/>
    <mergeCell ref="A1091:B1091"/>
    <mergeCell ref="C1091:D1091"/>
    <mergeCell ref="E1091:F1091"/>
    <mergeCell ref="G1091:I1091"/>
    <mergeCell ref="J1091:L1091"/>
    <mergeCell ref="M1091:N1091"/>
    <mergeCell ref="A1087:N1087"/>
    <mergeCell ref="A1088:B1088"/>
    <mergeCell ref="C1088:D1088"/>
    <mergeCell ref="E1088:F1088"/>
    <mergeCell ref="G1088:I1088"/>
    <mergeCell ref="J1088:L1088"/>
    <mergeCell ref="M1088:N1088"/>
    <mergeCell ref="A1089:B1089"/>
    <mergeCell ref="C1089:D1089"/>
    <mergeCell ref="E1089:F1089"/>
    <mergeCell ref="G1089:I1089"/>
    <mergeCell ref="J1089:L1089"/>
    <mergeCell ref="M1089:N1089"/>
    <mergeCell ref="A1101:N1101"/>
    <mergeCell ref="A1102:N1102"/>
    <mergeCell ref="A1103:N1103"/>
    <mergeCell ref="A1104:N1104"/>
    <mergeCell ref="A1105:N1105"/>
    <mergeCell ref="A1106:N1106"/>
    <mergeCell ref="A1107:B1107"/>
    <mergeCell ref="C1107:G1107"/>
    <mergeCell ref="H1107:L1107"/>
    <mergeCell ref="M1107:N1107"/>
    <mergeCell ref="A1092:N1092"/>
    <mergeCell ref="A1093:N1093"/>
    <mergeCell ref="A1094:N1094"/>
    <mergeCell ref="A1095:N1095"/>
    <mergeCell ref="A1096:N1096"/>
    <mergeCell ref="A1097:N1097"/>
    <mergeCell ref="A1098:N1098"/>
    <mergeCell ref="A1099:N1099"/>
    <mergeCell ref="A1100:N1100"/>
    <mergeCell ref="A1113:C1114"/>
    <mergeCell ref="D1113:G1114"/>
    <mergeCell ref="H1113:J1114"/>
    <mergeCell ref="K1113:N1114"/>
    <mergeCell ref="A1115:N1115"/>
    <mergeCell ref="A1116:E1116"/>
    <mergeCell ref="G1116:H1116"/>
    <mergeCell ref="I1116:K1116"/>
    <mergeCell ref="L1116:M1116"/>
    <mergeCell ref="H1109:I1109"/>
    <mergeCell ref="J1109:L1109"/>
    <mergeCell ref="M1109:N1109"/>
    <mergeCell ref="B1110:G1110"/>
    <mergeCell ref="H1110:J1110"/>
    <mergeCell ref="K1110:N1110"/>
    <mergeCell ref="D1111:E1111"/>
    <mergeCell ref="K1111:L1111"/>
    <mergeCell ref="A1112:C1112"/>
    <mergeCell ref="D1112:G1112"/>
    <mergeCell ref="H1112:J1112"/>
    <mergeCell ref="K1112:N1112"/>
    <mergeCell ref="A1120:E1120"/>
    <mergeCell ref="G1120:H1120"/>
    <mergeCell ref="I1120:K1120"/>
    <mergeCell ref="L1120:M1120"/>
    <mergeCell ref="A1121:E1121"/>
    <mergeCell ref="G1121:H1121"/>
    <mergeCell ref="I1121:K1121"/>
    <mergeCell ref="L1121:M1121"/>
    <mergeCell ref="A1122:E1122"/>
    <mergeCell ref="G1122:H1122"/>
    <mergeCell ref="I1122:K1122"/>
    <mergeCell ref="L1122:M1122"/>
    <mergeCell ref="A1117:E1117"/>
    <mergeCell ref="G1117:H1117"/>
    <mergeCell ref="I1117:K1117"/>
    <mergeCell ref="L1117:M1117"/>
    <mergeCell ref="A1118:E1118"/>
    <mergeCell ref="G1118:H1118"/>
    <mergeCell ref="I1118:K1118"/>
    <mergeCell ref="L1118:M1118"/>
    <mergeCell ref="A1119:E1119"/>
    <mergeCell ref="G1119:H1119"/>
    <mergeCell ref="I1119:K1119"/>
    <mergeCell ref="L1119:M1119"/>
    <mergeCell ref="A1126:E1126"/>
    <mergeCell ref="G1126:H1126"/>
    <mergeCell ref="I1126:K1126"/>
    <mergeCell ref="L1126:M1126"/>
    <mergeCell ref="A1127:E1127"/>
    <mergeCell ref="G1127:H1127"/>
    <mergeCell ref="I1127:K1127"/>
    <mergeCell ref="L1127:M1127"/>
    <mergeCell ref="A1128:E1128"/>
    <mergeCell ref="G1128:H1128"/>
    <mergeCell ref="I1128:K1128"/>
    <mergeCell ref="L1128:M1128"/>
    <mergeCell ref="A1123:E1123"/>
    <mergeCell ref="G1123:H1123"/>
    <mergeCell ref="I1123:K1123"/>
    <mergeCell ref="L1123:M1123"/>
    <mergeCell ref="A1124:E1124"/>
    <mergeCell ref="G1124:H1124"/>
    <mergeCell ref="I1124:K1124"/>
    <mergeCell ref="L1124:M1124"/>
    <mergeCell ref="A1125:E1125"/>
    <mergeCell ref="G1125:H1125"/>
    <mergeCell ref="I1125:K1125"/>
    <mergeCell ref="L1125:M1125"/>
    <mergeCell ref="A1132:E1132"/>
    <mergeCell ref="G1132:H1132"/>
    <mergeCell ref="I1132:K1132"/>
    <mergeCell ref="L1132:M1132"/>
    <mergeCell ref="A1133:E1133"/>
    <mergeCell ref="G1133:H1133"/>
    <mergeCell ref="I1133:K1133"/>
    <mergeCell ref="L1133:M1133"/>
    <mergeCell ref="A1134:E1134"/>
    <mergeCell ref="G1134:H1134"/>
    <mergeCell ref="I1134:K1134"/>
    <mergeCell ref="L1134:M1134"/>
    <mergeCell ref="A1129:E1129"/>
    <mergeCell ref="G1129:H1129"/>
    <mergeCell ref="I1129:K1129"/>
    <mergeCell ref="L1129:M1129"/>
    <mergeCell ref="A1130:E1130"/>
    <mergeCell ref="G1130:H1130"/>
    <mergeCell ref="I1130:K1130"/>
    <mergeCell ref="L1130:M1130"/>
    <mergeCell ref="A1131:E1131"/>
    <mergeCell ref="G1131:H1131"/>
    <mergeCell ref="I1131:K1131"/>
    <mergeCell ref="L1131:M1131"/>
    <mergeCell ref="A1138:E1138"/>
    <mergeCell ref="G1138:H1138"/>
    <mergeCell ref="L1138:M1138"/>
    <mergeCell ref="A1139:E1139"/>
    <mergeCell ref="G1139:H1139"/>
    <mergeCell ref="L1139:M1139"/>
    <mergeCell ref="A1140:E1140"/>
    <mergeCell ref="G1140:H1140"/>
    <mergeCell ref="L1140:M1140"/>
    <mergeCell ref="A1135:E1135"/>
    <mergeCell ref="G1135:H1135"/>
    <mergeCell ref="I1135:K1135"/>
    <mergeCell ref="L1135:M1135"/>
    <mergeCell ref="A1136:E1136"/>
    <mergeCell ref="G1136:H1136"/>
    <mergeCell ref="I1136:K1136"/>
    <mergeCell ref="L1136:M1136"/>
    <mergeCell ref="A1137:E1137"/>
    <mergeCell ref="G1137:H1137"/>
    <mergeCell ref="I1137:K1137"/>
    <mergeCell ref="L1137:M1137"/>
    <mergeCell ref="A1144:E1144"/>
    <mergeCell ref="G1144:H1144"/>
    <mergeCell ref="L1144:M1144"/>
    <mergeCell ref="A1145:N1145"/>
    <mergeCell ref="A1146:E1146"/>
    <mergeCell ref="G1146:H1146"/>
    <mergeCell ref="I1146:K1146"/>
    <mergeCell ref="L1146:M1146"/>
    <mergeCell ref="A1147:E1147"/>
    <mergeCell ref="G1147:H1147"/>
    <mergeCell ref="I1147:K1147"/>
    <mergeCell ref="L1147:M1147"/>
    <mergeCell ref="A1141:E1141"/>
    <mergeCell ref="G1141:H1141"/>
    <mergeCell ref="L1141:M1141"/>
    <mergeCell ref="A1142:E1142"/>
    <mergeCell ref="G1142:H1142"/>
    <mergeCell ref="L1142:M1142"/>
    <mergeCell ref="A1143:E1143"/>
    <mergeCell ref="G1143:H1143"/>
    <mergeCell ref="L1143:M1143"/>
    <mergeCell ref="A1151:B1151"/>
    <mergeCell ref="C1151:D1151"/>
    <mergeCell ref="E1151:F1151"/>
    <mergeCell ref="G1151:I1151"/>
    <mergeCell ref="J1151:L1151"/>
    <mergeCell ref="M1151:N1151"/>
    <mergeCell ref="A1152:B1152"/>
    <mergeCell ref="C1152:D1152"/>
    <mergeCell ref="E1152:F1152"/>
    <mergeCell ref="G1152:I1152"/>
    <mergeCell ref="J1152:L1152"/>
    <mergeCell ref="M1152:N1152"/>
    <mergeCell ref="A1148:N1148"/>
    <mergeCell ref="A1149:B1149"/>
    <mergeCell ref="C1149:D1149"/>
    <mergeCell ref="E1149:F1149"/>
    <mergeCell ref="G1149:I1149"/>
    <mergeCell ref="J1149:L1149"/>
    <mergeCell ref="M1149:N1149"/>
    <mergeCell ref="A1150:B1150"/>
    <mergeCell ref="C1150:D1150"/>
    <mergeCell ref="E1150:F1150"/>
    <mergeCell ref="G1150:I1150"/>
    <mergeCell ref="J1150:L1150"/>
    <mergeCell ref="M1150:N1150"/>
    <mergeCell ref="A1162:N1162"/>
    <mergeCell ref="A1163:N1163"/>
    <mergeCell ref="A1164:N1164"/>
    <mergeCell ref="A1165:N1165"/>
    <mergeCell ref="A1166:N1166"/>
    <mergeCell ref="A1167:N1167"/>
    <mergeCell ref="A1168:B1168"/>
    <mergeCell ref="C1168:G1168"/>
    <mergeCell ref="H1168:L1168"/>
    <mergeCell ref="M1168:N1168"/>
    <mergeCell ref="A1153:N1153"/>
    <mergeCell ref="A1154:N1154"/>
    <mergeCell ref="A1155:N1155"/>
    <mergeCell ref="A1156:N1156"/>
    <mergeCell ref="A1157:N1157"/>
    <mergeCell ref="A1158:N1158"/>
    <mergeCell ref="A1159:N1159"/>
    <mergeCell ref="A1160:N1160"/>
    <mergeCell ref="A1161:N1161"/>
    <mergeCell ref="A1174:C1175"/>
    <mergeCell ref="D1174:G1175"/>
    <mergeCell ref="H1174:J1175"/>
    <mergeCell ref="K1174:N1175"/>
    <mergeCell ref="A1176:N1176"/>
    <mergeCell ref="A1177:E1177"/>
    <mergeCell ref="G1177:H1177"/>
    <mergeCell ref="I1177:K1177"/>
    <mergeCell ref="L1177:M1177"/>
    <mergeCell ref="H1170:I1170"/>
    <mergeCell ref="J1170:L1170"/>
    <mergeCell ref="M1170:N1170"/>
    <mergeCell ref="B1171:G1171"/>
    <mergeCell ref="H1171:J1171"/>
    <mergeCell ref="K1171:N1171"/>
    <mergeCell ref="D1172:E1172"/>
    <mergeCell ref="K1172:L1172"/>
    <mergeCell ref="A1173:C1173"/>
    <mergeCell ref="D1173:G1173"/>
    <mergeCell ref="H1173:J1173"/>
    <mergeCell ref="K1173:N1173"/>
    <mergeCell ref="A1181:E1181"/>
    <mergeCell ref="G1181:H1181"/>
    <mergeCell ref="I1181:K1181"/>
    <mergeCell ref="L1181:M1181"/>
    <mergeCell ref="A1182:E1182"/>
    <mergeCell ref="G1182:H1182"/>
    <mergeCell ref="I1182:K1182"/>
    <mergeCell ref="L1182:M1182"/>
    <mergeCell ref="A1183:E1183"/>
    <mergeCell ref="G1183:H1183"/>
    <mergeCell ref="I1183:K1183"/>
    <mergeCell ref="L1183:M1183"/>
    <mergeCell ref="A1178:E1178"/>
    <mergeCell ref="G1178:H1178"/>
    <mergeCell ref="I1178:K1178"/>
    <mergeCell ref="L1178:M1178"/>
    <mergeCell ref="A1179:E1179"/>
    <mergeCell ref="G1179:H1179"/>
    <mergeCell ref="I1179:K1179"/>
    <mergeCell ref="L1179:M1179"/>
    <mergeCell ref="A1180:E1180"/>
    <mergeCell ref="G1180:H1180"/>
    <mergeCell ref="I1180:K1180"/>
    <mergeCell ref="L1180:M1180"/>
    <mergeCell ref="A1187:E1187"/>
    <mergeCell ref="G1187:H1187"/>
    <mergeCell ref="I1187:K1187"/>
    <mergeCell ref="L1187:M1187"/>
    <mergeCell ref="A1188:E1188"/>
    <mergeCell ref="G1188:H1188"/>
    <mergeCell ref="I1188:K1188"/>
    <mergeCell ref="L1188:M1188"/>
    <mergeCell ref="A1189:E1189"/>
    <mergeCell ref="G1189:H1189"/>
    <mergeCell ref="I1189:K1189"/>
    <mergeCell ref="L1189:M1189"/>
    <mergeCell ref="A1184:E1184"/>
    <mergeCell ref="G1184:H1184"/>
    <mergeCell ref="I1184:K1184"/>
    <mergeCell ref="L1184:M1184"/>
    <mergeCell ref="A1185:E1185"/>
    <mergeCell ref="G1185:H1185"/>
    <mergeCell ref="I1185:K1185"/>
    <mergeCell ref="L1185:M1185"/>
    <mergeCell ref="A1186:E1186"/>
    <mergeCell ref="G1186:H1186"/>
    <mergeCell ref="I1186:K1186"/>
    <mergeCell ref="L1186:M1186"/>
    <mergeCell ref="A1193:E1193"/>
    <mergeCell ref="G1193:H1193"/>
    <mergeCell ref="I1193:K1193"/>
    <mergeCell ref="L1193:M1193"/>
    <mergeCell ref="A1194:E1194"/>
    <mergeCell ref="G1194:H1194"/>
    <mergeCell ref="I1194:K1194"/>
    <mergeCell ref="L1194:M1194"/>
    <mergeCell ref="A1195:E1195"/>
    <mergeCell ref="G1195:H1195"/>
    <mergeCell ref="I1195:K1195"/>
    <mergeCell ref="L1195:M1195"/>
    <mergeCell ref="A1190:E1190"/>
    <mergeCell ref="G1190:H1190"/>
    <mergeCell ref="I1190:K1190"/>
    <mergeCell ref="L1190:M1190"/>
    <mergeCell ref="A1191:E1191"/>
    <mergeCell ref="G1191:H1191"/>
    <mergeCell ref="I1191:K1191"/>
    <mergeCell ref="L1191:M1191"/>
    <mergeCell ref="A1192:E1192"/>
    <mergeCell ref="G1192:H1192"/>
    <mergeCell ref="I1192:K1192"/>
    <mergeCell ref="L1192:M1192"/>
    <mergeCell ref="A1199:E1199"/>
    <mergeCell ref="G1199:H1199"/>
    <mergeCell ref="L1199:M1199"/>
    <mergeCell ref="A1200:E1200"/>
    <mergeCell ref="G1200:H1200"/>
    <mergeCell ref="L1200:M1200"/>
    <mergeCell ref="A1201:E1201"/>
    <mergeCell ref="G1201:H1201"/>
    <mergeCell ref="L1201:M1201"/>
    <mergeCell ref="A1196:E1196"/>
    <mergeCell ref="G1196:H1196"/>
    <mergeCell ref="I1196:K1196"/>
    <mergeCell ref="L1196:M1196"/>
    <mergeCell ref="A1197:E1197"/>
    <mergeCell ref="G1197:H1197"/>
    <mergeCell ref="I1197:K1197"/>
    <mergeCell ref="L1197:M1197"/>
    <mergeCell ref="A1198:E1198"/>
    <mergeCell ref="G1198:H1198"/>
    <mergeCell ref="I1198:K1198"/>
    <mergeCell ref="L1198:M1198"/>
    <mergeCell ref="A1205:E1205"/>
    <mergeCell ref="G1205:H1205"/>
    <mergeCell ref="L1205:M1205"/>
    <mergeCell ref="A1206:N1206"/>
    <mergeCell ref="A1207:E1207"/>
    <mergeCell ref="G1207:H1207"/>
    <mergeCell ref="I1207:K1207"/>
    <mergeCell ref="L1207:M1207"/>
    <mergeCell ref="A1208:E1208"/>
    <mergeCell ref="G1208:H1208"/>
    <mergeCell ref="I1208:K1208"/>
    <mergeCell ref="L1208:M1208"/>
    <mergeCell ref="A1202:E1202"/>
    <mergeCell ref="G1202:H1202"/>
    <mergeCell ref="L1202:M1202"/>
    <mergeCell ref="A1203:E1203"/>
    <mergeCell ref="G1203:H1203"/>
    <mergeCell ref="L1203:M1203"/>
    <mergeCell ref="A1204:E1204"/>
    <mergeCell ref="G1204:H1204"/>
    <mergeCell ref="L1204:M1204"/>
    <mergeCell ref="A1212:B1212"/>
    <mergeCell ref="C1212:D1212"/>
    <mergeCell ref="E1212:F1212"/>
    <mergeCell ref="G1212:I1212"/>
    <mergeCell ref="J1212:L1212"/>
    <mergeCell ref="M1212:N1212"/>
    <mergeCell ref="A1213:B1213"/>
    <mergeCell ref="C1213:D1213"/>
    <mergeCell ref="E1213:F1213"/>
    <mergeCell ref="G1213:I1213"/>
    <mergeCell ref="J1213:L1213"/>
    <mergeCell ref="M1213:N1213"/>
    <mergeCell ref="A1209:N1209"/>
    <mergeCell ref="A1210:B1210"/>
    <mergeCell ref="C1210:D1210"/>
    <mergeCell ref="E1210:F1210"/>
    <mergeCell ref="G1210:I1210"/>
    <mergeCell ref="J1210:L1210"/>
    <mergeCell ref="M1210:N1210"/>
    <mergeCell ref="A1211:B1211"/>
    <mergeCell ref="C1211:D1211"/>
    <mergeCell ref="E1211:F1211"/>
    <mergeCell ref="G1211:I1211"/>
    <mergeCell ref="J1211:L1211"/>
    <mergeCell ref="M1211:N1211"/>
    <mergeCell ref="A1223:N1223"/>
    <mergeCell ref="A1224:N1224"/>
    <mergeCell ref="A1225:N1225"/>
    <mergeCell ref="A1226:N1226"/>
    <mergeCell ref="A1227:N1227"/>
    <mergeCell ref="A1228:N1228"/>
    <mergeCell ref="A1229:B1229"/>
    <mergeCell ref="C1229:G1229"/>
    <mergeCell ref="H1229:L1229"/>
    <mergeCell ref="M1229:N1229"/>
    <mergeCell ref="A1214:N1214"/>
    <mergeCell ref="A1215:N1215"/>
    <mergeCell ref="A1216:N1216"/>
    <mergeCell ref="A1217:N1217"/>
    <mergeCell ref="A1218:N1218"/>
    <mergeCell ref="A1219:N1219"/>
    <mergeCell ref="A1220:N1220"/>
    <mergeCell ref="A1221:N1221"/>
    <mergeCell ref="A1222:N1222"/>
    <mergeCell ref="A1235:C1236"/>
    <mergeCell ref="D1235:G1236"/>
    <mergeCell ref="H1235:J1236"/>
    <mergeCell ref="K1235:N1236"/>
    <mergeCell ref="A1237:N1237"/>
    <mergeCell ref="A1238:E1238"/>
    <mergeCell ref="G1238:H1238"/>
    <mergeCell ref="I1238:K1238"/>
    <mergeCell ref="L1238:M1238"/>
    <mergeCell ref="H1231:I1231"/>
    <mergeCell ref="J1231:L1231"/>
    <mergeCell ref="M1231:N1231"/>
    <mergeCell ref="B1232:G1232"/>
    <mergeCell ref="H1232:J1232"/>
    <mergeCell ref="K1232:N1232"/>
    <mergeCell ref="D1233:E1233"/>
    <mergeCell ref="K1233:L1233"/>
    <mergeCell ref="A1234:C1234"/>
    <mergeCell ref="D1234:G1234"/>
    <mergeCell ref="H1234:J1234"/>
    <mergeCell ref="K1234:N1234"/>
    <mergeCell ref="A1242:E1242"/>
    <mergeCell ref="G1242:H1242"/>
    <mergeCell ref="I1242:K1242"/>
    <mergeCell ref="L1242:M1242"/>
    <mergeCell ref="A1243:E1243"/>
    <mergeCell ref="G1243:H1243"/>
    <mergeCell ref="I1243:K1243"/>
    <mergeCell ref="L1243:M1243"/>
    <mergeCell ref="A1244:E1244"/>
    <mergeCell ref="G1244:H1244"/>
    <mergeCell ref="I1244:K1244"/>
    <mergeCell ref="L1244:M1244"/>
    <mergeCell ref="A1239:E1239"/>
    <mergeCell ref="G1239:H1239"/>
    <mergeCell ref="I1239:K1239"/>
    <mergeCell ref="L1239:M1239"/>
    <mergeCell ref="A1240:E1240"/>
    <mergeCell ref="G1240:H1240"/>
    <mergeCell ref="I1240:K1240"/>
    <mergeCell ref="L1240:M1240"/>
    <mergeCell ref="A1241:E1241"/>
    <mergeCell ref="G1241:H1241"/>
    <mergeCell ref="I1241:K1241"/>
    <mergeCell ref="L1241:M1241"/>
    <mergeCell ref="A1248:E1248"/>
    <mergeCell ref="G1248:H1248"/>
    <mergeCell ref="I1248:K1248"/>
    <mergeCell ref="L1248:M1248"/>
    <mergeCell ref="A1249:E1249"/>
    <mergeCell ref="G1249:H1249"/>
    <mergeCell ref="I1249:K1249"/>
    <mergeCell ref="L1249:M1249"/>
    <mergeCell ref="A1250:E1250"/>
    <mergeCell ref="G1250:H1250"/>
    <mergeCell ref="I1250:K1250"/>
    <mergeCell ref="L1250:M1250"/>
    <mergeCell ref="A1245:E1245"/>
    <mergeCell ref="G1245:H1245"/>
    <mergeCell ref="I1245:K1245"/>
    <mergeCell ref="L1245:M1245"/>
    <mergeCell ref="A1246:E1246"/>
    <mergeCell ref="G1246:H1246"/>
    <mergeCell ref="I1246:K1246"/>
    <mergeCell ref="L1246:M1246"/>
    <mergeCell ref="A1247:E1247"/>
    <mergeCell ref="G1247:H1247"/>
    <mergeCell ref="I1247:K1247"/>
    <mergeCell ref="L1247:M1247"/>
    <mergeCell ref="A1254:E1254"/>
    <mergeCell ref="G1254:H1254"/>
    <mergeCell ref="I1254:K1254"/>
    <mergeCell ref="L1254:M1254"/>
    <mergeCell ref="A1255:E1255"/>
    <mergeCell ref="G1255:H1255"/>
    <mergeCell ref="I1255:K1255"/>
    <mergeCell ref="L1255:M1255"/>
    <mergeCell ref="A1256:E1256"/>
    <mergeCell ref="G1256:H1256"/>
    <mergeCell ref="I1256:K1256"/>
    <mergeCell ref="L1256:M1256"/>
    <mergeCell ref="A1251:E1251"/>
    <mergeCell ref="G1251:H1251"/>
    <mergeCell ref="I1251:K1251"/>
    <mergeCell ref="L1251:M1251"/>
    <mergeCell ref="A1252:E1252"/>
    <mergeCell ref="G1252:H1252"/>
    <mergeCell ref="I1252:K1252"/>
    <mergeCell ref="L1252:M1252"/>
    <mergeCell ref="A1253:E1253"/>
    <mergeCell ref="G1253:H1253"/>
    <mergeCell ref="I1253:K1253"/>
    <mergeCell ref="L1253:M1253"/>
    <mergeCell ref="A1260:E1260"/>
    <mergeCell ref="G1260:H1260"/>
    <mergeCell ref="L1260:M1260"/>
    <mergeCell ref="A1261:E1261"/>
    <mergeCell ref="G1261:H1261"/>
    <mergeCell ref="L1261:M1261"/>
    <mergeCell ref="A1262:E1262"/>
    <mergeCell ref="G1262:H1262"/>
    <mergeCell ref="L1262:M1262"/>
    <mergeCell ref="A1257:E1257"/>
    <mergeCell ref="G1257:H1257"/>
    <mergeCell ref="I1257:K1257"/>
    <mergeCell ref="L1257:M1257"/>
    <mergeCell ref="A1258:E1258"/>
    <mergeCell ref="G1258:H1258"/>
    <mergeCell ref="I1258:K1258"/>
    <mergeCell ref="L1258:M1258"/>
    <mergeCell ref="A1259:E1259"/>
    <mergeCell ref="G1259:H1259"/>
    <mergeCell ref="I1259:K1259"/>
    <mergeCell ref="L1259:M1259"/>
    <mergeCell ref="A1266:E1266"/>
    <mergeCell ref="G1266:H1266"/>
    <mergeCell ref="L1266:M1266"/>
    <mergeCell ref="A1267:N1267"/>
    <mergeCell ref="A1268:E1268"/>
    <mergeCell ref="G1268:H1268"/>
    <mergeCell ref="I1268:K1268"/>
    <mergeCell ref="L1268:M1268"/>
    <mergeCell ref="A1269:E1269"/>
    <mergeCell ref="G1269:H1269"/>
    <mergeCell ref="I1269:K1269"/>
    <mergeCell ref="L1269:M1269"/>
    <mergeCell ref="A1263:E1263"/>
    <mergeCell ref="G1263:H1263"/>
    <mergeCell ref="L1263:M1263"/>
    <mergeCell ref="A1264:E1264"/>
    <mergeCell ref="G1264:H1264"/>
    <mergeCell ref="L1264:M1264"/>
    <mergeCell ref="A1265:E1265"/>
    <mergeCell ref="G1265:H1265"/>
    <mergeCell ref="L1265:M1265"/>
    <mergeCell ref="A1273:B1273"/>
    <mergeCell ref="C1273:D1273"/>
    <mergeCell ref="E1273:F1273"/>
    <mergeCell ref="G1273:I1273"/>
    <mergeCell ref="J1273:L1273"/>
    <mergeCell ref="M1273:N1273"/>
    <mergeCell ref="A1274:B1274"/>
    <mergeCell ref="C1274:D1274"/>
    <mergeCell ref="E1274:F1274"/>
    <mergeCell ref="G1274:I1274"/>
    <mergeCell ref="J1274:L1274"/>
    <mergeCell ref="M1274:N1274"/>
    <mergeCell ref="A1270:N1270"/>
    <mergeCell ref="A1271:B1271"/>
    <mergeCell ref="C1271:D1271"/>
    <mergeCell ref="E1271:F1271"/>
    <mergeCell ref="G1271:I1271"/>
    <mergeCell ref="J1271:L1271"/>
    <mergeCell ref="M1271:N1271"/>
    <mergeCell ref="A1272:B1272"/>
    <mergeCell ref="C1272:D1272"/>
    <mergeCell ref="E1272:F1272"/>
    <mergeCell ref="G1272:I1272"/>
    <mergeCell ref="J1272:L1272"/>
    <mergeCell ref="M1272:N1272"/>
    <mergeCell ref="A1284:N1284"/>
    <mergeCell ref="A1285:N1285"/>
    <mergeCell ref="A1286:N1286"/>
    <mergeCell ref="A1287:N1287"/>
    <mergeCell ref="A1288:N1288"/>
    <mergeCell ref="A1289:N1289"/>
    <mergeCell ref="A1290:B1290"/>
    <mergeCell ref="C1290:G1290"/>
    <mergeCell ref="H1290:L1290"/>
    <mergeCell ref="M1290:N1290"/>
    <mergeCell ref="A1275:N1275"/>
    <mergeCell ref="A1276:N1276"/>
    <mergeCell ref="A1277:N1277"/>
    <mergeCell ref="A1278:N1278"/>
    <mergeCell ref="A1279:N1279"/>
    <mergeCell ref="A1280:N1280"/>
    <mergeCell ref="A1281:N1281"/>
    <mergeCell ref="A1282:N1282"/>
    <mergeCell ref="A1283:N1283"/>
    <mergeCell ref="A1296:C1297"/>
    <mergeCell ref="D1296:G1297"/>
    <mergeCell ref="H1296:J1297"/>
    <mergeCell ref="K1296:N1297"/>
    <mergeCell ref="A1298:N1298"/>
    <mergeCell ref="A1299:E1299"/>
    <mergeCell ref="G1299:H1299"/>
    <mergeCell ref="I1299:K1299"/>
    <mergeCell ref="L1299:M1299"/>
    <mergeCell ref="H1292:I1292"/>
    <mergeCell ref="J1292:L1292"/>
    <mergeCell ref="M1292:N1292"/>
    <mergeCell ref="B1293:G1293"/>
    <mergeCell ref="H1293:J1293"/>
    <mergeCell ref="K1293:N1293"/>
    <mergeCell ref="D1294:E1294"/>
    <mergeCell ref="K1294:L1294"/>
    <mergeCell ref="A1295:C1295"/>
    <mergeCell ref="D1295:G1295"/>
    <mergeCell ref="H1295:J1295"/>
    <mergeCell ref="K1295:N1295"/>
    <mergeCell ref="A1303:E1303"/>
    <mergeCell ref="G1303:H1303"/>
    <mergeCell ref="I1303:K1303"/>
    <mergeCell ref="L1303:M1303"/>
    <mergeCell ref="A1304:E1304"/>
    <mergeCell ref="G1304:H1304"/>
    <mergeCell ref="I1304:K1304"/>
    <mergeCell ref="L1304:M1304"/>
    <mergeCell ref="A1305:E1305"/>
    <mergeCell ref="G1305:H1305"/>
    <mergeCell ref="I1305:K1305"/>
    <mergeCell ref="L1305:M1305"/>
    <mergeCell ref="A1300:E1300"/>
    <mergeCell ref="G1300:H1300"/>
    <mergeCell ref="I1300:K1300"/>
    <mergeCell ref="L1300:M1300"/>
    <mergeCell ref="A1301:E1301"/>
    <mergeCell ref="G1301:H1301"/>
    <mergeCell ref="I1301:K1301"/>
    <mergeCell ref="L1301:M1301"/>
    <mergeCell ref="A1302:E1302"/>
    <mergeCell ref="G1302:H1302"/>
    <mergeCell ref="I1302:K1302"/>
    <mergeCell ref="L1302:M1302"/>
    <mergeCell ref="A1309:E1309"/>
    <mergeCell ref="G1309:H1309"/>
    <mergeCell ref="I1309:K1309"/>
    <mergeCell ref="L1309:M1309"/>
    <mergeCell ref="A1310:E1310"/>
    <mergeCell ref="G1310:H1310"/>
    <mergeCell ref="I1310:K1310"/>
    <mergeCell ref="L1310:M1310"/>
    <mergeCell ref="A1311:E1311"/>
    <mergeCell ref="G1311:H1311"/>
    <mergeCell ref="I1311:K1311"/>
    <mergeCell ref="L1311:M1311"/>
    <mergeCell ref="A1306:E1306"/>
    <mergeCell ref="G1306:H1306"/>
    <mergeCell ref="I1306:K1306"/>
    <mergeCell ref="L1306:M1306"/>
    <mergeCell ref="A1307:E1307"/>
    <mergeCell ref="G1307:H1307"/>
    <mergeCell ref="I1307:K1307"/>
    <mergeCell ref="L1307:M1307"/>
    <mergeCell ref="A1308:E1308"/>
    <mergeCell ref="G1308:H1308"/>
    <mergeCell ref="I1308:K1308"/>
    <mergeCell ref="L1308:M1308"/>
    <mergeCell ref="A1315:E1315"/>
    <mergeCell ref="G1315:H1315"/>
    <mergeCell ref="I1315:K1315"/>
    <mergeCell ref="L1315:M1315"/>
    <mergeCell ref="A1316:E1316"/>
    <mergeCell ref="G1316:H1316"/>
    <mergeCell ref="I1316:K1316"/>
    <mergeCell ref="L1316:M1316"/>
    <mergeCell ref="A1317:E1317"/>
    <mergeCell ref="G1317:H1317"/>
    <mergeCell ref="I1317:K1317"/>
    <mergeCell ref="L1317:M1317"/>
    <mergeCell ref="A1312:E1312"/>
    <mergeCell ref="G1312:H1312"/>
    <mergeCell ref="I1312:K1312"/>
    <mergeCell ref="L1312:M1312"/>
    <mergeCell ref="A1313:E1313"/>
    <mergeCell ref="G1313:H1313"/>
    <mergeCell ref="I1313:K1313"/>
    <mergeCell ref="L1313:M1313"/>
    <mergeCell ref="A1314:E1314"/>
    <mergeCell ref="G1314:H1314"/>
    <mergeCell ref="I1314:K1314"/>
    <mergeCell ref="L1314:M1314"/>
    <mergeCell ref="A1321:E1321"/>
    <mergeCell ref="G1321:H1321"/>
    <mergeCell ref="L1321:M1321"/>
    <mergeCell ref="A1322:E1322"/>
    <mergeCell ref="G1322:H1322"/>
    <mergeCell ref="L1322:M1322"/>
    <mergeCell ref="A1323:E1323"/>
    <mergeCell ref="G1323:H1323"/>
    <mergeCell ref="L1323:M1323"/>
    <mergeCell ref="A1318:E1318"/>
    <mergeCell ref="G1318:H1318"/>
    <mergeCell ref="I1318:K1318"/>
    <mergeCell ref="L1318:M1318"/>
    <mergeCell ref="A1319:E1319"/>
    <mergeCell ref="G1319:H1319"/>
    <mergeCell ref="I1319:K1319"/>
    <mergeCell ref="L1319:M1319"/>
    <mergeCell ref="A1320:E1320"/>
    <mergeCell ref="G1320:H1320"/>
    <mergeCell ref="I1320:K1320"/>
    <mergeCell ref="L1320:M1320"/>
    <mergeCell ref="A1327:E1327"/>
    <mergeCell ref="G1327:H1327"/>
    <mergeCell ref="L1327:M1327"/>
    <mergeCell ref="A1328:N1328"/>
    <mergeCell ref="A1329:E1329"/>
    <mergeCell ref="G1329:H1329"/>
    <mergeCell ref="I1329:K1329"/>
    <mergeCell ref="L1329:M1329"/>
    <mergeCell ref="A1330:E1330"/>
    <mergeCell ref="G1330:H1330"/>
    <mergeCell ref="I1330:K1330"/>
    <mergeCell ref="L1330:M1330"/>
    <mergeCell ref="A1324:E1324"/>
    <mergeCell ref="G1324:H1324"/>
    <mergeCell ref="L1324:M1324"/>
    <mergeCell ref="A1325:E1325"/>
    <mergeCell ref="G1325:H1325"/>
    <mergeCell ref="L1325:M1325"/>
    <mergeCell ref="A1326:E1326"/>
    <mergeCell ref="G1326:H1326"/>
    <mergeCell ref="L1326:M1326"/>
    <mergeCell ref="A1334:B1334"/>
    <mergeCell ref="C1334:D1334"/>
    <mergeCell ref="E1334:F1334"/>
    <mergeCell ref="G1334:I1334"/>
    <mergeCell ref="J1334:L1334"/>
    <mergeCell ref="M1334:N1334"/>
    <mergeCell ref="A1335:B1335"/>
    <mergeCell ref="C1335:D1335"/>
    <mergeCell ref="E1335:F1335"/>
    <mergeCell ref="G1335:I1335"/>
    <mergeCell ref="J1335:L1335"/>
    <mergeCell ref="M1335:N1335"/>
    <mergeCell ref="A1331:N1331"/>
    <mergeCell ref="A1332:B1332"/>
    <mergeCell ref="C1332:D1332"/>
    <mergeCell ref="E1332:F1332"/>
    <mergeCell ref="G1332:I1332"/>
    <mergeCell ref="J1332:L1332"/>
    <mergeCell ref="M1332:N1332"/>
    <mergeCell ref="A1333:B1333"/>
    <mergeCell ref="C1333:D1333"/>
    <mergeCell ref="E1333:F1333"/>
    <mergeCell ref="G1333:I1333"/>
    <mergeCell ref="J1333:L1333"/>
    <mergeCell ref="M1333:N1333"/>
    <mergeCell ref="A1345:N1345"/>
    <mergeCell ref="A1346:N1346"/>
    <mergeCell ref="A1347:N1347"/>
    <mergeCell ref="A1348:N1348"/>
    <mergeCell ref="A1349:N1349"/>
    <mergeCell ref="A1350:N1350"/>
    <mergeCell ref="A1351:B1351"/>
    <mergeCell ref="C1351:G1351"/>
    <mergeCell ref="H1351:L1351"/>
    <mergeCell ref="M1351:N1351"/>
    <mergeCell ref="A1336:N1336"/>
    <mergeCell ref="A1337:N1337"/>
    <mergeCell ref="A1338:N1338"/>
    <mergeCell ref="A1339:N1339"/>
    <mergeCell ref="A1340:N1340"/>
    <mergeCell ref="A1341:N1341"/>
    <mergeCell ref="A1342:N1342"/>
    <mergeCell ref="A1343:N1343"/>
    <mergeCell ref="A1344:N1344"/>
    <mergeCell ref="A1357:C1358"/>
    <mergeCell ref="D1357:G1358"/>
    <mergeCell ref="H1357:J1358"/>
    <mergeCell ref="K1357:N1358"/>
    <mergeCell ref="A1359:N1359"/>
    <mergeCell ref="A1360:E1360"/>
    <mergeCell ref="G1360:H1360"/>
    <mergeCell ref="I1360:K1360"/>
    <mergeCell ref="L1360:M1360"/>
    <mergeCell ref="H1353:I1353"/>
    <mergeCell ref="J1353:L1353"/>
    <mergeCell ref="M1353:N1353"/>
    <mergeCell ref="B1354:G1354"/>
    <mergeCell ref="H1354:J1354"/>
    <mergeCell ref="K1354:N1354"/>
    <mergeCell ref="D1355:E1355"/>
    <mergeCell ref="K1355:L1355"/>
    <mergeCell ref="A1356:C1356"/>
    <mergeCell ref="D1356:G1356"/>
    <mergeCell ref="H1356:J1356"/>
    <mergeCell ref="K1356:N1356"/>
    <mergeCell ref="A1364:E1364"/>
    <mergeCell ref="G1364:H1364"/>
    <mergeCell ref="I1364:K1364"/>
    <mergeCell ref="L1364:M1364"/>
    <mergeCell ref="A1365:E1365"/>
    <mergeCell ref="G1365:H1365"/>
    <mergeCell ref="I1365:K1365"/>
    <mergeCell ref="L1365:M1365"/>
    <mergeCell ref="A1366:E1366"/>
    <mergeCell ref="G1366:H1366"/>
    <mergeCell ref="I1366:K1366"/>
    <mergeCell ref="L1366:M1366"/>
    <mergeCell ref="A1361:E1361"/>
    <mergeCell ref="G1361:H1361"/>
    <mergeCell ref="I1361:K1361"/>
    <mergeCell ref="L1361:M1361"/>
    <mergeCell ref="A1362:E1362"/>
    <mergeCell ref="G1362:H1362"/>
    <mergeCell ref="I1362:K1362"/>
    <mergeCell ref="L1362:M1362"/>
    <mergeCell ref="A1363:E1363"/>
    <mergeCell ref="G1363:H1363"/>
    <mergeCell ref="I1363:K1363"/>
    <mergeCell ref="L1363:M1363"/>
    <mergeCell ref="A1370:E1370"/>
    <mergeCell ref="G1370:H1370"/>
    <mergeCell ref="I1370:K1370"/>
    <mergeCell ref="L1370:M1370"/>
    <mergeCell ref="A1371:E1371"/>
    <mergeCell ref="G1371:H1371"/>
    <mergeCell ref="I1371:K1371"/>
    <mergeCell ref="L1371:M1371"/>
    <mergeCell ref="A1372:E1372"/>
    <mergeCell ref="G1372:H1372"/>
    <mergeCell ref="I1372:K1372"/>
    <mergeCell ref="L1372:M1372"/>
    <mergeCell ref="A1367:E1367"/>
    <mergeCell ref="G1367:H1367"/>
    <mergeCell ref="I1367:K1367"/>
    <mergeCell ref="L1367:M1367"/>
    <mergeCell ref="A1368:E1368"/>
    <mergeCell ref="G1368:H1368"/>
    <mergeCell ref="I1368:K1368"/>
    <mergeCell ref="L1368:M1368"/>
    <mergeCell ref="A1369:E1369"/>
    <mergeCell ref="G1369:H1369"/>
    <mergeCell ref="I1369:K1369"/>
    <mergeCell ref="L1369:M1369"/>
    <mergeCell ref="A1376:E1376"/>
    <mergeCell ref="G1376:H1376"/>
    <mergeCell ref="I1376:K1376"/>
    <mergeCell ref="L1376:M1376"/>
    <mergeCell ref="A1377:E1377"/>
    <mergeCell ref="G1377:H1377"/>
    <mergeCell ref="I1377:K1377"/>
    <mergeCell ref="L1377:M1377"/>
    <mergeCell ref="A1378:E1378"/>
    <mergeCell ref="G1378:H1378"/>
    <mergeCell ref="I1378:K1378"/>
    <mergeCell ref="L1378:M1378"/>
    <mergeCell ref="A1373:E1373"/>
    <mergeCell ref="G1373:H1373"/>
    <mergeCell ref="I1373:K1373"/>
    <mergeCell ref="L1373:M1373"/>
    <mergeCell ref="A1374:E1374"/>
    <mergeCell ref="G1374:H1374"/>
    <mergeCell ref="I1374:K1374"/>
    <mergeCell ref="L1374:M1374"/>
    <mergeCell ref="A1375:E1375"/>
    <mergeCell ref="G1375:H1375"/>
    <mergeCell ref="I1375:K1375"/>
    <mergeCell ref="L1375:M1375"/>
    <mergeCell ref="A1382:E1382"/>
    <mergeCell ref="G1382:H1382"/>
    <mergeCell ref="L1382:M1382"/>
    <mergeCell ref="A1383:E1383"/>
    <mergeCell ref="G1383:H1383"/>
    <mergeCell ref="L1383:M1383"/>
    <mergeCell ref="A1384:E1384"/>
    <mergeCell ref="G1384:H1384"/>
    <mergeCell ref="L1384:M1384"/>
    <mergeCell ref="A1379:E1379"/>
    <mergeCell ref="G1379:H1379"/>
    <mergeCell ref="I1379:K1379"/>
    <mergeCell ref="L1379:M1379"/>
    <mergeCell ref="A1380:E1380"/>
    <mergeCell ref="G1380:H1380"/>
    <mergeCell ref="I1380:K1380"/>
    <mergeCell ref="L1380:M1380"/>
    <mergeCell ref="A1381:E1381"/>
    <mergeCell ref="G1381:H1381"/>
    <mergeCell ref="I1381:K1381"/>
    <mergeCell ref="L1381:M1381"/>
    <mergeCell ref="A1388:E1388"/>
    <mergeCell ref="G1388:H1388"/>
    <mergeCell ref="L1388:M1388"/>
    <mergeCell ref="A1389:N1389"/>
    <mergeCell ref="A1390:E1390"/>
    <mergeCell ref="G1390:H1390"/>
    <mergeCell ref="I1390:K1390"/>
    <mergeCell ref="L1390:M1390"/>
    <mergeCell ref="A1391:E1391"/>
    <mergeCell ref="G1391:H1391"/>
    <mergeCell ref="I1391:K1391"/>
    <mergeCell ref="L1391:M1391"/>
    <mergeCell ref="A1385:E1385"/>
    <mergeCell ref="G1385:H1385"/>
    <mergeCell ref="L1385:M1385"/>
    <mergeCell ref="A1386:E1386"/>
    <mergeCell ref="G1386:H1386"/>
    <mergeCell ref="L1386:M1386"/>
    <mergeCell ref="A1387:E1387"/>
    <mergeCell ref="G1387:H1387"/>
    <mergeCell ref="L1387:M1387"/>
    <mergeCell ref="A1395:B1395"/>
    <mergeCell ref="C1395:D1395"/>
    <mergeCell ref="E1395:F1395"/>
    <mergeCell ref="G1395:I1395"/>
    <mergeCell ref="J1395:L1395"/>
    <mergeCell ref="M1395:N1395"/>
    <mergeCell ref="A1396:B1396"/>
    <mergeCell ref="C1396:D1396"/>
    <mergeCell ref="E1396:F1396"/>
    <mergeCell ref="G1396:I1396"/>
    <mergeCell ref="J1396:L1396"/>
    <mergeCell ref="M1396:N1396"/>
    <mergeCell ref="A1392:N1392"/>
    <mergeCell ref="A1393:B1393"/>
    <mergeCell ref="C1393:D1393"/>
    <mergeCell ref="E1393:F1393"/>
    <mergeCell ref="G1393:I1393"/>
    <mergeCell ref="J1393:L1393"/>
    <mergeCell ref="M1393:N1393"/>
    <mergeCell ref="A1394:B1394"/>
    <mergeCell ref="C1394:D1394"/>
    <mergeCell ref="E1394:F1394"/>
    <mergeCell ref="G1394:I1394"/>
    <mergeCell ref="J1394:L1394"/>
    <mergeCell ref="M1394:N1394"/>
    <mergeCell ref="A1406:N1406"/>
    <mergeCell ref="A1407:N1407"/>
    <mergeCell ref="A1408:N1408"/>
    <mergeCell ref="A1409:N1409"/>
    <mergeCell ref="A1410:N1410"/>
    <mergeCell ref="A1411:N1411"/>
    <mergeCell ref="A1412:B1412"/>
    <mergeCell ref="C1412:G1412"/>
    <mergeCell ref="H1412:L1412"/>
    <mergeCell ref="M1412:N1412"/>
    <mergeCell ref="A1397:N1397"/>
    <mergeCell ref="A1398:N1398"/>
    <mergeCell ref="A1399:N1399"/>
    <mergeCell ref="A1400:N1400"/>
    <mergeCell ref="A1401:N1401"/>
    <mergeCell ref="A1402:N1402"/>
    <mergeCell ref="A1403:N1403"/>
    <mergeCell ref="A1404:N1404"/>
    <mergeCell ref="A1405:N1405"/>
    <mergeCell ref="A1418:C1419"/>
    <mergeCell ref="D1418:G1419"/>
    <mergeCell ref="H1418:J1419"/>
    <mergeCell ref="K1418:N1419"/>
    <mergeCell ref="A1420:N1420"/>
    <mergeCell ref="A1421:E1421"/>
    <mergeCell ref="G1421:H1421"/>
    <mergeCell ref="I1421:K1421"/>
    <mergeCell ref="L1421:M1421"/>
    <mergeCell ref="H1414:I1414"/>
    <mergeCell ref="J1414:L1414"/>
    <mergeCell ref="M1414:N1414"/>
    <mergeCell ref="B1415:G1415"/>
    <mergeCell ref="H1415:J1415"/>
    <mergeCell ref="K1415:N1415"/>
    <mergeCell ref="D1416:E1416"/>
    <mergeCell ref="K1416:L1416"/>
    <mergeCell ref="A1417:C1417"/>
    <mergeCell ref="D1417:G1417"/>
    <mergeCell ref="H1417:J1417"/>
    <mergeCell ref="K1417:N1417"/>
    <mergeCell ref="A1425:E1425"/>
    <mergeCell ref="G1425:H1425"/>
    <mergeCell ref="I1425:K1425"/>
    <mergeCell ref="L1425:M1425"/>
    <mergeCell ref="A1426:E1426"/>
    <mergeCell ref="G1426:H1426"/>
    <mergeCell ref="I1426:K1426"/>
    <mergeCell ref="L1426:M1426"/>
    <mergeCell ref="A1427:E1427"/>
    <mergeCell ref="G1427:H1427"/>
    <mergeCell ref="I1427:K1427"/>
    <mergeCell ref="L1427:M1427"/>
    <mergeCell ref="A1422:E1422"/>
    <mergeCell ref="G1422:H1422"/>
    <mergeCell ref="I1422:K1422"/>
    <mergeCell ref="L1422:M1422"/>
    <mergeCell ref="A1423:E1423"/>
    <mergeCell ref="G1423:H1423"/>
    <mergeCell ref="I1423:K1423"/>
    <mergeCell ref="L1423:M1423"/>
    <mergeCell ref="A1424:E1424"/>
    <mergeCell ref="G1424:H1424"/>
    <mergeCell ref="I1424:K1424"/>
    <mergeCell ref="L1424:M1424"/>
    <mergeCell ref="A1431:E1431"/>
    <mergeCell ref="G1431:H1431"/>
    <mergeCell ref="I1431:K1431"/>
    <mergeCell ref="L1431:M1431"/>
    <mergeCell ref="A1432:E1432"/>
    <mergeCell ref="G1432:H1432"/>
    <mergeCell ref="I1432:K1432"/>
    <mergeCell ref="L1432:M1432"/>
    <mergeCell ref="A1433:E1433"/>
    <mergeCell ref="G1433:H1433"/>
    <mergeCell ref="I1433:K1433"/>
    <mergeCell ref="L1433:M1433"/>
    <mergeCell ref="A1428:E1428"/>
    <mergeCell ref="G1428:H1428"/>
    <mergeCell ref="I1428:K1428"/>
    <mergeCell ref="L1428:M1428"/>
    <mergeCell ref="A1429:E1429"/>
    <mergeCell ref="G1429:H1429"/>
    <mergeCell ref="I1429:K1429"/>
    <mergeCell ref="L1429:M1429"/>
    <mergeCell ref="A1430:E1430"/>
    <mergeCell ref="G1430:H1430"/>
    <mergeCell ref="I1430:K1430"/>
    <mergeCell ref="L1430:M1430"/>
    <mergeCell ref="A1437:E1437"/>
    <mergeCell ref="G1437:H1437"/>
    <mergeCell ref="I1437:K1437"/>
    <mergeCell ref="L1437:M1437"/>
    <mergeCell ref="A1438:E1438"/>
    <mergeCell ref="G1438:H1438"/>
    <mergeCell ref="I1438:K1438"/>
    <mergeCell ref="L1438:M1438"/>
    <mergeCell ref="A1439:E1439"/>
    <mergeCell ref="G1439:H1439"/>
    <mergeCell ref="I1439:K1439"/>
    <mergeCell ref="L1439:M1439"/>
    <mergeCell ref="A1434:E1434"/>
    <mergeCell ref="G1434:H1434"/>
    <mergeCell ref="I1434:K1434"/>
    <mergeCell ref="L1434:M1434"/>
    <mergeCell ref="A1435:E1435"/>
    <mergeCell ref="G1435:H1435"/>
    <mergeCell ref="I1435:K1435"/>
    <mergeCell ref="L1435:M1435"/>
    <mergeCell ref="A1436:E1436"/>
    <mergeCell ref="G1436:H1436"/>
    <mergeCell ref="I1436:K1436"/>
    <mergeCell ref="L1436:M1436"/>
    <mergeCell ref="A1443:E1443"/>
    <mergeCell ref="G1443:H1443"/>
    <mergeCell ref="L1443:M1443"/>
    <mergeCell ref="A1444:E1444"/>
    <mergeCell ref="G1444:H1444"/>
    <mergeCell ref="L1444:M1444"/>
    <mergeCell ref="A1445:E1445"/>
    <mergeCell ref="G1445:H1445"/>
    <mergeCell ref="L1445:M1445"/>
    <mergeCell ref="A1440:E1440"/>
    <mergeCell ref="G1440:H1440"/>
    <mergeCell ref="I1440:K1440"/>
    <mergeCell ref="L1440:M1440"/>
    <mergeCell ref="A1441:E1441"/>
    <mergeCell ref="G1441:H1441"/>
    <mergeCell ref="I1441:K1441"/>
    <mergeCell ref="L1441:M1441"/>
    <mergeCell ref="A1442:E1442"/>
    <mergeCell ref="G1442:H1442"/>
    <mergeCell ref="I1442:K1442"/>
    <mergeCell ref="L1442:M1442"/>
    <mergeCell ref="A1449:E1449"/>
    <mergeCell ref="G1449:H1449"/>
    <mergeCell ref="L1449:M1449"/>
    <mergeCell ref="A1450:N1450"/>
    <mergeCell ref="A1451:E1451"/>
    <mergeCell ref="G1451:H1451"/>
    <mergeCell ref="I1451:K1451"/>
    <mergeCell ref="L1451:M1451"/>
    <mergeCell ref="A1452:E1452"/>
    <mergeCell ref="G1452:H1452"/>
    <mergeCell ref="I1452:K1452"/>
    <mergeCell ref="L1452:M1452"/>
    <mergeCell ref="A1446:E1446"/>
    <mergeCell ref="G1446:H1446"/>
    <mergeCell ref="L1446:M1446"/>
    <mergeCell ref="A1447:E1447"/>
    <mergeCell ref="G1447:H1447"/>
    <mergeCell ref="L1447:M1447"/>
    <mergeCell ref="A1448:E1448"/>
    <mergeCell ref="G1448:H1448"/>
    <mergeCell ref="L1448:M1448"/>
    <mergeCell ref="A1456:B1456"/>
    <mergeCell ref="C1456:D1456"/>
    <mergeCell ref="E1456:F1456"/>
    <mergeCell ref="G1456:I1456"/>
    <mergeCell ref="J1456:L1456"/>
    <mergeCell ref="M1456:N1456"/>
    <mergeCell ref="A1457:B1457"/>
    <mergeCell ref="C1457:D1457"/>
    <mergeCell ref="E1457:F1457"/>
    <mergeCell ref="G1457:I1457"/>
    <mergeCell ref="J1457:L1457"/>
    <mergeCell ref="M1457:N1457"/>
    <mergeCell ref="A1453:N1453"/>
    <mergeCell ref="A1454:B1454"/>
    <mergeCell ref="C1454:D1454"/>
    <mergeCell ref="E1454:F1454"/>
    <mergeCell ref="G1454:I1454"/>
    <mergeCell ref="J1454:L1454"/>
    <mergeCell ref="M1454:N1454"/>
    <mergeCell ref="A1455:B1455"/>
    <mergeCell ref="C1455:D1455"/>
    <mergeCell ref="E1455:F1455"/>
    <mergeCell ref="G1455:I1455"/>
    <mergeCell ref="J1455:L1455"/>
    <mergeCell ref="M1455:N1455"/>
    <mergeCell ref="A1467:N1467"/>
    <mergeCell ref="A1468:N1468"/>
    <mergeCell ref="A1469:N1469"/>
    <mergeCell ref="A1470:N1470"/>
    <mergeCell ref="A1471:N1471"/>
    <mergeCell ref="A1472:N1472"/>
    <mergeCell ref="A1473:B1473"/>
    <mergeCell ref="C1473:G1473"/>
    <mergeCell ref="H1473:L1473"/>
    <mergeCell ref="M1473:N1473"/>
    <mergeCell ref="A1458:N1458"/>
    <mergeCell ref="A1459:N1459"/>
    <mergeCell ref="A1460:N1460"/>
    <mergeCell ref="A1461:N1461"/>
    <mergeCell ref="A1462:N1462"/>
    <mergeCell ref="A1463:N1463"/>
    <mergeCell ref="A1464:N1464"/>
    <mergeCell ref="A1465:N1465"/>
    <mergeCell ref="A1466:N1466"/>
    <mergeCell ref="A1479:C1480"/>
    <mergeCell ref="D1479:G1480"/>
    <mergeCell ref="H1479:J1480"/>
    <mergeCell ref="K1479:N1480"/>
    <mergeCell ref="A1481:N1481"/>
    <mergeCell ref="A1482:E1482"/>
    <mergeCell ref="G1482:H1482"/>
    <mergeCell ref="I1482:K1482"/>
    <mergeCell ref="L1482:M1482"/>
    <mergeCell ref="H1475:I1475"/>
    <mergeCell ref="J1475:L1475"/>
    <mergeCell ref="M1475:N1475"/>
    <mergeCell ref="B1476:G1476"/>
    <mergeCell ref="H1476:J1476"/>
    <mergeCell ref="K1476:N1476"/>
    <mergeCell ref="D1477:E1477"/>
    <mergeCell ref="K1477:L1477"/>
    <mergeCell ref="A1478:C1478"/>
    <mergeCell ref="D1478:G1478"/>
    <mergeCell ref="H1478:J1478"/>
    <mergeCell ref="K1478:N1478"/>
    <mergeCell ref="A1486:E1486"/>
    <mergeCell ref="G1486:H1486"/>
    <mergeCell ref="I1486:K1486"/>
    <mergeCell ref="L1486:M1486"/>
    <mergeCell ref="A1487:E1487"/>
    <mergeCell ref="G1487:H1487"/>
    <mergeCell ref="I1487:K1487"/>
    <mergeCell ref="L1487:M1487"/>
    <mergeCell ref="A1488:E1488"/>
    <mergeCell ref="G1488:H1488"/>
    <mergeCell ref="I1488:K1488"/>
    <mergeCell ref="L1488:M1488"/>
    <mergeCell ref="A1483:E1483"/>
    <mergeCell ref="G1483:H1483"/>
    <mergeCell ref="I1483:K1483"/>
    <mergeCell ref="L1483:M1483"/>
    <mergeCell ref="A1484:E1484"/>
    <mergeCell ref="G1484:H1484"/>
    <mergeCell ref="I1484:K1484"/>
    <mergeCell ref="L1484:M1484"/>
    <mergeCell ref="A1485:E1485"/>
    <mergeCell ref="G1485:H1485"/>
    <mergeCell ref="I1485:K1485"/>
    <mergeCell ref="L1485:M1485"/>
    <mergeCell ref="A1492:E1492"/>
    <mergeCell ref="G1492:H1492"/>
    <mergeCell ref="I1492:K1492"/>
    <mergeCell ref="L1492:M1492"/>
    <mergeCell ref="A1493:E1493"/>
    <mergeCell ref="G1493:H1493"/>
    <mergeCell ref="I1493:K1493"/>
    <mergeCell ref="L1493:M1493"/>
    <mergeCell ref="A1494:E1494"/>
    <mergeCell ref="G1494:H1494"/>
    <mergeCell ref="I1494:K1494"/>
    <mergeCell ref="L1494:M1494"/>
    <mergeCell ref="A1489:E1489"/>
    <mergeCell ref="G1489:H1489"/>
    <mergeCell ref="I1489:K1489"/>
    <mergeCell ref="L1489:M1489"/>
    <mergeCell ref="A1490:E1490"/>
    <mergeCell ref="G1490:H1490"/>
    <mergeCell ref="I1490:K1490"/>
    <mergeCell ref="L1490:M1490"/>
    <mergeCell ref="A1491:E1491"/>
    <mergeCell ref="G1491:H1491"/>
    <mergeCell ref="I1491:K1491"/>
    <mergeCell ref="L1491:M1491"/>
    <mergeCell ref="A1498:E1498"/>
    <mergeCell ref="G1498:H1498"/>
    <mergeCell ref="I1498:K1498"/>
    <mergeCell ref="L1498:M1498"/>
    <mergeCell ref="A1499:E1499"/>
    <mergeCell ref="G1499:H1499"/>
    <mergeCell ref="I1499:K1499"/>
    <mergeCell ref="L1499:M1499"/>
    <mergeCell ref="A1500:E1500"/>
    <mergeCell ref="G1500:H1500"/>
    <mergeCell ref="I1500:K1500"/>
    <mergeCell ref="L1500:M1500"/>
    <mergeCell ref="A1495:E1495"/>
    <mergeCell ref="G1495:H1495"/>
    <mergeCell ref="I1495:K1495"/>
    <mergeCell ref="L1495:M1495"/>
    <mergeCell ref="A1496:E1496"/>
    <mergeCell ref="G1496:H1496"/>
    <mergeCell ref="I1496:K1496"/>
    <mergeCell ref="L1496:M1496"/>
    <mergeCell ref="A1497:E1497"/>
    <mergeCell ref="G1497:H1497"/>
    <mergeCell ref="I1497:K1497"/>
    <mergeCell ref="L1497:M1497"/>
    <mergeCell ref="A1504:E1504"/>
    <mergeCell ref="G1504:H1504"/>
    <mergeCell ref="L1504:M1504"/>
    <mergeCell ref="A1505:E1505"/>
    <mergeCell ref="G1505:H1505"/>
    <mergeCell ref="L1505:M1505"/>
    <mergeCell ref="A1506:E1506"/>
    <mergeCell ref="G1506:H1506"/>
    <mergeCell ref="L1506:M1506"/>
    <mergeCell ref="A1501:E1501"/>
    <mergeCell ref="G1501:H1501"/>
    <mergeCell ref="I1501:K1501"/>
    <mergeCell ref="L1501:M1501"/>
    <mergeCell ref="A1502:E1502"/>
    <mergeCell ref="G1502:H1502"/>
    <mergeCell ref="I1502:K1502"/>
    <mergeCell ref="L1502:M1502"/>
    <mergeCell ref="A1503:E1503"/>
    <mergeCell ref="G1503:H1503"/>
    <mergeCell ref="I1503:K1503"/>
    <mergeCell ref="L1503:M1503"/>
    <mergeCell ref="A1510:E1510"/>
    <mergeCell ref="G1510:H1510"/>
    <mergeCell ref="L1510:M1510"/>
    <mergeCell ref="A1511:N1511"/>
    <mergeCell ref="A1512:E1512"/>
    <mergeCell ref="G1512:H1512"/>
    <mergeCell ref="I1512:K1512"/>
    <mergeCell ref="L1512:M1512"/>
    <mergeCell ref="A1513:E1513"/>
    <mergeCell ref="G1513:H1513"/>
    <mergeCell ref="I1513:K1513"/>
    <mergeCell ref="L1513:M1513"/>
    <mergeCell ref="A1507:E1507"/>
    <mergeCell ref="G1507:H1507"/>
    <mergeCell ref="L1507:M1507"/>
    <mergeCell ref="A1508:E1508"/>
    <mergeCell ref="G1508:H1508"/>
    <mergeCell ref="L1508:M1508"/>
    <mergeCell ref="A1509:E1509"/>
    <mergeCell ref="G1509:H1509"/>
    <mergeCell ref="L1509:M1509"/>
    <mergeCell ref="A1517:B1517"/>
    <mergeCell ref="C1517:D1517"/>
    <mergeCell ref="E1517:F1517"/>
    <mergeCell ref="G1517:I1517"/>
    <mergeCell ref="J1517:L1517"/>
    <mergeCell ref="M1517:N1517"/>
    <mergeCell ref="A1518:B1518"/>
    <mergeCell ref="C1518:D1518"/>
    <mergeCell ref="E1518:F1518"/>
    <mergeCell ref="G1518:I1518"/>
    <mergeCell ref="J1518:L1518"/>
    <mergeCell ref="M1518:N1518"/>
    <mergeCell ref="A1514:N1514"/>
    <mergeCell ref="A1515:B1515"/>
    <mergeCell ref="C1515:D1515"/>
    <mergeCell ref="E1515:F1515"/>
    <mergeCell ref="G1515:I1515"/>
    <mergeCell ref="J1515:L1515"/>
    <mergeCell ref="M1515:N1515"/>
    <mergeCell ref="A1516:B1516"/>
    <mergeCell ref="C1516:D1516"/>
    <mergeCell ref="E1516:F1516"/>
    <mergeCell ref="G1516:I1516"/>
    <mergeCell ref="J1516:L1516"/>
    <mergeCell ref="M1516:N1516"/>
    <mergeCell ref="A1528:N1528"/>
    <mergeCell ref="A1529:N1529"/>
    <mergeCell ref="A1530:N1530"/>
    <mergeCell ref="A1531:N1531"/>
    <mergeCell ref="A1532:N1532"/>
    <mergeCell ref="A1533:N1533"/>
    <mergeCell ref="A1534:B1534"/>
    <mergeCell ref="C1534:G1534"/>
    <mergeCell ref="H1534:L1534"/>
    <mergeCell ref="M1534:N1534"/>
    <mergeCell ref="A1519:N1519"/>
    <mergeCell ref="A1520:N1520"/>
    <mergeCell ref="A1521:N1521"/>
    <mergeCell ref="A1522:N1522"/>
    <mergeCell ref="A1523:N1523"/>
    <mergeCell ref="A1524:N1524"/>
    <mergeCell ref="A1525:N1525"/>
    <mergeCell ref="A1526:N1526"/>
    <mergeCell ref="A1527:N1527"/>
    <mergeCell ref="A1540:C1541"/>
    <mergeCell ref="D1540:G1541"/>
    <mergeCell ref="H1540:J1541"/>
    <mergeCell ref="K1540:N1541"/>
    <mergeCell ref="A1542:N1542"/>
    <mergeCell ref="A1543:E1543"/>
    <mergeCell ref="G1543:H1543"/>
    <mergeCell ref="I1543:K1543"/>
    <mergeCell ref="L1543:M1543"/>
    <mergeCell ref="H1536:I1536"/>
    <mergeCell ref="J1536:L1536"/>
    <mergeCell ref="M1536:N1536"/>
    <mergeCell ref="B1537:G1537"/>
    <mergeCell ref="H1537:J1537"/>
    <mergeCell ref="K1537:N1537"/>
    <mergeCell ref="D1538:E1538"/>
    <mergeCell ref="K1538:L1538"/>
    <mergeCell ref="A1539:C1539"/>
    <mergeCell ref="D1539:G1539"/>
    <mergeCell ref="H1539:J1539"/>
    <mergeCell ref="K1539:N1539"/>
    <mergeCell ref="A1547:E1547"/>
    <mergeCell ref="G1547:H1547"/>
    <mergeCell ref="I1547:K1547"/>
    <mergeCell ref="L1547:M1547"/>
    <mergeCell ref="A1548:E1548"/>
    <mergeCell ref="G1548:H1548"/>
    <mergeCell ref="I1548:K1548"/>
    <mergeCell ref="L1548:M1548"/>
    <mergeCell ref="A1549:E1549"/>
    <mergeCell ref="G1549:H1549"/>
    <mergeCell ref="I1549:K1549"/>
    <mergeCell ref="L1549:M1549"/>
    <mergeCell ref="A1544:E1544"/>
    <mergeCell ref="G1544:H1544"/>
    <mergeCell ref="I1544:K1544"/>
    <mergeCell ref="L1544:M1544"/>
    <mergeCell ref="A1545:E1545"/>
    <mergeCell ref="G1545:H1545"/>
    <mergeCell ref="I1545:K1545"/>
    <mergeCell ref="L1545:M1545"/>
    <mergeCell ref="A1546:E1546"/>
    <mergeCell ref="G1546:H1546"/>
    <mergeCell ref="I1546:K1546"/>
    <mergeCell ref="L1546:M1546"/>
    <mergeCell ref="A1553:E1553"/>
    <mergeCell ref="G1553:H1553"/>
    <mergeCell ref="I1553:K1553"/>
    <mergeCell ref="L1553:M1553"/>
    <mergeCell ref="A1554:E1554"/>
    <mergeCell ref="G1554:H1554"/>
    <mergeCell ref="I1554:K1554"/>
    <mergeCell ref="L1554:M1554"/>
    <mergeCell ref="A1555:E1555"/>
    <mergeCell ref="G1555:H1555"/>
    <mergeCell ref="I1555:K1555"/>
    <mergeCell ref="L1555:M1555"/>
    <mergeCell ref="A1550:E1550"/>
    <mergeCell ref="G1550:H1550"/>
    <mergeCell ref="I1550:K1550"/>
    <mergeCell ref="L1550:M1550"/>
    <mergeCell ref="A1551:E1551"/>
    <mergeCell ref="G1551:H1551"/>
    <mergeCell ref="I1551:K1551"/>
    <mergeCell ref="L1551:M1551"/>
    <mergeCell ref="A1552:E1552"/>
    <mergeCell ref="G1552:H1552"/>
    <mergeCell ref="I1552:K1552"/>
    <mergeCell ref="L1552:M1552"/>
    <mergeCell ref="A1559:E1559"/>
    <mergeCell ref="G1559:H1559"/>
    <mergeCell ref="I1559:K1559"/>
    <mergeCell ref="L1559:M1559"/>
    <mergeCell ref="A1560:E1560"/>
    <mergeCell ref="G1560:H1560"/>
    <mergeCell ref="I1560:K1560"/>
    <mergeCell ref="L1560:M1560"/>
    <mergeCell ref="A1561:E1561"/>
    <mergeCell ref="G1561:H1561"/>
    <mergeCell ref="I1561:K1561"/>
    <mergeCell ref="L1561:M1561"/>
    <mergeCell ref="A1556:E1556"/>
    <mergeCell ref="G1556:H1556"/>
    <mergeCell ref="I1556:K1556"/>
    <mergeCell ref="L1556:M1556"/>
    <mergeCell ref="A1557:E1557"/>
    <mergeCell ref="G1557:H1557"/>
    <mergeCell ref="I1557:K1557"/>
    <mergeCell ref="L1557:M1557"/>
    <mergeCell ref="A1558:E1558"/>
    <mergeCell ref="G1558:H1558"/>
    <mergeCell ref="I1558:K1558"/>
    <mergeCell ref="L1558:M1558"/>
    <mergeCell ref="A1565:E1565"/>
    <mergeCell ref="G1565:H1565"/>
    <mergeCell ref="L1565:M1565"/>
    <mergeCell ref="A1566:E1566"/>
    <mergeCell ref="G1566:H1566"/>
    <mergeCell ref="L1566:M1566"/>
    <mergeCell ref="A1567:E1567"/>
    <mergeCell ref="G1567:H1567"/>
    <mergeCell ref="L1567:M1567"/>
    <mergeCell ref="A1562:E1562"/>
    <mergeCell ref="G1562:H1562"/>
    <mergeCell ref="I1562:K1562"/>
    <mergeCell ref="L1562:M1562"/>
    <mergeCell ref="A1563:E1563"/>
    <mergeCell ref="G1563:H1563"/>
    <mergeCell ref="I1563:K1563"/>
    <mergeCell ref="L1563:M1563"/>
    <mergeCell ref="A1564:E1564"/>
    <mergeCell ref="G1564:H1564"/>
    <mergeCell ref="I1564:K1564"/>
    <mergeCell ref="L1564:M1564"/>
    <mergeCell ref="A1571:E1571"/>
    <mergeCell ref="G1571:H1571"/>
    <mergeCell ref="L1571:M1571"/>
    <mergeCell ref="A1572:N1572"/>
    <mergeCell ref="A1573:E1573"/>
    <mergeCell ref="G1573:H1573"/>
    <mergeCell ref="I1573:K1573"/>
    <mergeCell ref="L1573:M1573"/>
    <mergeCell ref="A1574:E1574"/>
    <mergeCell ref="G1574:H1574"/>
    <mergeCell ref="I1574:K1574"/>
    <mergeCell ref="L1574:M1574"/>
    <mergeCell ref="A1568:E1568"/>
    <mergeCell ref="G1568:H1568"/>
    <mergeCell ref="L1568:M1568"/>
    <mergeCell ref="A1569:E1569"/>
    <mergeCell ref="G1569:H1569"/>
    <mergeCell ref="L1569:M1569"/>
    <mergeCell ref="A1570:E1570"/>
    <mergeCell ref="G1570:H1570"/>
    <mergeCell ref="L1570:M1570"/>
    <mergeCell ref="A1578:B1578"/>
    <mergeCell ref="C1578:D1578"/>
    <mergeCell ref="E1578:F1578"/>
    <mergeCell ref="G1578:I1578"/>
    <mergeCell ref="J1578:L1578"/>
    <mergeCell ref="M1578:N1578"/>
    <mergeCell ref="A1579:B1579"/>
    <mergeCell ref="C1579:D1579"/>
    <mergeCell ref="E1579:F1579"/>
    <mergeCell ref="G1579:I1579"/>
    <mergeCell ref="J1579:L1579"/>
    <mergeCell ref="M1579:N1579"/>
    <mergeCell ref="A1575:N1575"/>
    <mergeCell ref="A1576:B1576"/>
    <mergeCell ref="C1576:D1576"/>
    <mergeCell ref="E1576:F1576"/>
    <mergeCell ref="G1576:I1576"/>
    <mergeCell ref="J1576:L1576"/>
    <mergeCell ref="M1576:N1576"/>
    <mergeCell ref="A1577:B1577"/>
    <mergeCell ref="C1577:D1577"/>
    <mergeCell ref="E1577:F1577"/>
    <mergeCell ref="G1577:I1577"/>
    <mergeCell ref="J1577:L1577"/>
    <mergeCell ref="M1577:N1577"/>
    <mergeCell ref="A1589:N1589"/>
    <mergeCell ref="A1590:N1590"/>
    <mergeCell ref="A1591:N1591"/>
    <mergeCell ref="A1592:N1592"/>
    <mergeCell ref="A1593:N1593"/>
    <mergeCell ref="A1594:N1594"/>
    <mergeCell ref="A1595:B1595"/>
    <mergeCell ref="C1595:G1595"/>
    <mergeCell ref="H1595:L1595"/>
    <mergeCell ref="M1595:N1595"/>
    <mergeCell ref="A1580:N1580"/>
    <mergeCell ref="A1581:N1581"/>
    <mergeCell ref="A1582:N1582"/>
    <mergeCell ref="A1583:N1583"/>
    <mergeCell ref="A1584:N1584"/>
    <mergeCell ref="A1585:N1585"/>
    <mergeCell ref="A1586:N1586"/>
    <mergeCell ref="A1587:N1587"/>
    <mergeCell ref="A1588:N1588"/>
    <mergeCell ref="A1601:C1602"/>
    <mergeCell ref="D1601:G1602"/>
    <mergeCell ref="H1601:J1602"/>
    <mergeCell ref="K1601:N1602"/>
    <mergeCell ref="A1603:N1603"/>
    <mergeCell ref="A1604:E1604"/>
    <mergeCell ref="G1604:H1604"/>
    <mergeCell ref="I1604:K1604"/>
    <mergeCell ref="L1604:M1604"/>
    <mergeCell ref="H1597:I1597"/>
    <mergeCell ref="J1597:L1597"/>
    <mergeCell ref="M1597:N1597"/>
    <mergeCell ref="B1598:G1598"/>
    <mergeCell ref="H1598:J1598"/>
    <mergeCell ref="K1598:N1598"/>
    <mergeCell ref="D1599:E1599"/>
    <mergeCell ref="K1599:L1599"/>
    <mergeCell ref="A1600:C1600"/>
    <mergeCell ref="D1600:G1600"/>
    <mergeCell ref="H1600:J1600"/>
    <mergeCell ref="K1600:N1600"/>
    <mergeCell ref="A1608:E1608"/>
    <mergeCell ref="G1608:H1608"/>
    <mergeCell ref="I1608:K1608"/>
    <mergeCell ref="L1608:M1608"/>
    <mergeCell ref="A1609:E1609"/>
    <mergeCell ref="G1609:H1609"/>
    <mergeCell ref="I1609:K1609"/>
    <mergeCell ref="L1609:M1609"/>
    <mergeCell ref="A1610:E1610"/>
    <mergeCell ref="G1610:H1610"/>
    <mergeCell ref="I1610:K1610"/>
    <mergeCell ref="L1610:M1610"/>
    <mergeCell ref="A1605:E1605"/>
    <mergeCell ref="G1605:H1605"/>
    <mergeCell ref="I1605:K1605"/>
    <mergeCell ref="L1605:M1605"/>
    <mergeCell ref="A1606:E1606"/>
    <mergeCell ref="G1606:H1606"/>
    <mergeCell ref="I1606:K1606"/>
    <mergeCell ref="L1606:M1606"/>
    <mergeCell ref="A1607:E1607"/>
    <mergeCell ref="G1607:H1607"/>
    <mergeCell ref="I1607:K1607"/>
    <mergeCell ref="L1607:M1607"/>
    <mergeCell ref="A1614:E1614"/>
    <mergeCell ref="G1614:H1614"/>
    <mergeCell ref="I1614:K1614"/>
    <mergeCell ref="L1614:M1614"/>
    <mergeCell ref="A1615:E1615"/>
    <mergeCell ref="G1615:H1615"/>
    <mergeCell ref="I1615:K1615"/>
    <mergeCell ref="L1615:M1615"/>
    <mergeCell ref="A1616:E1616"/>
    <mergeCell ref="G1616:H1616"/>
    <mergeCell ref="I1616:K1616"/>
    <mergeCell ref="L1616:M1616"/>
    <mergeCell ref="A1611:E1611"/>
    <mergeCell ref="G1611:H1611"/>
    <mergeCell ref="I1611:K1611"/>
    <mergeCell ref="L1611:M1611"/>
    <mergeCell ref="A1612:E1612"/>
    <mergeCell ref="G1612:H1612"/>
    <mergeCell ref="I1612:K1612"/>
    <mergeCell ref="L1612:M1612"/>
    <mergeCell ref="A1613:E1613"/>
    <mergeCell ref="G1613:H1613"/>
    <mergeCell ref="I1613:K1613"/>
    <mergeCell ref="L1613:M1613"/>
    <mergeCell ref="A1620:E1620"/>
    <mergeCell ref="G1620:H1620"/>
    <mergeCell ref="I1620:K1620"/>
    <mergeCell ref="L1620:M1620"/>
    <mergeCell ref="A1621:E1621"/>
    <mergeCell ref="G1621:H1621"/>
    <mergeCell ref="I1621:K1621"/>
    <mergeCell ref="L1621:M1621"/>
    <mergeCell ref="A1622:E1622"/>
    <mergeCell ref="G1622:H1622"/>
    <mergeCell ref="I1622:K1622"/>
    <mergeCell ref="L1622:M1622"/>
    <mergeCell ref="A1617:E1617"/>
    <mergeCell ref="G1617:H1617"/>
    <mergeCell ref="I1617:K1617"/>
    <mergeCell ref="L1617:M1617"/>
    <mergeCell ref="A1618:E1618"/>
    <mergeCell ref="G1618:H1618"/>
    <mergeCell ref="I1618:K1618"/>
    <mergeCell ref="L1618:M1618"/>
    <mergeCell ref="A1619:E1619"/>
    <mergeCell ref="G1619:H1619"/>
    <mergeCell ref="I1619:K1619"/>
    <mergeCell ref="L1619:M1619"/>
    <mergeCell ref="A1626:E1626"/>
    <mergeCell ref="G1626:H1626"/>
    <mergeCell ref="L1626:M1626"/>
    <mergeCell ref="A1627:E1627"/>
    <mergeCell ref="G1627:H1627"/>
    <mergeCell ref="L1627:M1627"/>
    <mergeCell ref="A1628:E1628"/>
    <mergeCell ref="G1628:H1628"/>
    <mergeCell ref="L1628:M1628"/>
    <mergeCell ref="A1623:E1623"/>
    <mergeCell ref="G1623:H1623"/>
    <mergeCell ref="I1623:K1623"/>
    <mergeCell ref="L1623:M1623"/>
    <mergeCell ref="A1624:E1624"/>
    <mergeCell ref="G1624:H1624"/>
    <mergeCell ref="I1624:K1624"/>
    <mergeCell ref="L1624:M1624"/>
    <mergeCell ref="A1625:E1625"/>
    <mergeCell ref="G1625:H1625"/>
    <mergeCell ref="I1625:K1625"/>
    <mergeCell ref="L1625:M1625"/>
    <mergeCell ref="A1632:E1632"/>
    <mergeCell ref="G1632:H1632"/>
    <mergeCell ref="L1632:M1632"/>
    <mergeCell ref="A1633:N1633"/>
    <mergeCell ref="A1634:E1634"/>
    <mergeCell ref="G1634:H1634"/>
    <mergeCell ref="I1634:K1634"/>
    <mergeCell ref="L1634:M1634"/>
    <mergeCell ref="A1635:E1635"/>
    <mergeCell ref="G1635:H1635"/>
    <mergeCell ref="I1635:K1635"/>
    <mergeCell ref="L1635:M1635"/>
    <mergeCell ref="A1629:E1629"/>
    <mergeCell ref="G1629:H1629"/>
    <mergeCell ref="L1629:M1629"/>
    <mergeCell ref="A1630:E1630"/>
    <mergeCell ref="G1630:H1630"/>
    <mergeCell ref="L1630:M1630"/>
    <mergeCell ref="A1631:E1631"/>
    <mergeCell ref="G1631:H1631"/>
    <mergeCell ref="L1631:M1631"/>
    <mergeCell ref="A1639:B1639"/>
    <mergeCell ref="C1639:D1639"/>
    <mergeCell ref="E1639:F1639"/>
    <mergeCell ref="G1639:I1639"/>
    <mergeCell ref="J1639:L1639"/>
    <mergeCell ref="M1639:N1639"/>
    <mergeCell ref="A1640:B1640"/>
    <mergeCell ref="C1640:D1640"/>
    <mergeCell ref="E1640:F1640"/>
    <mergeCell ref="G1640:I1640"/>
    <mergeCell ref="J1640:L1640"/>
    <mergeCell ref="M1640:N1640"/>
    <mergeCell ref="A1636:N1636"/>
    <mergeCell ref="A1637:B1637"/>
    <mergeCell ref="C1637:D1637"/>
    <mergeCell ref="E1637:F1637"/>
    <mergeCell ref="G1637:I1637"/>
    <mergeCell ref="J1637:L1637"/>
    <mergeCell ref="M1637:N1637"/>
    <mergeCell ref="A1638:B1638"/>
    <mergeCell ref="C1638:D1638"/>
    <mergeCell ref="E1638:F1638"/>
    <mergeCell ref="G1638:I1638"/>
    <mergeCell ref="J1638:L1638"/>
    <mergeCell ref="M1638:N1638"/>
    <mergeCell ref="A1650:N1650"/>
    <mergeCell ref="A1651:N1651"/>
    <mergeCell ref="A1652:N1652"/>
    <mergeCell ref="A1653:N1653"/>
    <mergeCell ref="A1654:N1654"/>
    <mergeCell ref="A1655:N1655"/>
    <mergeCell ref="A1656:B1656"/>
    <mergeCell ref="C1656:G1656"/>
    <mergeCell ref="H1656:L1656"/>
    <mergeCell ref="M1656:N1656"/>
    <mergeCell ref="A1641:N1641"/>
    <mergeCell ref="A1642:N1642"/>
    <mergeCell ref="A1643:N1643"/>
    <mergeCell ref="A1644:N1644"/>
    <mergeCell ref="A1645:N1645"/>
    <mergeCell ref="A1646:N1646"/>
    <mergeCell ref="A1647:N1647"/>
    <mergeCell ref="A1648:N1648"/>
    <mergeCell ref="A1649:N1649"/>
    <mergeCell ref="A1662:C1663"/>
    <mergeCell ref="D1662:G1663"/>
    <mergeCell ref="H1662:J1663"/>
    <mergeCell ref="K1662:N1663"/>
    <mergeCell ref="A1664:N1664"/>
    <mergeCell ref="A1665:E1665"/>
    <mergeCell ref="G1665:H1665"/>
    <mergeCell ref="I1665:K1665"/>
    <mergeCell ref="L1665:M1665"/>
    <mergeCell ref="H1658:I1658"/>
    <mergeCell ref="J1658:L1658"/>
    <mergeCell ref="M1658:N1658"/>
    <mergeCell ref="B1659:G1659"/>
    <mergeCell ref="H1659:J1659"/>
    <mergeCell ref="K1659:N1659"/>
    <mergeCell ref="D1660:E1660"/>
    <mergeCell ref="K1660:L1660"/>
    <mergeCell ref="A1661:C1661"/>
    <mergeCell ref="D1661:G1661"/>
    <mergeCell ref="H1661:J1661"/>
    <mergeCell ref="K1661:N1661"/>
    <mergeCell ref="A1669:E1669"/>
    <mergeCell ref="G1669:H1669"/>
    <mergeCell ref="I1669:K1669"/>
    <mergeCell ref="L1669:M1669"/>
    <mergeCell ref="A1670:E1670"/>
    <mergeCell ref="G1670:H1670"/>
    <mergeCell ref="I1670:K1670"/>
    <mergeCell ref="L1670:M1670"/>
    <mergeCell ref="A1671:E1671"/>
    <mergeCell ref="G1671:H1671"/>
    <mergeCell ref="I1671:K1671"/>
    <mergeCell ref="L1671:M1671"/>
    <mergeCell ref="A1666:E1666"/>
    <mergeCell ref="G1666:H1666"/>
    <mergeCell ref="I1666:K1666"/>
    <mergeCell ref="L1666:M1666"/>
    <mergeCell ref="A1667:E1667"/>
    <mergeCell ref="G1667:H1667"/>
    <mergeCell ref="I1667:K1667"/>
    <mergeCell ref="L1667:M1667"/>
    <mergeCell ref="A1668:E1668"/>
    <mergeCell ref="G1668:H1668"/>
    <mergeCell ref="I1668:K1668"/>
    <mergeCell ref="L1668:M1668"/>
    <mergeCell ref="A1675:E1675"/>
    <mergeCell ref="G1675:H1675"/>
    <mergeCell ref="I1675:K1675"/>
    <mergeCell ref="L1675:M1675"/>
    <mergeCell ref="A1676:E1676"/>
    <mergeCell ref="G1676:H1676"/>
    <mergeCell ref="I1676:K1676"/>
    <mergeCell ref="L1676:M1676"/>
    <mergeCell ref="A1677:E1677"/>
    <mergeCell ref="G1677:H1677"/>
    <mergeCell ref="I1677:K1677"/>
    <mergeCell ref="L1677:M1677"/>
    <mergeCell ref="A1672:E1672"/>
    <mergeCell ref="G1672:H1672"/>
    <mergeCell ref="I1672:K1672"/>
    <mergeCell ref="L1672:M1672"/>
    <mergeCell ref="A1673:E1673"/>
    <mergeCell ref="G1673:H1673"/>
    <mergeCell ref="I1673:K1673"/>
    <mergeCell ref="L1673:M1673"/>
    <mergeCell ref="A1674:E1674"/>
    <mergeCell ref="G1674:H1674"/>
    <mergeCell ref="I1674:K1674"/>
    <mergeCell ref="L1674:M1674"/>
    <mergeCell ref="A1681:E1681"/>
    <mergeCell ref="G1681:H1681"/>
    <mergeCell ref="I1681:K1681"/>
    <mergeCell ref="L1681:M1681"/>
    <mergeCell ref="A1682:E1682"/>
    <mergeCell ref="G1682:H1682"/>
    <mergeCell ref="I1682:K1682"/>
    <mergeCell ref="L1682:M1682"/>
    <mergeCell ref="A1683:E1683"/>
    <mergeCell ref="G1683:H1683"/>
    <mergeCell ref="I1683:K1683"/>
    <mergeCell ref="L1683:M1683"/>
    <mergeCell ref="A1678:E1678"/>
    <mergeCell ref="G1678:H1678"/>
    <mergeCell ref="I1678:K1678"/>
    <mergeCell ref="L1678:M1678"/>
    <mergeCell ref="A1679:E1679"/>
    <mergeCell ref="G1679:H1679"/>
    <mergeCell ref="I1679:K1679"/>
    <mergeCell ref="L1679:M1679"/>
    <mergeCell ref="A1680:E1680"/>
    <mergeCell ref="G1680:H1680"/>
    <mergeCell ref="I1680:K1680"/>
    <mergeCell ref="L1680:M1680"/>
    <mergeCell ref="A1687:E1687"/>
    <mergeCell ref="G1687:H1687"/>
    <mergeCell ref="L1687:M1687"/>
    <mergeCell ref="A1688:E1688"/>
    <mergeCell ref="G1688:H1688"/>
    <mergeCell ref="L1688:M1688"/>
    <mergeCell ref="A1689:E1689"/>
    <mergeCell ref="G1689:H1689"/>
    <mergeCell ref="L1689:M1689"/>
    <mergeCell ref="A1684:E1684"/>
    <mergeCell ref="G1684:H1684"/>
    <mergeCell ref="I1684:K1684"/>
    <mergeCell ref="L1684:M1684"/>
    <mergeCell ref="A1685:E1685"/>
    <mergeCell ref="G1685:H1685"/>
    <mergeCell ref="I1685:K1685"/>
    <mergeCell ref="L1685:M1685"/>
    <mergeCell ref="A1686:E1686"/>
    <mergeCell ref="G1686:H1686"/>
    <mergeCell ref="I1686:K1686"/>
    <mergeCell ref="L1686:M1686"/>
    <mergeCell ref="A1693:E1693"/>
    <mergeCell ref="G1693:H1693"/>
    <mergeCell ref="L1693:M1693"/>
    <mergeCell ref="A1694:N1694"/>
    <mergeCell ref="A1695:E1695"/>
    <mergeCell ref="G1695:H1695"/>
    <mergeCell ref="I1695:K1695"/>
    <mergeCell ref="L1695:M1695"/>
    <mergeCell ref="A1696:E1696"/>
    <mergeCell ref="G1696:H1696"/>
    <mergeCell ref="I1696:K1696"/>
    <mergeCell ref="L1696:M1696"/>
    <mergeCell ref="A1690:E1690"/>
    <mergeCell ref="G1690:H1690"/>
    <mergeCell ref="L1690:M1690"/>
    <mergeCell ref="A1691:E1691"/>
    <mergeCell ref="G1691:H1691"/>
    <mergeCell ref="L1691:M1691"/>
    <mergeCell ref="A1692:E1692"/>
    <mergeCell ref="G1692:H1692"/>
    <mergeCell ref="L1692:M1692"/>
    <mergeCell ref="A1700:B1700"/>
    <mergeCell ref="C1700:D1700"/>
    <mergeCell ref="E1700:F1700"/>
    <mergeCell ref="G1700:I1700"/>
    <mergeCell ref="J1700:L1700"/>
    <mergeCell ref="M1700:N1700"/>
    <mergeCell ref="A1701:B1701"/>
    <mergeCell ref="C1701:D1701"/>
    <mergeCell ref="E1701:F1701"/>
    <mergeCell ref="G1701:I1701"/>
    <mergeCell ref="J1701:L1701"/>
    <mergeCell ref="M1701:N1701"/>
    <mergeCell ref="A1697:N1697"/>
    <mergeCell ref="A1698:B1698"/>
    <mergeCell ref="C1698:D1698"/>
    <mergeCell ref="E1698:F1698"/>
    <mergeCell ref="G1698:I1698"/>
    <mergeCell ref="J1698:L1698"/>
    <mergeCell ref="M1698:N1698"/>
    <mergeCell ref="A1699:B1699"/>
    <mergeCell ref="C1699:D1699"/>
    <mergeCell ref="E1699:F1699"/>
    <mergeCell ref="G1699:I1699"/>
    <mergeCell ref="J1699:L1699"/>
    <mergeCell ref="M1699:N1699"/>
    <mergeCell ref="A1711:N1711"/>
    <mergeCell ref="A1712:N1712"/>
    <mergeCell ref="A1713:N1713"/>
    <mergeCell ref="A1714:N1714"/>
    <mergeCell ref="A1715:N1715"/>
    <mergeCell ref="A1716:N1716"/>
    <mergeCell ref="A1717:B1717"/>
    <mergeCell ref="C1717:G1717"/>
    <mergeCell ref="H1717:L1717"/>
    <mergeCell ref="M1717:N1717"/>
    <mergeCell ref="A1702:N1702"/>
    <mergeCell ref="A1703:N1703"/>
    <mergeCell ref="A1704:N1704"/>
    <mergeCell ref="A1705:N1705"/>
    <mergeCell ref="A1706:N1706"/>
    <mergeCell ref="A1707:N1707"/>
    <mergeCell ref="A1708:N1708"/>
    <mergeCell ref="A1709:N1709"/>
    <mergeCell ref="A1710:N1710"/>
    <mergeCell ref="A1723:C1724"/>
    <mergeCell ref="D1723:G1724"/>
    <mergeCell ref="H1723:J1724"/>
    <mergeCell ref="K1723:N1724"/>
    <mergeCell ref="A1725:N1725"/>
    <mergeCell ref="A1726:E1726"/>
    <mergeCell ref="G1726:H1726"/>
    <mergeCell ref="I1726:K1726"/>
    <mergeCell ref="L1726:M1726"/>
    <mergeCell ref="H1719:I1719"/>
    <mergeCell ref="J1719:L1719"/>
    <mergeCell ref="M1719:N1719"/>
    <mergeCell ref="B1720:G1720"/>
    <mergeCell ref="H1720:J1720"/>
    <mergeCell ref="K1720:N1720"/>
    <mergeCell ref="D1721:E1721"/>
    <mergeCell ref="K1721:L1721"/>
    <mergeCell ref="A1722:C1722"/>
    <mergeCell ref="D1722:G1722"/>
    <mergeCell ref="H1722:J1722"/>
    <mergeCell ref="K1722:N1722"/>
    <mergeCell ref="A1730:E1730"/>
    <mergeCell ref="G1730:H1730"/>
    <mergeCell ref="I1730:K1730"/>
    <mergeCell ref="L1730:M1730"/>
    <mergeCell ref="A1731:E1731"/>
    <mergeCell ref="G1731:H1731"/>
    <mergeCell ref="I1731:K1731"/>
    <mergeCell ref="L1731:M1731"/>
    <mergeCell ref="A1732:E1732"/>
    <mergeCell ref="G1732:H1732"/>
    <mergeCell ref="I1732:K1732"/>
    <mergeCell ref="L1732:M1732"/>
    <mergeCell ref="A1727:E1727"/>
    <mergeCell ref="G1727:H1727"/>
    <mergeCell ref="I1727:K1727"/>
    <mergeCell ref="L1727:M1727"/>
    <mergeCell ref="A1728:E1728"/>
    <mergeCell ref="G1728:H1728"/>
    <mergeCell ref="I1728:K1728"/>
    <mergeCell ref="L1728:M1728"/>
    <mergeCell ref="A1729:E1729"/>
    <mergeCell ref="G1729:H1729"/>
    <mergeCell ref="I1729:K1729"/>
    <mergeCell ref="L1729:M1729"/>
    <mergeCell ref="A1736:E1736"/>
    <mergeCell ref="G1736:H1736"/>
    <mergeCell ref="I1736:K1736"/>
    <mergeCell ref="L1736:M1736"/>
    <mergeCell ref="A1737:E1737"/>
    <mergeCell ref="G1737:H1737"/>
    <mergeCell ref="I1737:K1737"/>
    <mergeCell ref="L1737:M1737"/>
    <mergeCell ref="A1738:E1738"/>
    <mergeCell ref="G1738:H1738"/>
    <mergeCell ref="I1738:K1738"/>
    <mergeCell ref="L1738:M1738"/>
    <mergeCell ref="A1733:E1733"/>
    <mergeCell ref="G1733:H1733"/>
    <mergeCell ref="I1733:K1733"/>
    <mergeCell ref="L1733:M1733"/>
    <mergeCell ref="A1734:E1734"/>
    <mergeCell ref="G1734:H1734"/>
    <mergeCell ref="I1734:K1734"/>
    <mergeCell ref="L1734:M1734"/>
    <mergeCell ref="A1735:E1735"/>
    <mergeCell ref="G1735:H1735"/>
    <mergeCell ref="I1735:K1735"/>
    <mergeCell ref="L1735:M1735"/>
    <mergeCell ref="A1742:E1742"/>
    <mergeCell ref="G1742:H1742"/>
    <mergeCell ref="I1742:K1742"/>
    <mergeCell ref="L1742:M1742"/>
    <mergeCell ref="A1743:E1743"/>
    <mergeCell ref="G1743:H1743"/>
    <mergeCell ref="I1743:K1743"/>
    <mergeCell ref="L1743:M1743"/>
    <mergeCell ref="A1744:E1744"/>
    <mergeCell ref="G1744:H1744"/>
    <mergeCell ref="I1744:K1744"/>
    <mergeCell ref="L1744:M1744"/>
    <mergeCell ref="A1739:E1739"/>
    <mergeCell ref="G1739:H1739"/>
    <mergeCell ref="I1739:K1739"/>
    <mergeCell ref="L1739:M1739"/>
    <mergeCell ref="A1740:E1740"/>
    <mergeCell ref="G1740:H1740"/>
    <mergeCell ref="I1740:K1740"/>
    <mergeCell ref="L1740:M1740"/>
    <mergeCell ref="A1741:E1741"/>
    <mergeCell ref="G1741:H1741"/>
    <mergeCell ref="I1741:K1741"/>
    <mergeCell ref="L1741:M1741"/>
    <mergeCell ref="A1748:E1748"/>
    <mergeCell ref="G1748:H1748"/>
    <mergeCell ref="L1748:M1748"/>
    <mergeCell ref="A1749:E1749"/>
    <mergeCell ref="G1749:H1749"/>
    <mergeCell ref="L1749:M1749"/>
    <mergeCell ref="A1750:E1750"/>
    <mergeCell ref="G1750:H1750"/>
    <mergeCell ref="L1750:M1750"/>
    <mergeCell ref="A1745:E1745"/>
    <mergeCell ref="G1745:H1745"/>
    <mergeCell ref="I1745:K1745"/>
    <mergeCell ref="L1745:M1745"/>
    <mergeCell ref="A1746:E1746"/>
    <mergeCell ref="G1746:H1746"/>
    <mergeCell ref="I1746:K1746"/>
    <mergeCell ref="L1746:M1746"/>
    <mergeCell ref="A1747:E1747"/>
    <mergeCell ref="G1747:H1747"/>
    <mergeCell ref="I1747:K1747"/>
    <mergeCell ref="L1747:M1747"/>
    <mergeCell ref="A1754:E1754"/>
    <mergeCell ref="G1754:H1754"/>
    <mergeCell ref="L1754:M1754"/>
    <mergeCell ref="A1755:N1755"/>
    <mergeCell ref="A1756:E1756"/>
    <mergeCell ref="G1756:H1756"/>
    <mergeCell ref="I1756:K1756"/>
    <mergeCell ref="L1756:M1756"/>
    <mergeCell ref="A1757:E1757"/>
    <mergeCell ref="G1757:H1757"/>
    <mergeCell ref="I1757:K1757"/>
    <mergeCell ref="L1757:M1757"/>
    <mergeCell ref="A1751:E1751"/>
    <mergeCell ref="G1751:H1751"/>
    <mergeCell ref="L1751:M1751"/>
    <mergeCell ref="A1752:E1752"/>
    <mergeCell ref="G1752:H1752"/>
    <mergeCell ref="L1752:M1752"/>
    <mergeCell ref="A1753:E1753"/>
    <mergeCell ref="G1753:H1753"/>
    <mergeCell ref="L1753:M1753"/>
    <mergeCell ref="A1761:B1761"/>
    <mergeCell ref="C1761:D1761"/>
    <mergeCell ref="E1761:F1761"/>
    <mergeCell ref="G1761:I1761"/>
    <mergeCell ref="J1761:L1761"/>
    <mergeCell ref="M1761:N1761"/>
    <mergeCell ref="A1762:B1762"/>
    <mergeCell ref="C1762:D1762"/>
    <mergeCell ref="E1762:F1762"/>
    <mergeCell ref="G1762:I1762"/>
    <mergeCell ref="J1762:L1762"/>
    <mergeCell ref="M1762:N1762"/>
    <mergeCell ref="A1758:N1758"/>
    <mergeCell ref="A1759:B1759"/>
    <mergeCell ref="C1759:D1759"/>
    <mergeCell ref="E1759:F1759"/>
    <mergeCell ref="G1759:I1759"/>
    <mergeCell ref="J1759:L1759"/>
    <mergeCell ref="M1759:N1759"/>
    <mergeCell ref="A1760:B1760"/>
    <mergeCell ref="C1760:D1760"/>
    <mergeCell ref="E1760:F1760"/>
    <mergeCell ref="G1760:I1760"/>
    <mergeCell ref="J1760:L1760"/>
    <mergeCell ref="M1760:N1760"/>
    <mergeCell ref="A1772:N1772"/>
    <mergeCell ref="A1773:N1773"/>
    <mergeCell ref="A1774:N1774"/>
    <mergeCell ref="A1775:N1775"/>
    <mergeCell ref="A1776:N1776"/>
    <mergeCell ref="A1777:N1777"/>
    <mergeCell ref="A1778:B1778"/>
    <mergeCell ref="C1778:G1778"/>
    <mergeCell ref="H1778:L1778"/>
    <mergeCell ref="M1778:N1778"/>
    <mergeCell ref="A1763:N1763"/>
    <mergeCell ref="A1764:N1764"/>
    <mergeCell ref="A1765:N1765"/>
    <mergeCell ref="A1766:N1766"/>
    <mergeCell ref="A1767:N1767"/>
    <mergeCell ref="A1768:N1768"/>
    <mergeCell ref="A1769:N1769"/>
    <mergeCell ref="A1770:N1770"/>
    <mergeCell ref="A1771:N1771"/>
    <mergeCell ref="A1784:C1785"/>
    <mergeCell ref="D1784:G1785"/>
    <mergeCell ref="H1784:J1785"/>
    <mergeCell ref="K1784:N1785"/>
    <mergeCell ref="A1786:N1786"/>
    <mergeCell ref="A1787:E1787"/>
    <mergeCell ref="G1787:H1787"/>
    <mergeCell ref="I1787:K1787"/>
    <mergeCell ref="L1787:M1787"/>
    <mergeCell ref="H1780:I1780"/>
    <mergeCell ref="J1780:L1780"/>
    <mergeCell ref="M1780:N1780"/>
    <mergeCell ref="B1781:G1781"/>
    <mergeCell ref="H1781:J1781"/>
    <mergeCell ref="K1781:N1781"/>
    <mergeCell ref="D1782:E1782"/>
    <mergeCell ref="K1782:L1782"/>
    <mergeCell ref="A1783:C1783"/>
    <mergeCell ref="D1783:G1783"/>
    <mergeCell ref="H1783:J1783"/>
    <mergeCell ref="K1783:N1783"/>
    <mergeCell ref="A1791:E1791"/>
    <mergeCell ref="G1791:H1791"/>
    <mergeCell ref="I1791:K1791"/>
    <mergeCell ref="L1791:M1791"/>
    <mergeCell ref="A1792:E1792"/>
    <mergeCell ref="G1792:H1792"/>
    <mergeCell ref="I1792:K1792"/>
    <mergeCell ref="L1792:M1792"/>
    <mergeCell ref="A1793:E1793"/>
    <mergeCell ref="G1793:H1793"/>
    <mergeCell ref="I1793:K1793"/>
    <mergeCell ref="L1793:M1793"/>
    <mergeCell ref="A1788:E1788"/>
    <mergeCell ref="G1788:H1788"/>
    <mergeCell ref="I1788:K1788"/>
    <mergeCell ref="L1788:M1788"/>
    <mergeCell ref="A1789:E1789"/>
    <mergeCell ref="G1789:H1789"/>
    <mergeCell ref="I1789:K1789"/>
    <mergeCell ref="L1789:M1789"/>
    <mergeCell ref="A1790:E1790"/>
    <mergeCell ref="G1790:H1790"/>
    <mergeCell ref="I1790:K1790"/>
    <mergeCell ref="L1790:M1790"/>
    <mergeCell ref="A1797:E1797"/>
    <mergeCell ref="G1797:H1797"/>
    <mergeCell ref="I1797:K1797"/>
    <mergeCell ref="L1797:M1797"/>
    <mergeCell ref="A1798:E1798"/>
    <mergeCell ref="G1798:H1798"/>
    <mergeCell ref="I1798:K1798"/>
    <mergeCell ref="L1798:M1798"/>
    <mergeCell ref="A1799:E1799"/>
    <mergeCell ref="G1799:H1799"/>
    <mergeCell ref="I1799:K1799"/>
    <mergeCell ref="L1799:M1799"/>
    <mergeCell ref="A1794:E1794"/>
    <mergeCell ref="G1794:H1794"/>
    <mergeCell ref="I1794:K1794"/>
    <mergeCell ref="L1794:M1794"/>
    <mergeCell ref="A1795:E1795"/>
    <mergeCell ref="G1795:H1795"/>
    <mergeCell ref="I1795:K1795"/>
    <mergeCell ref="L1795:M1795"/>
    <mergeCell ref="A1796:E1796"/>
    <mergeCell ref="G1796:H1796"/>
    <mergeCell ref="I1796:K1796"/>
    <mergeCell ref="L1796:M1796"/>
    <mergeCell ref="A1803:E1803"/>
    <mergeCell ref="G1803:H1803"/>
    <mergeCell ref="I1803:K1803"/>
    <mergeCell ref="L1803:M1803"/>
    <mergeCell ref="A1804:E1804"/>
    <mergeCell ref="G1804:H1804"/>
    <mergeCell ref="I1804:K1804"/>
    <mergeCell ref="L1804:M1804"/>
    <mergeCell ref="A1805:E1805"/>
    <mergeCell ref="G1805:H1805"/>
    <mergeCell ref="I1805:K1805"/>
    <mergeCell ref="L1805:M1805"/>
    <mergeCell ref="A1800:E1800"/>
    <mergeCell ref="G1800:H1800"/>
    <mergeCell ref="I1800:K1800"/>
    <mergeCell ref="L1800:M1800"/>
    <mergeCell ref="A1801:E1801"/>
    <mergeCell ref="G1801:H1801"/>
    <mergeCell ref="I1801:K1801"/>
    <mergeCell ref="L1801:M1801"/>
    <mergeCell ref="A1802:E1802"/>
    <mergeCell ref="G1802:H1802"/>
    <mergeCell ref="I1802:K1802"/>
    <mergeCell ref="L1802:M1802"/>
    <mergeCell ref="A1809:E1809"/>
    <mergeCell ref="G1809:H1809"/>
    <mergeCell ref="L1809:M1809"/>
    <mergeCell ref="A1810:E1810"/>
    <mergeCell ref="G1810:H1810"/>
    <mergeCell ref="L1810:M1810"/>
    <mergeCell ref="A1811:E1811"/>
    <mergeCell ref="G1811:H1811"/>
    <mergeCell ref="L1811:M1811"/>
    <mergeCell ref="A1806:E1806"/>
    <mergeCell ref="G1806:H1806"/>
    <mergeCell ref="I1806:K1806"/>
    <mergeCell ref="L1806:M1806"/>
    <mergeCell ref="A1807:E1807"/>
    <mergeCell ref="G1807:H1807"/>
    <mergeCell ref="I1807:K1807"/>
    <mergeCell ref="L1807:M1807"/>
    <mergeCell ref="A1808:E1808"/>
    <mergeCell ref="G1808:H1808"/>
    <mergeCell ref="I1808:K1808"/>
    <mergeCell ref="L1808:M1808"/>
    <mergeCell ref="A1815:E1815"/>
    <mergeCell ref="G1815:H1815"/>
    <mergeCell ref="L1815:M1815"/>
    <mergeCell ref="A1816:N1816"/>
    <mergeCell ref="A1817:E1817"/>
    <mergeCell ref="G1817:H1817"/>
    <mergeCell ref="I1817:K1817"/>
    <mergeCell ref="L1817:M1817"/>
    <mergeCell ref="A1818:E1818"/>
    <mergeCell ref="G1818:H1818"/>
    <mergeCell ref="I1818:K1818"/>
    <mergeCell ref="L1818:M1818"/>
    <mergeCell ref="A1812:E1812"/>
    <mergeCell ref="G1812:H1812"/>
    <mergeCell ref="L1812:M1812"/>
    <mergeCell ref="A1813:E1813"/>
    <mergeCell ref="G1813:H1813"/>
    <mergeCell ref="L1813:M1813"/>
    <mergeCell ref="A1814:E1814"/>
    <mergeCell ref="G1814:H1814"/>
    <mergeCell ref="L1814:M1814"/>
    <mergeCell ref="A1822:B1822"/>
    <mergeCell ref="C1822:D1822"/>
    <mergeCell ref="E1822:F1822"/>
    <mergeCell ref="G1822:I1822"/>
    <mergeCell ref="J1822:L1822"/>
    <mergeCell ref="M1822:N1822"/>
    <mergeCell ref="A1823:B1823"/>
    <mergeCell ref="C1823:D1823"/>
    <mergeCell ref="E1823:F1823"/>
    <mergeCell ref="G1823:I1823"/>
    <mergeCell ref="J1823:L1823"/>
    <mergeCell ref="M1823:N1823"/>
    <mergeCell ref="A1819:N1819"/>
    <mergeCell ref="A1820:B1820"/>
    <mergeCell ref="C1820:D1820"/>
    <mergeCell ref="E1820:F1820"/>
    <mergeCell ref="G1820:I1820"/>
    <mergeCell ref="J1820:L1820"/>
    <mergeCell ref="M1820:N1820"/>
    <mergeCell ref="A1821:B1821"/>
    <mergeCell ref="C1821:D1821"/>
    <mergeCell ref="E1821:F1821"/>
    <mergeCell ref="G1821:I1821"/>
    <mergeCell ref="J1821:L1821"/>
    <mergeCell ref="M1821:N1821"/>
    <mergeCell ref="A1833:N1833"/>
    <mergeCell ref="A1834:N1834"/>
    <mergeCell ref="A1835:N1835"/>
    <mergeCell ref="A1836:N1836"/>
    <mergeCell ref="A1837:N1837"/>
    <mergeCell ref="A1838:N1838"/>
    <mergeCell ref="A1839:B1839"/>
    <mergeCell ref="C1839:G1839"/>
    <mergeCell ref="H1839:L1839"/>
    <mergeCell ref="M1839:N1839"/>
    <mergeCell ref="A1824:N1824"/>
    <mergeCell ref="A1825:N1825"/>
    <mergeCell ref="A1826:N1826"/>
    <mergeCell ref="A1827:N1827"/>
    <mergeCell ref="A1828:N1828"/>
    <mergeCell ref="A1829:N1829"/>
    <mergeCell ref="A1830:N1830"/>
    <mergeCell ref="A1831:N1831"/>
    <mergeCell ref="A1832:N1832"/>
  </mergeCells>
  <phoneticPr fontId="4" type="noConversion"/>
  <pageMargins left="0.78740157480314965" right="0.39370078740157483" top="0" bottom="0.19685039370078741" header="0.31496062992125984" footer="0.31496062992125984"/>
  <pageSetup paperSize="9" scale="82" fitToWidth="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施工日誌1</vt:lpstr>
      <vt:lpstr>施工日誌1!Print_Area</vt:lpstr>
      <vt:lpstr>施工日誌1!Print_Titles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dc:creator>
  <cp:lastModifiedBy>平浩 林</cp:lastModifiedBy>
  <cp:lastPrinted>2026-07-28T03:40:49Z</cp:lastPrinted>
  <dcterms:created xsi:type="dcterms:W3CDTF">2020-10-31T01:03:36Z</dcterms:created>
  <dcterms:modified xsi:type="dcterms:W3CDTF">2026-07-28T03:44:21Z</dcterms:modified>
</cp:coreProperties>
</file>