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E5BDD0-3625-4D45-A0A4-9DB697FAA9C7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施工封面" sheetId="2" r:id="rId1"/>
    <sheet name="施工日報" sheetId="1" r:id="rId2"/>
  </sheets>
  <calcPr calcId="191029"/>
</workbook>
</file>

<file path=xl/calcChain.xml><?xml version="1.0" encoding="utf-8"?>
<calcChain xmlns="http://schemas.openxmlformats.org/spreadsheetml/2006/main">
  <c r="F1945" i="1" l="1"/>
  <c r="F1944" i="1"/>
  <c r="U1923" i="1"/>
  <c r="N1923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V1919" i="1" s="1"/>
  <c r="L1902" i="1"/>
  <c r="G1902" i="1"/>
  <c r="M1900" i="1"/>
  <c r="F1872" i="1"/>
  <c r="F1871" i="1"/>
  <c r="U1850" i="1"/>
  <c r="N1850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V1846" i="1" s="1"/>
  <c r="G1829" i="1"/>
  <c r="L1829" i="1" s="1"/>
  <c r="M1827" i="1"/>
  <c r="F1799" i="1"/>
  <c r="F1798" i="1"/>
  <c r="U1777" i="1"/>
  <c r="N1777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V1773" i="1" s="1"/>
  <c r="L1756" i="1"/>
  <c r="G1756" i="1"/>
  <c r="M1754" i="1"/>
  <c r="F1726" i="1"/>
  <c r="F1725" i="1"/>
  <c r="U1704" i="1"/>
  <c r="N1704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V1700" i="1" s="1"/>
  <c r="L1683" i="1"/>
  <c r="G1683" i="1"/>
  <c r="M1681" i="1"/>
  <c r="F1653" i="1"/>
  <c r="F1652" i="1"/>
  <c r="U1631" i="1"/>
  <c r="N1631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V1627" i="1" s="1"/>
  <c r="L1610" i="1"/>
  <c r="G1610" i="1"/>
  <c r="M1608" i="1"/>
  <c r="L1557" i="1"/>
  <c r="L1556" i="1"/>
  <c r="F1580" i="1"/>
  <c r="F1579" i="1"/>
  <c r="U1558" i="1"/>
  <c r="N1558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V1554" i="1" s="1"/>
  <c r="L1537" i="1"/>
  <c r="G1537" i="1"/>
  <c r="M1535" i="1"/>
  <c r="L1486" i="1"/>
  <c r="L1484" i="1"/>
  <c r="L1483" i="1"/>
  <c r="F1507" i="1"/>
  <c r="F1506" i="1"/>
  <c r="U1485" i="1"/>
  <c r="N1485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V1481" i="1" s="1"/>
  <c r="L1464" i="1"/>
  <c r="G1464" i="1"/>
  <c r="M1462" i="1"/>
  <c r="L1413" i="1"/>
  <c r="F1434" i="1"/>
  <c r="F1433" i="1"/>
  <c r="U1412" i="1"/>
  <c r="N1412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V1408" i="1" s="1"/>
  <c r="G1391" i="1"/>
  <c r="L1391" i="1" s="1"/>
  <c r="M1389" i="1"/>
  <c r="F1361" i="1"/>
  <c r="F1360" i="1"/>
  <c r="U1339" i="1"/>
  <c r="N1339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V1335" i="1" s="1"/>
  <c r="G1318" i="1"/>
  <c r="L1318" i="1" s="1"/>
  <c r="M1316" i="1"/>
  <c r="F1288" i="1"/>
  <c r="F1287" i="1"/>
  <c r="U1266" i="1"/>
  <c r="N1266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V1262" i="1" s="1"/>
  <c r="L1245" i="1"/>
  <c r="G1245" i="1"/>
  <c r="M1243" i="1"/>
  <c r="S1922" i="1" l="1"/>
  <c r="S1921" i="1"/>
  <c r="S1848" i="1"/>
  <c r="S1849" i="1"/>
  <c r="S1776" i="1"/>
  <c r="S1775" i="1"/>
  <c r="S1703" i="1"/>
  <c r="S1702" i="1"/>
  <c r="S1630" i="1"/>
  <c r="S1629" i="1"/>
  <c r="S1557" i="1"/>
  <c r="S1556" i="1"/>
  <c r="S1484" i="1"/>
  <c r="S1483" i="1"/>
  <c r="S1411" i="1"/>
  <c r="S1410" i="1"/>
  <c r="S1338" i="1"/>
  <c r="S1337" i="1"/>
  <c r="S1265" i="1"/>
  <c r="S1264" i="1"/>
  <c r="F1215" i="1"/>
  <c r="U1193" i="1"/>
  <c r="N1193" i="1"/>
  <c r="U1190" i="1"/>
  <c r="V1189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G1172" i="1"/>
  <c r="L1172" i="1" s="1"/>
  <c r="M1170" i="1"/>
  <c r="L1048" i="1"/>
  <c r="L975" i="1"/>
  <c r="F1142" i="1"/>
  <c r="U1120" i="1"/>
  <c r="N1120" i="1"/>
  <c r="U1117" i="1"/>
  <c r="V1116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G1099" i="1"/>
  <c r="L1099" i="1" s="1"/>
  <c r="M1097" i="1"/>
  <c r="F1069" i="1"/>
  <c r="U1047" i="1"/>
  <c r="N1047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V1043" i="1" s="1"/>
  <c r="U1032" i="1"/>
  <c r="G1026" i="1"/>
  <c r="L1026" i="1" s="1"/>
  <c r="M1024" i="1"/>
  <c r="F996" i="1"/>
  <c r="F995" i="1"/>
  <c r="F1068" i="1" s="1"/>
  <c r="F1141" i="1" s="1"/>
  <c r="F1214" i="1" s="1"/>
  <c r="U974" i="1"/>
  <c r="N974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V970" i="1" s="1"/>
  <c r="G953" i="1"/>
  <c r="L953" i="1" s="1"/>
  <c r="M951" i="1"/>
  <c r="F923" i="1"/>
  <c r="F922" i="1"/>
  <c r="U901" i="1"/>
  <c r="N901" i="1"/>
  <c r="U898" i="1"/>
  <c r="V897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G880" i="1"/>
  <c r="L880" i="1" s="1"/>
  <c r="M878" i="1"/>
  <c r="F850" i="1"/>
  <c r="F849" i="1"/>
  <c r="U828" i="1"/>
  <c r="N828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V824" i="1" s="1"/>
  <c r="G807" i="1"/>
  <c r="L807" i="1" s="1"/>
  <c r="M805" i="1"/>
  <c r="N756" i="1"/>
  <c r="F777" i="1"/>
  <c r="F776" i="1"/>
  <c r="U755" i="1"/>
  <c r="N755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V751" i="1" s="1"/>
  <c r="G734" i="1"/>
  <c r="L734" i="1" s="1"/>
  <c r="M732" i="1"/>
  <c r="F704" i="1"/>
  <c r="F703" i="1"/>
  <c r="U682" i="1"/>
  <c r="N682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V678" i="1" s="1"/>
  <c r="G661" i="1"/>
  <c r="L661" i="1" s="1"/>
  <c r="M659" i="1"/>
  <c r="F631" i="1"/>
  <c r="F630" i="1"/>
  <c r="U609" i="1"/>
  <c r="N609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V605" i="1" s="1"/>
  <c r="G588" i="1"/>
  <c r="L588" i="1" s="1"/>
  <c r="M586" i="1"/>
  <c r="M513" i="1"/>
  <c r="G515" i="1"/>
  <c r="L515" i="1" s="1"/>
  <c r="U521" i="1"/>
  <c r="U522" i="1"/>
  <c r="U523" i="1"/>
  <c r="U524" i="1"/>
  <c r="U525" i="1"/>
  <c r="U526" i="1"/>
  <c r="U527" i="1"/>
  <c r="U528" i="1"/>
  <c r="U529" i="1"/>
  <c r="U530" i="1"/>
  <c r="U531" i="1"/>
  <c r="U532" i="1"/>
  <c r="V532" i="1"/>
  <c r="U533" i="1"/>
  <c r="N536" i="1"/>
  <c r="U536" i="1"/>
  <c r="F557" i="1"/>
  <c r="F558" i="1"/>
  <c r="F485" i="1"/>
  <c r="F484" i="1"/>
  <c r="U463" i="1"/>
  <c r="N463" i="1"/>
  <c r="U460" i="1"/>
  <c r="U459" i="1"/>
  <c r="U458" i="1"/>
  <c r="U457" i="1"/>
  <c r="U456" i="1"/>
  <c r="U455" i="1"/>
  <c r="U454" i="1"/>
  <c r="U453" i="1"/>
  <c r="U452" i="1"/>
  <c r="U451" i="1"/>
  <c r="U450" i="1"/>
  <c r="V459" i="1" s="1"/>
  <c r="U449" i="1"/>
  <c r="U448" i="1"/>
  <c r="G442" i="1"/>
  <c r="L442" i="1" s="1"/>
  <c r="M440" i="1"/>
  <c r="N391" i="1"/>
  <c r="L391" i="1"/>
  <c r="N390" i="1"/>
  <c r="N389" i="1"/>
  <c r="L389" i="1"/>
  <c r="N388" i="1"/>
  <c r="L388" i="1" s="1"/>
  <c r="N318" i="1"/>
  <c r="L318" i="1" s="1"/>
  <c r="N317" i="1"/>
  <c r="N316" i="1"/>
  <c r="L316" i="1"/>
  <c r="N315" i="1"/>
  <c r="L315" i="1"/>
  <c r="N245" i="1"/>
  <c r="L245" i="1"/>
  <c r="N244" i="1"/>
  <c r="N243" i="1"/>
  <c r="L243" i="1"/>
  <c r="N242" i="1"/>
  <c r="L242" i="1"/>
  <c r="N172" i="1"/>
  <c r="L172" i="1" s="1"/>
  <c r="N171" i="1"/>
  <c r="N170" i="1"/>
  <c r="L170" i="1" s="1"/>
  <c r="N169" i="1"/>
  <c r="L169" i="1" s="1"/>
  <c r="L99" i="1"/>
  <c r="L96" i="1"/>
  <c r="L97" i="1"/>
  <c r="N99" i="1"/>
  <c r="N98" i="1"/>
  <c r="N97" i="1"/>
  <c r="N96" i="1"/>
  <c r="N95" i="1"/>
  <c r="N22" i="1"/>
  <c r="N26" i="1"/>
  <c r="N25" i="1"/>
  <c r="N24" i="1"/>
  <c r="N23" i="1"/>
  <c r="F412" i="1"/>
  <c r="F411" i="1"/>
  <c r="U390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V386" i="1" s="1"/>
  <c r="G369" i="1"/>
  <c r="L369" i="1" s="1"/>
  <c r="M367" i="1"/>
  <c r="F339" i="1"/>
  <c r="F338" i="1"/>
  <c r="U317" i="1"/>
  <c r="U314" i="1"/>
  <c r="U313" i="1"/>
  <c r="U312" i="1"/>
  <c r="U311" i="1"/>
  <c r="U310" i="1"/>
  <c r="U309" i="1"/>
  <c r="U308" i="1"/>
  <c r="U307" i="1"/>
  <c r="U306" i="1"/>
  <c r="V313" i="1" s="1"/>
  <c r="U305" i="1"/>
  <c r="U304" i="1"/>
  <c r="U303" i="1"/>
  <c r="U302" i="1"/>
  <c r="G296" i="1"/>
  <c r="L296" i="1" s="1"/>
  <c r="M294" i="1"/>
  <c r="F266" i="1"/>
  <c r="F265" i="1"/>
  <c r="F193" i="1"/>
  <c r="F192" i="1"/>
  <c r="F120" i="1"/>
  <c r="F119" i="1"/>
  <c r="U244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V240" i="1" s="1"/>
  <c r="U229" i="1"/>
  <c r="G223" i="1"/>
  <c r="L223" i="1" s="1"/>
  <c r="M221" i="1"/>
  <c r="U171" i="1"/>
  <c r="U168" i="1"/>
  <c r="V167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G150" i="1"/>
  <c r="L150" i="1" s="1"/>
  <c r="M148" i="1"/>
  <c r="G77" i="1"/>
  <c r="M75" i="1"/>
  <c r="U98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L77" i="1"/>
  <c r="U23" i="1"/>
  <c r="U25" i="1"/>
  <c r="U11" i="1"/>
  <c r="U12" i="1"/>
  <c r="U13" i="1"/>
  <c r="U14" i="1"/>
  <c r="U15" i="1"/>
  <c r="U16" i="1"/>
  <c r="U17" i="1"/>
  <c r="U18" i="1"/>
  <c r="U19" i="1"/>
  <c r="U20" i="1"/>
  <c r="U21" i="1"/>
  <c r="U10" i="1"/>
  <c r="L4" i="1"/>
  <c r="U1922" i="1" l="1"/>
  <c r="N1922" i="1"/>
  <c r="L1922" i="1" s="1"/>
  <c r="U1921" i="1"/>
  <c r="N1921" i="1"/>
  <c r="L1921" i="1" s="1"/>
  <c r="U1849" i="1"/>
  <c r="N1849" i="1"/>
  <c r="L1849" i="1" s="1"/>
  <c r="N1848" i="1"/>
  <c r="L1848" i="1" s="1"/>
  <c r="U1848" i="1"/>
  <c r="U1775" i="1"/>
  <c r="N1775" i="1"/>
  <c r="L1775" i="1" s="1"/>
  <c r="U1776" i="1"/>
  <c r="N1776" i="1"/>
  <c r="L1776" i="1" s="1"/>
  <c r="U1702" i="1"/>
  <c r="N1702" i="1"/>
  <c r="L1702" i="1" s="1"/>
  <c r="U1703" i="1"/>
  <c r="N1703" i="1"/>
  <c r="L1703" i="1" s="1"/>
  <c r="U1630" i="1"/>
  <c r="N1630" i="1"/>
  <c r="L1630" i="1" s="1"/>
  <c r="U1629" i="1"/>
  <c r="N1629" i="1"/>
  <c r="L1629" i="1" s="1"/>
  <c r="U1557" i="1"/>
  <c r="N1557" i="1"/>
  <c r="U1556" i="1"/>
  <c r="N1556" i="1"/>
  <c r="U1484" i="1"/>
  <c r="N1484" i="1"/>
  <c r="U1483" i="1"/>
  <c r="N1483" i="1"/>
  <c r="N1410" i="1"/>
  <c r="L1410" i="1" s="1"/>
  <c r="U1410" i="1"/>
  <c r="N1411" i="1"/>
  <c r="L1411" i="1" s="1"/>
  <c r="U1411" i="1"/>
  <c r="N1337" i="1"/>
  <c r="L1337" i="1" s="1"/>
  <c r="U1337" i="1"/>
  <c r="N1338" i="1"/>
  <c r="L1338" i="1" s="1"/>
  <c r="U1338" i="1"/>
  <c r="U1264" i="1"/>
  <c r="N1264" i="1"/>
  <c r="L1264" i="1" s="1"/>
  <c r="U1265" i="1"/>
  <c r="N1265" i="1"/>
  <c r="L1265" i="1" s="1"/>
  <c r="S1192" i="1"/>
  <c r="S1191" i="1"/>
  <c r="S1119" i="1"/>
  <c r="S1118" i="1"/>
  <c r="S1045" i="1"/>
  <c r="S1046" i="1"/>
  <c r="S972" i="1"/>
  <c r="S973" i="1"/>
  <c r="S900" i="1"/>
  <c r="S899" i="1"/>
  <c r="S826" i="1"/>
  <c r="S827" i="1"/>
  <c r="S753" i="1"/>
  <c r="S754" i="1"/>
  <c r="S680" i="1"/>
  <c r="S681" i="1"/>
  <c r="S607" i="1"/>
  <c r="S608" i="1"/>
  <c r="S534" i="1"/>
  <c r="S535" i="1"/>
  <c r="S462" i="1"/>
  <c r="S461" i="1"/>
  <c r="S388" i="1"/>
  <c r="U388" i="1" s="1"/>
  <c r="S389" i="1"/>
  <c r="U389" i="1" s="1"/>
  <c r="S316" i="1"/>
  <c r="U316" i="1" s="1"/>
  <c r="S315" i="1"/>
  <c r="U315" i="1" s="1"/>
  <c r="S318" i="1" s="1"/>
  <c r="U318" i="1" s="1"/>
  <c r="U319" i="1" s="1"/>
  <c r="U321" i="1" s="1"/>
  <c r="N298" i="1" s="1"/>
  <c r="S243" i="1"/>
  <c r="U243" i="1" s="1"/>
  <c r="S242" i="1"/>
  <c r="U242" i="1" s="1"/>
  <c r="S170" i="1"/>
  <c r="U170" i="1" s="1"/>
  <c r="S172" i="1" s="1"/>
  <c r="U172" i="1" s="1"/>
  <c r="U173" i="1" s="1"/>
  <c r="U175" i="1" s="1"/>
  <c r="N152" i="1" s="1"/>
  <c r="S169" i="1"/>
  <c r="U169" i="1" s="1"/>
  <c r="V94" i="1"/>
  <c r="V21" i="1"/>
  <c r="S1924" i="1" l="1"/>
  <c r="S1851" i="1"/>
  <c r="S1778" i="1"/>
  <c r="S1705" i="1"/>
  <c r="S1632" i="1"/>
  <c r="S1559" i="1"/>
  <c r="S1486" i="1"/>
  <c r="S1413" i="1"/>
  <c r="S1340" i="1"/>
  <c r="S1267" i="1"/>
  <c r="U1192" i="1"/>
  <c r="N1192" i="1"/>
  <c r="L1192" i="1" s="1"/>
  <c r="U1191" i="1"/>
  <c r="N1191" i="1"/>
  <c r="L1191" i="1" s="1"/>
  <c r="N1119" i="1"/>
  <c r="U1119" i="1"/>
  <c r="N1118" i="1"/>
  <c r="U1118" i="1"/>
  <c r="N1045" i="1"/>
  <c r="U1045" i="1"/>
  <c r="U1046" i="1"/>
  <c r="N1046" i="1"/>
  <c r="U972" i="1"/>
  <c r="N972" i="1"/>
  <c r="L972" i="1" s="1"/>
  <c r="N973" i="1"/>
  <c r="L973" i="1" s="1"/>
  <c r="U973" i="1"/>
  <c r="N900" i="1"/>
  <c r="L900" i="1" s="1"/>
  <c r="U900" i="1"/>
  <c r="U899" i="1"/>
  <c r="N899" i="1"/>
  <c r="L899" i="1" s="1"/>
  <c r="U826" i="1"/>
  <c r="N826" i="1"/>
  <c r="L826" i="1" s="1"/>
  <c r="U827" i="1"/>
  <c r="N827" i="1"/>
  <c r="L827" i="1" s="1"/>
  <c r="U753" i="1"/>
  <c r="N753" i="1"/>
  <c r="L753" i="1" s="1"/>
  <c r="N754" i="1"/>
  <c r="L754" i="1" s="1"/>
  <c r="U754" i="1"/>
  <c r="U680" i="1"/>
  <c r="N680" i="1"/>
  <c r="L680" i="1" s="1"/>
  <c r="U681" i="1"/>
  <c r="N681" i="1"/>
  <c r="L681" i="1" s="1"/>
  <c r="U607" i="1"/>
  <c r="N607" i="1"/>
  <c r="L607" i="1" s="1"/>
  <c r="U608" i="1"/>
  <c r="N608" i="1"/>
  <c r="L608" i="1" s="1"/>
  <c r="N534" i="1"/>
  <c r="L534" i="1" s="1"/>
  <c r="U534" i="1"/>
  <c r="N535" i="1"/>
  <c r="L535" i="1" s="1"/>
  <c r="U535" i="1"/>
  <c r="U462" i="1"/>
  <c r="N462" i="1"/>
  <c r="L462" i="1" s="1"/>
  <c r="U461" i="1"/>
  <c r="N461" i="1"/>
  <c r="L461" i="1" s="1"/>
  <c r="S391" i="1"/>
  <c r="U391" i="1" s="1"/>
  <c r="U392" i="1" s="1"/>
  <c r="U394" i="1" s="1"/>
  <c r="N371" i="1" s="1"/>
  <c r="S245" i="1"/>
  <c r="U245" i="1" s="1"/>
  <c r="U246" i="1" s="1"/>
  <c r="U248" i="1" s="1"/>
  <c r="N225" i="1" s="1"/>
  <c r="S97" i="1"/>
  <c r="U97" i="1" s="1"/>
  <c r="S96" i="1"/>
  <c r="U96" i="1" s="1"/>
  <c r="S99" i="1" s="1"/>
  <c r="U99" i="1" s="1"/>
  <c r="U100" i="1" s="1"/>
  <c r="U102" i="1" s="1"/>
  <c r="N79" i="1" s="1"/>
  <c r="S23" i="1"/>
  <c r="S24" i="1"/>
  <c r="U24" i="1" s="1"/>
  <c r="N1924" i="1" l="1"/>
  <c r="L1924" i="1" s="1"/>
  <c r="U1924" i="1"/>
  <c r="U1925" i="1" s="1"/>
  <c r="U1927" i="1" s="1"/>
  <c r="N1904" i="1" s="1"/>
  <c r="N1851" i="1"/>
  <c r="L1851" i="1" s="1"/>
  <c r="U1851" i="1"/>
  <c r="U1852" i="1" s="1"/>
  <c r="U1854" i="1" s="1"/>
  <c r="N1831" i="1" s="1"/>
  <c r="N1778" i="1"/>
  <c r="L1778" i="1" s="1"/>
  <c r="U1778" i="1"/>
  <c r="U1779" i="1" s="1"/>
  <c r="U1781" i="1" s="1"/>
  <c r="N1758" i="1" s="1"/>
  <c r="N1705" i="1"/>
  <c r="L1705" i="1" s="1"/>
  <c r="U1705" i="1"/>
  <c r="U1706" i="1" s="1"/>
  <c r="U1708" i="1" s="1"/>
  <c r="N1685" i="1" s="1"/>
  <c r="N1632" i="1"/>
  <c r="L1632" i="1" s="1"/>
  <c r="U1632" i="1"/>
  <c r="U1633" i="1" s="1"/>
  <c r="U1635" i="1" s="1"/>
  <c r="N1612" i="1" s="1"/>
  <c r="N1559" i="1"/>
  <c r="L1559" i="1" s="1"/>
  <c r="U1559" i="1"/>
  <c r="U1560" i="1" s="1"/>
  <c r="U1562" i="1" s="1"/>
  <c r="N1539" i="1" s="1"/>
  <c r="N1486" i="1"/>
  <c r="U1486" i="1"/>
  <c r="U1487" i="1" s="1"/>
  <c r="U1489" i="1" s="1"/>
  <c r="N1466" i="1" s="1"/>
  <c r="U1413" i="1"/>
  <c r="U1414" i="1" s="1"/>
  <c r="U1416" i="1" s="1"/>
  <c r="N1393" i="1" s="1"/>
  <c r="N1413" i="1"/>
  <c r="U1340" i="1"/>
  <c r="U1341" i="1" s="1"/>
  <c r="U1343" i="1" s="1"/>
  <c r="N1320" i="1" s="1"/>
  <c r="N1340" i="1"/>
  <c r="L1340" i="1" s="1"/>
  <c r="N1267" i="1"/>
  <c r="L1267" i="1" s="1"/>
  <c r="U1267" i="1"/>
  <c r="U1268" i="1" s="1"/>
  <c r="U1270" i="1" s="1"/>
  <c r="N1247" i="1" s="1"/>
  <c r="S1194" i="1"/>
  <c r="L1119" i="1"/>
  <c r="L1118" i="1"/>
  <c r="L1045" i="1"/>
  <c r="L1046" i="1"/>
  <c r="S1121" i="1"/>
  <c r="S1048" i="1"/>
  <c r="S975" i="1"/>
  <c r="N975" i="1" s="1"/>
  <c r="S902" i="1"/>
  <c r="S829" i="1"/>
  <c r="S756" i="1"/>
  <c r="S683" i="1"/>
  <c r="S610" i="1"/>
  <c r="S537" i="1"/>
  <c r="S464" i="1"/>
  <c r="U22" i="1"/>
  <c r="U1194" i="1" l="1"/>
  <c r="U1195" i="1" s="1"/>
  <c r="U1197" i="1" s="1"/>
  <c r="N1174" i="1" s="1"/>
  <c r="N1194" i="1"/>
  <c r="L1194" i="1" s="1"/>
  <c r="U1121" i="1"/>
  <c r="U1122" i="1" s="1"/>
  <c r="U1124" i="1" s="1"/>
  <c r="N1101" i="1" s="1"/>
  <c r="N1121" i="1"/>
  <c r="N1048" i="1"/>
  <c r="U1048" i="1"/>
  <c r="U1049" i="1" s="1"/>
  <c r="U1051" i="1" s="1"/>
  <c r="N1028" i="1" s="1"/>
  <c r="U975" i="1"/>
  <c r="U976" i="1" s="1"/>
  <c r="U978" i="1" s="1"/>
  <c r="N955" i="1" s="1"/>
  <c r="N902" i="1"/>
  <c r="L902" i="1" s="1"/>
  <c r="U902" i="1"/>
  <c r="U903" i="1" s="1"/>
  <c r="U905" i="1" s="1"/>
  <c r="N882" i="1" s="1"/>
  <c r="N829" i="1"/>
  <c r="L829" i="1" s="1"/>
  <c r="U829" i="1"/>
  <c r="U830" i="1" s="1"/>
  <c r="U832" i="1" s="1"/>
  <c r="N809" i="1" s="1"/>
  <c r="U756" i="1"/>
  <c r="U757" i="1" s="1"/>
  <c r="U759" i="1" s="1"/>
  <c r="N736" i="1" s="1"/>
  <c r="L756" i="1"/>
  <c r="N683" i="1"/>
  <c r="L683" i="1" s="1"/>
  <c r="U683" i="1"/>
  <c r="U684" i="1" s="1"/>
  <c r="U686" i="1" s="1"/>
  <c r="N663" i="1" s="1"/>
  <c r="N610" i="1"/>
  <c r="L610" i="1" s="1"/>
  <c r="U610" i="1"/>
  <c r="U611" i="1" s="1"/>
  <c r="U613" i="1" s="1"/>
  <c r="N590" i="1" s="1"/>
  <c r="U537" i="1"/>
  <c r="U538" i="1" s="1"/>
  <c r="U540" i="1" s="1"/>
  <c r="N517" i="1" s="1"/>
  <c r="N537" i="1"/>
  <c r="L537" i="1" s="1"/>
  <c r="N464" i="1"/>
  <c r="L464" i="1" s="1"/>
  <c r="U464" i="1"/>
  <c r="U465" i="1" s="1"/>
  <c r="U467" i="1" s="1"/>
  <c r="N444" i="1" s="1"/>
  <c r="S26" i="1"/>
  <c r="U26" i="1" s="1"/>
  <c r="U27" i="1" s="1"/>
  <c r="U29" i="1" s="1"/>
  <c r="L1121" i="1" l="1"/>
  <c r="N6" i="1"/>
</calcChain>
</file>

<file path=xl/sharedStrings.xml><?xml version="1.0" encoding="utf-8"?>
<sst xmlns="http://schemas.openxmlformats.org/spreadsheetml/2006/main" count="4784" uniqueCount="108">
  <si>
    <t>公共工程施工日誌</t>
  </si>
  <si>
    <t>本日天氣：</t>
  </si>
  <si>
    <t>上午：</t>
  </si>
  <si>
    <t>晴</t>
  </si>
  <si>
    <t>下午：</t>
  </si>
  <si>
    <t>填表日期：</t>
  </si>
  <si>
    <t>工程名稱</t>
  </si>
  <si>
    <t>承攬廠商</t>
  </si>
  <si>
    <t>核定工期</t>
  </si>
  <si>
    <t>天</t>
  </si>
  <si>
    <t>累計工期</t>
  </si>
  <si>
    <t>剩餘工期</t>
  </si>
  <si>
    <t>工期展延天數</t>
  </si>
  <si>
    <t>開工日期</t>
  </si>
  <si>
    <t>竣工日期</t>
  </si>
  <si>
    <t>預定進度％</t>
  </si>
  <si>
    <t>﹪</t>
  </si>
  <si>
    <t>實際進度％</t>
  </si>
  <si>
    <t>一、依施工計畫書執行按圖施工概況（含約定之重要施工項目及完成數量等）：</t>
  </si>
  <si>
    <t>工程項目</t>
  </si>
  <si>
    <t>單位</t>
  </si>
  <si>
    <t>契約數量</t>
  </si>
  <si>
    <t>累計完成數量</t>
  </si>
  <si>
    <t>備註</t>
  </si>
  <si>
    <t>式</t>
  </si>
  <si>
    <t>式</t>
    <phoneticPr fontId="11" type="noConversion"/>
  </si>
  <si>
    <t xml:space="preserve"> </t>
    <phoneticPr fontId="11" type="noConversion"/>
  </si>
  <si>
    <t>累計完成金額</t>
  </si>
  <si>
    <t>本日完成數量</t>
    <phoneticPr fontId="9" type="noConversion"/>
  </si>
  <si>
    <t>營造業專業工程特定施工項目</t>
  </si>
  <si>
    <t>A.</t>
  </si>
  <si>
    <t>B.</t>
  </si>
  <si>
    <t>二、工地材料管理概況（含約定之重要材料使用狀況及數量等）：</t>
  </si>
  <si>
    <t>材料名稱</t>
  </si>
  <si>
    <t>設計數量</t>
  </si>
  <si>
    <t>本日使用數量</t>
  </si>
  <si>
    <t>累計使用數量</t>
    <phoneticPr fontId="9" type="noConversion"/>
  </si>
  <si>
    <t>三、工地人員及機具管理（含約定之出工人數及機具使用情形及數量）：</t>
  </si>
  <si>
    <t>工別</t>
  </si>
  <si>
    <t>本日人數</t>
  </si>
  <si>
    <t>累計人數</t>
    <phoneticPr fontId="9" type="noConversion"/>
  </si>
  <si>
    <t>機具名稱</t>
  </si>
  <si>
    <t>大工</t>
  </si>
  <si>
    <t>四、本日施工項目是否有須依「營造業專業工程特定施工項目應置之技術士種類、比率或人數</t>
  </si>
  <si>
    <t xml:space="preserve">    標準表」規定應設置技術士之專業工程：□有■無 （此項如勾選”有”，則應填寫後附</t>
  </si>
  <si>
    <t xml:space="preserve">  「建築物施工日誌之技術士簽章表」）</t>
  </si>
  <si>
    <t xml:space="preserve">五、工地職業安全衛生事項之督導、公共環境與安全之維護及其他工地行政事務： </t>
  </si>
  <si>
    <t xml:space="preserve"> (ㄧ)施工前檢查事項：</t>
  </si>
  <si>
    <t xml:space="preserve">   1.實施勤前教育(含工地預防災變及危害告知)：■有 □無 </t>
  </si>
  <si>
    <t xml:space="preserve">   2.確認新進勞工是否提報勞工保險(或其他商業保險)資料及安全衛生教育訓練紀錄： </t>
  </si>
  <si>
    <t xml:space="preserve">     □ 有 □無 ■無新進勞工</t>
  </si>
  <si>
    <t xml:space="preserve">   3.檢查勞工個人防護具：■有 □無</t>
  </si>
  <si>
    <t xml:space="preserve"> (二)其他事項：</t>
  </si>
  <si>
    <t>六、施工取樣試驗紀錄：</t>
  </si>
  <si>
    <t>七、通知協力廠商辦理事項：</t>
  </si>
  <si>
    <t>簽章：【工地主任】（註3）：</t>
  </si>
  <si>
    <t>註：1.依營造業法第32條第1項第2款規定，工地主任應按日填報施工日誌</t>
    <phoneticPr fontId="9" type="noConversion"/>
  </si>
  <si>
    <t xml:space="preserve">    2.本施工日誌格式僅供參考，惟原則應包含上開欄位，各機關亦得依工程性質及契約約定事項自行增訂之。</t>
  </si>
  <si>
    <t xml:space="preserve">    3.本工程依營造業法第30條規定須置工地主任者，由工地主任簽章；依上開規定免置工地主任者，則由營</t>
  </si>
  <si>
    <t xml:space="preserve">      造業法第32條第2項所定之人員簽章。廠商非屬營造業者，由工地負責人簽章。</t>
  </si>
  <si>
    <t xml:space="preserve">    4.契約工期如有修正，應填修正後之契約工期，含展延工期及不計工期天數；如有依契約變更設計，預定</t>
  </si>
  <si>
    <t xml:space="preserve">      進度及實際進度應填變更設計後計算之進度。</t>
  </si>
  <si>
    <t xml:space="preserve">    5.上開重要事項記錄包含（1）主辦機關及監造單位指示（2）工地遇緊急異常狀況之通報處理情形（3）本</t>
  </si>
  <si>
    <t xml:space="preserve">      日是否由專任工程人員督察按圖施工、解決施工技術問題等。</t>
  </si>
  <si>
    <t>單價</t>
    <phoneticPr fontId="9" type="noConversion"/>
  </si>
  <si>
    <t>壹</t>
    <phoneticPr fontId="11" type="noConversion"/>
  </si>
  <si>
    <t>直接工程費</t>
    <phoneticPr fontId="11" type="noConversion"/>
  </si>
  <si>
    <t>組</t>
    <phoneticPr fontId="11" type="noConversion"/>
  </si>
  <si>
    <t>參</t>
    <phoneticPr fontId="11" type="noConversion"/>
  </si>
  <si>
    <t>肆</t>
    <phoneticPr fontId="11" type="noConversion"/>
  </si>
  <si>
    <t>安全衛生及管理費(約0.6%)</t>
    <phoneticPr fontId="11" type="noConversion"/>
  </si>
  <si>
    <t>伍</t>
    <phoneticPr fontId="11" type="noConversion"/>
  </si>
  <si>
    <t>包商工地管理費及利潤(約5%)</t>
    <phoneticPr fontId="16" type="noConversion"/>
  </si>
  <si>
    <t>陸</t>
    <phoneticPr fontId="11" type="noConversion"/>
  </si>
  <si>
    <t>營造綜合保險費(約0.4%)(B)</t>
    <phoneticPr fontId="11" type="noConversion"/>
  </si>
  <si>
    <t xml:space="preserve">    6.公共工程屬建築物者，請依內政部99年2月5日台內營字第0990800804號令頒之「建築物施工日誌」填寫。</t>
    <phoneticPr fontId="9" type="noConversion"/>
  </si>
  <si>
    <t>貳</t>
    <phoneticPr fontId="11" type="noConversion"/>
  </si>
  <si>
    <t>八、重要事項記錄：開工</t>
    <phoneticPr fontId="11" type="noConversion"/>
  </si>
  <si>
    <t>新成室內裝修企業社</t>
    <phoneticPr fontId="9" type="noConversion"/>
  </si>
  <si>
    <t>114年棒球宿舍設備改善計畫工程</t>
    <phoneticPr fontId="9" type="noConversion"/>
  </si>
  <si>
    <t>安裝鋁擠型床組上下舖</t>
    <phoneticPr fontId="11" type="noConversion"/>
  </si>
  <si>
    <t>既有地坪研磨與批補整平，鋪設PVC超耐磨地磚</t>
    <phoneticPr fontId="11" type="noConversion"/>
  </si>
  <si>
    <t>牆面平頂刷水泥漆(1底2度)</t>
    <phoneticPr fontId="11" type="noConversion"/>
  </si>
  <si>
    <t>安裝LED電燈</t>
    <phoneticPr fontId="11" type="noConversion"/>
  </si>
  <si>
    <t>安裝矽酸鈣板隔間(含門框、門片與把手五金)，批膠批土整平</t>
    <phoneticPr fontId="11" type="noConversion"/>
  </si>
  <si>
    <t>廁所導擺(含門)拆除與更新</t>
    <phoneticPr fontId="11" type="noConversion"/>
  </si>
  <si>
    <t>沐浴間導擺(含門)拆除與更新</t>
    <phoneticPr fontId="11" type="noConversion"/>
  </si>
  <si>
    <t>水電配電</t>
    <phoneticPr fontId="11" type="noConversion"/>
  </si>
  <si>
    <t>廢棄物清運</t>
    <phoneticPr fontId="11" type="noConversion"/>
  </si>
  <si>
    <t>小便斗拆除與更新</t>
    <phoneticPr fontId="11" type="noConversion"/>
  </si>
  <si>
    <t>蓮蓬頭拆除與更新</t>
    <phoneticPr fontId="11" type="noConversion"/>
  </si>
  <si>
    <t>安裝360度吊扇</t>
    <phoneticPr fontId="11" type="noConversion"/>
  </si>
  <si>
    <t>職業安全衛生管理費（壹*1%）</t>
    <phoneticPr fontId="11" type="noConversion"/>
  </si>
  <si>
    <t>公共工程品質管制作業費（壹*1%）</t>
    <phoneticPr fontId="11" type="noConversion"/>
  </si>
  <si>
    <t>包商管理及利潤費（約壹*7%）</t>
    <phoneticPr fontId="11" type="noConversion"/>
  </si>
  <si>
    <t>營造綜合保險費</t>
    <phoneticPr fontId="11" type="noConversion"/>
  </si>
  <si>
    <t>營業稅（(壹~伍)*5％）</t>
    <phoneticPr fontId="11" type="noConversion"/>
  </si>
  <si>
    <t>M2</t>
    <phoneticPr fontId="11" type="noConversion"/>
  </si>
  <si>
    <t>座</t>
    <phoneticPr fontId="11" type="noConversion"/>
  </si>
  <si>
    <t>八、重要事項記錄：</t>
    <phoneticPr fontId="11" type="noConversion"/>
  </si>
  <si>
    <t>小工</t>
    <phoneticPr fontId="11" type="noConversion"/>
  </si>
  <si>
    <t>八、重要事項記錄：備料</t>
    <phoneticPr fontId="11" type="noConversion"/>
  </si>
  <si>
    <t>八、重要事項記錄：申報完工</t>
    <phoneticPr fontId="11" type="noConversion"/>
  </si>
  <si>
    <t>施工日誌</t>
    <phoneticPr fontId="11" type="noConversion"/>
  </si>
  <si>
    <t>114年棒球宿舍設備改善計畫工程</t>
    <phoneticPr fontId="11" type="noConversion"/>
  </si>
  <si>
    <t>施工廠商：新成室內裝修企業社</t>
    <phoneticPr fontId="11" type="noConversion"/>
  </si>
  <si>
    <t>施工日期：115年07月24日~115年08月19日</t>
    <phoneticPr fontId="11" type="noConversion"/>
  </si>
  <si>
    <t>雲林縣立古坑國民中小學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</si>
</sst>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[$-404]e&quot;年&quot;m&quot;月&quot;d&quot;日&quot;;@"/>
    <numFmt numFmtId="177" formatCode="[$-404]aaaa;@"/>
    <numFmt numFmtId="178" formatCode="_-* #,##0.00_-;\-* #,##0.00_-;_-* &quot;-&quot;_-;_-@_-"/>
    <numFmt numFmtId="179" formatCode="#,##0_);[Red]\(#,##0\)"/>
    <numFmt numFmtId="180" formatCode="_-* #,##0_-;\-* #,##0_-;_-* &quot;-&quot;??_-;_-@_-"/>
    <numFmt numFmtId="181" formatCode="#,##0.00_);[Red]\(#,##0.00\)"/>
  </numFmts>
  <fonts count="2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sz val="20"/>
      <name val="標楷體"/>
      <family val="4"/>
      <charset val="136"/>
    </font>
    <font>
      <sz val="11"/>
      <name val="新細明體"/>
      <family val="1"/>
      <charset val="136"/>
    </font>
    <font>
      <u/>
      <sz val="12"/>
      <color indexed="12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indexed="8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9"/>
      <name val="細明體"/>
      <family val="3"/>
      <charset val="136"/>
    </font>
    <font>
      <sz val="10"/>
      <color indexed="8"/>
      <name val="新細明體"/>
      <family val="1"/>
      <charset val="136"/>
      <scheme val="minor"/>
    </font>
    <font>
      <sz val="12"/>
      <name val="Times New Roman"/>
      <family val="1"/>
    </font>
    <font>
      <sz val="12"/>
      <color indexed="8"/>
      <name val="新細明體"/>
      <family val="1"/>
      <charset val="136"/>
    </font>
    <font>
      <sz val="36"/>
      <color indexed="8"/>
      <name val="標楷體"/>
      <family val="4"/>
      <charset val="136"/>
    </font>
    <font>
      <sz val="23"/>
      <color indexed="8"/>
      <name val="標楷體"/>
      <family val="4"/>
      <charset val="136"/>
    </font>
    <font>
      <sz val="25"/>
      <color indexed="8"/>
      <name val="標楷體"/>
      <family val="4"/>
      <charset val="136"/>
    </font>
    <font>
      <b/>
      <sz val="80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FFDD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0" borderId="0"/>
    <xf numFmtId="0" fontId="1" fillId="0" borderId="0">
      <alignment vertical="center"/>
    </xf>
    <xf numFmtId="0" fontId="18" fillId="0" borderId="0"/>
    <xf numFmtId="0" fontId="19" fillId="0" borderId="0">
      <alignment vertical="center"/>
    </xf>
  </cellStyleXfs>
  <cellXfs count="146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2" xfId="0" applyBorder="1">
      <alignment vertical="center"/>
    </xf>
    <xf numFmtId="0" fontId="2" fillId="2" borderId="2" xfId="1" applyFont="1" applyFill="1" applyBorder="1" applyAlignment="1">
      <alignment horizontal="center" vertical="center" shrinkToFit="1"/>
    </xf>
    <xf numFmtId="179" fontId="14" fillId="0" borderId="2" xfId="0" applyNumberFormat="1" applyFont="1" applyBorder="1" applyAlignment="1">
      <alignment horizontal="center" vertical="center"/>
    </xf>
    <xf numFmtId="43" fontId="15" fillId="2" borderId="5" xfId="5" applyFont="1" applyFill="1" applyBorder="1" applyAlignment="1">
      <alignment horizontal="center" vertical="center" shrinkToFit="1"/>
    </xf>
    <xf numFmtId="43" fontId="15" fillId="2" borderId="3" xfId="5" applyFont="1" applyFill="1" applyBorder="1" applyAlignment="1">
      <alignment horizontal="center" vertical="center" shrinkToFit="1"/>
    </xf>
    <xf numFmtId="180" fontId="0" fillId="0" borderId="2" xfId="5" applyNumberFormat="1" applyFont="1" applyBorder="1" applyAlignment="1"/>
    <xf numFmtId="0" fontId="4" fillId="0" borderId="2" xfId="1" applyFont="1" applyBorder="1" applyAlignment="1">
      <alignment horizontal="center" vertical="center" shrinkToFit="1"/>
    </xf>
    <xf numFmtId="180" fontId="0" fillId="4" borderId="0" xfId="0" applyNumberFormat="1" applyFill="1">
      <alignment vertical="center"/>
    </xf>
    <xf numFmtId="0" fontId="0" fillId="5" borderId="0" xfId="0" applyFill="1">
      <alignment vertical="center"/>
    </xf>
    <xf numFmtId="180" fontId="0" fillId="0" borderId="2" xfId="5" applyNumberFormat="1" applyFont="1" applyFill="1" applyBorder="1" applyAlignment="1"/>
    <xf numFmtId="0" fontId="12" fillId="0" borderId="2" xfId="0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180" fontId="0" fillId="0" borderId="0" xfId="5" applyNumberFormat="1" applyFont="1">
      <alignment vertical="center"/>
    </xf>
    <xf numFmtId="43" fontId="0" fillId="0" borderId="2" xfId="5" applyFont="1" applyBorder="1">
      <alignment vertical="center"/>
    </xf>
    <xf numFmtId="180" fontId="0" fillId="3" borderId="0" xfId="0" applyNumberFormat="1" applyFill="1">
      <alignment vertical="center"/>
    </xf>
    <xf numFmtId="179" fontId="17" fillId="0" borderId="2" xfId="0" applyNumberFormat="1" applyFont="1" applyBorder="1" applyAlignment="1">
      <alignment horizontal="center" vertical="center"/>
    </xf>
    <xf numFmtId="179" fontId="2" fillId="0" borderId="2" xfId="8" applyNumberFormat="1" applyFont="1" applyBorder="1" applyAlignment="1">
      <alignment horizontal="center" vertical="center"/>
    </xf>
    <xf numFmtId="179" fontId="2" fillId="0" borderId="2" xfId="8" applyNumberFormat="1" applyFont="1" applyBorder="1" applyAlignment="1">
      <alignment horizontal="right" vertical="center"/>
    </xf>
    <xf numFmtId="179" fontId="2" fillId="0" borderId="2" xfId="8" applyNumberFormat="1" applyFont="1" applyBorder="1" applyAlignment="1">
      <alignment horizontal="right" vertical="center" shrinkToFit="1"/>
    </xf>
    <xf numFmtId="180" fontId="0" fillId="0" borderId="0" xfId="0" applyNumberFormat="1">
      <alignment vertical="center"/>
    </xf>
    <xf numFmtId="180" fontId="0" fillId="6" borderId="0" xfId="5" applyNumberFormat="1" applyFont="1" applyFill="1" applyBorder="1" applyAlignment="1"/>
    <xf numFmtId="181" fontId="15" fillId="0" borderId="2" xfId="8" applyNumberFormat="1" applyFont="1" applyBorder="1" applyAlignment="1">
      <alignment horizontal="center" vertical="center"/>
    </xf>
    <xf numFmtId="179" fontId="15" fillId="0" borderId="2" xfId="8" applyNumberFormat="1" applyFont="1" applyBorder="1" applyAlignment="1">
      <alignment horizontal="center" vertical="center"/>
    </xf>
    <xf numFmtId="180" fontId="15" fillId="2" borderId="5" xfId="5" applyNumberFormat="1" applyFont="1" applyFill="1" applyBorder="1" applyAlignment="1">
      <alignment horizontal="center" vertical="center" shrinkToFit="1"/>
    </xf>
    <xf numFmtId="180" fontId="15" fillId="2" borderId="3" xfId="5" applyNumberFormat="1" applyFont="1" applyFill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1" applyFont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3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3" xfId="0" applyFont="1" applyBorder="1">
      <alignment vertical="center"/>
    </xf>
    <xf numFmtId="2" fontId="13" fillId="0" borderId="5" xfId="0" applyNumberFormat="1" applyFont="1" applyBorder="1" applyAlignment="1"/>
    <xf numFmtId="2" fontId="13" fillId="0" borderId="4" xfId="0" applyNumberFormat="1" applyFont="1" applyBorder="1" applyAlignment="1"/>
    <xf numFmtId="2" fontId="13" fillId="0" borderId="3" xfId="0" applyNumberFormat="1" applyFont="1" applyBorder="1" applyAlignment="1"/>
    <xf numFmtId="178" fontId="3" fillId="0" borderId="5" xfId="1" applyNumberFormat="1" applyFont="1" applyBorder="1" applyAlignment="1">
      <alignment horizontal="center" vertical="center" shrinkToFit="1"/>
    </xf>
    <xf numFmtId="178" fontId="3" fillId="0" borderId="3" xfId="1" applyNumberFormat="1" applyFont="1" applyBorder="1" applyAlignment="1">
      <alignment horizontal="center" vertical="center" shrinkToFit="1"/>
    </xf>
    <xf numFmtId="41" fontId="3" fillId="0" borderId="5" xfId="1" applyNumberFormat="1" applyFont="1" applyBorder="1" applyAlignment="1">
      <alignment horizontal="center" vertical="center" shrinkToFit="1"/>
    </xf>
    <xf numFmtId="41" fontId="3" fillId="0" borderId="3" xfId="1" applyNumberFormat="1" applyFont="1" applyBorder="1" applyAlignment="1">
      <alignment horizontal="center" vertical="center" shrinkToFit="1"/>
    </xf>
    <xf numFmtId="0" fontId="15" fillId="0" borderId="5" xfId="7" applyFont="1" applyBorder="1">
      <alignment vertical="center"/>
    </xf>
    <xf numFmtId="0" fontId="15" fillId="0" borderId="4" xfId="7" applyFont="1" applyBorder="1">
      <alignment vertical="center"/>
    </xf>
    <xf numFmtId="0" fontId="15" fillId="0" borderId="3" xfId="7" applyFont="1" applyBorder="1">
      <alignment vertical="center"/>
    </xf>
    <xf numFmtId="2" fontId="12" fillId="0" borderId="5" xfId="0" applyNumberFormat="1" applyFont="1" applyBorder="1" applyAlignment="1"/>
    <xf numFmtId="2" fontId="12" fillId="0" borderId="4" xfId="0" applyNumberFormat="1" applyFont="1" applyBorder="1" applyAlignment="1"/>
    <xf numFmtId="2" fontId="12" fillId="0" borderId="3" xfId="0" applyNumberFormat="1" applyFont="1" applyBorder="1" applyAlignment="1"/>
    <xf numFmtId="178" fontId="15" fillId="0" borderId="5" xfId="1" applyNumberFormat="1" applyFont="1" applyBorder="1" applyAlignment="1">
      <alignment horizontal="center" vertical="center" shrinkToFit="1"/>
    </xf>
    <xf numFmtId="178" fontId="15" fillId="0" borderId="3" xfId="1" applyNumberFormat="1" applyFont="1" applyBorder="1" applyAlignment="1">
      <alignment horizontal="center" vertical="center" shrinkToFit="1"/>
    </xf>
    <xf numFmtId="41" fontId="15" fillId="0" borderId="5" xfId="1" applyNumberFormat="1" applyFont="1" applyBorder="1" applyAlignment="1">
      <alignment horizontal="center" vertical="center" shrinkToFit="1"/>
    </xf>
    <xf numFmtId="41" fontId="15" fillId="0" borderId="3" xfId="1" applyNumberFormat="1" applyFont="1" applyBorder="1" applyAlignment="1">
      <alignment horizontal="center" vertical="center" shrinkToFit="1"/>
    </xf>
    <xf numFmtId="0" fontId="15" fillId="0" borderId="5" xfId="6" applyFont="1" applyBorder="1" applyAlignment="1">
      <alignment vertical="center" wrapText="1"/>
    </xf>
    <xf numFmtId="0" fontId="15" fillId="0" borderId="4" xfId="6" applyFont="1" applyBorder="1" applyAlignment="1">
      <alignment vertical="center" wrapText="1"/>
    </xf>
    <xf numFmtId="0" fontId="15" fillId="0" borderId="3" xfId="6" applyFont="1" applyBorder="1" applyAlignment="1">
      <alignment vertical="center" wrapText="1"/>
    </xf>
    <xf numFmtId="179" fontId="15" fillId="0" borderId="5" xfId="8" applyNumberFormat="1" applyFont="1" applyBorder="1" applyAlignment="1">
      <alignment horizontal="right" vertical="center"/>
    </xf>
    <xf numFmtId="179" fontId="15" fillId="0" borderId="4" xfId="8" applyNumberFormat="1" applyFont="1" applyBorder="1" applyAlignment="1">
      <alignment horizontal="right" vertical="center"/>
    </xf>
    <xf numFmtId="179" fontId="15" fillId="0" borderId="3" xfId="8" applyNumberFormat="1" applyFont="1" applyBorder="1" applyAlignment="1">
      <alignment horizontal="right" vertical="center"/>
    </xf>
    <xf numFmtId="180" fontId="15" fillId="2" borderId="5" xfId="5" applyNumberFormat="1" applyFont="1" applyFill="1" applyBorder="1" applyAlignment="1">
      <alignment horizontal="center" vertical="center" shrinkToFit="1"/>
    </xf>
    <xf numFmtId="180" fontId="15" fillId="2" borderId="3" xfId="5" applyNumberFormat="1" applyFont="1" applyFill="1" applyBorder="1" applyAlignment="1">
      <alignment horizontal="center" vertical="center" shrinkToFit="1"/>
    </xf>
    <xf numFmtId="180" fontId="15" fillId="0" borderId="5" xfId="5" applyNumberFormat="1" applyFont="1" applyBorder="1" applyAlignment="1">
      <alignment horizontal="center" vertical="center" shrinkToFit="1"/>
    </xf>
    <xf numFmtId="180" fontId="15" fillId="0" borderId="3" xfId="5" applyNumberFormat="1" applyFont="1" applyBorder="1" applyAlignment="1">
      <alignment horizontal="center" vertical="center" shrinkToFit="1"/>
    </xf>
    <xf numFmtId="43" fontId="15" fillId="0" borderId="5" xfId="5" applyFont="1" applyBorder="1" applyAlignment="1">
      <alignment horizontal="center" vertical="center" shrinkToFit="1"/>
    </xf>
    <xf numFmtId="43" fontId="15" fillId="0" borderId="3" xfId="5" applyFont="1" applyBorder="1" applyAlignment="1">
      <alignment horizontal="center" vertical="center" shrinkToFit="1"/>
    </xf>
    <xf numFmtId="41" fontId="15" fillId="0" borderId="2" xfId="1" applyNumberFormat="1" applyFont="1" applyBorder="1" applyAlignment="1">
      <alignment horizontal="center" vertical="center" shrinkToFit="1"/>
    </xf>
    <xf numFmtId="180" fontId="15" fillId="0" borderId="5" xfId="5" applyNumberFormat="1" applyFont="1" applyFill="1" applyBorder="1" applyAlignment="1">
      <alignment horizontal="center" vertical="center" shrinkToFit="1"/>
    </xf>
    <xf numFmtId="180" fontId="15" fillId="0" borderId="3" xfId="5" applyNumberFormat="1" applyFont="1" applyFill="1" applyBorder="1" applyAlignment="1">
      <alignment horizontal="center" vertical="center" shrinkToFit="1"/>
    </xf>
    <xf numFmtId="0" fontId="4" fillId="0" borderId="2" xfId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right" vertical="center"/>
    </xf>
    <xf numFmtId="2" fontId="4" fillId="0" borderId="4" xfId="1" applyNumberFormat="1" applyFont="1" applyBorder="1" applyAlignment="1">
      <alignment horizontal="right" vertical="center"/>
    </xf>
    <xf numFmtId="9" fontId="7" fillId="0" borderId="4" xfId="4" applyFont="1" applyBorder="1" applyAlignment="1">
      <alignment horizontal="left" vertical="center"/>
    </xf>
    <xf numFmtId="9" fontId="4" fillId="0" borderId="4" xfId="4" applyFont="1" applyBorder="1" applyAlignment="1">
      <alignment horizontal="left" vertical="center"/>
    </xf>
    <xf numFmtId="10" fontId="4" fillId="0" borderId="2" xfId="1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2" fillId="2" borderId="5" xfId="1" applyFont="1" applyFill="1" applyBorder="1" applyAlignment="1">
      <alignment horizontal="center" vertical="center" shrinkToFit="1"/>
    </xf>
    <xf numFmtId="0" fontId="2" fillId="2" borderId="4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179" fontId="12" fillId="0" borderId="5" xfId="0" applyNumberFormat="1" applyFont="1" applyBorder="1">
      <alignment vertical="center"/>
    </xf>
    <xf numFmtId="179" fontId="12" fillId="0" borderId="4" xfId="0" applyNumberFormat="1" applyFont="1" applyBorder="1">
      <alignment vertical="center"/>
    </xf>
    <xf numFmtId="179" fontId="12" fillId="0" borderId="3" xfId="0" applyNumberFormat="1" applyFont="1" applyBorder="1">
      <alignment vertical="center"/>
    </xf>
    <xf numFmtId="2" fontId="12" fillId="0" borderId="5" xfId="0" applyNumberFormat="1" applyFont="1" applyBorder="1" applyAlignment="1">
      <alignment horizontal="right"/>
    </xf>
    <xf numFmtId="2" fontId="12" fillId="0" borderId="4" xfId="0" applyNumberFormat="1" applyFont="1" applyBorder="1" applyAlignment="1">
      <alignment horizontal="right"/>
    </xf>
    <xf numFmtId="2" fontId="12" fillId="0" borderId="3" xfId="0" applyNumberFormat="1" applyFont="1" applyBorder="1" applyAlignment="1">
      <alignment horizontal="right"/>
    </xf>
    <xf numFmtId="0" fontId="6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176" fontId="3" fillId="0" borderId="1" xfId="1" applyNumberFormat="1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 wrapText="1" shrinkToFit="1"/>
    </xf>
    <xf numFmtId="0" fontId="3" fillId="0" borderId="4" xfId="1" applyFont="1" applyBorder="1" applyAlignment="1">
      <alignment horizontal="left" vertical="center" wrapText="1" shrinkToFit="1"/>
    </xf>
    <xf numFmtId="0" fontId="3" fillId="0" borderId="3" xfId="1" applyFont="1" applyBorder="1" applyAlignment="1">
      <alignment horizontal="left" vertical="center" wrapText="1" shrinkToFi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5" xfId="1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178" fontId="15" fillId="2" borderId="5" xfId="1" applyNumberFormat="1" applyFont="1" applyFill="1" applyBorder="1" applyAlignment="1">
      <alignment horizontal="center" vertical="center" shrinkToFit="1"/>
    </xf>
    <xf numFmtId="178" fontId="15" fillId="2" borderId="3" xfId="1" applyNumberFormat="1" applyFont="1" applyFill="1" applyBorder="1" applyAlignment="1">
      <alignment horizontal="center" vertical="center" shrinkToFit="1"/>
    </xf>
    <xf numFmtId="43" fontId="15" fillId="2" borderId="5" xfId="5" applyFont="1" applyFill="1" applyBorder="1" applyAlignment="1">
      <alignment horizontal="center" vertical="center" shrinkToFit="1"/>
    </xf>
    <xf numFmtId="43" fontId="15" fillId="2" borderId="3" xfId="5" applyFont="1" applyFill="1" applyBorder="1" applyAlignment="1">
      <alignment horizontal="center" vertical="center" shrinkToFit="1"/>
    </xf>
    <xf numFmtId="43" fontId="15" fillId="0" borderId="5" xfId="5" applyFont="1" applyFill="1" applyBorder="1" applyAlignment="1">
      <alignment horizontal="center" vertical="center" shrinkToFit="1"/>
    </xf>
    <xf numFmtId="43" fontId="15" fillId="0" borderId="3" xfId="5" applyFont="1" applyFill="1" applyBorder="1" applyAlignment="1">
      <alignment horizontal="center" vertical="center" shrinkToFit="1"/>
    </xf>
    <xf numFmtId="0" fontId="22" fillId="0" borderId="0" xfId="9" applyFont="1" applyAlignment="1">
      <alignment horizontal="left" vertical="center"/>
    </xf>
    <xf numFmtId="0" fontId="20" fillId="0" borderId="0" xfId="9" applyFont="1" applyAlignment="1">
      <alignment horizontal="center" vertical="center"/>
    </xf>
    <xf numFmtId="0" fontId="21" fillId="0" borderId="0" xfId="9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</cellXfs>
  <cellStyles count="10">
    <cellStyle name="一般" xfId="0" builtinId="0"/>
    <cellStyle name="一般 2" xfId="1" xr:uid="{00000000-0005-0000-0000-000001000000}"/>
    <cellStyle name="一般 7" xfId="7" xr:uid="{B60F73E4-F6A3-459C-BE29-1361F01D0147}"/>
    <cellStyle name="一般_Sheet3" xfId="9" xr:uid="{506A0BC8-432A-4537-8CCF-A4225E8BAF95}"/>
    <cellStyle name="一般_和美國小教室及走廊油漆-預算" xfId="6" xr:uid="{CA8597BE-F30A-4256-BEC9-B0B6037CE776}"/>
    <cellStyle name="一般_預算書-1" xfId="8" xr:uid="{47452016-2869-4512-8CDF-BDCE471B1079}"/>
    <cellStyle name="千分位" xfId="5" builtinId="3"/>
    <cellStyle name="千分位 2" xfId="3" xr:uid="{00000000-0005-0000-0000-000002000000}"/>
    <cellStyle name="百分比 2" xfId="4" xr:uid="{00000000-0005-0000-0000-000003000000}"/>
    <cellStyle name="超連結_監造日報表(101年)" xfId="2" xr:uid="{00000000-0005-0000-0000-000004000000}"/>
  </cellStyles>
  <dxfs count="0"/>
  <tableStyles count="0" defaultTableStyle="TableStyleMedium2" defaultPivotStyle="PivotStyleLight16"/>
  <colors>
    <mruColors>
      <color rgb="FFE7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21</xdr:row>
      <xdr:rowOff>0</xdr:rowOff>
    </xdr:from>
    <xdr:to>
      <xdr:col>18</xdr:col>
      <xdr:colOff>447675</xdr:colOff>
      <xdr:row>22</xdr:row>
      <xdr:rowOff>0</xdr:rowOff>
    </xdr:to>
    <xdr:sp macro="" textlink="">
      <xdr:nvSpPr>
        <xdr:cNvPr id="5336" name="Line 4">
          <a:extLst>
            <a:ext uri="{FF2B5EF4-FFF2-40B4-BE49-F238E27FC236}">
              <a16:creationId xmlns:a16="http://schemas.microsoft.com/office/drawing/2014/main" id="{2AA8A1DF-EBC8-4749-8265-27119700AE10}"/>
            </a:ext>
          </a:extLst>
        </xdr:cNvPr>
        <xdr:cNvSpPr>
          <a:spLocks noChangeShapeType="1"/>
        </xdr:cNvSpPr>
      </xdr:nvSpPr>
      <xdr:spPr bwMode="auto">
        <a:xfrm>
          <a:off x="7524750" y="329079225"/>
          <a:ext cx="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337" name="Line 14">
          <a:extLst>
            <a:ext uri="{FF2B5EF4-FFF2-40B4-BE49-F238E27FC236}">
              <a16:creationId xmlns:a16="http://schemas.microsoft.com/office/drawing/2014/main" id="{5C724969-1599-467F-A101-2CAD9AFED22D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338" name="Line 15">
          <a:extLst>
            <a:ext uri="{FF2B5EF4-FFF2-40B4-BE49-F238E27FC236}">
              <a16:creationId xmlns:a16="http://schemas.microsoft.com/office/drawing/2014/main" id="{5AB6B2D0-ACD3-49F6-B7FD-14A90BC149E0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339" name="Line 42">
          <a:extLst>
            <a:ext uri="{FF2B5EF4-FFF2-40B4-BE49-F238E27FC236}">
              <a16:creationId xmlns:a16="http://schemas.microsoft.com/office/drawing/2014/main" id="{2035AC29-E7E7-441B-A5EB-EF166555C6CC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21</xdr:row>
      <xdr:rowOff>0</xdr:rowOff>
    </xdr:from>
    <xdr:to>
      <xdr:col>18</xdr:col>
      <xdr:colOff>447675</xdr:colOff>
      <xdr:row>22</xdr:row>
      <xdr:rowOff>0</xdr:rowOff>
    </xdr:to>
    <xdr:sp macro="" textlink="">
      <xdr:nvSpPr>
        <xdr:cNvPr id="5623" name="Line 4">
          <a:extLst>
            <a:ext uri="{FF2B5EF4-FFF2-40B4-BE49-F238E27FC236}">
              <a16:creationId xmlns:a16="http://schemas.microsoft.com/office/drawing/2014/main" id="{6DED205B-EBCB-4822-8ECD-FA3B53D5CB06}"/>
            </a:ext>
          </a:extLst>
        </xdr:cNvPr>
        <xdr:cNvSpPr>
          <a:spLocks noChangeShapeType="1"/>
        </xdr:cNvSpPr>
      </xdr:nvSpPr>
      <xdr:spPr bwMode="auto">
        <a:xfrm>
          <a:off x="7524750" y="329079225"/>
          <a:ext cx="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624" name="Line 14">
          <a:extLst>
            <a:ext uri="{FF2B5EF4-FFF2-40B4-BE49-F238E27FC236}">
              <a16:creationId xmlns:a16="http://schemas.microsoft.com/office/drawing/2014/main" id="{6E2E6641-A3F9-4DF0-9994-080BB1FE0600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625" name="Line 15">
          <a:extLst>
            <a:ext uri="{FF2B5EF4-FFF2-40B4-BE49-F238E27FC236}">
              <a16:creationId xmlns:a16="http://schemas.microsoft.com/office/drawing/2014/main" id="{29521DA7-915E-4795-8B03-319CB96FFFD0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626" name="Line 42">
          <a:extLst>
            <a:ext uri="{FF2B5EF4-FFF2-40B4-BE49-F238E27FC236}">
              <a16:creationId xmlns:a16="http://schemas.microsoft.com/office/drawing/2014/main" id="{8208A8EF-9765-4C02-8971-99994A2000B0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21</xdr:row>
      <xdr:rowOff>0</xdr:rowOff>
    </xdr:from>
    <xdr:to>
      <xdr:col>18</xdr:col>
      <xdr:colOff>447675</xdr:colOff>
      <xdr:row>22</xdr:row>
      <xdr:rowOff>0</xdr:rowOff>
    </xdr:to>
    <xdr:sp macro="" textlink="">
      <xdr:nvSpPr>
        <xdr:cNvPr id="5800" name="Line 4">
          <a:extLst>
            <a:ext uri="{FF2B5EF4-FFF2-40B4-BE49-F238E27FC236}">
              <a16:creationId xmlns:a16="http://schemas.microsoft.com/office/drawing/2014/main" id="{042D450A-FD83-4A7A-B8D6-D4B1D310C4E7}"/>
            </a:ext>
          </a:extLst>
        </xdr:cNvPr>
        <xdr:cNvSpPr>
          <a:spLocks noChangeShapeType="1"/>
        </xdr:cNvSpPr>
      </xdr:nvSpPr>
      <xdr:spPr bwMode="auto">
        <a:xfrm>
          <a:off x="7524750" y="329079225"/>
          <a:ext cx="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801" name="Line 14">
          <a:extLst>
            <a:ext uri="{FF2B5EF4-FFF2-40B4-BE49-F238E27FC236}">
              <a16:creationId xmlns:a16="http://schemas.microsoft.com/office/drawing/2014/main" id="{2679FFDE-D6C1-4A2A-A821-FCAC95B21BF2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802" name="Line 15">
          <a:extLst>
            <a:ext uri="{FF2B5EF4-FFF2-40B4-BE49-F238E27FC236}">
              <a16:creationId xmlns:a16="http://schemas.microsoft.com/office/drawing/2014/main" id="{BF8BA81C-AC92-4B9D-8EBF-521B346EFD2A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21</xdr:row>
      <xdr:rowOff>0</xdr:rowOff>
    </xdr:from>
    <xdr:to>
      <xdr:col>18</xdr:col>
      <xdr:colOff>438150</xdr:colOff>
      <xdr:row>22</xdr:row>
      <xdr:rowOff>0</xdr:rowOff>
    </xdr:to>
    <xdr:sp macro="" textlink="">
      <xdr:nvSpPr>
        <xdr:cNvPr id="5803" name="Line 42">
          <a:extLst>
            <a:ext uri="{FF2B5EF4-FFF2-40B4-BE49-F238E27FC236}">
              <a16:creationId xmlns:a16="http://schemas.microsoft.com/office/drawing/2014/main" id="{0A242371-E1A8-4383-9E11-04B3172E3107}"/>
            </a:ext>
          </a:extLst>
        </xdr:cNvPr>
        <xdr:cNvSpPr>
          <a:spLocks noChangeShapeType="1"/>
        </xdr:cNvSpPr>
      </xdr:nvSpPr>
      <xdr:spPr bwMode="auto">
        <a:xfrm flipH="1" flipV="1">
          <a:off x="7496175" y="329079225"/>
          <a:ext cx="19050" cy="4191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92</xdr:row>
      <xdr:rowOff>0</xdr:rowOff>
    </xdr:from>
    <xdr:to>
      <xdr:col>18</xdr:col>
      <xdr:colOff>447675</xdr:colOff>
      <xdr:row>93</xdr:row>
      <xdr:rowOff>0</xdr:rowOff>
    </xdr:to>
    <xdr:sp macro="" textlink="">
      <xdr:nvSpPr>
        <xdr:cNvPr id="5812" name="Line 4">
          <a:extLst>
            <a:ext uri="{FF2B5EF4-FFF2-40B4-BE49-F238E27FC236}">
              <a16:creationId xmlns:a16="http://schemas.microsoft.com/office/drawing/2014/main" id="{227068B8-2A2F-42FD-B8A5-06080C85AE19}"/>
            </a:ext>
          </a:extLst>
        </xdr:cNvPr>
        <xdr:cNvSpPr>
          <a:spLocks noChangeShapeType="1"/>
        </xdr:cNvSpPr>
      </xdr:nvSpPr>
      <xdr:spPr bwMode="auto">
        <a:xfrm>
          <a:off x="7522152" y="4944341"/>
          <a:ext cx="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3" name="Line 14">
          <a:extLst>
            <a:ext uri="{FF2B5EF4-FFF2-40B4-BE49-F238E27FC236}">
              <a16:creationId xmlns:a16="http://schemas.microsoft.com/office/drawing/2014/main" id="{80AC4994-0F0A-4EE4-950A-A42BFCA29EEB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4" name="Line 15">
          <a:extLst>
            <a:ext uri="{FF2B5EF4-FFF2-40B4-BE49-F238E27FC236}">
              <a16:creationId xmlns:a16="http://schemas.microsoft.com/office/drawing/2014/main" id="{06C23ABC-234B-4BEA-95E6-AC20C3C98CC7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5" name="Line 42">
          <a:extLst>
            <a:ext uri="{FF2B5EF4-FFF2-40B4-BE49-F238E27FC236}">
              <a16:creationId xmlns:a16="http://schemas.microsoft.com/office/drawing/2014/main" id="{36F2228D-8F3E-4519-95FC-CD1B051CA970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92</xdr:row>
      <xdr:rowOff>0</xdr:rowOff>
    </xdr:from>
    <xdr:to>
      <xdr:col>18</xdr:col>
      <xdr:colOff>447675</xdr:colOff>
      <xdr:row>93</xdr:row>
      <xdr:rowOff>0</xdr:rowOff>
    </xdr:to>
    <xdr:sp macro="" textlink="">
      <xdr:nvSpPr>
        <xdr:cNvPr id="5816" name="Line 4">
          <a:extLst>
            <a:ext uri="{FF2B5EF4-FFF2-40B4-BE49-F238E27FC236}">
              <a16:creationId xmlns:a16="http://schemas.microsoft.com/office/drawing/2014/main" id="{7EBFB486-84D0-4404-A3F5-3016F3CC83DF}"/>
            </a:ext>
          </a:extLst>
        </xdr:cNvPr>
        <xdr:cNvSpPr>
          <a:spLocks noChangeShapeType="1"/>
        </xdr:cNvSpPr>
      </xdr:nvSpPr>
      <xdr:spPr bwMode="auto">
        <a:xfrm>
          <a:off x="7522152" y="4944341"/>
          <a:ext cx="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7" name="Line 14">
          <a:extLst>
            <a:ext uri="{FF2B5EF4-FFF2-40B4-BE49-F238E27FC236}">
              <a16:creationId xmlns:a16="http://schemas.microsoft.com/office/drawing/2014/main" id="{61757C72-2941-4F15-9CE1-93EBCA04DD09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8" name="Line 15">
          <a:extLst>
            <a:ext uri="{FF2B5EF4-FFF2-40B4-BE49-F238E27FC236}">
              <a16:creationId xmlns:a16="http://schemas.microsoft.com/office/drawing/2014/main" id="{764ED218-2F98-458D-8A32-B36A6BE9D53B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19" name="Line 42">
          <a:extLst>
            <a:ext uri="{FF2B5EF4-FFF2-40B4-BE49-F238E27FC236}">
              <a16:creationId xmlns:a16="http://schemas.microsoft.com/office/drawing/2014/main" id="{BBAE07EC-FBBB-4399-AA3B-DC547BAB1D83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92</xdr:row>
      <xdr:rowOff>0</xdr:rowOff>
    </xdr:from>
    <xdr:to>
      <xdr:col>18</xdr:col>
      <xdr:colOff>447675</xdr:colOff>
      <xdr:row>93</xdr:row>
      <xdr:rowOff>0</xdr:rowOff>
    </xdr:to>
    <xdr:sp macro="" textlink="">
      <xdr:nvSpPr>
        <xdr:cNvPr id="5820" name="Line 4">
          <a:extLst>
            <a:ext uri="{FF2B5EF4-FFF2-40B4-BE49-F238E27FC236}">
              <a16:creationId xmlns:a16="http://schemas.microsoft.com/office/drawing/2014/main" id="{18E45520-536A-4344-98A8-4DE3085B00A9}"/>
            </a:ext>
          </a:extLst>
        </xdr:cNvPr>
        <xdr:cNvSpPr>
          <a:spLocks noChangeShapeType="1"/>
        </xdr:cNvSpPr>
      </xdr:nvSpPr>
      <xdr:spPr bwMode="auto">
        <a:xfrm>
          <a:off x="7522152" y="4944341"/>
          <a:ext cx="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21" name="Line 14">
          <a:extLst>
            <a:ext uri="{FF2B5EF4-FFF2-40B4-BE49-F238E27FC236}">
              <a16:creationId xmlns:a16="http://schemas.microsoft.com/office/drawing/2014/main" id="{B1D81C7C-0565-4151-A5E9-9676C4D5ACC3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22" name="Line 15">
          <a:extLst>
            <a:ext uri="{FF2B5EF4-FFF2-40B4-BE49-F238E27FC236}">
              <a16:creationId xmlns:a16="http://schemas.microsoft.com/office/drawing/2014/main" id="{62D2EB27-A413-4862-8536-5F6619AC6730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92</xdr:row>
      <xdr:rowOff>0</xdr:rowOff>
    </xdr:from>
    <xdr:to>
      <xdr:col>18</xdr:col>
      <xdr:colOff>438150</xdr:colOff>
      <xdr:row>93</xdr:row>
      <xdr:rowOff>0</xdr:rowOff>
    </xdr:to>
    <xdr:sp macro="" textlink="">
      <xdr:nvSpPr>
        <xdr:cNvPr id="5823" name="Line 42">
          <a:extLst>
            <a:ext uri="{FF2B5EF4-FFF2-40B4-BE49-F238E27FC236}">
              <a16:creationId xmlns:a16="http://schemas.microsoft.com/office/drawing/2014/main" id="{9C402A04-8D3C-4CC7-925B-EC458F2712FA}"/>
            </a:ext>
          </a:extLst>
        </xdr:cNvPr>
        <xdr:cNvSpPr>
          <a:spLocks noChangeShapeType="1"/>
        </xdr:cNvSpPr>
      </xdr:nvSpPr>
      <xdr:spPr bwMode="auto">
        <a:xfrm flipH="1" flipV="1">
          <a:off x="7493577" y="4944341"/>
          <a:ext cx="19050" cy="207818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8376E9BB-25D7-4373-A865-F4ADE4EE8504}"/>
            </a:ext>
          </a:extLst>
        </xdr:cNvPr>
        <xdr:cNvSpPr>
          <a:spLocks noChangeShapeType="1"/>
        </xdr:cNvSpPr>
      </xdr:nvSpPr>
      <xdr:spPr bwMode="auto">
        <a:xfrm>
          <a:off x="7508081" y="5167313"/>
          <a:ext cx="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3810475F-746B-48AE-9C6E-F6F90DB2991C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4" name="Line 15">
          <a:extLst>
            <a:ext uri="{FF2B5EF4-FFF2-40B4-BE49-F238E27FC236}">
              <a16:creationId xmlns:a16="http://schemas.microsoft.com/office/drawing/2014/main" id="{AADD4983-184A-4B70-803C-C336B30C48A4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5" name="Line 42">
          <a:extLst>
            <a:ext uri="{FF2B5EF4-FFF2-40B4-BE49-F238E27FC236}">
              <a16:creationId xmlns:a16="http://schemas.microsoft.com/office/drawing/2014/main" id="{1F71DA46-F2BE-4860-8EA0-B2D2B8510087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6" name="Line 4">
          <a:extLst>
            <a:ext uri="{FF2B5EF4-FFF2-40B4-BE49-F238E27FC236}">
              <a16:creationId xmlns:a16="http://schemas.microsoft.com/office/drawing/2014/main" id="{211471D9-D459-4FFD-AEBA-17D01B48F11E}"/>
            </a:ext>
          </a:extLst>
        </xdr:cNvPr>
        <xdr:cNvSpPr>
          <a:spLocks noChangeShapeType="1"/>
        </xdr:cNvSpPr>
      </xdr:nvSpPr>
      <xdr:spPr bwMode="auto">
        <a:xfrm>
          <a:off x="7508081" y="5167313"/>
          <a:ext cx="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7" name="Line 14">
          <a:extLst>
            <a:ext uri="{FF2B5EF4-FFF2-40B4-BE49-F238E27FC236}">
              <a16:creationId xmlns:a16="http://schemas.microsoft.com/office/drawing/2014/main" id="{C313A633-E73C-4C5D-9C68-0A1E7AF301B4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8" name="Line 15">
          <a:extLst>
            <a:ext uri="{FF2B5EF4-FFF2-40B4-BE49-F238E27FC236}">
              <a16:creationId xmlns:a16="http://schemas.microsoft.com/office/drawing/2014/main" id="{52D9A98A-C8DC-4CD3-8114-CD4F757BEA0B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9" name="Line 42">
          <a:extLst>
            <a:ext uri="{FF2B5EF4-FFF2-40B4-BE49-F238E27FC236}">
              <a16:creationId xmlns:a16="http://schemas.microsoft.com/office/drawing/2014/main" id="{FD6B1956-8579-4E5B-B993-DB90B324A947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3F92AF75-4117-4F58-A97A-19565E1E10E8}"/>
            </a:ext>
          </a:extLst>
        </xdr:cNvPr>
        <xdr:cNvSpPr>
          <a:spLocks noChangeShapeType="1"/>
        </xdr:cNvSpPr>
      </xdr:nvSpPr>
      <xdr:spPr bwMode="auto">
        <a:xfrm>
          <a:off x="7508081" y="5167313"/>
          <a:ext cx="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1" name="Line 14">
          <a:extLst>
            <a:ext uri="{FF2B5EF4-FFF2-40B4-BE49-F238E27FC236}">
              <a16:creationId xmlns:a16="http://schemas.microsoft.com/office/drawing/2014/main" id="{E56229CC-22EF-461A-954C-2748CCCD5E7E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2" name="Line 15">
          <a:extLst>
            <a:ext uri="{FF2B5EF4-FFF2-40B4-BE49-F238E27FC236}">
              <a16:creationId xmlns:a16="http://schemas.microsoft.com/office/drawing/2014/main" id="{AF90D3B0-8299-4861-B8CC-9A3A3405B3D6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3" name="Line 42">
          <a:extLst>
            <a:ext uri="{FF2B5EF4-FFF2-40B4-BE49-F238E27FC236}">
              <a16:creationId xmlns:a16="http://schemas.microsoft.com/office/drawing/2014/main" id="{2D674BCC-05A0-4CD0-9FB1-A7D03D777405}"/>
            </a:ext>
          </a:extLst>
        </xdr:cNvPr>
        <xdr:cNvSpPr>
          <a:spLocks noChangeShapeType="1"/>
        </xdr:cNvSpPr>
      </xdr:nvSpPr>
      <xdr:spPr bwMode="auto">
        <a:xfrm flipH="1" flipV="1">
          <a:off x="7479506" y="5167313"/>
          <a:ext cx="19050" cy="214312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14" name="Line 4">
          <a:extLst>
            <a:ext uri="{FF2B5EF4-FFF2-40B4-BE49-F238E27FC236}">
              <a16:creationId xmlns:a16="http://schemas.microsoft.com/office/drawing/2014/main" id="{822AF007-497E-40AA-8C65-151B69FDC57A}"/>
            </a:ext>
          </a:extLst>
        </xdr:cNvPr>
        <xdr:cNvSpPr>
          <a:spLocks noChangeShapeType="1"/>
        </xdr:cNvSpPr>
      </xdr:nvSpPr>
      <xdr:spPr bwMode="auto">
        <a:xfrm>
          <a:off x="7549092" y="5111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B1FEB9E8-779E-4D38-BE5F-7FBB7133EC06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57C3C20B-5E52-473E-B54A-CEFFB63DABCF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7" name="Line 42">
          <a:extLst>
            <a:ext uri="{FF2B5EF4-FFF2-40B4-BE49-F238E27FC236}">
              <a16:creationId xmlns:a16="http://schemas.microsoft.com/office/drawing/2014/main" id="{A0E0544B-8623-411E-AF6C-15A07D01C6D7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18" name="Line 4">
          <a:extLst>
            <a:ext uri="{FF2B5EF4-FFF2-40B4-BE49-F238E27FC236}">
              <a16:creationId xmlns:a16="http://schemas.microsoft.com/office/drawing/2014/main" id="{A9CD4992-FEFA-41EE-A5F7-B6ADB5E6AF60}"/>
            </a:ext>
          </a:extLst>
        </xdr:cNvPr>
        <xdr:cNvSpPr>
          <a:spLocks noChangeShapeType="1"/>
        </xdr:cNvSpPr>
      </xdr:nvSpPr>
      <xdr:spPr bwMode="auto">
        <a:xfrm>
          <a:off x="7549092" y="5111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19" name="Line 14">
          <a:extLst>
            <a:ext uri="{FF2B5EF4-FFF2-40B4-BE49-F238E27FC236}">
              <a16:creationId xmlns:a16="http://schemas.microsoft.com/office/drawing/2014/main" id="{BA478573-6F1F-4DAA-A9B7-238CB1BA65A5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20" name="Line 15">
          <a:extLst>
            <a:ext uri="{FF2B5EF4-FFF2-40B4-BE49-F238E27FC236}">
              <a16:creationId xmlns:a16="http://schemas.microsoft.com/office/drawing/2014/main" id="{8231420E-68FF-4976-A81B-9F2FAE1B22A6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21" name="Line 42">
          <a:extLst>
            <a:ext uri="{FF2B5EF4-FFF2-40B4-BE49-F238E27FC236}">
              <a16:creationId xmlns:a16="http://schemas.microsoft.com/office/drawing/2014/main" id="{607E283E-DA9A-4AFC-8B1F-B406124E68BE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94</xdr:row>
      <xdr:rowOff>0</xdr:rowOff>
    </xdr:from>
    <xdr:to>
      <xdr:col>18</xdr:col>
      <xdr:colOff>447675</xdr:colOff>
      <xdr:row>95</xdr:row>
      <xdr:rowOff>0</xdr:rowOff>
    </xdr:to>
    <xdr:sp macro="" textlink="">
      <xdr:nvSpPr>
        <xdr:cNvPr id="22" name="Line 4">
          <a:extLst>
            <a:ext uri="{FF2B5EF4-FFF2-40B4-BE49-F238E27FC236}">
              <a16:creationId xmlns:a16="http://schemas.microsoft.com/office/drawing/2014/main" id="{5F0F40B5-B764-4927-8CCB-557AAC18E7D0}"/>
            </a:ext>
          </a:extLst>
        </xdr:cNvPr>
        <xdr:cNvSpPr>
          <a:spLocks noChangeShapeType="1"/>
        </xdr:cNvSpPr>
      </xdr:nvSpPr>
      <xdr:spPr bwMode="auto">
        <a:xfrm>
          <a:off x="7549092" y="5111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23" name="Line 14">
          <a:extLst>
            <a:ext uri="{FF2B5EF4-FFF2-40B4-BE49-F238E27FC236}">
              <a16:creationId xmlns:a16="http://schemas.microsoft.com/office/drawing/2014/main" id="{5AD504D2-0653-4908-A854-E19891B6A0FF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24" name="Line 15">
          <a:extLst>
            <a:ext uri="{FF2B5EF4-FFF2-40B4-BE49-F238E27FC236}">
              <a16:creationId xmlns:a16="http://schemas.microsoft.com/office/drawing/2014/main" id="{12BC29A8-F4A8-4571-A03A-B4953861C2E4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94</xdr:row>
      <xdr:rowOff>0</xdr:rowOff>
    </xdr:from>
    <xdr:to>
      <xdr:col>18</xdr:col>
      <xdr:colOff>438150</xdr:colOff>
      <xdr:row>95</xdr:row>
      <xdr:rowOff>0</xdr:rowOff>
    </xdr:to>
    <xdr:sp macro="" textlink="">
      <xdr:nvSpPr>
        <xdr:cNvPr id="25" name="Line 42">
          <a:extLst>
            <a:ext uri="{FF2B5EF4-FFF2-40B4-BE49-F238E27FC236}">
              <a16:creationId xmlns:a16="http://schemas.microsoft.com/office/drawing/2014/main" id="{4FA9B8DE-8D1D-44B1-99C2-0A81FFA442E0}"/>
            </a:ext>
          </a:extLst>
        </xdr:cNvPr>
        <xdr:cNvSpPr>
          <a:spLocks noChangeShapeType="1"/>
        </xdr:cNvSpPr>
      </xdr:nvSpPr>
      <xdr:spPr bwMode="auto">
        <a:xfrm flipH="1" flipV="1">
          <a:off x="7520517" y="5111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165</xdr:row>
      <xdr:rowOff>0</xdr:rowOff>
    </xdr:from>
    <xdr:to>
      <xdr:col>18</xdr:col>
      <xdr:colOff>447675</xdr:colOff>
      <xdr:row>166</xdr:row>
      <xdr:rowOff>0</xdr:rowOff>
    </xdr:to>
    <xdr:sp macro="" textlink="">
      <xdr:nvSpPr>
        <xdr:cNvPr id="26" name="Line 4">
          <a:extLst>
            <a:ext uri="{FF2B5EF4-FFF2-40B4-BE49-F238E27FC236}">
              <a16:creationId xmlns:a16="http://schemas.microsoft.com/office/drawing/2014/main" id="{E914A8C2-0CF5-4AAC-93D1-F10505B62FBE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27" name="Line 14">
          <a:extLst>
            <a:ext uri="{FF2B5EF4-FFF2-40B4-BE49-F238E27FC236}">
              <a16:creationId xmlns:a16="http://schemas.microsoft.com/office/drawing/2014/main" id="{9C5F2538-7A74-477D-BC10-A708A4987CE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28" name="Line 15">
          <a:extLst>
            <a:ext uri="{FF2B5EF4-FFF2-40B4-BE49-F238E27FC236}">
              <a16:creationId xmlns:a16="http://schemas.microsoft.com/office/drawing/2014/main" id="{55C6E5BD-31CC-4860-B360-412AFF73821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29" name="Line 42">
          <a:extLst>
            <a:ext uri="{FF2B5EF4-FFF2-40B4-BE49-F238E27FC236}">
              <a16:creationId xmlns:a16="http://schemas.microsoft.com/office/drawing/2014/main" id="{126106FB-4294-4301-A524-E2205BE02E3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165</xdr:row>
      <xdr:rowOff>0</xdr:rowOff>
    </xdr:from>
    <xdr:to>
      <xdr:col>18</xdr:col>
      <xdr:colOff>447675</xdr:colOff>
      <xdr:row>166</xdr:row>
      <xdr:rowOff>0</xdr:rowOff>
    </xdr:to>
    <xdr:sp macro="" textlink="">
      <xdr:nvSpPr>
        <xdr:cNvPr id="30" name="Line 4">
          <a:extLst>
            <a:ext uri="{FF2B5EF4-FFF2-40B4-BE49-F238E27FC236}">
              <a16:creationId xmlns:a16="http://schemas.microsoft.com/office/drawing/2014/main" id="{301F85FD-99FD-4FDE-9880-D11F80EEF9D9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1" name="Line 14">
          <a:extLst>
            <a:ext uri="{FF2B5EF4-FFF2-40B4-BE49-F238E27FC236}">
              <a16:creationId xmlns:a16="http://schemas.microsoft.com/office/drawing/2014/main" id="{9F8EA204-A1BF-48E2-8069-39A8BF5CAD8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2" name="Line 15">
          <a:extLst>
            <a:ext uri="{FF2B5EF4-FFF2-40B4-BE49-F238E27FC236}">
              <a16:creationId xmlns:a16="http://schemas.microsoft.com/office/drawing/2014/main" id="{1AB76E13-8B0B-4851-9C01-BA17B0D2A64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3" name="Line 42">
          <a:extLst>
            <a:ext uri="{FF2B5EF4-FFF2-40B4-BE49-F238E27FC236}">
              <a16:creationId xmlns:a16="http://schemas.microsoft.com/office/drawing/2014/main" id="{B6E22630-FD84-401A-A58A-9E613DDB783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165</xdr:row>
      <xdr:rowOff>0</xdr:rowOff>
    </xdr:from>
    <xdr:to>
      <xdr:col>18</xdr:col>
      <xdr:colOff>447675</xdr:colOff>
      <xdr:row>166</xdr:row>
      <xdr:rowOff>0</xdr:rowOff>
    </xdr:to>
    <xdr:sp macro="" textlink="">
      <xdr:nvSpPr>
        <xdr:cNvPr id="34" name="Line 4">
          <a:extLst>
            <a:ext uri="{FF2B5EF4-FFF2-40B4-BE49-F238E27FC236}">
              <a16:creationId xmlns:a16="http://schemas.microsoft.com/office/drawing/2014/main" id="{89CB8D7D-2AEA-4BEA-ACDD-A4A3E1900757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5" name="Line 14">
          <a:extLst>
            <a:ext uri="{FF2B5EF4-FFF2-40B4-BE49-F238E27FC236}">
              <a16:creationId xmlns:a16="http://schemas.microsoft.com/office/drawing/2014/main" id="{1541AC23-34CB-4C55-9756-39ABAAB04D6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6" name="Line 15">
          <a:extLst>
            <a:ext uri="{FF2B5EF4-FFF2-40B4-BE49-F238E27FC236}">
              <a16:creationId xmlns:a16="http://schemas.microsoft.com/office/drawing/2014/main" id="{B8074CEA-1AFA-4267-9D99-3AC0336D78B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165</xdr:row>
      <xdr:rowOff>0</xdr:rowOff>
    </xdr:from>
    <xdr:to>
      <xdr:col>18</xdr:col>
      <xdr:colOff>438150</xdr:colOff>
      <xdr:row>166</xdr:row>
      <xdr:rowOff>0</xdr:rowOff>
    </xdr:to>
    <xdr:sp macro="" textlink="">
      <xdr:nvSpPr>
        <xdr:cNvPr id="37" name="Line 42">
          <a:extLst>
            <a:ext uri="{FF2B5EF4-FFF2-40B4-BE49-F238E27FC236}">
              <a16:creationId xmlns:a16="http://schemas.microsoft.com/office/drawing/2014/main" id="{B8821411-EA7B-4B5B-B7A9-3377B134477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38" name="Line 4">
          <a:extLst>
            <a:ext uri="{FF2B5EF4-FFF2-40B4-BE49-F238E27FC236}">
              <a16:creationId xmlns:a16="http://schemas.microsoft.com/office/drawing/2014/main" id="{32DE29BC-7112-4367-A332-DDB99543FD8D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39" name="Line 14">
          <a:extLst>
            <a:ext uri="{FF2B5EF4-FFF2-40B4-BE49-F238E27FC236}">
              <a16:creationId xmlns:a16="http://schemas.microsoft.com/office/drawing/2014/main" id="{C1EBE091-BBB9-4160-B0B0-D9F5FD26928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0" name="Line 15">
          <a:extLst>
            <a:ext uri="{FF2B5EF4-FFF2-40B4-BE49-F238E27FC236}">
              <a16:creationId xmlns:a16="http://schemas.microsoft.com/office/drawing/2014/main" id="{91F58DC4-5CC5-4BEC-A709-DFE678BE6CC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37F1C628-EFE2-4B5E-9D62-76107FC3D97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42" name="Line 4">
          <a:extLst>
            <a:ext uri="{FF2B5EF4-FFF2-40B4-BE49-F238E27FC236}">
              <a16:creationId xmlns:a16="http://schemas.microsoft.com/office/drawing/2014/main" id="{A4C9C8C7-2103-471F-B596-A3B4AFB2E793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3" name="Line 14">
          <a:extLst>
            <a:ext uri="{FF2B5EF4-FFF2-40B4-BE49-F238E27FC236}">
              <a16:creationId xmlns:a16="http://schemas.microsoft.com/office/drawing/2014/main" id="{DDF6729D-B7D1-4310-9B5B-3EA50E12C7D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4" name="Line 15">
          <a:extLst>
            <a:ext uri="{FF2B5EF4-FFF2-40B4-BE49-F238E27FC236}">
              <a16:creationId xmlns:a16="http://schemas.microsoft.com/office/drawing/2014/main" id="{BA03D0A1-F87C-4E63-B22F-3A2E89795B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5" name="Line 42">
          <a:extLst>
            <a:ext uri="{FF2B5EF4-FFF2-40B4-BE49-F238E27FC236}">
              <a16:creationId xmlns:a16="http://schemas.microsoft.com/office/drawing/2014/main" id="{757E8306-81A9-4900-BA2E-266858D5B08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46" name="Line 4">
          <a:extLst>
            <a:ext uri="{FF2B5EF4-FFF2-40B4-BE49-F238E27FC236}">
              <a16:creationId xmlns:a16="http://schemas.microsoft.com/office/drawing/2014/main" id="{14247A99-083A-478D-A935-7912021271B9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7" name="Line 14">
          <a:extLst>
            <a:ext uri="{FF2B5EF4-FFF2-40B4-BE49-F238E27FC236}">
              <a16:creationId xmlns:a16="http://schemas.microsoft.com/office/drawing/2014/main" id="{C484FDDA-CBA1-4E3A-9BBA-C1E4D7B642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8" name="Line 15">
          <a:extLst>
            <a:ext uri="{FF2B5EF4-FFF2-40B4-BE49-F238E27FC236}">
              <a16:creationId xmlns:a16="http://schemas.microsoft.com/office/drawing/2014/main" id="{7754899B-8E16-4671-8847-64E0E20BA4F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49" name="Line 42">
          <a:extLst>
            <a:ext uri="{FF2B5EF4-FFF2-40B4-BE49-F238E27FC236}">
              <a16:creationId xmlns:a16="http://schemas.microsoft.com/office/drawing/2014/main" id="{A2BBF0D2-957B-42CE-A658-912244431FA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50" name="Line 4">
          <a:extLst>
            <a:ext uri="{FF2B5EF4-FFF2-40B4-BE49-F238E27FC236}">
              <a16:creationId xmlns:a16="http://schemas.microsoft.com/office/drawing/2014/main" id="{0668260D-D885-449B-8F1C-BC672D796A11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1" name="Line 14">
          <a:extLst>
            <a:ext uri="{FF2B5EF4-FFF2-40B4-BE49-F238E27FC236}">
              <a16:creationId xmlns:a16="http://schemas.microsoft.com/office/drawing/2014/main" id="{D89137F3-41F5-48DF-A172-C339D4D28DB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2" name="Line 15">
          <a:extLst>
            <a:ext uri="{FF2B5EF4-FFF2-40B4-BE49-F238E27FC236}">
              <a16:creationId xmlns:a16="http://schemas.microsoft.com/office/drawing/2014/main" id="{528770EF-7D50-4CE9-B16B-27CD8BADF4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3" name="Line 42">
          <a:extLst>
            <a:ext uri="{FF2B5EF4-FFF2-40B4-BE49-F238E27FC236}">
              <a16:creationId xmlns:a16="http://schemas.microsoft.com/office/drawing/2014/main" id="{4BA1D917-6CE2-4149-9636-6E6923A26F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54" name="Line 4">
          <a:extLst>
            <a:ext uri="{FF2B5EF4-FFF2-40B4-BE49-F238E27FC236}">
              <a16:creationId xmlns:a16="http://schemas.microsoft.com/office/drawing/2014/main" id="{306C9257-10EC-42B6-9B25-928D62410CAB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5" name="Line 14">
          <a:extLst>
            <a:ext uri="{FF2B5EF4-FFF2-40B4-BE49-F238E27FC236}">
              <a16:creationId xmlns:a16="http://schemas.microsoft.com/office/drawing/2014/main" id="{02678FE0-4712-41E4-A6A6-A2714F44C3F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6" name="Line 15">
          <a:extLst>
            <a:ext uri="{FF2B5EF4-FFF2-40B4-BE49-F238E27FC236}">
              <a16:creationId xmlns:a16="http://schemas.microsoft.com/office/drawing/2014/main" id="{81A0EE01-3A32-44A5-ACC4-B1F7F79406B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7" name="Line 42">
          <a:extLst>
            <a:ext uri="{FF2B5EF4-FFF2-40B4-BE49-F238E27FC236}">
              <a16:creationId xmlns:a16="http://schemas.microsoft.com/office/drawing/2014/main" id="{355F9ABD-44BD-4400-90E4-330769620A0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167</xdr:row>
      <xdr:rowOff>0</xdr:rowOff>
    </xdr:from>
    <xdr:to>
      <xdr:col>18</xdr:col>
      <xdr:colOff>447675</xdr:colOff>
      <xdr:row>168</xdr:row>
      <xdr:rowOff>0</xdr:rowOff>
    </xdr:to>
    <xdr:sp macro="" textlink="">
      <xdr:nvSpPr>
        <xdr:cNvPr id="58" name="Line 4">
          <a:extLst>
            <a:ext uri="{FF2B5EF4-FFF2-40B4-BE49-F238E27FC236}">
              <a16:creationId xmlns:a16="http://schemas.microsoft.com/office/drawing/2014/main" id="{4CE135A0-17BE-4D41-8492-EEC36A4B5682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59" name="Line 14">
          <a:extLst>
            <a:ext uri="{FF2B5EF4-FFF2-40B4-BE49-F238E27FC236}">
              <a16:creationId xmlns:a16="http://schemas.microsoft.com/office/drawing/2014/main" id="{A9AD6A4C-AEAA-46F8-82CD-5BAD76A819E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60" name="Line 15">
          <a:extLst>
            <a:ext uri="{FF2B5EF4-FFF2-40B4-BE49-F238E27FC236}">
              <a16:creationId xmlns:a16="http://schemas.microsoft.com/office/drawing/2014/main" id="{9DA52883-0340-4024-A17F-22A684FE91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167</xdr:row>
      <xdr:rowOff>0</xdr:rowOff>
    </xdr:from>
    <xdr:to>
      <xdr:col>18</xdr:col>
      <xdr:colOff>438150</xdr:colOff>
      <xdr:row>168</xdr:row>
      <xdr:rowOff>0</xdr:rowOff>
    </xdr:to>
    <xdr:sp macro="" textlink="">
      <xdr:nvSpPr>
        <xdr:cNvPr id="61" name="Line 42">
          <a:extLst>
            <a:ext uri="{FF2B5EF4-FFF2-40B4-BE49-F238E27FC236}">
              <a16:creationId xmlns:a16="http://schemas.microsoft.com/office/drawing/2014/main" id="{EA056B20-4D58-4BB8-8926-9325A23A811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238</xdr:row>
      <xdr:rowOff>0</xdr:rowOff>
    </xdr:from>
    <xdr:to>
      <xdr:col>18</xdr:col>
      <xdr:colOff>447675</xdr:colOff>
      <xdr:row>239</xdr:row>
      <xdr:rowOff>0</xdr:rowOff>
    </xdr:to>
    <xdr:sp macro="" textlink="">
      <xdr:nvSpPr>
        <xdr:cNvPr id="62" name="Line 4">
          <a:extLst>
            <a:ext uri="{FF2B5EF4-FFF2-40B4-BE49-F238E27FC236}">
              <a16:creationId xmlns:a16="http://schemas.microsoft.com/office/drawing/2014/main" id="{27292DEA-5A9E-4C30-8634-73646E018508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63" name="Line 14">
          <a:extLst>
            <a:ext uri="{FF2B5EF4-FFF2-40B4-BE49-F238E27FC236}">
              <a16:creationId xmlns:a16="http://schemas.microsoft.com/office/drawing/2014/main" id="{CA705FE3-DFB9-4829-A929-31F39851BF7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68" name="Line 15">
          <a:extLst>
            <a:ext uri="{FF2B5EF4-FFF2-40B4-BE49-F238E27FC236}">
              <a16:creationId xmlns:a16="http://schemas.microsoft.com/office/drawing/2014/main" id="{3CD2FA76-2C17-4A92-B2F7-B03DFC0D4A0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69" name="Line 42">
          <a:extLst>
            <a:ext uri="{FF2B5EF4-FFF2-40B4-BE49-F238E27FC236}">
              <a16:creationId xmlns:a16="http://schemas.microsoft.com/office/drawing/2014/main" id="{D1FDA173-5A9E-4704-88C9-0DD71F7EC71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238</xdr:row>
      <xdr:rowOff>0</xdr:rowOff>
    </xdr:from>
    <xdr:to>
      <xdr:col>18</xdr:col>
      <xdr:colOff>447675</xdr:colOff>
      <xdr:row>239</xdr:row>
      <xdr:rowOff>0</xdr:rowOff>
    </xdr:to>
    <xdr:sp macro="" textlink="">
      <xdr:nvSpPr>
        <xdr:cNvPr id="5570" name="Line 4">
          <a:extLst>
            <a:ext uri="{FF2B5EF4-FFF2-40B4-BE49-F238E27FC236}">
              <a16:creationId xmlns:a16="http://schemas.microsoft.com/office/drawing/2014/main" id="{C09F6B8A-60B7-47BC-997C-A2ADCE15CF1C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1" name="Line 14">
          <a:extLst>
            <a:ext uri="{FF2B5EF4-FFF2-40B4-BE49-F238E27FC236}">
              <a16:creationId xmlns:a16="http://schemas.microsoft.com/office/drawing/2014/main" id="{1145540E-D717-44E7-8E52-93BEF3A97DF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2" name="Line 15">
          <a:extLst>
            <a:ext uri="{FF2B5EF4-FFF2-40B4-BE49-F238E27FC236}">
              <a16:creationId xmlns:a16="http://schemas.microsoft.com/office/drawing/2014/main" id="{FEA6235B-CFA4-4748-96E7-D3E1AEF2977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3" name="Line 42">
          <a:extLst>
            <a:ext uri="{FF2B5EF4-FFF2-40B4-BE49-F238E27FC236}">
              <a16:creationId xmlns:a16="http://schemas.microsoft.com/office/drawing/2014/main" id="{B9D766B5-972A-481A-96A2-FCCB0E177BD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238</xdr:row>
      <xdr:rowOff>0</xdr:rowOff>
    </xdr:from>
    <xdr:to>
      <xdr:col>18</xdr:col>
      <xdr:colOff>447675</xdr:colOff>
      <xdr:row>239</xdr:row>
      <xdr:rowOff>0</xdr:rowOff>
    </xdr:to>
    <xdr:sp macro="" textlink="">
      <xdr:nvSpPr>
        <xdr:cNvPr id="5574" name="Line 4">
          <a:extLst>
            <a:ext uri="{FF2B5EF4-FFF2-40B4-BE49-F238E27FC236}">
              <a16:creationId xmlns:a16="http://schemas.microsoft.com/office/drawing/2014/main" id="{EDF7A179-FE82-46DF-B5C8-52C70D270401}"/>
            </a:ext>
          </a:extLst>
        </xdr:cNvPr>
        <xdr:cNvSpPr>
          <a:spLocks noChangeShapeType="1"/>
        </xdr:cNvSpPr>
      </xdr:nvSpPr>
      <xdr:spPr bwMode="auto">
        <a:xfrm>
          <a:off x="7686675" y="20806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5" name="Line 14">
          <a:extLst>
            <a:ext uri="{FF2B5EF4-FFF2-40B4-BE49-F238E27FC236}">
              <a16:creationId xmlns:a16="http://schemas.microsoft.com/office/drawing/2014/main" id="{9850AFED-D348-47DF-9E51-81FAAB710EC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6" name="Line 15">
          <a:extLst>
            <a:ext uri="{FF2B5EF4-FFF2-40B4-BE49-F238E27FC236}">
              <a16:creationId xmlns:a16="http://schemas.microsoft.com/office/drawing/2014/main" id="{61DB996D-EB00-4EAE-B10C-9D302B8E578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238</xdr:row>
      <xdr:rowOff>0</xdr:rowOff>
    </xdr:from>
    <xdr:to>
      <xdr:col>18</xdr:col>
      <xdr:colOff>438150</xdr:colOff>
      <xdr:row>239</xdr:row>
      <xdr:rowOff>0</xdr:rowOff>
    </xdr:to>
    <xdr:sp macro="" textlink="">
      <xdr:nvSpPr>
        <xdr:cNvPr id="5577" name="Line 42">
          <a:extLst>
            <a:ext uri="{FF2B5EF4-FFF2-40B4-BE49-F238E27FC236}">
              <a16:creationId xmlns:a16="http://schemas.microsoft.com/office/drawing/2014/main" id="{DB010805-FD4B-440E-BFE7-596828F5511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0806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78" name="Line 4">
          <a:extLst>
            <a:ext uri="{FF2B5EF4-FFF2-40B4-BE49-F238E27FC236}">
              <a16:creationId xmlns:a16="http://schemas.microsoft.com/office/drawing/2014/main" id="{3DAF44D7-6EBF-4ACF-8BFF-7E4A99FB8FB6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79" name="Line 14">
          <a:extLst>
            <a:ext uri="{FF2B5EF4-FFF2-40B4-BE49-F238E27FC236}">
              <a16:creationId xmlns:a16="http://schemas.microsoft.com/office/drawing/2014/main" id="{AFEE4364-1EAC-4165-B942-ED1735EDB92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0" name="Line 15">
          <a:extLst>
            <a:ext uri="{FF2B5EF4-FFF2-40B4-BE49-F238E27FC236}">
              <a16:creationId xmlns:a16="http://schemas.microsoft.com/office/drawing/2014/main" id="{DA0D4BEE-6169-4914-B063-1D6A48FA8E8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1" name="Line 42">
          <a:extLst>
            <a:ext uri="{FF2B5EF4-FFF2-40B4-BE49-F238E27FC236}">
              <a16:creationId xmlns:a16="http://schemas.microsoft.com/office/drawing/2014/main" id="{EC1F4606-7128-4BA4-BABE-2C35B779A7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82" name="Line 4">
          <a:extLst>
            <a:ext uri="{FF2B5EF4-FFF2-40B4-BE49-F238E27FC236}">
              <a16:creationId xmlns:a16="http://schemas.microsoft.com/office/drawing/2014/main" id="{3BB5DC5C-B5E6-427D-8746-3260A154B041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3" name="Line 14">
          <a:extLst>
            <a:ext uri="{FF2B5EF4-FFF2-40B4-BE49-F238E27FC236}">
              <a16:creationId xmlns:a16="http://schemas.microsoft.com/office/drawing/2014/main" id="{D182938B-C119-45A9-80EC-8324AED0717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4" name="Line 15">
          <a:extLst>
            <a:ext uri="{FF2B5EF4-FFF2-40B4-BE49-F238E27FC236}">
              <a16:creationId xmlns:a16="http://schemas.microsoft.com/office/drawing/2014/main" id="{DC7FE00C-E51F-4DD6-9935-A064AF1B727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5" name="Line 42">
          <a:extLst>
            <a:ext uri="{FF2B5EF4-FFF2-40B4-BE49-F238E27FC236}">
              <a16:creationId xmlns:a16="http://schemas.microsoft.com/office/drawing/2014/main" id="{DB4DB08C-9EF2-4DB6-97CE-673C0A945FB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86" name="Line 4">
          <a:extLst>
            <a:ext uri="{FF2B5EF4-FFF2-40B4-BE49-F238E27FC236}">
              <a16:creationId xmlns:a16="http://schemas.microsoft.com/office/drawing/2014/main" id="{FF7735A1-D463-4584-BA2B-11337746861E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7" name="Line 14">
          <a:extLst>
            <a:ext uri="{FF2B5EF4-FFF2-40B4-BE49-F238E27FC236}">
              <a16:creationId xmlns:a16="http://schemas.microsoft.com/office/drawing/2014/main" id="{EE9E4448-08EC-4BA7-9455-5C5B5F74143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8" name="Line 15">
          <a:extLst>
            <a:ext uri="{FF2B5EF4-FFF2-40B4-BE49-F238E27FC236}">
              <a16:creationId xmlns:a16="http://schemas.microsoft.com/office/drawing/2014/main" id="{0C129781-1D37-4CCC-8769-84022C0A211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89" name="Line 42">
          <a:extLst>
            <a:ext uri="{FF2B5EF4-FFF2-40B4-BE49-F238E27FC236}">
              <a16:creationId xmlns:a16="http://schemas.microsoft.com/office/drawing/2014/main" id="{73091EE0-6A55-4B88-ABB6-39C24F5EBD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90" name="Line 4">
          <a:extLst>
            <a:ext uri="{FF2B5EF4-FFF2-40B4-BE49-F238E27FC236}">
              <a16:creationId xmlns:a16="http://schemas.microsoft.com/office/drawing/2014/main" id="{E30643BF-6FE6-4F48-9AE5-38387FCB7ADC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1" name="Line 14">
          <a:extLst>
            <a:ext uri="{FF2B5EF4-FFF2-40B4-BE49-F238E27FC236}">
              <a16:creationId xmlns:a16="http://schemas.microsoft.com/office/drawing/2014/main" id="{64CDD4D4-DF7B-4349-86C1-A2090763354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2" name="Line 15">
          <a:extLst>
            <a:ext uri="{FF2B5EF4-FFF2-40B4-BE49-F238E27FC236}">
              <a16:creationId xmlns:a16="http://schemas.microsoft.com/office/drawing/2014/main" id="{83AEC3E6-B679-4169-810E-E7EB09DFE55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3" name="Line 42">
          <a:extLst>
            <a:ext uri="{FF2B5EF4-FFF2-40B4-BE49-F238E27FC236}">
              <a16:creationId xmlns:a16="http://schemas.microsoft.com/office/drawing/2014/main" id="{55902649-ED10-487F-A292-535F71ED39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94" name="Line 4">
          <a:extLst>
            <a:ext uri="{FF2B5EF4-FFF2-40B4-BE49-F238E27FC236}">
              <a16:creationId xmlns:a16="http://schemas.microsoft.com/office/drawing/2014/main" id="{C8B4454B-5495-4183-BB2E-E7339638F2B1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5" name="Line 14">
          <a:extLst>
            <a:ext uri="{FF2B5EF4-FFF2-40B4-BE49-F238E27FC236}">
              <a16:creationId xmlns:a16="http://schemas.microsoft.com/office/drawing/2014/main" id="{774B415C-D80B-4F04-A4E0-4E3A56623C4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6" name="Line 15">
          <a:extLst>
            <a:ext uri="{FF2B5EF4-FFF2-40B4-BE49-F238E27FC236}">
              <a16:creationId xmlns:a16="http://schemas.microsoft.com/office/drawing/2014/main" id="{83BC1F50-79D4-41CD-94A0-FE20AB988D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7" name="Line 42">
          <a:extLst>
            <a:ext uri="{FF2B5EF4-FFF2-40B4-BE49-F238E27FC236}">
              <a16:creationId xmlns:a16="http://schemas.microsoft.com/office/drawing/2014/main" id="{F3A41E50-951C-4AB7-BF3C-9A38384414A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240</xdr:row>
      <xdr:rowOff>0</xdr:rowOff>
    </xdr:from>
    <xdr:to>
      <xdr:col>18</xdr:col>
      <xdr:colOff>447675</xdr:colOff>
      <xdr:row>241</xdr:row>
      <xdr:rowOff>0</xdr:rowOff>
    </xdr:to>
    <xdr:sp macro="" textlink="">
      <xdr:nvSpPr>
        <xdr:cNvPr id="5598" name="Line 4">
          <a:extLst>
            <a:ext uri="{FF2B5EF4-FFF2-40B4-BE49-F238E27FC236}">
              <a16:creationId xmlns:a16="http://schemas.microsoft.com/office/drawing/2014/main" id="{CE0497D0-9F92-4441-B001-87D267324FA4}"/>
            </a:ext>
          </a:extLst>
        </xdr:cNvPr>
        <xdr:cNvSpPr>
          <a:spLocks noChangeShapeType="1"/>
        </xdr:cNvSpPr>
      </xdr:nvSpPr>
      <xdr:spPr bwMode="auto">
        <a:xfrm>
          <a:off x="7686675" y="21230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599" name="Line 14">
          <a:extLst>
            <a:ext uri="{FF2B5EF4-FFF2-40B4-BE49-F238E27FC236}">
              <a16:creationId xmlns:a16="http://schemas.microsoft.com/office/drawing/2014/main" id="{B5309067-7C7C-47F9-9412-DDB924E081D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600" name="Line 15">
          <a:extLst>
            <a:ext uri="{FF2B5EF4-FFF2-40B4-BE49-F238E27FC236}">
              <a16:creationId xmlns:a16="http://schemas.microsoft.com/office/drawing/2014/main" id="{38BD07E4-C495-44B5-B5DE-986A261FEA6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240</xdr:row>
      <xdr:rowOff>0</xdr:rowOff>
    </xdr:from>
    <xdr:to>
      <xdr:col>18</xdr:col>
      <xdr:colOff>438150</xdr:colOff>
      <xdr:row>241</xdr:row>
      <xdr:rowOff>0</xdr:rowOff>
    </xdr:to>
    <xdr:sp macro="" textlink="">
      <xdr:nvSpPr>
        <xdr:cNvPr id="5601" name="Line 42">
          <a:extLst>
            <a:ext uri="{FF2B5EF4-FFF2-40B4-BE49-F238E27FC236}">
              <a16:creationId xmlns:a16="http://schemas.microsoft.com/office/drawing/2014/main" id="{150EB761-EAB5-410C-8CBD-71F340C9B38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230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311</xdr:row>
      <xdr:rowOff>0</xdr:rowOff>
    </xdr:from>
    <xdr:to>
      <xdr:col>18</xdr:col>
      <xdr:colOff>447675</xdr:colOff>
      <xdr:row>312</xdr:row>
      <xdr:rowOff>0</xdr:rowOff>
    </xdr:to>
    <xdr:sp macro="" textlink="">
      <xdr:nvSpPr>
        <xdr:cNvPr id="5602" name="Line 4">
          <a:extLst>
            <a:ext uri="{FF2B5EF4-FFF2-40B4-BE49-F238E27FC236}">
              <a16:creationId xmlns:a16="http://schemas.microsoft.com/office/drawing/2014/main" id="{167EA475-8D53-4A46-BE91-4E41341F867B}"/>
            </a:ext>
          </a:extLst>
        </xdr:cNvPr>
        <xdr:cNvSpPr>
          <a:spLocks noChangeShapeType="1"/>
        </xdr:cNvSpPr>
      </xdr:nvSpPr>
      <xdr:spPr bwMode="auto">
        <a:xfrm>
          <a:off x="7686675" y="53043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3" name="Line 14">
          <a:extLst>
            <a:ext uri="{FF2B5EF4-FFF2-40B4-BE49-F238E27FC236}">
              <a16:creationId xmlns:a16="http://schemas.microsoft.com/office/drawing/2014/main" id="{5CA532D7-115B-4334-BBF0-7D904FC0EF3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4" name="Line 15">
          <a:extLst>
            <a:ext uri="{FF2B5EF4-FFF2-40B4-BE49-F238E27FC236}">
              <a16:creationId xmlns:a16="http://schemas.microsoft.com/office/drawing/2014/main" id="{65374AF3-228B-4C15-BC80-852CFFA918D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5" name="Line 42">
          <a:extLst>
            <a:ext uri="{FF2B5EF4-FFF2-40B4-BE49-F238E27FC236}">
              <a16:creationId xmlns:a16="http://schemas.microsoft.com/office/drawing/2014/main" id="{6E095285-FC33-4D30-B857-81649A90B1F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311</xdr:row>
      <xdr:rowOff>0</xdr:rowOff>
    </xdr:from>
    <xdr:to>
      <xdr:col>18</xdr:col>
      <xdr:colOff>447675</xdr:colOff>
      <xdr:row>312</xdr:row>
      <xdr:rowOff>0</xdr:rowOff>
    </xdr:to>
    <xdr:sp macro="" textlink="">
      <xdr:nvSpPr>
        <xdr:cNvPr id="5606" name="Line 4">
          <a:extLst>
            <a:ext uri="{FF2B5EF4-FFF2-40B4-BE49-F238E27FC236}">
              <a16:creationId xmlns:a16="http://schemas.microsoft.com/office/drawing/2014/main" id="{6348D8A4-8538-4E4F-A7EA-CA3402C634B7}"/>
            </a:ext>
          </a:extLst>
        </xdr:cNvPr>
        <xdr:cNvSpPr>
          <a:spLocks noChangeShapeType="1"/>
        </xdr:cNvSpPr>
      </xdr:nvSpPr>
      <xdr:spPr bwMode="auto">
        <a:xfrm>
          <a:off x="7686675" y="53043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7" name="Line 14">
          <a:extLst>
            <a:ext uri="{FF2B5EF4-FFF2-40B4-BE49-F238E27FC236}">
              <a16:creationId xmlns:a16="http://schemas.microsoft.com/office/drawing/2014/main" id="{A3755FE2-8F2B-424F-8B66-1B21396895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8" name="Line 15">
          <a:extLst>
            <a:ext uri="{FF2B5EF4-FFF2-40B4-BE49-F238E27FC236}">
              <a16:creationId xmlns:a16="http://schemas.microsoft.com/office/drawing/2014/main" id="{E6821070-3E80-4D3E-94A0-F6F7AAA0771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09" name="Line 42">
          <a:extLst>
            <a:ext uri="{FF2B5EF4-FFF2-40B4-BE49-F238E27FC236}">
              <a16:creationId xmlns:a16="http://schemas.microsoft.com/office/drawing/2014/main" id="{E28F2355-E2CC-46B3-ADA6-62F0E120946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311</xdr:row>
      <xdr:rowOff>0</xdr:rowOff>
    </xdr:from>
    <xdr:to>
      <xdr:col>18</xdr:col>
      <xdr:colOff>447675</xdr:colOff>
      <xdr:row>312</xdr:row>
      <xdr:rowOff>0</xdr:rowOff>
    </xdr:to>
    <xdr:sp macro="" textlink="">
      <xdr:nvSpPr>
        <xdr:cNvPr id="5610" name="Line 4">
          <a:extLst>
            <a:ext uri="{FF2B5EF4-FFF2-40B4-BE49-F238E27FC236}">
              <a16:creationId xmlns:a16="http://schemas.microsoft.com/office/drawing/2014/main" id="{D176473F-F204-4B4C-A262-6AFB0FC681C0}"/>
            </a:ext>
          </a:extLst>
        </xdr:cNvPr>
        <xdr:cNvSpPr>
          <a:spLocks noChangeShapeType="1"/>
        </xdr:cNvSpPr>
      </xdr:nvSpPr>
      <xdr:spPr bwMode="auto">
        <a:xfrm>
          <a:off x="7686675" y="53043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11" name="Line 14">
          <a:extLst>
            <a:ext uri="{FF2B5EF4-FFF2-40B4-BE49-F238E27FC236}">
              <a16:creationId xmlns:a16="http://schemas.microsoft.com/office/drawing/2014/main" id="{011BE9BB-D439-44BE-81CE-1497C919746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12" name="Line 15">
          <a:extLst>
            <a:ext uri="{FF2B5EF4-FFF2-40B4-BE49-F238E27FC236}">
              <a16:creationId xmlns:a16="http://schemas.microsoft.com/office/drawing/2014/main" id="{ABCA1E08-9C0F-4577-A618-D84CAE4B23E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311</xdr:row>
      <xdr:rowOff>0</xdr:rowOff>
    </xdr:from>
    <xdr:to>
      <xdr:col>18</xdr:col>
      <xdr:colOff>438150</xdr:colOff>
      <xdr:row>312</xdr:row>
      <xdr:rowOff>0</xdr:rowOff>
    </xdr:to>
    <xdr:sp macro="" textlink="">
      <xdr:nvSpPr>
        <xdr:cNvPr id="5613" name="Line 42">
          <a:extLst>
            <a:ext uri="{FF2B5EF4-FFF2-40B4-BE49-F238E27FC236}">
              <a16:creationId xmlns:a16="http://schemas.microsoft.com/office/drawing/2014/main" id="{7D756D51-0581-4220-9385-7FF07FCEC3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043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614" name="Line 4">
          <a:extLst>
            <a:ext uri="{FF2B5EF4-FFF2-40B4-BE49-F238E27FC236}">
              <a16:creationId xmlns:a16="http://schemas.microsoft.com/office/drawing/2014/main" id="{FC697F51-AA96-4533-A243-5904C41B77D5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15" name="Line 14">
          <a:extLst>
            <a:ext uri="{FF2B5EF4-FFF2-40B4-BE49-F238E27FC236}">
              <a16:creationId xmlns:a16="http://schemas.microsoft.com/office/drawing/2014/main" id="{C4FA93C8-732F-47B9-AF7B-351A1ED68A2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16" name="Line 15">
          <a:extLst>
            <a:ext uri="{FF2B5EF4-FFF2-40B4-BE49-F238E27FC236}">
              <a16:creationId xmlns:a16="http://schemas.microsoft.com/office/drawing/2014/main" id="{F6933B51-719E-4583-B138-3161594D6B6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17" name="Line 42">
          <a:extLst>
            <a:ext uri="{FF2B5EF4-FFF2-40B4-BE49-F238E27FC236}">
              <a16:creationId xmlns:a16="http://schemas.microsoft.com/office/drawing/2014/main" id="{0FAE176D-D166-44EB-B909-03ADAB741BD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618" name="Line 4">
          <a:extLst>
            <a:ext uri="{FF2B5EF4-FFF2-40B4-BE49-F238E27FC236}">
              <a16:creationId xmlns:a16="http://schemas.microsoft.com/office/drawing/2014/main" id="{56FE38BA-F3E2-4186-A4B7-04B450F6C097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19" name="Line 14">
          <a:extLst>
            <a:ext uri="{FF2B5EF4-FFF2-40B4-BE49-F238E27FC236}">
              <a16:creationId xmlns:a16="http://schemas.microsoft.com/office/drawing/2014/main" id="{AFD6D18F-53B0-488E-8213-74E9F87C0AB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20" name="Line 15">
          <a:extLst>
            <a:ext uri="{FF2B5EF4-FFF2-40B4-BE49-F238E27FC236}">
              <a16:creationId xmlns:a16="http://schemas.microsoft.com/office/drawing/2014/main" id="{389A5D30-7B89-4E4D-8B65-8154ECB676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21" name="Line 42">
          <a:extLst>
            <a:ext uri="{FF2B5EF4-FFF2-40B4-BE49-F238E27FC236}">
              <a16:creationId xmlns:a16="http://schemas.microsoft.com/office/drawing/2014/main" id="{88028CE4-B2B8-467F-A39F-7F85E70683F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622" name="Line 4">
          <a:extLst>
            <a:ext uri="{FF2B5EF4-FFF2-40B4-BE49-F238E27FC236}">
              <a16:creationId xmlns:a16="http://schemas.microsoft.com/office/drawing/2014/main" id="{7B35B55B-2603-4246-AB72-2AC6ABF6D8D5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27" name="Line 14">
          <a:extLst>
            <a:ext uri="{FF2B5EF4-FFF2-40B4-BE49-F238E27FC236}">
              <a16:creationId xmlns:a16="http://schemas.microsoft.com/office/drawing/2014/main" id="{9F968DF6-1066-45A3-922B-06D1E92D25C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28" name="Line 15">
          <a:extLst>
            <a:ext uri="{FF2B5EF4-FFF2-40B4-BE49-F238E27FC236}">
              <a16:creationId xmlns:a16="http://schemas.microsoft.com/office/drawing/2014/main" id="{CF214946-23FB-48FA-B6EA-B74AFAE6755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29" name="Line 42">
          <a:extLst>
            <a:ext uri="{FF2B5EF4-FFF2-40B4-BE49-F238E27FC236}">
              <a16:creationId xmlns:a16="http://schemas.microsoft.com/office/drawing/2014/main" id="{680EDF25-3879-4E92-8F13-9BFA5E7957F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630" name="Line 4">
          <a:extLst>
            <a:ext uri="{FF2B5EF4-FFF2-40B4-BE49-F238E27FC236}">
              <a16:creationId xmlns:a16="http://schemas.microsoft.com/office/drawing/2014/main" id="{A8F3155D-F438-41DA-B820-6251F2ADABFE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631" name="Line 14">
          <a:extLst>
            <a:ext uri="{FF2B5EF4-FFF2-40B4-BE49-F238E27FC236}">
              <a16:creationId xmlns:a16="http://schemas.microsoft.com/office/drawing/2014/main" id="{7751D9DB-675A-4425-B4C1-57503F3015F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2" name="Line 15">
          <a:extLst>
            <a:ext uri="{FF2B5EF4-FFF2-40B4-BE49-F238E27FC236}">
              <a16:creationId xmlns:a16="http://schemas.microsoft.com/office/drawing/2014/main" id="{0ACC2385-7154-44EA-BF11-7C9F6C37A5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3" name="Line 42">
          <a:extLst>
            <a:ext uri="{FF2B5EF4-FFF2-40B4-BE49-F238E27FC236}">
              <a16:creationId xmlns:a16="http://schemas.microsoft.com/office/drawing/2014/main" id="{A8ED7824-9F34-4145-92C3-DC03F1064C9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314" name="Line 4">
          <a:extLst>
            <a:ext uri="{FF2B5EF4-FFF2-40B4-BE49-F238E27FC236}">
              <a16:creationId xmlns:a16="http://schemas.microsoft.com/office/drawing/2014/main" id="{4225E1AA-07FF-4B67-A49D-0B4553D3B907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5" name="Line 14">
          <a:extLst>
            <a:ext uri="{FF2B5EF4-FFF2-40B4-BE49-F238E27FC236}">
              <a16:creationId xmlns:a16="http://schemas.microsoft.com/office/drawing/2014/main" id="{A565A381-39EF-4CD8-A134-4083360BF27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6" name="Line 15">
          <a:extLst>
            <a:ext uri="{FF2B5EF4-FFF2-40B4-BE49-F238E27FC236}">
              <a16:creationId xmlns:a16="http://schemas.microsoft.com/office/drawing/2014/main" id="{2687B1F9-0832-49DC-A810-ADDAB1E5D7C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7" name="Line 42">
          <a:extLst>
            <a:ext uri="{FF2B5EF4-FFF2-40B4-BE49-F238E27FC236}">
              <a16:creationId xmlns:a16="http://schemas.microsoft.com/office/drawing/2014/main" id="{B24C6A3D-3FC0-48AC-B781-BB3D6061A33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313</xdr:row>
      <xdr:rowOff>0</xdr:rowOff>
    </xdr:from>
    <xdr:to>
      <xdr:col>18</xdr:col>
      <xdr:colOff>447675</xdr:colOff>
      <xdr:row>314</xdr:row>
      <xdr:rowOff>0</xdr:rowOff>
    </xdr:to>
    <xdr:sp macro="" textlink="">
      <xdr:nvSpPr>
        <xdr:cNvPr id="5318" name="Line 4">
          <a:extLst>
            <a:ext uri="{FF2B5EF4-FFF2-40B4-BE49-F238E27FC236}">
              <a16:creationId xmlns:a16="http://schemas.microsoft.com/office/drawing/2014/main" id="{B2E28001-A876-4A6A-9CE5-D54E73D15075}"/>
            </a:ext>
          </a:extLst>
        </xdr:cNvPr>
        <xdr:cNvSpPr>
          <a:spLocks noChangeShapeType="1"/>
        </xdr:cNvSpPr>
      </xdr:nvSpPr>
      <xdr:spPr bwMode="auto">
        <a:xfrm>
          <a:off x="7686675" y="53467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19" name="Line 14">
          <a:extLst>
            <a:ext uri="{FF2B5EF4-FFF2-40B4-BE49-F238E27FC236}">
              <a16:creationId xmlns:a16="http://schemas.microsoft.com/office/drawing/2014/main" id="{6AE3BD23-4EB6-4CCE-B8C7-97824A787E6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20" name="Line 15">
          <a:extLst>
            <a:ext uri="{FF2B5EF4-FFF2-40B4-BE49-F238E27FC236}">
              <a16:creationId xmlns:a16="http://schemas.microsoft.com/office/drawing/2014/main" id="{23649F66-A5F5-49BB-B1A1-18FC13F379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313</xdr:row>
      <xdr:rowOff>0</xdr:rowOff>
    </xdr:from>
    <xdr:to>
      <xdr:col>18</xdr:col>
      <xdr:colOff>438150</xdr:colOff>
      <xdr:row>314</xdr:row>
      <xdr:rowOff>0</xdr:rowOff>
    </xdr:to>
    <xdr:sp macro="" textlink="">
      <xdr:nvSpPr>
        <xdr:cNvPr id="5321" name="Line 42">
          <a:extLst>
            <a:ext uri="{FF2B5EF4-FFF2-40B4-BE49-F238E27FC236}">
              <a16:creationId xmlns:a16="http://schemas.microsoft.com/office/drawing/2014/main" id="{836ED2A4-0626-4192-B229-20FED7E0E27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53467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22" name="Line 4">
          <a:extLst>
            <a:ext uri="{FF2B5EF4-FFF2-40B4-BE49-F238E27FC236}">
              <a16:creationId xmlns:a16="http://schemas.microsoft.com/office/drawing/2014/main" id="{F7AEA5E1-35FE-4B9D-B447-2F156125C1D7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3" name="Line 14">
          <a:extLst>
            <a:ext uri="{FF2B5EF4-FFF2-40B4-BE49-F238E27FC236}">
              <a16:creationId xmlns:a16="http://schemas.microsoft.com/office/drawing/2014/main" id="{9DB360F8-DEA7-459E-80D2-EC64AF255A2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4" name="Line 15">
          <a:extLst>
            <a:ext uri="{FF2B5EF4-FFF2-40B4-BE49-F238E27FC236}">
              <a16:creationId xmlns:a16="http://schemas.microsoft.com/office/drawing/2014/main" id="{2D8B5707-B310-4FFB-A8A3-3E50712B83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5" name="Line 42">
          <a:extLst>
            <a:ext uri="{FF2B5EF4-FFF2-40B4-BE49-F238E27FC236}">
              <a16:creationId xmlns:a16="http://schemas.microsoft.com/office/drawing/2014/main" id="{B378E138-96BF-451A-AAE0-079BCD2D9C8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26" name="Line 4">
          <a:extLst>
            <a:ext uri="{FF2B5EF4-FFF2-40B4-BE49-F238E27FC236}">
              <a16:creationId xmlns:a16="http://schemas.microsoft.com/office/drawing/2014/main" id="{D8300C87-0DFD-42B1-A0AD-844F18D2ADC2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7" name="Line 14">
          <a:extLst>
            <a:ext uri="{FF2B5EF4-FFF2-40B4-BE49-F238E27FC236}">
              <a16:creationId xmlns:a16="http://schemas.microsoft.com/office/drawing/2014/main" id="{911AE6FD-1559-4702-A8E0-149183B2C31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8" name="Line 15">
          <a:extLst>
            <a:ext uri="{FF2B5EF4-FFF2-40B4-BE49-F238E27FC236}">
              <a16:creationId xmlns:a16="http://schemas.microsoft.com/office/drawing/2014/main" id="{CA62F649-5F4B-4997-AEC9-3CB2167DF5F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29" name="Line 42">
          <a:extLst>
            <a:ext uri="{FF2B5EF4-FFF2-40B4-BE49-F238E27FC236}">
              <a16:creationId xmlns:a16="http://schemas.microsoft.com/office/drawing/2014/main" id="{01EFD5D2-9ADA-4357-9E4B-F0AFD78779C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30" name="Line 4">
          <a:extLst>
            <a:ext uri="{FF2B5EF4-FFF2-40B4-BE49-F238E27FC236}">
              <a16:creationId xmlns:a16="http://schemas.microsoft.com/office/drawing/2014/main" id="{2A76AC8A-28BA-49CF-AA2D-1B71874416E9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31" name="Line 14">
          <a:extLst>
            <a:ext uri="{FF2B5EF4-FFF2-40B4-BE49-F238E27FC236}">
              <a16:creationId xmlns:a16="http://schemas.microsoft.com/office/drawing/2014/main" id="{C873DF94-0201-4A19-A238-65EC25E9D02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32" name="Line 15">
          <a:extLst>
            <a:ext uri="{FF2B5EF4-FFF2-40B4-BE49-F238E27FC236}">
              <a16:creationId xmlns:a16="http://schemas.microsoft.com/office/drawing/2014/main" id="{A681E275-ACBD-4D34-BF85-AB4D51F887F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33" name="Line 42">
          <a:extLst>
            <a:ext uri="{FF2B5EF4-FFF2-40B4-BE49-F238E27FC236}">
              <a16:creationId xmlns:a16="http://schemas.microsoft.com/office/drawing/2014/main" id="{99E70232-13FC-4214-8F9A-73B1245F70C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34" name="Line 4">
          <a:extLst>
            <a:ext uri="{FF2B5EF4-FFF2-40B4-BE49-F238E27FC236}">
              <a16:creationId xmlns:a16="http://schemas.microsoft.com/office/drawing/2014/main" id="{347A149B-701B-48A9-A045-B21AAAE45EE5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35" name="Line 14">
          <a:extLst>
            <a:ext uri="{FF2B5EF4-FFF2-40B4-BE49-F238E27FC236}">
              <a16:creationId xmlns:a16="http://schemas.microsoft.com/office/drawing/2014/main" id="{BF2F6B97-49B5-49A0-AAFC-26B23EA5A1A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0" name="Line 15">
          <a:extLst>
            <a:ext uri="{FF2B5EF4-FFF2-40B4-BE49-F238E27FC236}">
              <a16:creationId xmlns:a16="http://schemas.microsoft.com/office/drawing/2014/main" id="{EFB77BF1-22E1-47D2-9B8B-24D783BDA5B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1" name="Line 42">
          <a:extLst>
            <a:ext uri="{FF2B5EF4-FFF2-40B4-BE49-F238E27FC236}">
              <a16:creationId xmlns:a16="http://schemas.microsoft.com/office/drawing/2014/main" id="{8860A134-4422-4001-8A9F-5B1120BFC6B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42" name="Line 4">
          <a:extLst>
            <a:ext uri="{FF2B5EF4-FFF2-40B4-BE49-F238E27FC236}">
              <a16:creationId xmlns:a16="http://schemas.microsoft.com/office/drawing/2014/main" id="{4002B5FC-8DAF-4470-97AD-50487E7088D6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3" name="Line 14">
          <a:extLst>
            <a:ext uri="{FF2B5EF4-FFF2-40B4-BE49-F238E27FC236}">
              <a16:creationId xmlns:a16="http://schemas.microsoft.com/office/drawing/2014/main" id="{82C5552C-6C1D-4B6F-B067-5BD421D1C38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4" name="Line 15">
          <a:extLst>
            <a:ext uri="{FF2B5EF4-FFF2-40B4-BE49-F238E27FC236}">
              <a16:creationId xmlns:a16="http://schemas.microsoft.com/office/drawing/2014/main" id="{B799111C-35B5-40A0-86EC-36A876F3024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5" name="Line 42">
          <a:extLst>
            <a:ext uri="{FF2B5EF4-FFF2-40B4-BE49-F238E27FC236}">
              <a16:creationId xmlns:a16="http://schemas.microsoft.com/office/drawing/2014/main" id="{8210E487-2BBF-4D4D-9F9C-FCFAD2F1E0E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46" name="Line 4">
          <a:extLst>
            <a:ext uri="{FF2B5EF4-FFF2-40B4-BE49-F238E27FC236}">
              <a16:creationId xmlns:a16="http://schemas.microsoft.com/office/drawing/2014/main" id="{0E401DFB-38C0-4BD4-B211-CCD6A42F2BF0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7" name="Line 14">
          <a:extLst>
            <a:ext uri="{FF2B5EF4-FFF2-40B4-BE49-F238E27FC236}">
              <a16:creationId xmlns:a16="http://schemas.microsoft.com/office/drawing/2014/main" id="{EE651CC3-931E-4D05-9B72-C4E2605122D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8" name="Line 15">
          <a:extLst>
            <a:ext uri="{FF2B5EF4-FFF2-40B4-BE49-F238E27FC236}">
              <a16:creationId xmlns:a16="http://schemas.microsoft.com/office/drawing/2014/main" id="{BD364DA5-115C-44CD-ABE2-707076FE169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49" name="Line 42">
          <a:extLst>
            <a:ext uri="{FF2B5EF4-FFF2-40B4-BE49-F238E27FC236}">
              <a16:creationId xmlns:a16="http://schemas.microsoft.com/office/drawing/2014/main" id="{D856AF45-8F7C-41E8-84AC-A1D654EA06E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50" name="Line 4">
          <a:extLst>
            <a:ext uri="{FF2B5EF4-FFF2-40B4-BE49-F238E27FC236}">
              <a16:creationId xmlns:a16="http://schemas.microsoft.com/office/drawing/2014/main" id="{1C5C2125-5825-45D0-8251-71F1CF9B9303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1" name="Line 14">
          <a:extLst>
            <a:ext uri="{FF2B5EF4-FFF2-40B4-BE49-F238E27FC236}">
              <a16:creationId xmlns:a16="http://schemas.microsoft.com/office/drawing/2014/main" id="{7E6EFC30-4534-4579-9138-AFC3A35144D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2" name="Line 15">
          <a:extLst>
            <a:ext uri="{FF2B5EF4-FFF2-40B4-BE49-F238E27FC236}">
              <a16:creationId xmlns:a16="http://schemas.microsoft.com/office/drawing/2014/main" id="{DAD6F8D6-826D-4FF1-A486-DD7F4638463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3" name="Line 42">
          <a:extLst>
            <a:ext uri="{FF2B5EF4-FFF2-40B4-BE49-F238E27FC236}">
              <a16:creationId xmlns:a16="http://schemas.microsoft.com/office/drawing/2014/main" id="{A2905021-1187-46F9-90CF-F4E3E526A7D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54" name="Line 4">
          <a:extLst>
            <a:ext uri="{FF2B5EF4-FFF2-40B4-BE49-F238E27FC236}">
              <a16:creationId xmlns:a16="http://schemas.microsoft.com/office/drawing/2014/main" id="{E024633E-637A-4C61-8EF0-7EA5F45EFAE6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5" name="Line 14">
          <a:extLst>
            <a:ext uri="{FF2B5EF4-FFF2-40B4-BE49-F238E27FC236}">
              <a16:creationId xmlns:a16="http://schemas.microsoft.com/office/drawing/2014/main" id="{BB8C9DA7-4B7F-458E-B2B8-0D671917E05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6" name="Line 15">
          <a:extLst>
            <a:ext uri="{FF2B5EF4-FFF2-40B4-BE49-F238E27FC236}">
              <a16:creationId xmlns:a16="http://schemas.microsoft.com/office/drawing/2014/main" id="{8AF0CCFC-355A-4506-BFAB-C2F05F3DD5B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7" name="Line 42">
          <a:extLst>
            <a:ext uri="{FF2B5EF4-FFF2-40B4-BE49-F238E27FC236}">
              <a16:creationId xmlns:a16="http://schemas.microsoft.com/office/drawing/2014/main" id="{EB2A751D-DF5E-46FC-9330-DE56978D8A0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58" name="Line 4">
          <a:extLst>
            <a:ext uri="{FF2B5EF4-FFF2-40B4-BE49-F238E27FC236}">
              <a16:creationId xmlns:a16="http://schemas.microsoft.com/office/drawing/2014/main" id="{9C7F0AA1-5770-4C53-A60D-8C373C4D4FF4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59" name="Line 14">
          <a:extLst>
            <a:ext uri="{FF2B5EF4-FFF2-40B4-BE49-F238E27FC236}">
              <a16:creationId xmlns:a16="http://schemas.microsoft.com/office/drawing/2014/main" id="{DA3EBC4E-AC03-4387-9942-B9CD1B73127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60" name="Line 15">
          <a:extLst>
            <a:ext uri="{FF2B5EF4-FFF2-40B4-BE49-F238E27FC236}">
              <a16:creationId xmlns:a16="http://schemas.microsoft.com/office/drawing/2014/main" id="{C667527B-715B-4B4E-9C94-A39FDD4CBD8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61" name="Line 42">
          <a:extLst>
            <a:ext uri="{FF2B5EF4-FFF2-40B4-BE49-F238E27FC236}">
              <a16:creationId xmlns:a16="http://schemas.microsoft.com/office/drawing/2014/main" id="{E2B056D1-AB43-404F-944F-81AFC5E9897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62" name="Line 4">
          <a:extLst>
            <a:ext uri="{FF2B5EF4-FFF2-40B4-BE49-F238E27FC236}">
              <a16:creationId xmlns:a16="http://schemas.microsoft.com/office/drawing/2014/main" id="{2AC11FE2-5422-4773-8F1F-68F3F1B5E4B7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3" name="Line 14">
          <a:extLst>
            <a:ext uri="{FF2B5EF4-FFF2-40B4-BE49-F238E27FC236}">
              <a16:creationId xmlns:a16="http://schemas.microsoft.com/office/drawing/2014/main" id="{3A40AAFD-524C-4769-8B86-43CB445C69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4" name="Line 15">
          <a:extLst>
            <a:ext uri="{FF2B5EF4-FFF2-40B4-BE49-F238E27FC236}">
              <a16:creationId xmlns:a16="http://schemas.microsoft.com/office/drawing/2014/main" id="{294FFAFE-F4EE-4B84-BC7A-2B48B392B68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5" name="Line 42">
          <a:extLst>
            <a:ext uri="{FF2B5EF4-FFF2-40B4-BE49-F238E27FC236}">
              <a16:creationId xmlns:a16="http://schemas.microsoft.com/office/drawing/2014/main" id="{F2A95E03-56F6-4C58-B836-06B45AF064A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66" name="Line 4">
          <a:extLst>
            <a:ext uri="{FF2B5EF4-FFF2-40B4-BE49-F238E27FC236}">
              <a16:creationId xmlns:a16="http://schemas.microsoft.com/office/drawing/2014/main" id="{5E14B22F-FE18-4320-8FAB-5DD297471573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7" name="Line 14">
          <a:extLst>
            <a:ext uri="{FF2B5EF4-FFF2-40B4-BE49-F238E27FC236}">
              <a16:creationId xmlns:a16="http://schemas.microsoft.com/office/drawing/2014/main" id="{3333FA6C-14D5-4CC9-A713-A30C0A94CCD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8" name="Line 15">
          <a:extLst>
            <a:ext uri="{FF2B5EF4-FFF2-40B4-BE49-F238E27FC236}">
              <a16:creationId xmlns:a16="http://schemas.microsoft.com/office/drawing/2014/main" id="{21DB0B5F-8FE2-423C-8D37-0306A9C4C8D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69" name="Line 42">
          <a:extLst>
            <a:ext uri="{FF2B5EF4-FFF2-40B4-BE49-F238E27FC236}">
              <a16:creationId xmlns:a16="http://schemas.microsoft.com/office/drawing/2014/main" id="{74552A5E-211F-48D4-B782-0E984D65CE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384</xdr:row>
      <xdr:rowOff>0</xdr:rowOff>
    </xdr:from>
    <xdr:to>
      <xdr:col>18</xdr:col>
      <xdr:colOff>447675</xdr:colOff>
      <xdr:row>385</xdr:row>
      <xdr:rowOff>0</xdr:rowOff>
    </xdr:to>
    <xdr:sp macro="" textlink="">
      <xdr:nvSpPr>
        <xdr:cNvPr id="5370" name="Line 4">
          <a:extLst>
            <a:ext uri="{FF2B5EF4-FFF2-40B4-BE49-F238E27FC236}">
              <a16:creationId xmlns:a16="http://schemas.microsoft.com/office/drawing/2014/main" id="{8309F1E6-2A8B-4909-B48A-52F0D0B4CDB9}"/>
            </a:ext>
          </a:extLst>
        </xdr:cNvPr>
        <xdr:cNvSpPr>
          <a:spLocks noChangeShapeType="1"/>
        </xdr:cNvSpPr>
      </xdr:nvSpPr>
      <xdr:spPr bwMode="auto">
        <a:xfrm>
          <a:off x="7686675" y="69162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71" name="Line 14">
          <a:extLst>
            <a:ext uri="{FF2B5EF4-FFF2-40B4-BE49-F238E27FC236}">
              <a16:creationId xmlns:a16="http://schemas.microsoft.com/office/drawing/2014/main" id="{B094C136-89D0-409A-BF99-F838377CEF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72" name="Line 15">
          <a:extLst>
            <a:ext uri="{FF2B5EF4-FFF2-40B4-BE49-F238E27FC236}">
              <a16:creationId xmlns:a16="http://schemas.microsoft.com/office/drawing/2014/main" id="{74726B85-8022-46FE-A586-0737DC66DCA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384</xdr:row>
      <xdr:rowOff>0</xdr:rowOff>
    </xdr:from>
    <xdr:to>
      <xdr:col>18</xdr:col>
      <xdr:colOff>438150</xdr:colOff>
      <xdr:row>385</xdr:row>
      <xdr:rowOff>0</xdr:rowOff>
    </xdr:to>
    <xdr:sp macro="" textlink="">
      <xdr:nvSpPr>
        <xdr:cNvPr id="5373" name="Line 42">
          <a:extLst>
            <a:ext uri="{FF2B5EF4-FFF2-40B4-BE49-F238E27FC236}">
              <a16:creationId xmlns:a16="http://schemas.microsoft.com/office/drawing/2014/main" id="{35334273-A11D-4ADB-9AF4-2563FE941E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162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374" name="Line 4">
          <a:extLst>
            <a:ext uri="{FF2B5EF4-FFF2-40B4-BE49-F238E27FC236}">
              <a16:creationId xmlns:a16="http://schemas.microsoft.com/office/drawing/2014/main" id="{575F855E-1D52-4EED-9151-19F8C4CDFD0B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375" name="Line 14">
          <a:extLst>
            <a:ext uri="{FF2B5EF4-FFF2-40B4-BE49-F238E27FC236}">
              <a16:creationId xmlns:a16="http://schemas.microsoft.com/office/drawing/2014/main" id="{5DF405E8-C2A6-4AE0-AEEF-06665880E0E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0" name="Line 15">
          <a:extLst>
            <a:ext uri="{FF2B5EF4-FFF2-40B4-BE49-F238E27FC236}">
              <a16:creationId xmlns:a16="http://schemas.microsoft.com/office/drawing/2014/main" id="{B4358865-6B23-4726-AB3D-F2B08CA2DFC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1" name="Line 42">
          <a:extLst>
            <a:ext uri="{FF2B5EF4-FFF2-40B4-BE49-F238E27FC236}">
              <a16:creationId xmlns:a16="http://schemas.microsoft.com/office/drawing/2014/main" id="{F351CB0C-DEF1-4640-B28D-454A0317E9F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762" name="Line 4">
          <a:extLst>
            <a:ext uri="{FF2B5EF4-FFF2-40B4-BE49-F238E27FC236}">
              <a16:creationId xmlns:a16="http://schemas.microsoft.com/office/drawing/2014/main" id="{36FA9EB6-811C-487D-BD67-04CA61D62831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3" name="Line 14">
          <a:extLst>
            <a:ext uri="{FF2B5EF4-FFF2-40B4-BE49-F238E27FC236}">
              <a16:creationId xmlns:a16="http://schemas.microsoft.com/office/drawing/2014/main" id="{0F989ADD-1CDD-4439-BBBD-F8144EEE031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4" name="Line 15">
          <a:extLst>
            <a:ext uri="{FF2B5EF4-FFF2-40B4-BE49-F238E27FC236}">
              <a16:creationId xmlns:a16="http://schemas.microsoft.com/office/drawing/2014/main" id="{A883AB24-8ED6-498C-9140-7656145B0C6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5" name="Line 42">
          <a:extLst>
            <a:ext uri="{FF2B5EF4-FFF2-40B4-BE49-F238E27FC236}">
              <a16:creationId xmlns:a16="http://schemas.microsoft.com/office/drawing/2014/main" id="{A88E513B-461A-49AE-A147-8892A6ABB25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766" name="Line 4">
          <a:extLst>
            <a:ext uri="{FF2B5EF4-FFF2-40B4-BE49-F238E27FC236}">
              <a16:creationId xmlns:a16="http://schemas.microsoft.com/office/drawing/2014/main" id="{B0A3E601-0C07-4BB9-A61A-94DA07DABA9F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7" name="Line 14">
          <a:extLst>
            <a:ext uri="{FF2B5EF4-FFF2-40B4-BE49-F238E27FC236}">
              <a16:creationId xmlns:a16="http://schemas.microsoft.com/office/drawing/2014/main" id="{0434B09D-2A75-4297-9EC9-B9D4ABF5949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8" name="Line 15">
          <a:extLst>
            <a:ext uri="{FF2B5EF4-FFF2-40B4-BE49-F238E27FC236}">
              <a16:creationId xmlns:a16="http://schemas.microsoft.com/office/drawing/2014/main" id="{48260F3B-483E-48D5-B5A1-F3CE3E55634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69" name="Line 42">
          <a:extLst>
            <a:ext uri="{FF2B5EF4-FFF2-40B4-BE49-F238E27FC236}">
              <a16:creationId xmlns:a16="http://schemas.microsoft.com/office/drawing/2014/main" id="{D682FD1A-8A31-4067-A9A5-0A9AA600612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770" name="Line 4">
          <a:extLst>
            <a:ext uri="{FF2B5EF4-FFF2-40B4-BE49-F238E27FC236}">
              <a16:creationId xmlns:a16="http://schemas.microsoft.com/office/drawing/2014/main" id="{7FC85D82-F51D-4FD1-9EA6-7CB1888FBD04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1" name="Line 14">
          <a:extLst>
            <a:ext uri="{FF2B5EF4-FFF2-40B4-BE49-F238E27FC236}">
              <a16:creationId xmlns:a16="http://schemas.microsoft.com/office/drawing/2014/main" id="{63B49FF0-2003-4E12-8FFB-F725A828001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2" name="Line 15">
          <a:extLst>
            <a:ext uri="{FF2B5EF4-FFF2-40B4-BE49-F238E27FC236}">
              <a16:creationId xmlns:a16="http://schemas.microsoft.com/office/drawing/2014/main" id="{8810AB31-75FE-42AC-9D54-6DF593162D0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3" name="Line 42">
          <a:extLst>
            <a:ext uri="{FF2B5EF4-FFF2-40B4-BE49-F238E27FC236}">
              <a16:creationId xmlns:a16="http://schemas.microsoft.com/office/drawing/2014/main" id="{BE763C1E-1218-4CD5-A8F6-7C2A7B1753D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774" name="Line 4">
          <a:extLst>
            <a:ext uri="{FF2B5EF4-FFF2-40B4-BE49-F238E27FC236}">
              <a16:creationId xmlns:a16="http://schemas.microsoft.com/office/drawing/2014/main" id="{49661D8C-DD48-482A-AD89-3030D83A843E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5" name="Line 14">
          <a:extLst>
            <a:ext uri="{FF2B5EF4-FFF2-40B4-BE49-F238E27FC236}">
              <a16:creationId xmlns:a16="http://schemas.microsoft.com/office/drawing/2014/main" id="{C3E569A4-5F87-4D3E-98BD-BBE04F7BCA0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6" name="Line 15">
          <a:extLst>
            <a:ext uri="{FF2B5EF4-FFF2-40B4-BE49-F238E27FC236}">
              <a16:creationId xmlns:a16="http://schemas.microsoft.com/office/drawing/2014/main" id="{896798BE-9F4C-4ED4-B8BF-FE21B5CE5C0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7" name="Line 42">
          <a:extLst>
            <a:ext uri="{FF2B5EF4-FFF2-40B4-BE49-F238E27FC236}">
              <a16:creationId xmlns:a16="http://schemas.microsoft.com/office/drawing/2014/main" id="{70723CE7-9113-4AA3-8121-B23125A0F1B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386</xdr:row>
      <xdr:rowOff>0</xdr:rowOff>
    </xdr:from>
    <xdr:to>
      <xdr:col>18</xdr:col>
      <xdr:colOff>447675</xdr:colOff>
      <xdr:row>387</xdr:row>
      <xdr:rowOff>0</xdr:rowOff>
    </xdr:to>
    <xdr:sp macro="" textlink="">
      <xdr:nvSpPr>
        <xdr:cNvPr id="5778" name="Line 4">
          <a:extLst>
            <a:ext uri="{FF2B5EF4-FFF2-40B4-BE49-F238E27FC236}">
              <a16:creationId xmlns:a16="http://schemas.microsoft.com/office/drawing/2014/main" id="{875057EF-10D6-4923-B745-1536DCF9C45D}"/>
            </a:ext>
          </a:extLst>
        </xdr:cNvPr>
        <xdr:cNvSpPr>
          <a:spLocks noChangeShapeType="1"/>
        </xdr:cNvSpPr>
      </xdr:nvSpPr>
      <xdr:spPr bwMode="auto">
        <a:xfrm>
          <a:off x="7686675" y="69585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79" name="Line 14">
          <a:extLst>
            <a:ext uri="{FF2B5EF4-FFF2-40B4-BE49-F238E27FC236}">
              <a16:creationId xmlns:a16="http://schemas.microsoft.com/office/drawing/2014/main" id="{29467EBF-F70D-406A-BBBD-D0B10932C0B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80" name="Line 15">
          <a:extLst>
            <a:ext uri="{FF2B5EF4-FFF2-40B4-BE49-F238E27FC236}">
              <a16:creationId xmlns:a16="http://schemas.microsoft.com/office/drawing/2014/main" id="{C36CE443-F723-495B-9684-5C69D08CFA0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386</xdr:row>
      <xdr:rowOff>0</xdr:rowOff>
    </xdr:from>
    <xdr:to>
      <xdr:col>18</xdr:col>
      <xdr:colOff>438150</xdr:colOff>
      <xdr:row>387</xdr:row>
      <xdr:rowOff>0</xdr:rowOff>
    </xdr:to>
    <xdr:sp macro="" textlink="">
      <xdr:nvSpPr>
        <xdr:cNvPr id="5781" name="Line 42">
          <a:extLst>
            <a:ext uri="{FF2B5EF4-FFF2-40B4-BE49-F238E27FC236}">
              <a16:creationId xmlns:a16="http://schemas.microsoft.com/office/drawing/2014/main" id="{A40DCC71-2E80-4640-A745-3E7AC17EF0A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69585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782" name="Line 4">
          <a:extLst>
            <a:ext uri="{FF2B5EF4-FFF2-40B4-BE49-F238E27FC236}">
              <a16:creationId xmlns:a16="http://schemas.microsoft.com/office/drawing/2014/main" id="{25737482-B1E2-4AE8-B46C-B3038CBCC6D0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3" name="Line 14">
          <a:extLst>
            <a:ext uri="{FF2B5EF4-FFF2-40B4-BE49-F238E27FC236}">
              <a16:creationId xmlns:a16="http://schemas.microsoft.com/office/drawing/2014/main" id="{F120DD33-72C1-4238-949E-556A9CDB8EB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4" name="Line 15">
          <a:extLst>
            <a:ext uri="{FF2B5EF4-FFF2-40B4-BE49-F238E27FC236}">
              <a16:creationId xmlns:a16="http://schemas.microsoft.com/office/drawing/2014/main" id="{5C9C9A1A-3478-4E0B-B91D-B2FC51B6B78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5" name="Line 42">
          <a:extLst>
            <a:ext uri="{FF2B5EF4-FFF2-40B4-BE49-F238E27FC236}">
              <a16:creationId xmlns:a16="http://schemas.microsoft.com/office/drawing/2014/main" id="{67886740-7874-4655-9628-E4FBBFA449C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786" name="Line 4">
          <a:extLst>
            <a:ext uri="{FF2B5EF4-FFF2-40B4-BE49-F238E27FC236}">
              <a16:creationId xmlns:a16="http://schemas.microsoft.com/office/drawing/2014/main" id="{EA30DA46-1C89-4F25-BDCE-FC3D12EF68C4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7" name="Line 14">
          <a:extLst>
            <a:ext uri="{FF2B5EF4-FFF2-40B4-BE49-F238E27FC236}">
              <a16:creationId xmlns:a16="http://schemas.microsoft.com/office/drawing/2014/main" id="{C861ECE6-64B5-4588-8CBF-4FD099A4D5D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8" name="Line 15">
          <a:extLst>
            <a:ext uri="{FF2B5EF4-FFF2-40B4-BE49-F238E27FC236}">
              <a16:creationId xmlns:a16="http://schemas.microsoft.com/office/drawing/2014/main" id="{63CAF892-58BA-4143-95AC-324000E1C1D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89" name="Line 42">
          <a:extLst>
            <a:ext uri="{FF2B5EF4-FFF2-40B4-BE49-F238E27FC236}">
              <a16:creationId xmlns:a16="http://schemas.microsoft.com/office/drawing/2014/main" id="{6545FD66-E6EA-4079-85A8-670F46DEDB0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790" name="Line 4">
          <a:extLst>
            <a:ext uri="{FF2B5EF4-FFF2-40B4-BE49-F238E27FC236}">
              <a16:creationId xmlns:a16="http://schemas.microsoft.com/office/drawing/2014/main" id="{EC74DE6B-B4EB-4A14-857E-F9072C081F7D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91" name="Line 14">
          <a:extLst>
            <a:ext uri="{FF2B5EF4-FFF2-40B4-BE49-F238E27FC236}">
              <a16:creationId xmlns:a16="http://schemas.microsoft.com/office/drawing/2014/main" id="{51AAF058-B9D4-489D-BEB6-95E4E5F98B8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92" name="Line 15">
          <a:extLst>
            <a:ext uri="{FF2B5EF4-FFF2-40B4-BE49-F238E27FC236}">
              <a16:creationId xmlns:a16="http://schemas.microsoft.com/office/drawing/2014/main" id="{22753CA7-835A-455A-92A6-1BFB6AC2F6E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793" name="Line 42">
          <a:extLst>
            <a:ext uri="{FF2B5EF4-FFF2-40B4-BE49-F238E27FC236}">
              <a16:creationId xmlns:a16="http://schemas.microsoft.com/office/drawing/2014/main" id="{59653D90-FD6F-43B6-A9BD-7AD338BC49C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794" name="Line 4">
          <a:extLst>
            <a:ext uri="{FF2B5EF4-FFF2-40B4-BE49-F238E27FC236}">
              <a16:creationId xmlns:a16="http://schemas.microsoft.com/office/drawing/2014/main" id="{1FF28ADE-89CD-41D6-BBFF-894AB6376634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795" name="Line 14">
          <a:extLst>
            <a:ext uri="{FF2B5EF4-FFF2-40B4-BE49-F238E27FC236}">
              <a16:creationId xmlns:a16="http://schemas.microsoft.com/office/drawing/2014/main" id="{DB9C0D8B-960D-4F8E-A8BC-0B5FE781E03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796" name="Line 15">
          <a:extLst>
            <a:ext uri="{FF2B5EF4-FFF2-40B4-BE49-F238E27FC236}">
              <a16:creationId xmlns:a16="http://schemas.microsoft.com/office/drawing/2014/main" id="{7EA6A69C-9A34-447D-8515-7CBA32CC37D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797" name="Line 42">
          <a:extLst>
            <a:ext uri="{FF2B5EF4-FFF2-40B4-BE49-F238E27FC236}">
              <a16:creationId xmlns:a16="http://schemas.microsoft.com/office/drawing/2014/main" id="{C75B28A9-DD2E-41BC-8B8F-231A401EBC5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798" name="Line 4">
          <a:extLst>
            <a:ext uri="{FF2B5EF4-FFF2-40B4-BE49-F238E27FC236}">
              <a16:creationId xmlns:a16="http://schemas.microsoft.com/office/drawing/2014/main" id="{045E9D47-ABC8-419C-943B-0DFC61AA80DA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799" name="Line 14">
          <a:extLst>
            <a:ext uri="{FF2B5EF4-FFF2-40B4-BE49-F238E27FC236}">
              <a16:creationId xmlns:a16="http://schemas.microsoft.com/office/drawing/2014/main" id="{D311EDC6-0F9B-4528-AF35-742C955E7B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04" name="Line 15">
          <a:extLst>
            <a:ext uri="{FF2B5EF4-FFF2-40B4-BE49-F238E27FC236}">
              <a16:creationId xmlns:a16="http://schemas.microsoft.com/office/drawing/2014/main" id="{376E38AE-A8B3-405D-B0F4-73DA8ECE4E7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05" name="Line 42">
          <a:extLst>
            <a:ext uri="{FF2B5EF4-FFF2-40B4-BE49-F238E27FC236}">
              <a16:creationId xmlns:a16="http://schemas.microsoft.com/office/drawing/2014/main" id="{83D48E68-A80E-4274-9A97-4A782D9BD04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06" name="Line 4">
          <a:extLst>
            <a:ext uri="{FF2B5EF4-FFF2-40B4-BE49-F238E27FC236}">
              <a16:creationId xmlns:a16="http://schemas.microsoft.com/office/drawing/2014/main" id="{989ED5C3-1F3C-4497-A7DD-E08589895DDD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07" name="Line 14">
          <a:extLst>
            <a:ext uri="{FF2B5EF4-FFF2-40B4-BE49-F238E27FC236}">
              <a16:creationId xmlns:a16="http://schemas.microsoft.com/office/drawing/2014/main" id="{7597569E-291D-4BE8-A95F-C4D92EE43C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08" name="Line 15">
          <a:extLst>
            <a:ext uri="{FF2B5EF4-FFF2-40B4-BE49-F238E27FC236}">
              <a16:creationId xmlns:a16="http://schemas.microsoft.com/office/drawing/2014/main" id="{61080FE7-A807-4255-A283-68665DAB347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09" name="Line 42">
          <a:extLst>
            <a:ext uri="{FF2B5EF4-FFF2-40B4-BE49-F238E27FC236}">
              <a16:creationId xmlns:a16="http://schemas.microsoft.com/office/drawing/2014/main" id="{071E88EB-6C03-4DEE-BFE2-668E737491C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10" name="Line 4">
          <a:extLst>
            <a:ext uri="{FF2B5EF4-FFF2-40B4-BE49-F238E27FC236}">
              <a16:creationId xmlns:a16="http://schemas.microsoft.com/office/drawing/2014/main" id="{BF7DC443-2B7B-4825-B21B-989B5FF75B4C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11" name="Line 14">
          <a:extLst>
            <a:ext uri="{FF2B5EF4-FFF2-40B4-BE49-F238E27FC236}">
              <a16:creationId xmlns:a16="http://schemas.microsoft.com/office/drawing/2014/main" id="{0D9490A0-4D61-4EEF-9217-C94860FD624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24" name="Line 15">
          <a:extLst>
            <a:ext uri="{FF2B5EF4-FFF2-40B4-BE49-F238E27FC236}">
              <a16:creationId xmlns:a16="http://schemas.microsoft.com/office/drawing/2014/main" id="{515D32B8-9755-4128-8020-9F5D6843BC0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25" name="Line 42">
          <a:extLst>
            <a:ext uri="{FF2B5EF4-FFF2-40B4-BE49-F238E27FC236}">
              <a16:creationId xmlns:a16="http://schemas.microsoft.com/office/drawing/2014/main" id="{004FCD97-0718-4138-9F34-781EFEC210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26" name="Line 4">
          <a:extLst>
            <a:ext uri="{FF2B5EF4-FFF2-40B4-BE49-F238E27FC236}">
              <a16:creationId xmlns:a16="http://schemas.microsoft.com/office/drawing/2014/main" id="{E48D170C-1940-4888-8B76-25EDC3D81C60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27" name="Line 14">
          <a:extLst>
            <a:ext uri="{FF2B5EF4-FFF2-40B4-BE49-F238E27FC236}">
              <a16:creationId xmlns:a16="http://schemas.microsoft.com/office/drawing/2014/main" id="{9C4ECEFD-CA0E-480A-B52E-26D42DC6C93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28" name="Line 15">
          <a:extLst>
            <a:ext uri="{FF2B5EF4-FFF2-40B4-BE49-F238E27FC236}">
              <a16:creationId xmlns:a16="http://schemas.microsoft.com/office/drawing/2014/main" id="{1141FF05-BF39-4978-998C-9786A05EB26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29" name="Line 42">
          <a:extLst>
            <a:ext uri="{FF2B5EF4-FFF2-40B4-BE49-F238E27FC236}">
              <a16:creationId xmlns:a16="http://schemas.microsoft.com/office/drawing/2014/main" id="{6C682689-A01F-4FDB-8826-498E8DA5B8D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30" name="Line 4">
          <a:extLst>
            <a:ext uri="{FF2B5EF4-FFF2-40B4-BE49-F238E27FC236}">
              <a16:creationId xmlns:a16="http://schemas.microsoft.com/office/drawing/2014/main" id="{AABFE0CD-540F-45A6-B971-E4F6750EE03D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31" name="Line 14">
          <a:extLst>
            <a:ext uri="{FF2B5EF4-FFF2-40B4-BE49-F238E27FC236}">
              <a16:creationId xmlns:a16="http://schemas.microsoft.com/office/drawing/2014/main" id="{B55F8D10-E9C1-4118-A060-5936FFA431E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32" name="Line 15">
          <a:extLst>
            <a:ext uri="{FF2B5EF4-FFF2-40B4-BE49-F238E27FC236}">
              <a16:creationId xmlns:a16="http://schemas.microsoft.com/office/drawing/2014/main" id="{1A00F09E-5758-49EB-998A-56DAD2FD312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33" name="Line 42">
          <a:extLst>
            <a:ext uri="{FF2B5EF4-FFF2-40B4-BE49-F238E27FC236}">
              <a16:creationId xmlns:a16="http://schemas.microsoft.com/office/drawing/2014/main" id="{09036702-CBA6-4D81-9F5E-E714DD3C96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834" name="Line 4">
          <a:extLst>
            <a:ext uri="{FF2B5EF4-FFF2-40B4-BE49-F238E27FC236}">
              <a16:creationId xmlns:a16="http://schemas.microsoft.com/office/drawing/2014/main" id="{6E6A5507-887C-4785-9CAB-060C60D9023A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35" name="Line 14">
          <a:extLst>
            <a:ext uri="{FF2B5EF4-FFF2-40B4-BE49-F238E27FC236}">
              <a16:creationId xmlns:a16="http://schemas.microsoft.com/office/drawing/2014/main" id="{0A6C25BF-D84F-454F-9946-AD5569E6919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36" name="Line 15">
          <a:extLst>
            <a:ext uri="{FF2B5EF4-FFF2-40B4-BE49-F238E27FC236}">
              <a16:creationId xmlns:a16="http://schemas.microsoft.com/office/drawing/2014/main" id="{610567DE-54A3-4514-8AF6-3A68B48599A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37" name="Line 42">
          <a:extLst>
            <a:ext uri="{FF2B5EF4-FFF2-40B4-BE49-F238E27FC236}">
              <a16:creationId xmlns:a16="http://schemas.microsoft.com/office/drawing/2014/main" id="{644B47BA-EBA5-4D1E-8298-2FB136826F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838" name="Line 4">
          <a:extLst>
            <a:ext uri="{FF2B5EF4-FFF2-40B4-BE49-F238E27FC236}">
              <a16:creationId xmlns:a16="http://schemas.microsoft.com/office/drawing/2014/main" id="{D7250D20-A3BC-4C29-9C50-6B287F9AAEA5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39" name="Line 14">
          <a:extLst>
            <a:ext uri="{FF2B5EF4-FFF2-40B4-BE49-F238E27FC236}">
              <a16:creationId xmlns:a16="http://schemas.microsoft.com/office/drawing/2014/main" id="{FAA604F5-BF43-4248-BB30-877EE097972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40" name="Line 15">
          <a:extLst>
            <a:ext uri="{FF2B5EF4-FFF2-40B4-BE49-F238E27FC236}">
              <a16:creationId xmlns:a16="http://schemas.microsoft.com/office/drawing/2014/main" id="{D1E9D664-54A1-434D-8740-4E3AE35CFDE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41" name="Line 42">
          <a:extLst>
            <a:ext uri="{FF2B5EF4-FFF2-40B4-BE49-F238E27FC236}">
              <a16:creationId xmlns:a16="http://schemas.microsoft.com/office/drawing/2014/main" id="{90DA53D6-90E2-443C-B770-06C402F4D45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457</xdr:row>
      <xdr:rowOff>0</xdr:rowOff>
    </xdr:from>
    <xdr:to>
      <xdr:col>18</xdr:col>
      <xdr:colOff>447675</xdr:colOff>
      <xdr:row>458</xdr:row>
      <xdr:rowOff>0</xdr:rowOff>
    </xdr:to>
    <xdr:sp macro="" textlink="">
      <xdr:nvSpPr>
        <xdr:cNvPr id="5842" name="Line 4">
          <a:extLst>
            <a:ext uri="{FF2B5EF4-FFF2-40B4-BE49-F238E27FC236}">
              <a16:creationId xmlns:a16="http://schemas.microsoft.com/office/drawing/2014/main" id="{3F9B155A-0006-4203-92C2-FBCE672BD752}"/>
            </a:ext>
          </a:extLst>
        </xdr:cNvPr>
        <xdr:cNvSpPr>
          <a:spLocks noChangeShapeType="1"/>
        </xdr:cNvSpPr>
      </xdr:nvSpPr>
      <xdr:spPr bwMode="auto">
        <a:xfrm>
          <a:off x="7686675" y="85280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43" name="Line 14">
          <a:extLst>
            <a:ext uri="{FF2B5EF4-FFF2-40B4-BE49-F238E27FC236}">
              <a16:creationId xmlns:a16="http://schemas.microsoft.com/office/drawing/2014/main" id="{7ECBDC92-9D6F-49FF-8935-28871F420FE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44" name="Line 15">
          <a:extLst>
            <a:ext uri="{FF2B5EF4-FFF2-40B4-BE49-F238E27FC236}">
              <a16:creationId xmlns:a16="http://schemas.microsoft.com/office/drawing/2014/main" id="{3E23F5F4-C0AB-4674-AC19-9BE2165A7FC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457</xdr:row>
      <xdr:rowOff>0</xdr:rowOff>
    </xdr:from>
    <xdr:to>
      <xdr:col>18</xdr:col>
      <xdr:colOff>438150</xdr:colOff>
      <xdr:row>458</xdr:row>
      <xdr:rowOff>0</xdr:rowOff>
    </xdr:to>
    <xdr:sp macro="" textlink="">
      <xdr:nvSpPr>
        <xdr:cNvPr id="5845" name="Line 42">
          <a:extLst>
            <a:ext uri="{FF2B5EF4-FFF2-40B4-BE49-F238E27FC236}">
              <a16:creationId xmlns:a16="http://schemas.microsoft.com/office/drawing/2014/main" id="{2EAC87E7-3E7C-4125-9422-5C66F044755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280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46" name="Line 4">
          <a:extLst>
            <a:ext uri="{FF2B5EF4-FFF2-40B4-BE49-F238E27FC236}">
              <a16:creationId xmlns:a16="http://schemas.microsoft.com/office/drawing/2014/main" id="{026877A5-19EE-4BE9-9643-A130C3135FC4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47" name="Line 14">
          <a:extLst>
            <a:ext uri="{FF2B5EF4-FFF2-40B4-BE49-F238E27FC236}">
              <a16:creationId xmlns:a16="http://schemas.microsoft.com/office/drawing/2014/main" id="{514DFEF9-2E32-4A77-A2ED-BD661BADC49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48" name="Line 15">
          <a:extLst>
            <a:ext uri="{FF2B5EF4-FFF2-40B4-BE49-F238E27FC236}">
              <a16:creationId xmlns:a16="http://schemas.microsoft.com/office/drawing/2014/main" id="{F1353FCE-C759-447B-BD65-1C22446DE8D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49" name="Line 42">
          <a:extLst>
            <a:ext uri="{FF2B5EF4-FFF2-40B4-BE49-F238E27FC236}">
              <a16:creationId xmlns:a16="http://schemas.microsoft.com/office/drawing/2014/main" id="{FB39CECD-0C75-4FE4-A2D1-755C789BBC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50" name="Line 4">
          <a:extLst>
            <a:ext uri="{FF2B5EF4-FFF2-40B4-BE49-F238E27FC236}">
              <a16:creationId xmlns:a16="http://schemas.microsoft.com/office/drawing/2014/main" id="{34E493E4-5767-48B5-8FED-4A281E53DE7D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1" name="Line 14">
          <a:extLst>
            <a:ext uri="{FF2B5EF4-FFF2-40B4-BE49-F238E27FC236}">
              <a16:creationId xmlns:a16="http://schemas.microsoft.com/office/drawing/2014/main" id="{86D82D44-5EA6-4B54-BE01-2830DBBC1FA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2" name="Line 15">
          <a:extLst>
            <a:ext uri="{FF2B5EF4-FFF2-40B4-BE49-F238E27FC236}">
              <a16:creationId xmlns:a16="http://schemas.microsoft.com/office/drawing/2014/main" id="{3264669A-D288-4A74-A92E-4F2EE9B071E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3" name="Line 42">
          <a:extLst>
            <a:ext uri="{FF2B5EF4-FFF2-40B4-BE49-F238E27FC236}">
              <a16:creationId xmlns:a16="http://schemas.microsoft.com/office/drawing/2014/main" id="{D53A3C68-8D7D-491E-B6AD-1C230E76093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54" name="Line 4">
          <a:extLst>
            <a:ext uri="{FF2B5EF4-FFF2-40B4-BE49-F238E27FC236}">
              <a16:creationId xmlns:a16="http://schemas.microsoft.com/office/drawing/2014/main" id="{CED89C38-7794-45E5-8F74-71437C8EB0F6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5" name="Line 14">
          <a:extLst>
            <a:ext uri="{FF2B5EF4-FFF2-40B4-BE49-F238E27FC236}">
              <a16:creationId xmlns:a16="http://schemas.microsoft.com/office/drawing/2014/main" id="{0EAEF752-3632-4BCA-935A-34573E8B5C2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6" name="Line 15">
          <a:extLst>
            <a:ext uri="{FF2B5EF4-FFF2-40B4-BE49-F238E27FC236}">
              <a16:creationId xmlns:a16="http://schemas.microsoft.com/office/drawing/2014/main" id="{712B2363-ECC4-4041-996C-C947FB87D6B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7" name="Line 42">
          <a:extLst>
            <a:ext uri="{FF2B5EF4-FFF2-40B4-BE49-F238E27FC236}">
              <a16:creationId xmlns:a16="http://schemas.microsoft.com/office/drawing/2014/main" id="{30BEE653-9DE6-47C2-A18D-94FAC7D6F16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58" name="Line 4">
          <a:extLst>
            <a:ext uri="{FF2B5EF4-FFF2-40B4-BE49-F238E27FC236}">
              <a16:creationId xmlns:a16="http://schemas.microsoft.com/office/drawing/2014/main" id="{A5B37B48-5E7A-4A4C-8BAE-90AF30C1159B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59" name="Line 14">
          <a:extLst>
            <a:ext uri="{FF2B5EF4-FFF2-40B4-BE49-F238E27FC236}">
              <a16:creationId xmlns:a16="http://schemas.microsoft.com/office/drawing/2014/main" id="{EF0BF99D-B062-4DDD-BC35-71778F9DCD5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0" name="Line 15">
          <a:extLst>
            <a:ext uri="{FF2B5EF4-FFF2-40B4-BE49-F238E27FC236}">
              <a16:creationId xmlns:a16="http://schemas.microsoft.com/office/drawing/2014/main" id="{5433DFF1-EAB7-4433-8859-BBD1BC3291C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1" name="Line 42">
          <a:extLst>
            <a:ext uri="{FF2B5EF4-FFF2-40B4-BE49-F238E27FC236}">
              <a16:creationId xmlns:a16="http://schemas.microsoft.com/office/drawing/2014/main" id="{8B54BE8D-FBF6-453D-857E-2C0096F49C0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62" name="Line 4">
          <a:extLst>
            <a:ext uri="{FF2B5EF4-FFF2-40B4-BE49-F238E27FC236}">
              <a16:creationId xmlns:a16="http://schemas.microsoft.com/office/drawing/2014/main" id="{AFEF4391-17F9-4DAD-AECC-EC29D29932F8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3" name="Line 14">
          <a:extLst>
            <a:ext uri="{FF2B5EF4-FFF2-40B4-BE49-F238E27FC236}">
              <a16:creationId xmlns:a16="http://schemas.microsoft.com/office/drawing/2014/main" id="{6F4273A4-15C6-4645-A1F0-DB476E1C932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4" name="Line 15">
          <a:extLst>
            <a:ext uri="{FF2B5EF4-FFF2-40B4-BE49-F238E27FC236}">
              <a16:creationId xmlns:a16="http://schemas.microsoft.com/office/drawing/2014/main" id="{01732F35-2A3F-4F8E-9A85-C0B8E8B618E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5" name="Line 42">
          <a:extLst>
            <a:ext uri="{FF2B5EF4-FFF2-40B4-BE49-F238E27FC236}">
              <a16:creationId xmlns:a16="http://schemas.microsoft.com/office/drawing/2014/main" id="{7137648B-A998-4B35-9A39-95EE36A693C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459</xdr:row>
      <xdr:rowOff>0</xdr:rowOff>
    </xdr:from>
    <xdr:to>
      <xdr:col>18</xdr:col>
      <xdr:colOff>447675</xdr:colOff>
      <xdr:row>460</xdr:row>
      <xdr:rowOff>0</xdr:rowOff>
    </xdr:to>
    <xdr:sp macro="" textlink="">
      <xdr:nvSpPr>
        <xdr:cNvPr id="5866" name="Line 4">
          <a:extLst>
            <a:ext uri="{FF2B5EF4-FFF2-40B4-BE49-F238E27FC236}">
              <a16:creationId xmlns:a16="http://schemas.microsoft.com/office/drawing/2014/main" id="{67C22EA4-AF13-4E1A-9EFA-1405ADF9AD62}"/>
            </a:ext>
          </a:extLst>
        </xdr:cNvPr>
        <xdr:cNvSpPr>
          <a:spLocks noChangeShapeType="1"/>
        </xdr:cNvSpPr>
      </xdr:nvSpPr>
      <xdr:spPr bwMode="auto">
        <a:xfrm>
          <a:off x="7686675" y="85703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7" name="Line 14">
          <a:extLst>
            <a:ext uri="{FF2B5EF4-FFF2-40B4-BE49-F238E27FC236}">
              <a16:creationId xmlns:a16="http://schemas.microsoft.com/office/drawing/2014/main" id="{F83D98EE-697C-4138-B80F-108DE370FF2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8" name="Line 15">
          <a:extLst>
            <a:ext uri="{FF2B5EF4-FFF2-40B4-BE49-F238E27FC236}">
              <a16:creationId xmlns:a16="http://schemas.microsoft.com/office/drawing/2014/main" id="{C4F7F41A-6B65-4CD4-ACB3-E402A957EBF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459</xdr:row>
      <xdr:rowOff>0</xdr:rowOff>
    </xdr:from>
    <xdr:to>
      <xdr:col>18</xdr:col>
      <xdr:colOff>438150</xdr:colOff>
      <xdr:row>460</xdr:row>
      <xdr:rowOff>0</xdr:rowOff>
    </xdr:to>
    <xdr:sp macro="" textlink="">
      <xdr:nvSpPr>
        <xdr:cNvPr id="5869" name="Line 42">
          <a:extLst>
            <a:ext uri="{FF2B5EF4-FFF2-40B4-BE49-F238E27FC236}">
              <a16:creationId xmlns:a16="http://schemas.microsoft.com/office/drawing/2014/main" id="{9DB46903-1CF1-46E0-B5C7-6C40DA89F82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85703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870" name="Line 4">
          <a:extLst>
            <a:ext uri="{FF2B5EF4-FFF2-40B4-BE49-F238E27FC236}">
              <a16:creationId xmlns:a16="http://schemas.microsoft.com/office/drawing/2014/main" id="{B4EB9AF4-DD2B-48D6-9747-A8B405DD8BB2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1" name="Line 14">
          <a:extLst>
            <a:ext uri="{FF2B5EF4-FFF2-40B4-BE49-F238E27FC236}">
              <a16:creationId xmlns:a16="http://schemas.microsoft.com/office/drawing/2014/main" id="{948CFCE6-A3BE-42C3-88AC-C32D7358204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2" name="Line 15">
          <a:extLst>
            <a:ext uri="{FF2B5EF4-FFF2-40B4-BE49-F238E27FC236}">
              <a16:creationId xmlns:a16="http://schemas.microsoft.com/office/drawing/2014/main" id="{7FA8002A-1D7C-4351-9183-4D8E6EBC8C0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3" name="Line 42">
          <a:extLst>
            <a:ext uri="{FF2B5EF4-FFF2-40B4-BE49-F238E27FC236}">
              <a16:creationId xmlns:a16="http://schemas.microsoft.com/office/drawing/2014/main" id="{A5409FF9-45B4-46F7-932B-FB46ECBECD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874" name="Line 4">
          <a:extLst>
            <a:ext uri="{FF2B5EF4-FFF2-40B4-BE49-F238E27FC236}">
              <a16:creationId xmlns:a16="http://schemas.microsoft.com/office/drawing/2014/main" id="{7111AABE-8E6E-4CDF-AB7C-9B598F82CFF0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5" name="Line 14">
          <a:extLst>
            <a:ext uri="{FF2B5EF4-FFF2-40B4-BE49-F238E27FC236}">
              <a16:creationId xmlns:a16="http://schemas.microsoft.com/office/drawing/2014/main" id="{E638F2B2-1AFD-4387-8023-4D89F0EB461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6" name="Line 15">
          <a:extLst>
            <a:ext uri="{FF2B5EF4-FFF2-40B4-BE49-F238E27FC236}">
              <a16:creationId xmlns:a16="http://schemas.microsoft.com/office/drawing/2014/main" id="{8F7E6F84-B3FF-4AC6-B73C-411B24ED727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7" name="Line 42">
          <a:extLst>
            <a:ext uri="{FF2B5EF4-FFF2-40B4-BE49-F238E27FC236}">
              <a16:creationId xmlns:a16="http://schemas.microsoft.com/office/drawing/2014/main" id="{1C079280-9FC5-4452-AFB1-461B21B8900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878" name="Line 4">
          <a:extLst>
            <a:ext uri="{FF2B5EF4-FFF2-40B4-BE49-F238E27FC236}">
              <a16:creationId xmlns:a16="http://schemas.microsoft.com/office/drawing/2014/main" id="{197A45E2-FD76-43FF-8419-B237B76024A0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79" name="Line 14">
          <a:extLst>
            <a:ext uri="{FF2B5EF4-FFF2-40B4-BE49-F238E27FC236}">
              <a16:creationId xmlns:a16="http://schemas.microsoft.com/office/drawing/2014/main" id="{F0BA6202-3C85-4814-9BD2-2D44806FBC5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80" name="Line 15">
          <a:extLst>
            <a:ext uri="{FF2B5EF4-FFF2-40B4-BE49-F238E27FC236}">
              <a16:creationId xmlns:a16="http://schemas.microsoft.com/office/drawing/2014/main" id="{FCE31E07-B4E7-4946-B3F8-7550DD2838A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881" name="Line 42">
          <a:extLst>
            <a:ext uri="{FF2B5EF4-FFF2-40B4-BE49-F238E27FC236}">
              <a16:creationId xmlns:a16="http://schemas.microsoft.com/office/drawing/2014/main" id="{8AB4CD61-E65A-46D7-A7AC-6DCD0AA3F3C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882" name="Line 4">
          <a:extLst>
            <a:ext uri="{FF2B5EF4-FFF2-40B4-BE49-F238E27FC236}">
              <a16:creationId xmlns:a16="http://schemas.microsoft.com/office/drawing/2014/main" id="{0CF80FF7-D878-4156-BD7B-0927619D7C0F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3" name="Line 14">
          <a:extLst>
            <a:ext uri="{FF2B5EF4-FFF2-40B4-BE49-F238E27FC236}">
              <a16:creationId xmlns:a16="http://schemas.microsoft.com/office/drawing/2014/main" id="{00415B64-1E32-4B16-9497-73F97EE5D76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4" name="Line 15">
          <a:extLst>
            <a:ext uri="{FF2B5EF4-FFF2-40B4-BE49-F238E27FC236}">
              <a16:creationId xmlns:a16="http://schemas.microsoft.com/office/drawing/2014/main" id="{21E0C7F4-9204-48C3-81EE-3D65BD327A7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5" name="Line 42">
          <a:extLst>
            <a:ext uri="{FF2B5EF4-FFF2-40B4-BE49-F238E27FC236}">
              <a16:creationId xmlns:a16="http://schemas.microsoft.com/office/drawing/2014/main" id="{CE5E4D23-559E-4374-9674-C146F85A537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886" name="Line 4">
          <a:extLst>
            <a:ext uri="{FF2B5EF4-FFF2-40B4-BE49-F238E27FC236}">
              <a16:creationId xmlns:a16="http://schemas.microsoft.com/office/drawing/2014/main" id="{D714AD76-88D9-4DC1-A67D-1D9E1BEB03DA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7" name="Line 14">
          <a:extLst>
            <a:ext uri="{FF2B5EF4-FFF2-40B4-BE49-F238E27FC236}">
              <a16:creationId xmlns:a16="http://schemas.microsoft.com/office/drawing/2014/main" id="{01856F8E-8803-4F6B-8BB4-2831CB4892D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8" name="Line 15">
          <a:extLst>
            <a:ext uri="{FF2B5EF4-FFF2-40B4-BE49-F238E27FC236}">
              <a16:creationId xmlns:a16="http://schemas.microsoft.com/office/drawing/2014/main" id="{02F1ADC6-84B8-4373-A997-E1A0E6D25D7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89" name="Line 42">
          <a:extLst>
            <a:ext uri="{FF2B5EF4-FFF2-40B4-BE49-F238E27FC236}">
              <a16:creationId xmlns:a16="http://schemas.microsoft.com/office/drawing/2014/main" id="{84686D0E-F98B-4D3B-96F2-C5AC129C913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890" name="Line 4">
          <a:extLst>
            <a:ext uri="{FF2B5EF4-FFF2-40B4-BE49-F238E27FC236}">
              <a16:creationId xmlns:a16="http://schemas.microsoft.com/office/drawing/2014/main" id="{0919C033-4483-4AC3-865E-DB017E18F33A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1" name="Line 14">
          <a:extLst>
            <a:ext uri="{FF2B5EF4-FFF2-40B4-BE49-F238E27FC236}">
              <a16:creationId xmlns:a16="http://schemas.microsoft.com/office/drawing/2014/main" id="{41413304-E5A0-48B8-A150-A5E510DBC87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2" name="Line 15">
          <a:extLst>
            <a:ext uri="{FF2B5EF4-FFF2-40B4-BE49-F238E27FC236}">
              <a16:creationId xmlns:a16="http://schemas.microsoft.com/office/drawing/2014/main" id="{6BBEF05A-786C-429E-B9FB-1845D9239CA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3" name="Line 42">
          <a:extLst>
            <a:ext uri="{FF2B5EF4-FFF2-40B4-BE49-F238E27FC236}">
              <a16:creationId xmlns:a16="http://schemas.microsoft.com/office/drawing/2014/main" id="{04F129CB-8075-4A9B-9556-A227531B7AD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894" name="Line 4">
          <a:extLst>
            <a:ext uri="{FF2B5EF4-FFF2-40B4-BE49-F238E27FC236}">
              <a16:creationId xmlns:a16="http://schemas.microsoft.com/office/drawing/2014/main" id="{88092D20-8BF6-45DA-B967-FFE16FA08697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5" name="Line 14">
          <a:extLst>
            <a:ext uri="{FF2B5EF4-FFF2-40B4-BE49-F238E27FC236}">
              <a16:creationId xmlns:a16="http://schemas.microsoft.com/office/drawing/2014/main" id="{2AA2BDA9-069F-4529-A2E3-7243DDB4615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6" name="Line 15">
          <a:extLst>
            <a:ext uri="{FF2B5EF4-FFF2-40B4-BE49-F238E27FC236}">
              <a16:creationId xmlns:a16="http://schemas.microsoft.com/office/drawing/2014/main" id="{8DCCF846-DC9F-4666-9698-1B8EAA8981C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7" name="Line 42">
          <a:extLst>
            <a:ext uri="{FF2B5EF4-FFF2-40B4-BE49-F238E27FC236}">
              <a16:creationId xmlns:a16="http://schemas.microsoft.com/office/drawing/2014/main" id="{935A1550-3823-4595-A015-5D23E4E737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898" name="Line 4">
          <a:extLst>
            <a:ext uri="{FF2B5EF4-FFF2-40B4-BE49-F238E27FC236}">
              <a16:creationId xmlns:a16="http://schemas.microsoft.com/office/drawing/2014/main" id="{CFDBCA4C-5C3C-4ADD-98D8-57284E8B86A9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899" name="Line 14">
          <a:extLst>
            <a:ext uri="{FF2B5EF4-FFF2-40B4-BE49-F238E27FC236}">
              <a16:creationId xmlns:a16="http://schemas.microsoft.com/office/drawing/2014/main" id="{28D27E6C-46D5-4C72-93EE-D42FD1B8ADD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00" name="Line 15">
          <a:extLst>
            <a:ext uri="{FF2B5EF4-FFF2-40B4-BE49-F238E27FC236}">
              <a16:creationId xmlns:a16="http://schemas.microsoft.com/office/drawing/2014/main" id="{4655E73A-ED50-4C0A-9C21-0D33298ABB6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01" name="Line 42">
          <a:extLst>
            <a:ext uri="{FF2B5EF4-FFF2-40B4-BE49-F238E27FC236}">
              <a16:creationId xmlns:a16="http://schemas.microsoft.com/office/drawing/2014/main" id="{1EBAEA55-ECB1-4B7C-94CB-13CF305A47B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02" name="Line 4">
          <a:extLst>
            <a:ext uri="{FF2B5EF4-FFF2-40B4-BE49-F238E27FC236}">
              <a16:creationId xmlns:a16="http://schemas.microsoft.com/office/drawing/2014/main" id="{01CDCE14-D71E-4496-8A0B-D5660B8C5179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03" name="Line 14">
          <a:extLst>
            <a:ext uri="{FF2B5EF4-FFF2-40B4-BE49-F238E27FC236}">
              <a16:creationId xmlns:a16="http://schemas.microsoft.com/office/drawing/2014/main" id="{9A538DB5-3010-4B60-A484-D1061A33119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04" name="Line 15">
          <a:extLst>
            <a:ext uri="{FF2B5EF4-FFF2-40B4-BE49-F238E27FC236}">
              <a16:creationId xmlns:a16="http://schemas.microsoft.com/office/drawing/2014/main" id="{1BF55CE7-F3EC-4BDC-A5B1-547DB2FAB60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05" name="Line 42">
          <a:extLst>
            <a:ext uri="{FF2B5EF4-FFF2-40B4-BE49-F238E27FC236}">
              <a16:creationId xmlns:a16="http://schemas.microsoft.com/office/drawing/2014/main" id="{2FCD4ED6-9082-4E09-BB42-F5AA6573676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906" name="Line 4">
          <a:extLst>
            <a:ext uri="{FF2B5EF4-FFF2-40B4-BE49-F238E27FC236}">
              <a16:creationId xmlns:a16="http://schemas.microsoft.com/office/drawing/2014/main" id="{98DBE3F2-4064-477F-BF7C-929EDE0389A3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07" name="Line 14">
          <a:extLst>
            <a:ext uri="{FF2B5EF4-FFF2-40B4-BE49-F238E27FC236}">
              <a16:creationId xmlns:a16="http://schemas.microsoft.com/office/drawing/2014/main" id="{454F2C1C-A901-4797-9733-351BA3FEF96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08" name="Line 15">
          <a:extLst>
            <a:ext uri="{FF2B5EF4-FFF2-40B4-BE49-F238E27FC236}">
              <a16:creationId xmlns:a16="http://schemas.microsoft.com/office/drawing/2014/main" id="{5A31948B-1EDE-4D31-815E-4EEC8FA3A0F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09" name="Line 42">
          <a:extLst>
            <a:ext uri="{FF2B5EF4-FFF2-40B4-BE49-F238E27FC236}">
              <a16:creationId xmlns:a16="http://schemas.microsoft.com/office/drawing/2014/main" id="{E9D833F9-C72A-44CB-A27A-43FA2E4A368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910" name="Line 4">
          <a:extLst>
            <a:ext uri="{FF2B5EF4-FFF2-40B4-BE49-F238E27FC236}">
              <a16:creationId xmlns:a16="http://schemas.microsoft.com/office/drawing/2014/main" id="{D6F8EBD1-BA57-4CD6-923D-1C4D09214515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1" name="Line 14">
          <a:extLst>
            <a:ext uri="{FF2B5EF4-FFF2-40B4-BE49-F238E27FC236}">
              <a16:creationId xmlns:a16="http://schemas.microsoft.com/office/drawing/2014/main" id="{E65655C8-A171-47EF-9E72-C01E2F1E7FD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2" name="Line 15">
          <a:extLst>
            <a:ext uri="{FF2B5EF4-FFF2-40B4-BE49-F238E27FC236}">
              <a16:creationId xmlns:a16="http://schemas.microsoft.com/office/drawing/2014/main" id="{53887ABA-BC55-4B9B-821C-34D6F6900A8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3" name="Line 42">
          <a:extLst>
            <a:ext uri="{FF2B5EF4-FFF2-40B4-BE49-F238E27FC236}">
              <a16:creationId xmlns:a16="http://schemas.microsoft.com/office/drawing/2014/main" id="{4DC0E0AC-45C9-4759-9A2D-18329BE106C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530</xdr:row>
      <xdr:rowOff>0</xdr:rowOff>
    </xdr:from>
    <xdr:to>
      <xdr:col>18</xdr:col>
      <xdr:colOff>447675</xdr:colOff>
      <xdr:row>531</xdr:row>
      <xdr:rowOff>0</xdr:rowOff>
    </xdr:to>
    <xdr:sp macro="" textlink="">
      <xdr:nvSpPr>
        <xdr:cNvPr id="5914" name="Line 4">
          <a:extLst>
            <a:ext uri="{FF2B5EF4-FFF2-40B4-BE49-F238E27FC236}">
              <a16:creationId xmlns:a16="http://schemas.microsoft.com/office/drawing/2014/main" id="{E84A8627-F306-4AF9-B21E-7794FC2401F1}"/>
            </a:ext>
          </a:extLst>
        </xdr:cNvPr>
        <xdr:cNvSpPr>
          <a:spLocks noChangeShapeType="1"/>
        </xdr:cNvSpPr>
      </xdr:nvSpPr>
      <xdr:spPr bwMode="auto">
        <a:xfrm>
          <a:off x="7686675" y="101398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5" name="Line 14">
          <a:extLst>
            <a:ext uri="{FF2B5EF4-FFF2-40B4-BE49-F238E27FC236}">
              <a16:creationId xmlns:a16="http://schemas.microsoft.com/office/drawing/2014/main" id="{32F605E0-BE9A-445A-B10E-451F9293518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6" name="Line 15">
          <a:extLst>
            <a:ext uri="{FF2B5EF4-FFF2-40B4-BE49-F238E27FC236}">
              <a16:creationId xmlns:a16="http://schemas.microsoft.com/office/drawing/2014/main" id="{9AD801C0-CA13-4E1C-BA01-A2B97634FDA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530</xdr:row>
      <xdr:rowOff>0</xdr:rowOff>
    </xdr:from>
    <xdr:to>
      <xdr:col>18</xdr:col>
      <xdr:colOff>438150</xdr:colOff>
      <xdr:row>531</xdr:row>
      <xdr:rowOff>0</xdr:rowOff>
    </xdr:to>
    <xdr:sp macro="" textlink="">
      <xdr:nvSpPr>
        <xdr:cNvPr id="5917" name="Line 42">
          <a:extLst>
            <a:ext uri="{FF2B5EF4-FFF2-40B4-BE49-F238E27FC236}">
              <a16:creationId xmlns:a16="http://schemas.microsoft.com/office/drawing/2014/main" id="{320B6DBE-D3FD-413D-A9E5-2E322706D9A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398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18" name="Line 4">
          <a:extLst>
            <a:ext uri="{FF2B5EF4-FFF2-40B4-BE49-F238E27FC236}">
              <a16:creationId xmlns:a16="http://schemas.microsoft.com/office/drawing/2014/main" id="{7C687228-F1F5-4A89-B537-C32110A53ACE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19" name="Line 14">
          <a:extLst>
            <a:ext uri="{FF2B5EF4-FFF2-40B4-BE49-F238E27FC236}">
              <a16:creationId xmlns:a16="http://schemas.microsoft.com/office/drawing/2014/main" id="{A3F6EC5D-EF36-45FA-929F-1514C360CAD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0" name="Line 15">
          <a:extLst>
            <a:ext uri="{FF2B5EF4-FFF2-40B4-BE49-F238E27FC236}">
              <a16:creationId xmlns:a16="http://schemas.microsoft.com/office/drawing/2014/main" id="{BFCD2CF2-4407-4A82-9DC5-B5847E1D03D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1" name="Line 42">
          <a:extLst>
            <a:ext uri="{FF2B5EF4-FFF2-40B4-BE49-F238E27FC236}">
              <a16:creationId xmlns:a16="http://schemas.microsoft.com/office/drawing/2014/main" id="{262BBE4A-17CD-438A-AA8E-5387F5C046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22" name="Line 4">
          <a:extLst>
            <a:ext uri="{FF2B5EF4-FFF2-40B4-BE49-F238E27FC236}">
              <a16:creationId xmlns:a16="http://schemas.microsoft.com/office/drawing/2014/main" id="{95AACCD7-6FD0-44F0-ACD1-F90C4A0E42C1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3" name="Line 14">
          <a:extLst>
            <a:ext uri="{FF2B5EF4-FFF2-40B4-BE49-F238E27FC236}">
              <a16:creationId xmlns:a16="http://schemas.microsoft.com/office/drawing/2014/main" id="{2DA273BA-A45D-460A-A82D-FAF59151DC8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4" name="Line 15">
          <a:extLst>
            <a:ext uri="{FF2B5EF4-FFF2-40B4-BE49-F238E27FC236}">
              <a16:creationId xmlns:a16="http://schemas.microsoft.com/office/drawing/2014/main" id="{77501C4F-703E-408A-8C6D-F6661DA4FD2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5" name="Line 42">
          <a:extLst>
            <a:ext uri="{FF2B5EF4-FFF2-40B4-BE49-F238E27FC236}">
              <a16:creationId xmlns:a16="http://schemas.microsoft.com/office/drawing/2014/main" id="{85E1F6BA-E400-483C-9CCB-965F0D55E8C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26" name="Line 4">
          <a:extLst>
            <a:ext uri="{FF2B5EF4-FFF2-40B4-BE49-F238E27FC236}">
              <a16:creationId xmlns:a16="http://schemas.microsoft.com/office/drawing/2014/main" id="{65C839D5-1FAC-4204-9CDF-2A693535F11A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7" name="Line 14">
          <a:extLst>
            <a:ext uri="{FF2B5EF4-FFF2-40B4-BE49-F238E27FC236}">
              <a16:creationId xmlns:a16="http://schemas.microsoft.com/office/drawing/2014/main" id="{E7A7AC73-0A88-4053-B32F-D4D7A487D9D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8" name="Line 15">
          <a:extLst>
            <a:ext uri="{FF2B5EF4-FFF2-40B4-BE49-F238E27FC236}">
              <a16:creationId xmlns:a16="http://schemas.microsoft.com/office/drawing/2014/main" id="{7A244025-1FB6-464C-84F7-4C7AEBFA3BC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29" name="Line 42">
          <a:extLst>
            <a:ext uri="{FF2B5EF4-FFF2-40B4-BE49-F238E27FC236}">
              <a16:creationId xmlns:a16="http://schemas.microsoft.com/office/drawing/2014/main" id="{A2712916-879E-49E6-B12A-3488A12BEA1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30" name="Line 4">
          <a:extLst>
            <a:ext uri="{FF2B5EF4-FFF2-40B4-BE49-F238E27FC236}">
              <a16:creationId xmlns:a16="http://schemas.microsoft.com/office/drawing/2014/main" id="{7033AF9F-1517-450B-90CB-650B0CBCA8C1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1" name="Line 14">
          <a:extLst>
            <a:ext uri="{FF2B5EF4-FFF2-40B4-BE49-F238E27FC236}">
              <a16:creationId xmlns:a16="http://schemas.microsoft.com/office/drawing/2014/main" id="{92431D33-4834-4FEC-AB7E-5ED585F516D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2" name="Line 15">
          <a:extLst>
            <a:ext uri="{FF2B5EF4-FFF2-40B4-BE49-F238E27FC236}">
              <a16:creationId xmlns:a16="http://schemas.microsoft.com/office/drawing/2014/main" id="{D956EA7F-0C5E-4119-9207-9517F88E7CD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3" name="Line 42">
          <a:extLst>
            <a:ext uri="{FF2B5EF4-FFF2-40B4-BE49-F238E27FC236}">
              <a16:creationId xmlns:a16="http://schemas.microsoft.com/office/drawing/2014/main" id="{66BD458A-8DC6-418D-AA8A-47CC61B2E68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34" name="Line 4">
          <a:extLst>
            <a:ext uri="{FF2B5EF4-FFF2-40B4-BE49-F238E27FC236}">
              <a16:creationId xmlns:a16="http://schemas.microsoft.com/office/drawing/2014/main" id="{1F116C09-E58E-4C4C-9E89-5943A9FC9E8A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5" name="Line 14">
          <a:extLst>
            <a:ext uri="{FF2B5EF4-FFF2-40B4-BE49-F238E27FC236}">
              <a16:creationId xmlns:a16="http://schemas.microsoft.com/office/drawing/2014/main" id="{1C0C86DE-A58D-437C-87B1-98CC6C5FD23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6" name="Line 15">
          <a:extLst>
            <a:ext uri="{FF2B5EF4-FFF2-40B4-BE49-F238E27FC236}">
              <a16:creationId xmlns:a16="http://schemas.microsoft.com/office/drawing/2014/main" id="{DAE7A41D-55FC-4B5B-865B-AD9A1616D56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7" name="Line 42">
          <a:extLst>
            <a:ext uri="{FF2B5EF4-FFF2-40B4-BE49-F238E27FC236}">
              <a16:creationId xmlns:a16="http://schemas.microsoft.com/office/drawing/2014/main" id="{551E2706-7D40-4C58-BB40-53139629088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532</xdr:row>
      <xdr:rowOff>0</xdr:rowOff>
    </xdr:from>
    <xdr:to>
      <xdr:col>18</xdr:col>
      <xdr:colOff>447675</xdr:colOff>
      <xdr:row>533</xdr:row>
      <xdr:rowOff>0</xdr:rowOff>
    </xdr:to>
    <xdr:sp macro="" textlink="">
      <xdr:nvSpPr>
        <xdr:cNvPr id="5938" name="Line 4">
          <a:extLst>
            <a:ext uri="{FF2B5EF4-FFF2-40B4-BE49-F238E27FC236}">
              <a16:creationId xmlns:a16="http://schemas.microsoft.com/office/drawing/2014/main" id="{D9FFB34C-14DF-47B7-BC33-ED9B9446DBC8}"/>
            </a:ext>
          </a:extLst>
        </xdr:cNvPr>
        <xdr:cNvSpPr>
          <a:spLocks noChangeShapeType="1"/>
        </xdr:cNvSpPr>
      </xdr:nvSpPr>
      <xdr:spPr bwMode="auto">
        <a:xfrm>
          <a:off x="7686675" y="101822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39" name="Line 14">
          <a:extLst>
            <a:ext uri="{FF2B5EF4-FFF2-40B4-BE49-F238E27FC236}">
              <a16:creationId xmlns:a16="http://schemas.microsoft.com/office/drawing/2014/main" id="{07631469-D0F1-4F7F-9A1C-D4FFD71793D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40" name="Line 15">
          <a:extLst>
            <a:ext uri="{FF2B5EF4-FFF2-40B4-BE49-F238E27FC236}">
              <a16:creationId xmlns:a16="http://schemas.microsoft.com/office/drawing/2014/main" id="{820817CB-B19E-4F29-9FD8-8B7C5A08B9D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532</xdr:row>
      <xdr:rowOff>0</xdr:rowOff>
    </xdr:from>
    <xdr:to>
      <xdr:col>18</xdr:col>
      <xdr:colOff>438150</xdr:colOff>
      <xdr:row>533</xdr:row>
      <xdr:rowOff>0</xdr:rowOff>
    </xdr:to>
    <xdr:sp macro="" textlink="">
      <xdr:nvSpPr>
        <xdr:cNvPr id="5941" name="Line 42">
          <a:extLst>
            <a:ext uri="{FF2B5EF4-FFF2-40B4-BE49-F238E27FC236}">
              <a16:creationId xmlns:a16="http://schemas.microsoft.com/office/drawing/2014/main" id="{D57D5DDE-4A99-4750-8BD7-699818574D8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01822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42" name="Line 4">
          <a:extLst>
            <a:ext uri="{FF2B5EF4-FFF2-40B4-BE49-F238E27FC236}">
              <a16:creationId xmlns:a16="http://schemas.microsoft.com/office/drawing/2014/main" id="{15A91067-F0DF-4213-A653-D250EDEC0243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3" name="Line 14">
          <a:extLst>
            <a:ext uri="{FF2B5EF4-FFF2-40B4-BE49-F238E27FC236}">
              <a16:creationId xmlns:a16="http://schemas.microsoft.com/office/drawing/2014/main" id="{D6AC9AC0-D2A3-4C87-9FAA-4DAFEA4C6F6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4" name="Line 15">
          <a:extLst>
            <a:ext uri="{FF2B5EF4-FFF2-40B4-BE49-F238E27FC236}">
              <a16:creationId xmlns:a16="http://schemas.microsoft.com/office/drawing/2014/main" id="{C5524B4C-A654-4CE7-9150-7F7481B17ED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5" name="Line 42">
          <a:extLst>
            <a:ext uri="{FF2B5EF4-FFF2-40B4-BE49-F238E27FC236}">
              <a16:creationId xmlns:a16="http://schemas.microsoft.com/office/drawing/2014/main" id="{39F10F17-66DF-4315-A6A7-99B3393A0AB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46" name="Line 4">
          <a:extLst>
            <a:ext uri="{FF2B5EF4-FFF2-40B4-BE49-F238E27FC236}">
              <a16:creationId xmlns:a16="http://schemas.microsoft.com/office/drawing/2014/main" id="{49C7BEA4-39D8-4974-9B4C-C2822365BC5F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7" name="Line 14">
          <a:extLst>
            <a:ext uri="{FF2B5EF4-FFF2-40B4-BE49-F238E27FC236}">
              <a16:creationId xmlns:a16="http://schemas.microsoft.com/office/drawing/2014/main" id="{3AA468D1-7BD9-446B-B581-8E609669B89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8" name="Line 15">
          <a:extLst>
            <a:ext uri="{FF2B5EF4-FFF2-40B4-BE49-F238E27FC236}">
              <a16:creationId xmlns:a16="http://schemas.microsoft.com/office/drawing/2014/main" id="{D080904E-307A-4E37-9BE1-5776A4E2385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49" name="Line 42">
          <a:extLst>
            <a:ext uri="{FF2B5EF4-FFF2-40B4-BE49-F238E27FC236}">
              <a16:creationId xmlns:a16="http://schemas.microsoft.com/office/drawing/2014/main" id="{296B99B7-57BA-40B9-A287-7E422F4A3F1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50" name="Line 4">
          <a:extLst>
            <a:ext uri="{FF2B5EF4-FFF2-40B4-BE49-F238E27FC236}">
              <a16:creationId xmlns:a16="http://schemas.microsoft.com/office/drawing/2014/main" id="{367E035A-57E6-4BFC-8312-B45583432160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51" name="Line 14">
          <a:extLst>
            <a:ext uri="{FF2B5EF4-FFF2-40B4-BE49-F238E27FC236}">
              <a16:creationId xmlns:a16="http://schemas.microsoft.com/office/drawing/2014/main" id="{E80CCC2D-A2F1-44CD-9A90-17831D14BDE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52" name="Line 15">
          <a:extLst>
            <a:ext uri="{FF2B5EF4-FFF2-40B4-BE49-F238E27FC236}">
              <a16:creationId xmlns:a16="http://schemas.microsoft.com/office/drawing/2014/main" id="{E78DB3FC-869F-4AAE-AC7E-9249C5A282B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53" name="Line 42">
          <a:extLst>
            <a:ext uri="{FF2B5EF4-FFF2-40B4-BE49-F238E27FC236}">
              <a16:creationId xmlns:a16="http://schemas.microsoft.com/office/drawing/2014/main" id="{E1909622-0458-4704-B6CC-9D30A7FE28F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54" name="Line 4">
          <a:extLst>
            <a:ext uri="{FF2B5EF4-FFF2-40B4-BE49-F238E27FC236}">
              <a16:creationId xmlns:a16="http://schemas.microsoft.com/office/drawing/2014/main" id="{FD75DBA1-12B2-421D-A4A8-8441B1AB605E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55" name="Line 14">
          <a:extLst>
            <a:ext uri="{FF2B5EF4-FFF2-40B4-BE49-F238E27FC236}">
              <a16:creationId xmlns:a16="http://schemas.microsoft.com/office/drawing/2014/main" id="{239E6B41-E5D1-4846-AB1F-10F6B27A051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56" name="Line 15">
          <a:extLst>
            <a:ext uri="{FF2B5EF4-FFF2-40B4-BE49-F238E27FC236}">
              <a16:creationId xmlns:a16="http://schemas.microsoft.com/office/drawing/2014/main" id="{7FB6232B-C8D5-4D34-8C95-EB892D616A4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57" name="Line 42">
          <a:extLst>
            <a:ext uri="{FF2B5EF4-FFF2-40B4-BE49-F238E27FC236}">
              <a16:creationId xmlns:a16="http://schemas.microsoft.com/office/drawing/2014/main" id="{2357BE7A-F1FE-4C99-96B8-5ADFBF9E9B2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58" name="Line 4">
          <a:extLst>
            <a:ext uri="{FF2B5EF4-FFF2-40B4-BE49-F238E27FC236}">
              <a16:creationId xmlns:a16="http://schemas.microsoft.com/office/drawing/2014/main" id="{E6D27532-6794-4C16-9FF3-E4682A7CD555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59" name="Line 14">
          <a:extLst>
            <a:ext uri="{FF2B5EF4-FFF2-40B4-BE49-F238E27FC236}">
              <a16:creationId xmlns:a16="http://schemas.microsoft.com/office/drawing/2014/main" id="{F36D8F1C-F2C2-4313-A64E-E9AE03FEEBA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0" name="Line 15">
          <a:extLst>
            <a:ext uri="{FF2B5EF4-FFF2-40B4-BE49-F238E27FC236}">
              <a16:creationId xmlns:a16="http://schemas.microsoft.com/office/drawing/2014/main" id="{AA1FD74A-15DB-418D-9637-0D25C351C33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1" name="Line 42">
          <a:extLst>
            <a:ext uri="{FF2B5EF4-FFF2-40B4-BE49-F238E27FC236}">
              <a16:creationId xmlns:a16="http://schemas.microsoft.com/office/drawing/2014/main" id="{0668A04F-A69A-4AE4-BEA3-31C22A0F8B8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62" name="Line 4">
          <a:extLst>
            <a:ext uri="{FF2B5EF4-FFF2-40B4-BE49-F238E27FC236}">
              <a16:creationId xmlns:a16="http://schemas.microsoft.com/office/drawing/2014/main" id="{0F7157F9-DADE-48D0-AE68-1368DD68C3DB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3" name="Line 14">
          <a:extLst>
            <a:ext uri="{FF2B5EF4-FFF2-40B4-BE49-F238E27FC236}">
              <a16:creationId xmlns:a16="http://schemas.microsoft.com/office/drawing/2014/main" id="{1364F6FC-CBF0-47E4-9ADD-58C54ADCD74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4" name="Line 15">
          <a:extLst>
            <a:ext uri="{FF2B5EF4-FFF2-40B4-BE49-F238E27FC236}">
              <a16:creationId xmlns:a16="http://schemas.microsoft.com/office/drawing/2014/main" id="{2A86AC75-65DD-440E-A387-0FA2AE50CBA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5" name="Line 42">
          <a:extLst>
            <a:ext uri="{FF2B5EF4-FFF2-40B4-BE49-F238E27FC236}">
              <a16:creationId xmlns:a16="http://schemas.microsoft.com/office/drawing/2014/main" id="{C113BC77-8D38-41F1-9C4D-AA137203FC4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66" name="Line 4">
          <a:extLst>
            <a:ext uri="{FF2B5EF4-FFF2-40B4-BE49-F238E27FC236}">
              <a16:creationId xmlns:a16="http://schemas.microsoft.com/office/drawing/2014/main" id="{49DCE4EB-0473-4823-9336-D60B6302A998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7" name="Line 14">
          <a:extLst>
            <a:ext uri="{FF2B5EF4-FFF2-40B4-BE49-F238E27FC236}">
              <a16:creationId xmlns:a16="http://schemas.microsoft.com/office/drawing/2014/main" id="{E91A5F86-6454-40B4-A9DD-E843FC0B738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8" name="Line 15">
          <a:extLst>
            <a:ext uri="{FF2B5EF4-FFF2-40B4-BE49-F238E27FC236}">
              <a16:creationId xmlns:a16="http://schemas.microsoft.com/office/drawing/2014/main" id="{74ED624A-132A-4388-A953-44C5BFC3157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69" name="Line 42">
          <a:extLst>
            <a:ext uri="{FF2B5EF4-FFF2-40B4-BE49-F238E27FC236}">
              <a16:creationId xmlns:a16="http://schemas.microsoft.com/office/drawing/2014/main" id="{FFD18418-BC2C-48F2-8DC5-49B2054409C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70" name="Line 4">
          <a:extLst>
            <a:ext uri="{FF2B5EF4-FFF2-40B4-BE49-F238E27FC236}">
              <a16:creationId xmlns:a16="http://schemas.microsoft.com/office/drawing/2014/main" id="{5BE816BA-A169-499C-85D6-F367DDB70CD1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1" name="Line 14">
          <a:extLst>
            <a:ext uri="{FF2B5EF4-FFF2-40B4-BE49-F238E27FC236}">
              <a16:creationId xmlns:a16="http://schemas.microsoft.com/office/drawing/2014/main" id="{FBCA7FB0-9285-43E5-9011-371F1337226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2" name="Line 15">
          <a:extLst>
            <a:ext uri="{FF2B5EF4-FFF2-40B4-BE49-F238E27FC236}">
              <a16:creationId xmlns:a16="http://schemas.microsoft.com/office/drawing/2014/main" id="{8F6D138A-A9F5-4AA9-AA7C-29771EFDB2B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3" name="Line 42">
          <a:extLst>
            <a:ext uri="{FF2B5EF4-FFF2-40B4-BE49-F238E27FC236}">
              <a16:creationId xmlns:a16="http://schemas.microsoft.com/office/drawing/2014/main" id="{F782F381-B38B-4552-AC7F-6E5F1D2DF9C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74" name="Line 4">
          <a:extLst>
            <a:ext uri="{FF2B5EF4-FFF2-40B4-BE49-F238E27FC236}">
              <a16:creationId xmlns:a16="http://schemas.microsoft.com/office/drawing/2014/main" id="{4BEB0934-DC09-4887-A3A7-0874889F2E6D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5" name="Line 14">
          <a:extLst>
            <a:ext uri="{FF2B5EF4-FFF2-40B4-BE49-F238E27FC236}">
              <a16:creationId xmlns:a16="http://schemas.microsoft.com/office/drawing/2014/main" id="{622BF9BA-6211-4A5D-A5A2-BAECD43C71E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6" name="Line 15">
          <a:extLst>
            <a:ext uri="{FF2B5EF4-FFF2-40B4-BE49-F238E27FC236}">
              <a16:creationId xmlns:a16="http://schemas.microsoft.com/office/drawing/2014/main" id="{24F50F3A-464B-4019-A872-CC9DBA9D06A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77" name="Line 42">
          <a:extLst>
            <a:ext uri="{FF2B5EF4-FFF2-40B4-BE49-F238E27FC236}">
              <a16:creationId xmlns:a16="http://schemas.microsoft.com/office/drawing/2014/main" id="{E8987800-53E0-4E24-BCD7-A8F5AC0FE85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78" name="Line 4">
          <a:extLst>
            <a:ext uri="{FF2B5EF4-FFF2-40B4-BE49-F238E27FC236}">
              <a16:creationId xmlns:a16="http://schemas.microsoft.com/office/drawing/2014/main" id="{3210D0CC-9EEE-4E31-AE2E-6964A970EF26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79" name="Line 14">
          <a:extLst>
            <a:ext uri="{FF2B5EF4-FFF2-40B4-BE49-F238E27FC236}">
              <a16:creationId xmlns:a16="http://schemas.microsoft.com/office/drawing/2014/main" id="{3C2E5B9B-917A-49C9-AF5D-4FF9FB1986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0" name="Line 15">
          <a:extLst>
            <a:ext uri="{FF2B5EF4-FFF2-40B4-BE49-F238E27FC236}">
              <a16:creationId xmlns:a16="http://schemas.microsoft.com/office/drawing/2014/main" id="{BADD2A44-7434-4BAA-B291-3A160090580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1" name="Line 42">
          <a:extLst>
            <a:ext uri="{FF2B5EF4-FFF2-40B4-BE49-F238E27FC236}">
              <a16:creationId xmlns:a16="http://schemas.microsoft.com/office/drawing/2014/main" id="{379FD36C-3D1B-4A6A-9758-9E6411E4485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82" name="Line 4">
          <a:extLst>
            <a:ext uri="{FF2B5EF4-FFF2-40B4-BE49-F238E27FC236}">
              <a16:creationId xmlns:a16="http://schemas.microsoft.com/office/drawing/2014/main" id="{6055E03E-EFBF-458A-A0F1-7EE1E8DA404B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3" name="Line 14">
          <a:extLst>
            <a:ext uri="{FF2B5EF4-FFF2-40B4-BE49-F238E27FC236}">
              <a16:creationId xmlns:a16="http://schemas.microsoft.com/office/drawing/2014/main" id="{98FF7DC9-C4B6-4653-98C0-0A478F4D663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4" name="Line 15">
          <a:extLst>
            <a:ext uri="{FF2B5EF4-FFF2-40B4-BE49-F238E27FC236}">
              <a16:creationId xmlns:a16="http://schemas.microsoft.com/office/drawing/2014/main" id="{67B4BC2F-E414-4193-8C61-24D6C0392E2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5" name="Line 42">
          <a:extLst>
            <a:ext uri="{FF2B5EF4-FFF2-40B4-BE49-F238E27FC236}">
              <a16:creationId xmlns:a16="http://schemas.microsoft.com/office/drawing/2014/main" id="{0D5FB01D-1849-422F-8A8C-652DA3E4AFA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603</xdr:row>
      <xdr:rowOff>0</xdr:rowOff>
    </xdr:from>
    <xdr:to>
      <xdr:col>18</xdr:col>
      <xdr:colOff>447675</xdr:colOff>
      <xdr:row>604</xdr:row>
      <xdr:rowOff>0</xdr:rowOff>
    </xdr:to>
    <xdr:sp macro="" textlink="">
      <xdr:nvSpPr>
        <xdr:cNvPr id="5986" name="Line 4">
          <a:extLst>
            <a:ext uri="{FF2B5EF4-FFF2-40B4-BE49-F238E27FC236}">
              <a16:creationId xmlns:a16="http://schemas.microsoft.com/office/drawing/2014/main" id="{62D5D67B-A808-4F2E-AA63-BF9BDC340122}"/>
            </a:ext>
          </a:extLst>
        </xdr:cNvPr>
        <xdr:cNvSpPr>
          <a:spLocks noChangeShapeType="1"/>
        </xdr:cNvSpPr>
      </xdr:nvSpPr>
      <xdr:spPr bwMode="auto">
        <a:xfrm>
          <a:off x="7686675" y="117517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7" name="Line 14">
          <a:extLst>
            <a:ext uri="{FF2B5EF4-FFF2-40B4-BE49-F238E27FC236}">
              <a16:creationId xmlns:a16="http://schemas.microsoft.com/office/drawing/2014/main" id="{C0FF085C-9B8C-49F6-B437-2F56799ADAB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8" name="Line 15">
          <a:extLst>
            <a:ext uri="{FF2B5EF4-FFF2-40B4-BE49-F238E27FC236}">
              <a16:creationId xmlns:a16="http://schemas.microsoft.com/office/drawing/2014/main" id="{0312A657-7A26-408D-A424-448DEEF256E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603</xdr:row>
      <xdr:rowOff>0</xdr:rowOff>
    </xdr:from>
    <xdr:to>
      <xdr:col>18</xdr:col>
      <xdr:colOff>438150</xdr:colOff>
      <xdr:row>604</xdr:row>
      <xdr:rowOff>0</xdr:rowOff>
    </xdr:to>
    <xdr:sp macro="" textlink="">
      <xdr:nvSpPr>
        <xdr:cNvPr id="5989" name="Line 42">
          <a:extLst>
            <a:ext uri="{FF2B5EF4-FFF2-40B4-BE49-F238E27FC236}">
              <a16:creationId xmlns:a16="http://schemas.microsoft.com/office/drawing/2014/main" id="{0335B4DE-FCD7-4F0A-AAF5-A6E5E79A28D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517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90" name="Line 4">
          <a:extLst>
            <a:ext uri="{FF2B5EF4-FFF2-40B4-BE49-F238E27FC236}">
              <a16:creationId xmlns:a16="http://schemas.microsoft.com/office/drawing/2014/main" id="{6AEA8B14-AFD0-42A5-8941-E2A9888ECBAB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1" name="Line 14">
          <a:extLst>
            <a:ext uri="{FF2B5EF4-FFF2-40B4-BE49-F238E27FC236}">
              <a16:creationId xmlns:a16="http://schemas.microsoft.com/office/drawing/2014/main" id="{6D662B3E-39EC-4B76-B081-9457E0D5236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2" name="Line 15">
          <a:extLst>
            <a:ext uri="{FF2B5EF4-FFF2-40B4-BE49-F238E27FC236}">
              <a16:creationId xmlns:a16="http://schemas.microsoft.com/office/drawing/2014/main" id="{FFE4AFAA-A7B2-4603-B6CC-7D68C3ECAD0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3" name="Line 42">
          <a:extLst>
            <a:ext uri="{FF2B5EF4-FFF2-40B4-BE49-F238E27FC236}">
              <a16:creationId xmlns:a16="http://schemas.microsoft.com/office/drawing/2014/main" id="{487D50DD-C5AF-402B-AEDB-464C29F6743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94" name="Line 4">
          <a:extLst>
            <a:ext uri="{FF2B5EF4-FFF2-40B4-BE49-F238E27FC236}">
              <a16:creationId xmlns:a16="http://schemas.microsoft.com/office/drawing/2014/main" id="{FD2490A9-1EC0-4C98-907E-BE8063EC2507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5" name="Line 14">
          <a:extLst>
            <a:ext uri="{FF2B5EF4-FFF2-40B4-BE49-F238E27FC236}">
              <a16:creationId xmlns:a16="http://schemas.microsoft.com/office/drawing/2014/main" id="{EB05A40B-ECBA-4752-9896-C0BA6AD88E6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6" name="Line 15">
          <a:extLst>
            <a:ext uri="{FF2B5EF4-FFF2-40B4-BE49-F238E27FC236}">
              <a16:creationId xmlns:a16="http://schemas.microsoft.com/office/drawing/2014/main" id="{94AFF65A-DE47-4055-965C-0FCA0F710F4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7" name="Line 42">
          <a:extLst>
            <a:ext uri="{FF2B5EF4-FFF2-40B4-BE49-F238E27FC236}">
              <a16:creationId xmlns:a16="http://schemas.microsoft.com/office/drawing/2014/main" id="{70E18494-734B-4B28-BA58-8591F23DBF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5998" name="Line 4">
          <a:extLst>
            <a:ext uri="{FF2B5EF4-FFF2-40B4-BE49-F238E27FC236}">
              <a16:creationId xmlns:a16="http://schemas.microsoft.com/office/drawing/2014/main" id="{CCBA673E-15D8-4934-853F-440586374D5A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5999" name="Line 14">
          <a:extLst>
            <a:ext uri="{FF2B5EF4-FFF2-40B4-BE49-F238E27FC236}">
              <a16:creationId xmlns:a16="http://schemas.microsoft.com/office/drawing/2014/main" id="{786881AD-83F3-4764-AD5F-4B661CD8D67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0" name="Line 15">
          <a:extLst>
            <a:ext uri="{FF2B5EF4-FFF2-40B4-BE49-F238E27FC236}">
              <a16:creationId xmlns:a16="http://schemas.microsoft.com/office/drawing/2014/main" id="{4F344E6A-467C-4B36-B87D-66C30950AD7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1" name="Line 42">
          <a:extLst>
            <a:ext uri="{FF2B5EF4-FFF2-40B4-BE49-F238E27FC236}">
              <a16:creationId xmlns:a16="http://schemas.microsoft.com/office/drawing/2014/main" id="{0FCBFF15-CC04-4D4B-8BB3-6C1C318265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6002" name="Line 4">
          <a:extLst>
            <a:ext uri="{FF2B5EF4-FFF2-40B4-BE49-F238E27FC236}">
              <a16:creationId xmlns:a16="http://schemas.microsoft.com/office/drawing/2014/main" id="{C76083D5-B620-463D-ACAB-00820C79C398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3" name="Line 14">
          <a:extLst>
            <a:ext uri="{FF2B5EF4-FFF2-40B4-BE49-F238E27FC236}">
              <a16:creationId xmlns:a16="http://schemas.microsoft.com/office/drawing/2014/main" id="{B8CD9A4B-43D6-4112-B568-42096526398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4" name="Line 15">
          <a:extLst>
            <a:ext uri="{FF2B5EF4-FFF2-40B4-BE49-F238E27FC236}">
              <a16:creationId xmlns:a16="http://schemas.microsoft.com/office/drawing/2014/main" id="{6EB7BA76-17BF-4AC4-8FA0-9515AF747B1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5" name="Line 42">
          <a:extLst>
            <a:ext uri="{FF2B5EF4-FFF2-40B4-BE49-F238E27FC236}">
              <a16:creationId xmlns:a16="http://schemas.microsoft.com/office/drawing/2014/main" id="{25095031-3A74-4B34-80E3-F1E85DB650A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6006" name="Line 4">
          <a:extLst>
            <a:ext uri="{FF2B5EF4-FFF2-40B4-BE49-F238E27FC236}">
              <a16:creationId xmlns:a16="http://schemas.microsoft.com/office/drawing/2014/main" id="{86EAC1BD-EE38-4A5C-B802-E45F610847FD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7" name="Line 14">
          <a:extLst>
            <a:ext uri="{FF2B5EF4-FFF2-40B4-BE49-F238E27FC236}">
              <a16:creationId xmlns:a16="http://schemas.microsoft.com/office/drawing/2014/main" id="{4715477A-412B-4973-BA5F-5CD1462BF06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8" name="Line 15">
          <a:extLst>
            <a:ext uri="{FF2B5EF4-FFF2-40B4-BE49-F238E27FC236}">
              <a16:creationId xmlns:a16="http://schemas.microsoft.com/office/drawing/2014/main" id="{92C0B2ED-5676-4C94-BBD2-842BD18C652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09" name="Line 42">
          <a:extLst>
            <a:ext uri="{FF2B5EF4-FFF2-40B4-BE49-F238E27FC236}">
              <a16:creationId xmlns:a16="http://schemas.microsoft.com/office/drawing/2014/main" id="{824F98BF-F632-4BA3-B9DF-32A4831DE99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605</xdr:row>
      <xdr:rowOff>0</xdr:rowOff>
    </xdr:from>
    <xdr:to>
      <xdr:col>18</xdr:col>
      <xdr:colOff>447675</xdr:colOff>
      <xdr:row>606</xdr:row>
      <xdr:rowOff>0</xdr:rowOff>
    </xdr:to>
    <xdr:sp macro="" textlink="">
      <xdr:nvSpPr>
        <xdr:cNvPr id="6010" name="Line 4">
          <a:extLst>
            <a:ext uri="{FF2B5EF4-FFF2-40B4-BE49-F238E27FC236}">
              <a16:creationId xmlns:a16="http://schemas.microsoft.com/office/drawing/2014/main" id="{F9D33E7F-7223-4993-9600-861D879B61AA}"/>
            </a:ext>
          </a:extLst>
        </xdr:cNvPr>
        <xdr:cNvSpPr>
          <a:spLocks noChangeShapeType="1"/>
        </xdr:cNvSpPr>
      </xdr:nvSpPr>
      <xdr:spPr bwMode="auto">
        <a:xfrm>
          <a:off x="7686675" y="1179406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11" name="Line 14">
          <a:extLst>
            <a:ext uri="{FF2B5EF4-FFF2-40B4-BE49-F238E27FC236}">
              <a16:creationId xmlns:a16="http://schemas.microsoft.com/office/drawing/2014/main" id="{BA4CD946-F5CB-4ACB-86FD-14D6E7A031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12" name="Line 15">
          <a:extLst>
            <a:ext uri="{FF2B5EF4-FFF2-40B4-BE49-F238E27FC236}">
              <a16:creationId xmlns:a16="http://schemas.microsoft.com/office/drawing/2014/main" id="{3EE05CA1-71E6-425D-82E9-2D6D1D16C6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605</xdr:row>
      <xdr:rowOff>0</xdr:rowOff>
    </xdr:from>
    <xdr:to>
      <xdr:col>18</xdr:col>
      <xdr:colOff>438150</xdr:colOff>
      <xdr:row>606</xdr:row>
      <xdr:rowOff>0</xdr:rowOff>
    </xdr:to>
    <xdr:sp macro="" textlink="">
      <xdr:nvSpPr>
        <xdr:cNvPr id="6013" name="Line 42">
          <a:extLst>
            <a:ext uri="{FF2B5EF4-FFF2-40B4-BE49-F238E27FC236}">
              <a16:creationId xmlns:a16="http://schemas.microsoft.com/office/drawing/2014/main" id="{F98E6E56-7443-4419-BF80-29869D8F426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179406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14" name="Line 4">
          <a:extLst>
            <a:ext uri="{FF2B5EF4-FFF2-40B4-BE49-F238E27FC236}">
              <a16:creationId xmlns:a16="http://schemas.microsoft.com/office/drawing/2014/main" id="{4900B1C4-0EEE-4301-BB34-551B2F84A079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15" name="Line 14">
          <a:extLst>
            <a:ext uri="{FF2B5EF4-FFF2-40B4-BE49-F238E27FC236}">
              <a16:creationId xmlns:a16="http://schemas.microsoft.com/office/drawing/2014/main" id="{207C8601-4DAA-48C4-A371-F96BF467E97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16" name="Line 15">
          <a:extLst>
            <a:ext uri="{FF2B5EF4-FFF2-40B4-BE49-F238E27FC236}">
              <a16:creationId xmlns:a16="http://schemas.microsoft.com/office/drawing/2014/main" id="{A6985601-B7BB-488B-99F7-E75E191CCFB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17" name="Line 42">
          <a:extLst>
            <a:ext uri="{FF2B5EF4-FFF2-40B4-BE49-F238E27FC236}">
              <a16:creationId xmlns:a16="http://schemas.microsoft.com/office/drawing/2014/main" id="{49F54FB1-FBC6-48E9-A824-DED0BB31FEB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18" name="Line 4">
          <a:extLst>
            <a:ext uri="{FF2B5EF4-FFF2-40B4-BE49-F238E27FC236}">
              <a16:creationId xmlns:a16="http://schemas.microsoft.com/office/drawing/2014/main" id="{82B4CD3C-4C73-48CF-A0A8-C20050CF23C2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19" name="Line 14">
          <a:extLst>
            <a:ext uri="{FF2B5EF4-FFF2-40B4-BE49-F238E27FC236}">
              <a16:creationId xmlns:a16="http://schemas.microsoft.com/office/drawing/2014/main" id="{23FB8D20-B380-472C-8DC2-5005CD9B49D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20" name="Line 15">
          <a:extLst>
            <a:ext uri="{FF2B5EF4-FFF2-40B4-BE49-F238E27FC236}">
              <a16:creationId xmlns:a16="http://schemas.microsoft.com/office/drawing/2014/main" id="{63EABE9F-CA00-4A77-A965-4ED7FBE483D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21" name="Line 42">
          <a:extLst>
            <a:ext uri="{FF2B5EF4-FFF2-40B4-BE49-F238E27FC236}">
              <a16:creationId xmlns:a16="http://schemas.microsoft.com/office/drawing/2014/main" id="{838AA3A3-864B-4D89-A245-58FD5AB1D6E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22" name="Line 4">
          <a:extLst>
            <a:ext uri="{FF2B5EF4-FFF2-40B4-BE49-F238E27FC236}">
              <a16:creationId xmlns:a16="http://schemas.microsoft.com/office/drawing/2014/main" id="{179F9D78-00FA-4486-8847-58C473891508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23" name="Line 14">
          <a:extLst>
            <a:ext uri="{FF2B5EF4-FFF2-40B4-BE49-F238E27FC236}">
              <a16:creationId xmlns:a16="http://schemas.microsoft.com/office/drawing/2014/main" id="{AD57A72B-8B57-4D88-BB9C-D384A4EA59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24" name="Line 15">
          <a:extLst>
            <a:ext uri="{FF2B5EF4-FFF2-40B4-BE49-F238E27FC236}">
              <a16:creationId xmlns:a16="http://schemas.microsoft.com/office/drawing/2014/main" id="{01E539AC-0F72-405B-97E9-712DC91605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25" name="Line 42">
          <a:extLst>
            <a:ext uri="{FF2B5EF4-FFF2-40B4-BE49-F238E27FC236}">
              <a16:creationId xmlns:a16="http://schemas.microsoft.com/office/drawing/2014/main" id="{86FD9727-CBDE-4B61-8DF2-7FC327578A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26" name="Line 4">
          <a:extLst>
            <a:ext uri="{FF2B5EF4-FFF2-40B4-BE49-F238E27FC236}">
              <a16:creationId xmlns:a16="http://schemas.microsoft.com/office/drawing/2014/main" id="{F4BF8AC9-869D-4B88-97F1-811A7C3B8E98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27" name="Line 14">
          <a:extLst>
            <a:ext uri="{FF2B5EF4-FFF2-40B4-BE49-F238E27FC236}">
              <a16:creationId xmlns:a16="http://schemas.microsoft.com/office/drawing/2014/main" id="{C71C4F3A-5D22-4D84-B8FC-923F826CB98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28" name="Line 15">
          <a:extLst>
            <a:ext uri="{FF2B5EF4-FFF2-40B4-BE49-F238E27FC236}">
              <a16:creationId xmlns:a16="http://schemas.microsoft.com/office/drawing/2014/main" id="{AD653968-42F2-495C-B86D-864569759D0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29" name="Line 42">
          <a:extLst>
            <a:ext uri="{FF2B5EF4-FFF2-40B4-BE49-F238E27FC236}">
              <a16:creationId xmlns:a16="http://schemas.microsoft.com/office/drawing/2014/main" id="{E022D353-4172-4ACB-8483-20257CDCC78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30" name="Line 4">
          <a:extLst>
            <a:ext uri="{FF2B5EF4-FFF2-40B4-BE49-F238E27FC236}">
              <a16:creationId xmlns:a16="http://schemas.microsoft.com/office/drawing/2014/main" id="{0693BB44-73CE-4459-BF92-F6448FDB5CD0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1" name="Line 14">
          <a:extLst>
            <a:ext uri="{FF2B5EF4-FFF2-40B4-BE49-F238E27FC236}">
              <a16:creationId xmlns:a16="http://schemas.microsoft.com/office/drawing/2014/main" id="{EDA82F8C-57ED-4EE1-ABA8-2D183CCDC1A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2" name="Line 15">
          <a:extLst>
            <a:ext uri="{FF2B5EF4-FFF2-40B4-BE49-F238E27FC236}">
              <a16:creationId xmlns:a16="http://schemas.microsoft.com/office/drawing/2014/main" id="{F03926AA-C16C-42C4-9E93-7CE090DA7C6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3" name="Line 42">
          <a:extLst>
            <a:ext uri="{FF2B5EF4-FFF2-40B4-BE49-F238E27FC236}">
              <a16:creationId xmlns:a16="http://schemas.microsoft.com/office/drawing/2014/main" id="{6048B011-24CF-4166-A923-7FC4C1DA62C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34" name="Line 4">
          <a:extLst>
            <a:ext uri="{FF2B5EF4-FFF2-40B4-BE49-F238E27FC236}">
              <a16:creationId xmlns:a16="http://schemas.microsoft.com/office/drawing/2014/main" id="{9296777A-3972-40F4-9F39-0C1BA576D483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5" name="Line 14">
          <a:extLst>
            <a:ext uri="{FF2B5EF4-FFF2-40B4-BE49-F238E27FC236}">
              <a16:creationId xmlns:a16="http://schemas.microsoft.com/office/drawing/2014/main" id="{E6134215-8D33-4877-85A9-CB49CB3470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6" name="Line 15">
          <a:extLst>
            <a:ext uri="{FF2B5EF4-FFF2-40B4-BE49-F238E27FC236}">
              <a16:creationId xmlns:a16="http://schemas.microsoft.com/office/drawing/2014/main" id="{D73F0701-6F1F-49DE-BDA0-720A57839FC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7" name="Line 42">
          <a:extLst>
            <a:ext uri="{FF2B5EF4-FFF2-40B4-BE49-F238E27FC236}">
              <a16:creationId xmlns:a16="http://schemas.microsoft.com/office/drawing/2014/main" id="{878A908A-7B3B-4289-B6EA-F18828B72EE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38" name="Line 4">
          <a:extLst>
            <a:ext uri="{FF2B5EF4-FFF2-40B4-BE49-F238E27FC236}">
              <a16:creationId xmlns:a16="http://schemas.microsoft.com/office/drawing/2014/main" id="{E3269F52-E41E-4AB6-89EF-1B92FCB4F5C2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39" name="Line 14">
          <a:extLst>
            <a:ext uri="{FF2B5EF4-FFF2-40B4-BE49-F238E27FC236}">
              <a16:creationId xmlns:a16="http://schemas.microsoft.com/office/drawing/2014/main" id="{05D7F1C1-0841-4C16-9D3C-A9EE3DBD7C0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0" name="Line 15">
          <a:extLst>
            <a:ext uri="{FF2B5EF4-FFF2-40B4-BE49-F238E27FC236}">
              <a16:creationId xmlns:a16="http://schemas.microsoft.com/office/drawing/2014/main" id="{3CBAFA8E-9AC5-4B76-8123-AEF59900C5C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1" name="Line 42">
          <a:extLst>
            <a:ext uri="{FF2B5EF4-FFF2-40B4-BE49-F238E27FC236}">
              <a16:creationId xmlns:a16="http://schemas.microsoft.com/office/drawing/2014/main" id="{6CFFBD4C-C48C-4F6A-8F17-D3D87AC678A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42" name="Line 4">
          <a:extLst>
            <a:ext uri="{FF2B5EF4-FFF2-40B4-BE49-F238E27FC236}">
              <a16:creationId xmlns:a16="http://schemas.microsoft.com/office/drawing/2014/main" id="{C7883C21-9A6C-4565-8CAD-52CED1EC659A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3" name="Line 14">
          <a:extLst>
            <a:ext uri="{FF2B5EF4-FFF2-40B4-BE49-F238E27FC236}">
              <a16:creationId xmlns:a16="http://schemas.microsoft.com/office/drawing/2014/main" id="{3BE99AC5-236B-492A-A16A-BAA95F6B7E4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4" name="Line 15">
          <a:extLst>
            <a:ext uri="{FF2B5EF4-FFF2-40B4-BE49-F238E27FC236}">
              <a16:creationId xmlns:a16="http://schemas.microsoft.com/office/drawing/2014/main" id="{ECA5D1AE-0916-4CFF-89E5-7462D20B70F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5" name="Line 42">
          <a:extLst>
            <a:ext uri="{FF2B5EF4-FFF2-40B4-BE49-F238E27FC236}">
              <a16:creationId xmlns:a16="http://schemas.microsoft.com/office/drawing/2014/main" id="{A5152102-6C4C-4A05-8257-558B5425E56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46" name="Line 4">
          <a:extLst>
            <a:ext uri="{FF2B5EF4-FFF2-40B4-BE49-F238E27FC236}">
              <a16:creationId xmlns:a16="http://schemas.microsoft.com/office/drawing/2014/main" id="{A00B5AA0-ACA0-4319-B074-39697B6803BA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7" name="Line 14">
          <a:extLst>
            <a:ext uri="{FF2B5EF4-FFF2-40B4-BE49-F238E27FC236}">
              <a16:creationId xmlns:a16="http://schemas.microsoft.com/office/drawing/2014/main" id="{4993BE9E-C454-44D5-9219-E93872C41DA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8" name="Line 15">
          <a:extLst>
            <a:ext uri="{FF2B5EF4-FFF2-40B4-BE49-F238E27FC236}">
              <a16:creationId xmlns:a16="http://schemas.microsoft.com/office/drawing/2014/main" id="{457F123B-FC0D-4ABD-8159-2FC509CB679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49" name="Line 42">
          <a:extLst>
            <a:ext uri="{FF2B5EF4-FFF2-40B4-BE49-F238E27FC236}">
              <a16:creationId xmlns:a16="http://schemas.microsoft.com/office/drawing/2014/main" id="{06DB2ED6-AE3B-4D82-8BF6-11B9513ABAE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50" name="Line 4">
          <a:extLst>
            <a:ext uri="{FF2B5EF4-FFF2-40B4-BE49-F238E27FC236}">
              <a16:creationId xmlns:a16="http://schemas.microsoft.com/office/drawing/2014/main" id="{904E27FC-5177-4E46-A28D-62AD2F9BC6B9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1" name="Line 14">
          <a:extLst>
            <a:ext uri="{FF2B5EF4-FFF2-40B4-BE49-F238E27FC236}">
              <a16:creationId xmlns:a16="http://schemas.microsoft.com/office/drawing/2014/main" id="{9A1A91D5-9A1C-44FE-83D9-4107C192149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2" name="Line 15">
          <a:extLst>
            <a:ext uri="{FF2B5EF4-FFF2-40B4-BE49-F238E27FC236}">
              <a16:creationId xmlns:a16="http://schemas.microsoft.com/office/drawing/2014/main" id="{1CE0EC3D-4C54-47F1-B83F-B68D545E50F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3" name="Line 42">
          <a:extLst>
            <a:ext uri="{FF2B5EF4-FFF2-40B4-BE49-F238E27FC236}">
              <a16:creationId xmlns:a16="http://schemas.microsoft.com/office/drawing/2014/main" id="{7FFDEE4A-1CEA-46EA-81E8-F41AC6089B8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54" name="Line 4">
          <a:extLst>
            <a:ext uri="{FF2B5EF4-FFF2-40B4-BE49-F238E27FC236}">
              <a16:creationId xmlns:a16="http://schemas.microsoft.com/office/drawing/2014/main" id="{C5CA2FE9-EA26-47C4-A344-DB0697D0FC63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5" name="Line 14">
          <a:extLst>
            <a:ext uri="{FF2B5EF4-FFF2-40B4-BE49-F238E27FC236}">
              <a16:creationId xmlns:a16="http://schemas.microsoft.com/office/drawing/2014/main" id="{249B676B-8983-4C83-8A4F-DE63A90739A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6" name="Line 15">
          <a:extLst>
            <a:ext uri="{FF2B5EF4-FFF2-40B4-BE49-F238E27FC236}">
              <a16:creationId xmlns:a16="http://schemas.microsoft.com/office/drawing/2014/main" id="{91D47BBF-A742-42CC-AAAF-194F061A00F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7" name="Line 42">
          <a:extLst>
            <a:ext uri="{FF2B5EF4-FFF2-40B4-BE49-F238E27FC236}">
              <a16:creationId xmlns:a16="http://schemas.microsoft.com/office/drawing/2014/main" id="{7957CA6B-0A53-43BF-953B-E4E9295C2DB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676</xdr:row>
      <xdr:rowOff>0</xdr:rowOff>
    </xdr:from>
    <xdr:to>
      <xdr:col>18</xdr:col>
      <xdr:colOff>447675</xdr:colOff>
      <xdr:row>677</xdr:row>
      <xdr:rowOff>0</xdr:rowOff>
    </xdr:to>
    <xdr:sp macro="" textlink="">
      <xdr:nvSpPr>
        <xdr:cNvPr id="6058" name="Line 4">
          <a:extLst>
            <a:ext uri="{FF2B5EF4-FFF2-40B4-BE49-F238E27FC236}">
              <a16:creationId xmlns:a16="http://schemas.microsoft.com/office/drawing/2014/main" id="{00C93D89-4368-49CA-A357-DB1FE37892A7}"/>
            </a:ext>
          </a:extLst>
        </xdr:cNvPr>
        <xdr:cNvSpPr>
          <a:spLocks noChangeShapeType="1"/>
        </xdr:cNvSpPr>
      </xdr:nvSpPr>
      <xdr:spPr bwMode="auto">
        <a:xfrm>
          <a:off x="7686675" y="133635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59" name="Line 14">
          <a:extLst>
            <a:ext uri="{FF2B5EF4-FFF2-40B4-BE49-F238E27FC236}">
              <a16:creationId xmlns:a16="http://schemas.microsoft.com/office/drawing/2014/main" id="{7E4AC617-8114-4895-9E68-33AFFA48DA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60" name="Line 15">
          <a:extLst>
            <a:ext uri="{FF2B5EF4-FFF2-40B4-BE49-F238E27FC236}">
              <a16:creationId xmlns:a16="http://schemas.microsoft.com/office/drawing/2014/main" id="{573645B3-C13C-4A51-9CE4-FFB9C4C9C2B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676</xdr:row>
      <xdr:rowOff>0</xdr:rowOff>
    </xdr:from>
    <xdr:to>
      <xdr:col>18</xdr:col>
      <xdr:colOff>438150</xdr:colOff>
      <xdr:row>677</xdr:row>
      <xdr:rowOff>0</xdr:rowOff>
    </xdr:to>
    <xdr:sp macro="" textlink="">
      <xdr:nvSpPr>
        <xdr:cNvPr id="6061" name="Line 42">
          <a:extLst>
            <a:ext uri="{FF2B5EF4-FFF2-40B4-BE49-F238E27FC236}">
              <a16:creationId xmlns:a16="http://schemas.microsoft.com/office/drawing/2014/main" id="{DBD370E7-4546-430D-B381-8C5E86F19A3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3635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62" name="Line 4">
          <a:extLst>
            <a:ext uri="{FF2B5EF4-FFF2-40B4-BE49-F238E27FC236}">
              <a16:creationId xmlns:a16="http://schemas.microsoft.com/office/drawing/2014/main" id="{48B23412-655D-46E6-9302-7E875D63774E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3" name="Line 14">
          <a:extLst>
            <a:ext uri="{FF2B5EF4-FFF2-40B4-BE49-F238E27FC236}">
              <a16:creationId xmlns:a16="http://schemas.microsoft.com/office/drawing/2014/main" id="{0274A3BD-9540-4C02-80F1-370FA20E1C8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4" name="Line 15">
          <a:extLst>
            <a:ext uri="{FF2B5EF4-FFF2-40B4-BE49-F238E27FC236}">
              <a16:creationId xmlns:a16="http://schemas.microsoft.com/office/drawing/2014/main" id="{08C10308-F298-46DA-9633-BD927D9872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5" name="Line 42">
          <a:extLst>
            <a:ext uri="{FF2B5EF4-FFF2-40B4-BE49-F238E27FC236}">
              <a16:creationId xmlns:a16="http://schemas.microsoft.com/office/drawing/2014/main" id="{F0399DE7-DB95-4CF8-858A-EBA109EF105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66" name="Line 4">
          <a:extLst>
            <a:ext uri="{FF2B5EF4-FFF2-40B4-BE49-F238E27FC236}">
              <a16:creationId xmlns:a16="http://schemas.microsoft.com/office/drawing/2014/main" id="{91F60806-7F4C-4356-88AD-4D1EEDDE9120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7" name="Line 14">
          <a:extLst>
            <a:ext uri="{FF2B5EF4-FFF2-40B4-BE49-F238E27FC236}">
              <a16:creationId xmlns:a16="http://schemas.microsoft.com/office/drawing/2014/main" id="{09D6CC29-89D0-4C5E-9570-28F1C18EEC3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8" name="Line 15">
          <a:extLst>
            <a:ext uri="{FF2B5EF4-FFF2-40B4-BE49-F238E27FC236}">
              <a16:creationId xmlns:a16="http://schemas.microsoft.com/office/drawing/2014/main" id="{695D3206-BF78-4C4F-B1D6-C5FF4BC68D5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69" name="Line 42">
          <a:extLst>
            <a:ext uri="{FF2B5EF4-FFF2-40B4-BE49-F238E27FC236}">
              <a16:creationId xmlns:a16="http://schemas.microsoft.com/office/drawing/2014/main" id="{31C76016-A251-40A5-A49C-57962120C8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70" name="Line 4">
          <a:extLst>
            <a:ext uri="{FF2B5EF4-FFF2-40B4-BE49-F238E27FC236}">
              <a16:creationId xmlns:a16="http://schemas.microsoft.com/office/drawing/2014/main" id="{EC2F733C-30D9-441A-B24B-22F16928B3AA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1" name="Line 14">
          <a:extLst>
            <a:ext uri="{FF2B5EF4-FFF2-40B4-BE49-F238E27FC236}">
              <a16:creationId xmlns:a16="http://schemas.microsoft.com/office/drawing/2014/main" id="{53509D8A-50B3-46A9-BE37-83EC3F33881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2" name="Line 15">
          <a:extLst>
            <a:ext uri="{FF2B5EF4-FFF2-40B4-BE49-F238E27FC236}">
              <a16:creationId xmlns:a16="http://schemas.microsoft.com/office/drawing/2014/main" id="{10AEE319-8FAF-44C9-B4D8-6AEBE216989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3" name="Line 42">
          <a:extLst>
            <a:ext uri="{FF2B5EF4-FFF2-40B4-BE49-F238E27FC236}">
              <a16:creationId xmlns:a16="http://schemas.microsoft.com/office/drawing/2014/main" id="{E482D46E-C4C7-4E45-8962-4E84E0288C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74" name="Line 4">
          <a:extLst>
            <a:ext uri="{FF2B5EF4-FFF2-40B4-BE49-F238E27FC236}">
              <a16:creationId xmlns:a16="http://schemas.microsoft.com/office/drawing/2014/main" id="{A5BB9B99-F63C-4787-A131-210AA845334F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5" name="Line 14">
          <a:extLst>
            <a:ext uri="{FF2B5EF4-FFF2-40B4-BE49-F238E27FC236}">
              <a16:creationId xmlns:a16="http://schemas.microsoft.com/office/drawing/2014/main" id="{6428B952-D113-4C4D-BEE2-21AED5B489C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6" name="Line 15">
          <a:extLst>
            <a:ext uri="{FF2B5EF4-FFF2-40B4-BE49-F238E27FC236}">
              <a16:creationId xmlns:a16="http://schemas.microsoft.com/office/drawing/2014/main" id="{08FE6EA0-A12E-4A53-9E01-06F343C5AF3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7" name="Line 42">
          <a:extLst>
            <a:ext uri="{FF2B5EF4-FFF2-40B4-BE49-F238E27FC236}">
              <a16:creationId xmlns:a16="http://schemas.microsoft.com/office/drawing/2014/main" id="{AD012847-6DF7-4C5F-B65C-48560BD6715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78" name="Line 4">
          <a:extLst>
            <a:ext uri="{FF2B5EF4-FFF2-40B4-BE49-F238E27FC236}">
              <a16:creationId xmlns:a16="http://schemas.microsoft.com/office/drawing/2014/main" id="{6C809E4E-694F-47BA-B706-262106B7F53F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79" name="Line 14">
          <a:extLst>
            <a:ext uri="{FF2B5EF4-FFF2-40B4-BE49-F238E27FC236}">
              <a16:creationId xmlns:a16="http://schemas.microsoft.com/office/drawing/2014/main" id="{987BB687-A420-47E5-99FC-0F218946E7D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80" name="Line 15">
          <a:extLst>
            <a:ext uri="{FF2B5EF4-FFF2-40B4-BE49-F238E27FC236}">
              <a16:creationId xmlns:a16="http://schemas.microsoft.com/office/drawing/2014/main" id="{CE003ADE-38C7-49A7-859E-C8AE2EBFE16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81" name="Line 42">
          <a:extLst>
            <a:ext uri="{FF2B5EF4-FFF2-40B4-BE49-F238E27FC236}">
              <a16:creationId xmlns:a16="http://schemas.microsoft.com/office/drawing/2014/main" id="{2F6B0DB8-FD5B-4F4F-BDF2-587B276C0A8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678</xdr:row>
      <xdr:rowOff>0</xdr:rowOff>
    </xdr:from>
    <xdr:to>
      <xdr:col>18</xdr:col>
      <xdr:colOff>447675</xdr:colOff>
      <xdr:row>679</xdr:row>
      <xdr:rowOff>0</xdr:rowOff>
    </xdr:to>
    <xdr:sp macro="" textlink="">
      <xdr:nvSpPr>
        <xdr:cNvPr id="6082" name="Line 4">
          <a:extLst>
            <a:ext uri="{FF2B5EF4-FFF2-40B4-BE49-F238E27FC236}">
              <a16:creationId xmlns:a16="http://schemas.microsoft.com/office/drawing/2014/main" id="{19F875DD-9981-467C-BCD3-7CDD4F571510}"/>
            </a:ext>
          </a:extLst>
        </xdr:cNvPr>
        <xdr:cNvSpPr>
          <a:spLocks noChangeShapeType="1"/>
        </xdr:cNvSpPr>
      </xdr:nvSpPr>
      <xdr:spPr bwMode="auto">
        <a:xfrm>
          <a:off x="7686675" y="1340590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83" name="Line 14">
          <a:extLst>
            <a:ext uri="{FF2B5EF4-FFF2-40B4-BE49-F238E27FC236}">
              <a16:creationId xmlns:a16="http://schemas.microsoft.com/office/drawing/2014/main" id="{40FDBD54-59F9-40FD-BA24-167E2C670C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84" name="Line 15">
          <a:extLst>
            <a:ext uri="{FF2B5EF4-FFF2-40B4-BE49-F238E27FC236}">
              <a16:creationId xmlns:a16="http://schemas.microsoft.com/office/drawing/2014/main" id="{CDE18469-5E6A-4A9B-A676-C785F125559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678</xdr:row>
      <xdr:rowOff>0</xdr:rowOff>
    </xdr:from>
    <xdr:to>
      <xdr:col>18</xdr:col>
      <xdr:colOff>438150</xdr:colOff>
      <xdr:row>679</xdr:row>
      <xdr:rowOff>0</xdr:rowOff>
    </xdr:to>
    <xdr:sp macro="" textlink="">
      <xdr:nvSpPr>
        <xdr:cNvPr id="6085" name="Line 42">
          <a:extLst>
            <a:ext uri="{FF2B5EF4-FFF2-40B4-BE49-F238E27FC236}">
              <a16:creationId xmlns:a16="http://schemas.microsoft.com/office/drawing/2014/main" id="{4849ACB2-9794-4F87-92E5-45D486B8899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340590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086" name="Line 4">
          <a:extLst>
            <a:ext uri="{FF2B5EF4-FFF2-40B4-BE49-F238E27FC236}">
              <a16:creationId xmlns:a16="http://schemas.microsoft.com/office/drawing/2014/main" id="{96A56F50-10EA-4B24-94A8-3A3A4058DF7C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87" name="Line 14">
          <a:extLst>
            <a:ext uri="{FF2B5EF4-FFF2-40B4-BE49-F238E27FC236}">
              <a16:creationId xmlns:a16="http://schemas.microsoft.com/office/drawing/2014/main" id="{16DF310B-A074-49AD-91EE-1D71C6523BA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88" name="Line 15">
          <a:extLst>
            <a:ext uri="{FF2B5EF4-FFF2-40B4-BE49-F238E27FC236}">
              <a16:creationId xmlns:a16="http://schemas.microsoft.com/office/drawing/2014/main" id="{18FC2A58-E941-4B5C-98F9-FEF81CC78F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89" name="Line 42">
          <a:extLst>
            <a:ext uri="{FF2B5EF4-FFF2-40B4-BE49-F238E27FC236}">
              <a16:creationId xmlns:a16="http://schemas.microsoft.com/office/drawing/2014/main" id="{3483ED22-DE5B-4B15-A5A3-DF952B6FD61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090" name="Line 4">
          <a:extLst>
            <a:ext uri="{FF2B5EF4-FFF2-40B4-BE49-F238E27FC236}">
              <a16:creationId xmlns:a16="http://schemas.microsoft.com/office/drawing/2014/main" id="{A917A6D5-5FDF-4C8E-B860-8061473399A9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1" name="Line 14">
          <a:extLst>
            <a:ext uri="{FF2B5EF4-FFF2-40B4-BE49-F238E27FC236}">
              <a16:creationId xmlns:a16="http://schemas.microsoft.com/office/drawing/2014/main" id="{732E0999-52C9-4592-8FBC-0C82160C3D8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2" name="Line 15">
          <a:extLst>
            <a:ext uri="{FF2B5EF4-FFF2-40B4-BE49-F238E27FC236}">
              <a16:creationId xmlns:a16="http://schemas.microsoft.com/office/drawing/2014/main" id="{CF3D70F2-4F51-482D-B15B-3228285555F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3" name="Line 42">
          <a:extLst>
            <a:ext uri="{FF2B5EF4-FFF2-40B4-BE49-F238E27FC236}">
              <a16:creationId xmlns:a16="http://schemas.microsoft.com/office/drawing/2014/main" id="{FA1E26F9-3ED7-41DE-BB2F-C8956E7B8B6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094" name="Line 4">
          <a:extLst>
            <a:ext uri="{FF2B5EF4-FFF2-40B4-BE49-F238E27FC236}">
              <a16:creationId xmlns:a16="http://schemas.microsoft.com/office/drawing/2014/main" id="{1E6735E4-2AD6-4C94-91F9-14D6CF8DAA31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5" name="Line 14">
          <a:extLst>
            <a:ext uri="{FF2B5EF4-FFF2-40B4-BE49-F238E27FC236}">
              <a16:creationId xmlns:a16="http://schemas.microsoft.com/office/drawing/2014/main" id="{F127B715-12EC-448B-8020-60FD6D68717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6" name="Line 15">
          <a:extLst>
            <a:ext uri="{FF2B5EF4-FFF2-40B4-BE49-F238E27FC236}">
              <a16:creationId xmlns:a16="http://schemas.microsoft.com/office/drawing/2014/main" id="{38F66968-1BCC-4F2B-9746-0C698AD1CB3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097" name="Line 42">
          <a:extLst>
            <a:ext uri="{FF2B5EF4-FFF2-40B4-BE49-F238E27FC236}">
              <a16:creationId xmlns:a16="http://schemas.microsoft.com/office/drawing/2014/main" id="{E06B92D9-5060-4383-8976-55E7BDA46C0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098" name="Line 4">
          <a:extLst>
            <a:ext uri="{FF2B5EF4-FFF2-40B4-BE49-F238E27FC236}">
              <a16:creationId xmlns:a16="http://schemas.microsoft.com/office/drawing/2014/main" id="{9E79B2D5-4015-4068-B0F7-163E9C7C5196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099" name="Line 14">
          <a:extLst>
            <a:ext uri="{FF2B5EF4-FFF2-40B4-BE49-F238E27FC236}">
              <a16:creationId xmlns:a16="http://schemas.microsoft.com/office/drawing/2014/main" id="{4EBC8544-06D4-498C-84B7-207A7C52618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0" name="Line 15">
          <a:extLst>
            <a:ext uri="{FF2B5EF4-FFF2-40B4-BE49-F238E27FC236}">
              <a16:creationId xmlns:a16="http://schemas.microsoft.com/office/drawing/2014/main" id="{B62B9B61-C611-42B1-B747-AAA9B9EACDB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1" name="Line 42">
          <a:extLst>
            <a:ext uri="{FF2B5EF4-FFF2-40B4-BE49-F238E27FC236}">
              <a16:creationId xmlns:a16="http://schemas.microsoft.com/office/drawing/2014/main" id="{F87F1171-C303-45D9-B9AB-D82F64A03F5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02" name="Line 4">
          <a:extLst>
            <a:ext uri="{FF2B5EF4-FFF2-40B4-BE49-F238E27FC236}">
              <a16:creationId xmlns:a16="http://schemas.microsoft.com/office/drawing/2014/main" id="{ABE27889-0094-4348-AAB0-2E219FAA9574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3" name="Line 14">
          <a:extLst>
            <a:ext uri="{FF2B5EF4-FFF2-40B4-BE49-F238E27FC236}">
              <a16:creationId xmlns:a16="http://schemas.microsoft.com/office/drawing/2014/main" id="{88670070-D90A-4194-8112-A4DDC125B11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4" name="Line 15">
          <a:extLst>
            <a:ext uri="{FF2B5EF4-FFF2-40B4-BE49-F238E27FC236}">
              <a16:creationId xmlns:a16="http://schemas.microsoft.com/office/drawing/2014/main" id="{9E7E5FBE-C071-48F0-8425-8F209529C6D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5" name="Line 42">
          <a:extLst>
            <a:ext uri="{FF2B5EF4-FFF2-40B4-BE49-F238E27FC236}">
              <a16:creationId xmlns:a16="http://schemas.microsoft.com/office/drawing/2014/main" id="{61E49E36-32D6-428B-ADA9-C8DDC0207F9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06" name="Line 4">
          <a:extLst>
            <a:ext uri="{FF2B5EF4-FFF2-40B4-BE49-F238E27FC236}">
              <a16:creationId xmlns:a16="http://schemas.microsoft.com/office/drawing/2014/main" id="{F7233098-0C0E-47F4-A066-3A3E0AD4E679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7" name="Line 14">
          <a:extLst>
            <a:ext uri="{FF2B5EF4-FFF2-40B4-BE49-F238E27FC236}">
              <a16:creationId xmlns:a16="http://schemas.microsoft.com/office/drawing/2014/main" id="{733B6D2E-37F0-41F8-AB50-DB5A5AA3E6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8" name="Line 15">
          <a:extLst>
            <a:ext uri="{FF2B5EF4-FFF2-40B4-BE49-F238E27FC236}">
              <a16:creationId xmlns:a16="http://schemas.microsoft.com/office/drawing/2014/main" id="{CDD02108-F8E9-4EDB-BF6A-5E5003702E3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09" name="Line 42">
          <a:extLst>
            <a:ext uri="{FF2B5EF4-FFF2-40B4-BE49-F238E27FC236}">
              <a16:creationId xmlns:a16="http://schemas.microsoft.com/office/drawing/2014/main" id="{C4D0402C-B6AC-48C7-B27C-5B5B3ECEFE4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10" name="Line 4">
          <a:extLst>
            <a:ext uri="{FF2B5EF4-FFF2-40B4-BE49-F238E27FC236}">
              <a16:creationId xmlns:a16="http://schemas.microsoft.com/office/drawing/2014/main" id="{03547179-564F-4FD1-A368-729563ADEA4B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1" name="Line 14">
          <a:extLst>
            <a:ext uri="{FF2B5EF4-FFF2-40B4-BE49-F238E27FC236}">
              <a16:creationId xmlns:a16="http://schemas.microsoft.com/office/drawing/2014/main" id="{2F915392-B502-47EE-9E5F-19D2747FF29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2" name="Line 15">
          <a:extLst>
            <a:ext uri="{FF2B5EF4-FFF2-40B4-BE49-F238E27FC236}">
              <a16:creationId xmlns:a16="http://schemas.microsoft.com/office/drawing/2014/main" id="{612498A3-1B7C-4607-BBC6-B397309DE3F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3" name="Line 42">
          <a:extLst>
            <a:ext uri="{FF2B5EF4-FFF2-40B4-BE49-F238E27FC236}">
              <a16:creationId xmlns:a16="http://schemas.microsoft.com/office/drawing/2014/main" id="{C0319FAA-7C0A-4173-A56D-6156957666A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14" name="Line 4">
          <a:extLst>
            <a:ext uri="{FF2B5EF4-FFF2-40B4-BE49-F238E27FC236}">
              <a16:creationId xmlns:a16="http://schemas.microsoft.com/office/drawing/2014/main" id="{A873B590-8826-4641-8136-AA3B6B754B00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5" name="Line 14">
          <a:extLst>
            <a:ext uri="{FF2B5EF4-FFF2-40B4-BE49-F238E27FC236}">
              <a16:creationId xmlns:a16="http://schemas.microsoft.com/office/drawing/2014/main" id="{1C353740-B739-4A46-87BB-797612DB102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6" name="Line 15">
          <a:extLst>
            <a:ext uri="{FF2B5EF4-FFF2-40B4-BE49-F238E27FC236}">
              <a16:creationId xmlns:a16="http://schemas.microsoft.com/office/drawing/2014/main" id="{CBAFF949-EAE9-401D-A268-814EB0CD66E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7" name="Line 42">
          <a:extLst>
            <a:ext uri="{FF2B5EF4-FFF2-40B4-BE49-F238E27FC236}">
              <a16:creationId xmlns:a16="http://schemas.microsoft.com/office/drawing/2014/main" id="{21F2AA15-FB65-4C79-87D5-A6CEC49899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18" name="Line 4">
          <a:extLst>
            <a:ext uri="{FF2B5EF4-FFF2-40B4-BE49-F238E27FC236}">
              <a16:creationId xmlns:a16="http://schemas.microsoft.com/office/drawing/2014/main" id="{E7BF577E-814A-4ACC-B181-20B8B252DBAD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19" name="Line 14">
          <a:extLst>
            <a:ext uri="{FF2B5EF4-FFF2-40B4-BE49-F238E27FC236}">
              <a16:creationId xmlns:a16="http://schemas.microsoft.com/office/drawing/2014/main" id="{410969B4-BC9E-49E4-BC52-0D565332A2F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20" name="Line 15">
          <a:extLst>
            <a:ext uri="{FF2B5EF4-FFF2-40B4-BE49-F238E27FC236}">
              <a16:creationId xmlns:a16="http://schemas.microsoft.com/office/drawing/2014/main" id="{A564ED7C-A6FE-4723-8522-006DFB9943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21" name="Line 42">
          <a:extLst>
            <a:ext uri="{FF2B5EF4-FFF2-40B4-BE49-F238E27FC236}">
              <a16:creationId xmlns:a16="http://schemas.microsoft.com/office/drawing/2014/main" id="{ADC26778-9586-4BAC-8B8E-408E0979D0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122" name="Line 4">
          <a:extLst>
            <a:ext uri="{FF2B5EF4-FFF2-40B4-BE49-F238E27FC236}">
              <a16:creationId xmlns:a16="http://schemas.microsoft.com/office/drawing/2014/main" id="{774775FA-A1A2-4B91-9DF3-F1D4DDB0C0F7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3" name="Line 14">
          <a:extLst>
            <a:ext uri="{FF2B5EF4-FFF2-40B4-BE49-F238E27FC236}">
              <a16:creationId xmlns:a16="http://schemas.microsoft.com/office/drawing/2014/main" id="{DDFC29F2-0756-4638-B4F7-80C13D737D1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4" name="Line 15">
          <a:extLst>
            <a:ext uri="{FF2B5EF4-FFF2-40B4-BE49-F238E27FC236}">
              <a16:creationId xmlns:a16="http://schemas.microsoft.com/office/drawing/2014/main" id="{874ABFC9-A56E-4F50-8A0B-F1823025E49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5" name="Line 42">
          <a:extLst>
            <a:ext uri="{FF2B5EF4-FFF2-40B4-BE49-F238E27FC236}">
              <a16:creationId xmlns:a16="http://schemas.microsoft.com/office/drawing/2014/main" id="{8C107770-9D93-42AE-B1C7-503C07D04FE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126" name="Line 4">
          <a:extLst>
            <a:ext uri="{FF2B5EF4-FFF2-40B4-BE49-F238E27FC236}">
              <a16:creationId xmlns:a16="http://schemas.microsoft.com/office/drawing/2014/main" id="{354840DB-C582-4020-8F48-9A124327C671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7" name="Line 14">
          <a:extLst>
            <a:ext uri="{FF2B5EF4-FFF2-40B4-BE49-F238E27FC236}">
              <a16:creationId xmlns:a16="http://schemas.microsoft.com/office/drawing/2014/main" id="{AA94D6E3-E431-4969-94A4-5F107AE63C6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8" name="Line 15">
          <a:extLst>
            <a:ext uri="{FF2B5EF4-FFF2-40B4-BE49-F238E27FC236}">
              <a16:creationId xmlns:a16="http://schemas.microsoft.com/office/drawing/2014/main" id="{5E572A78-81AD-478C-B49D-FF48FF2E06F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29" name="Line 42">
          <a:extLst>
            <a:ext uri="{FF2B5EF4-FFF2-40B4-BE49-F238E27FC236}">
              <a16:creationId xmlns:a16="http://schemas.microsoft.com/office/drawing/2014/main" id="{C06E0D6E-F680-4057-BA4C-EBFEBEBFBFA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749</xdr:row>
      <xdr:rowOff>0</xdr:rowOff>
    </xdr:from>
    <xdr:to>
      <xdr:col>18</xdr:col>
      <xdr:colOff>447675</xdr:colOff>
      <xdr:row>750</xdr:row>
      <xdr:rowOff>0</xdr:rowOff>
    </xdr:to>
    <xdr:sp macro="" textlink="">
      <xdr:nvSpPr>
        <xdr:cNvPr id="6130" name="Line 4">
          <a:extLst>
            <a:ext uri="{FF2B5EF4-FFF2-40B4-BE49-F238E27FC236}">
              <a16:creationId xmlns:a16="http://schemas.microsoft.com/office/drawing/2014/main" id="{52B09E85-1037-4CE8-BAF0-0E700E76FEE1}"/>
            </a:ext>
          </a:extLst>
        </xdr:cNvPr>
        <xdr:cNvSpPr>
          <a:spLocks noChangeShapeType="1"/>
        </xdr:cNvSpPr>
      </xdr:nvSpPr>
      <xdr:spPr bwMode="auto">
        <a:xfrm>
          <a:off x="7686675" y="149754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31" name="Line 14">
          <a:extLst>
            <a:ext uri="{FF2B5EF4-FFF2-40B4-BE49-F238E27FC236}">
              <a16:creationId xmlns:a16="http://schemas.microsoft.com/office/drawing/2014/main" id="{EBBF3531-C6FA-473D-B3DB-FD4B4CAB9B5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32" name="Line 15">
          <a:extLst>
            <a:ext uri="{FF2B5EF4-FFF2-40B4-BE49-F238E27FC236}">
              <a16:creationId xmlns:a16="http://schemas.microsoft.com/office/drawing/2014/main" id="{5FCD67BD-D82F-4AFC-960D-08282612D16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749</xdr:row>
      <xdr:rowOff>0</xdr:rowOff>
    </xdr:from>
    <xdr:to>
      <xdr:col>18</xdr:col>
      <xdr:colOff>438150</xdr:colOff>
      <xdr:row>750</xdr:row>
      <xdr:rowOff>0</xdr:rowOff>
    </xdr:to>
    <xdr:sp macro="" textlink="">
      <xdr:nvSpPr>
        <xdr:cNvPr id="6133" name="Line 42">
          <a:extLst>
            <a:ext uri="{FF2B5EF4-FFF2-40B4-BE49-F238E27FC236}">
              <a16:creationId xmlns:a16="http://schemas.microsoft.com/office/drawing/2014/main" id="{B54016DC-91E3-4A6C-8D81-50D4D4A4325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49754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34" name="Line 4">
          <a:extLst>
            <a:ext uri="{FF2B5EF4-FFF2-40B4-BE49-F238E27FC236}">
              <a16:creationId xmlns:a16="http://schemas.microsoft.com/office/drawing/2014/main" id="{3ED4A996-F10C-4B35-BD9D-4397B4D2DB90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35" name="Line 14">
          <a:extLst>
            <a:ext uri="{FF2B5EF4-FFF2-40B4-BE49-F238E27FC236}">
              <a16:creationId xmlns:a16="http://schemas.microsoft.com/office/drawing/2014/main" id="{0D8A68E5-1300-48D3-A1ED-5EA0D6CBC32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36" name="Line 15">
          <a:extLst>
            <a:ext uri="{FF2B5EF4-FFF2-40B4-BE49-F238E27FC236}">
              <a16:creationId xmlns:a16="http://schemas.microsoft.com/office/drawing/2014/main" id="{84013035-1B19-4AA3-A0E3-9EA941363E7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37" name="Line 42">
          <a:extLst>
            <a:ext uri="{FF2B5EF4-FFF2-40B4-BE49-F238E27FC236}">
              <a16:creationId xmlns:a16="http://schemas.microsoft.com/office/drawing/2014/main" id="{6FA52B30-DA9D-4D6D-8C16-3C51EAA4919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38" name="Line 4">
          <a:extLst>
            <a:ext uri="{FF2B5EF4-FFF2-40B4-BE49-F238E27FC236}">
              <a16:creationId xmlns:a16="http://schemas.microsoft.com/office/drawing/2014/main" id="{8D73CE77-0C09-4FAF-9C6D-E1EC5CB4BE53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39" name="Line 14">
          <a:extLst>
            <a:ext uri="{FF2B5EF4-FFF2-40B4-BE49-F238E27FC236}">
              <a16:creationId xmlns:a16="http://schemas.microsoft.com/office/drawing/2014/main" id="{E4CE31B1-C24C-496C-8B56-BDAD3FA4774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0" name="Line 15">
          <a:extLst>
            <a:ext uri="{FF2B5EF4-FFF2-40B4-BE49-F238E27FC236}">
              <a16:creationId xmlns:a16="http://schemas.microsoft.com/office/drawing/2014/main" id="{4EB4318C-E027-4B64-9EFD-EA73AB9554D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1" name="Line 42">
          <a:extLst>
            <a:ext uri="{FF2B5EF4-FFF2-40B4-BE49-F238E27FC236}">
              <a16:creationId xmlns:a16="http://schemas.microsoft.com/office/drawing/2014/main" id="{2C9B3647-FC98-4007-8F44-FC0C647F407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42" name="Line 4">
          <a:extLst>
            <a:ext uri="{FF2B5EF4-FFF2-40B4-BE49-F238E27FC236}">
              <a16:creationId xmlns:a16="http://schemas.microsoft.com/office/drawing/2014/main" id="{75B703D5-5A20-4BE1-8EBE-C64F1AD688B2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3" name="Line 14">
          <a:extLst>
            <a:ext uri="{FF2B5EF4-FFF2-40B4-BE49-F238E27FC236}">
              <a16:creationId xmlns:a16="http://schemas.microsoft.com/office/drawing/2014/main" id="{C790D6B9-339B-4AFB-A1AE-12414F3BF89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4" name="Line 15">
          <a:extLst>
            <a:ext uri="{FF2B5EF4-FFF2-40B4-BE49-F238E27FC236}">
              <a16:creationId xmlns:a16="http://schemas.microsoft.com/office/drawing/2014/main" id="{ED56E458-2A3F-4ABA-9A4B-F3A009E5A84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5" name="Line 42">
          <a:extLst>
            <a:ext uri="{FF2B5EF4-FFF2-40B4-BE49-F238E27FC236}">
              <a16:creationId xmlns:a16="http://schemas.microsoft.com/office/drawing/2014/main" id="{5DDEF43A-FABF-4DEF-B9E1-D35CA4ABAEC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46" name="Line 4">
          <a:extLst>
            <a:ext uri="{FF2B5EF4-FFF2-40B4-BE49-F238E27FC236}">
              <a16:creationId xmlns:a16="http://schemas.microsoft.com/office/drawing/2014/main" id="{60ADFC15-46F4-4127-80F6-3BA5276702D8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7" name="Line 14">
          <a:extLst>
            <a:ext uri="{FF2B5EF4-FFF2-40B4-BE49-F238E27FC236}">
              <a16:creationId xmlns:a16="http://schemas.microsoft.com/office/drawing/2014/main" id="{D291A176-7AE4-48D2-B0C8-B06A015AE44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8" name="Line 15">
          <a:extLst>
            <a:ext uri="{FF2B5EF4-FFF2-40B4-BE49-F238E27FC236}">
              <a16:creationId xmlns:a16="http://schemas.microsoft.com/office/drawing/2014/main" id="{57F3FA3F-7CE5-4DA4-9912-CD188E5F2A7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49" name="Line 42">
          <a:extLst>
            <a:ext uri="{FF2B5EF4-FFF2-40B4-BE49-F238E27FC236}">
              <a16:creationId xmlns:a16="http://schemas.microsoft.com/office/drawing/2014/main" id="{C6144A08-1B2D-40B1-88FF-F14AF58C599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50" name="Line 4">
          <a:extLst>
            <a:ext uri="{FF2B5EF4-FFF2-40B4-BE49-F238E27FC236}">
              <a16:creationId xmlns:a16="http://schemas.microsoft.com/office/drawing/2014/main" id="{6922BCF2-8A1D-4251-8C4C-4CF3ACDD9124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1" name="Line 14">
          <a:extLst>
            <a:ext uri="{FF2B5EF4-FFF2-40B4-BE49-F238E27FC236}">
              <a16:creationId xmlns:a16="http://schemas.microsoft.com/office/drawing/2014/main" id="{E503181A-8E27-4752-AD3C-74DB0A544DC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2" name="Line 15">
          <a:extLst>
            <a:ext uri="{FF2B5EF4-FFF2-40B4-BE49-F238E27FC236}">
              <a16:creationId xmlns:a16="http://schemas.microsoft.com/office/drawing/2014/main" id="{42B922F9-75DA-49FF-BC10-F8702924AB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3" name="Line 42">
          <a:extLst>
            <a:ext uri="{FF2B5EF4-FFF2-40B4-BE49-F238E27FC236}">
              <a16:creationId xmlns:a16="http://schemas.microsoft.com/office/drawing/2014/main" id="{DEE775AB-95B0-42C4-A0AE-FCB2CA2224B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751</xdr:row>
      <xdr:rowOff>0</xdr:rowOff>
    </xdr:from>
    <xdr:to>
      <xdr:col>18</xdr:col>
      <xdr:colOff>447675</xdr:colOff>
      <xdr:row>752</xdr:row>
      <xdr:rowOff>0</xdr:rowOff>
    </xdr:to>
    <xdr:sp macro="" textlink="">
      <xdr:nvSpPr>
        <xdr:cNvPr id="6154" name="Line 4">
          <a:extLst>
            <a:ext uri="{FF2B5EF4-FFF2-40B4-BE49-F238E27FC236}">
              <a16:creationId xmlns:a16="http://schemas.microsoft.com/office/drawing/2014/main" id="{41CB4935-4A13-4355-8B77-5E599BF582E7}"/>
            </a:ext>
          </a:extLst>
        </xdr:cNvPr>
        <xdr:cNvSpPr>
          <a:spLocks noChangeShapeType="1"/>
        </xdr:cNvSpPr>
      </xdr:nvSpPr>
      <xdr:spPr bwMode="auto">
        <a:xfrm>
          <a:off x="7686675" y="1501775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5" name="Line 14">
          <a:extLst>
            <a:ext uri="{FF2B5EF4-FFF2-40B4-BE49-F238E27FC236}">
              <a16:creationId xmlns:a16="http://schemas.microsoft.com/office/drawing/2014/main" id="{06AA27D9-789C-40D3-BB8A-6A43DCE7BCF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6" name="Line 15">
          <a:extLst>
            <a:ext uri="{FF2B5EF4-FFF2-40B4-BE49-F238E27FC236}">
              <a16:creationId xmlns:a16="http://schemas.microsoft.com/office/drawing/2014/main" id="{D285CB0F-9E8A-481B-B4AC-60AEA2701C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751</xdr:row>
      <xdr:rowOff>0</xdr:rowOff>
    </xdr:from>
    <xdr:to>
      <xdr:col>18</xdr:col>
      <xdr:colOff>438150</xdr:colOff>
      <xdr:row>752</xdr:row>
      <xdr:rowOff>0</xdr:rowOff>
    </xdr:to>
    <xdr:sp macro="" textlink="">
      <xdr:nvSpPr>
        <xdr:cNvPr id="6157" name="Line 42">
          <a:extLst>
            <a:ext uri="{FF2B5EF4-FFF2-40B4-BE49-F238E27FC236}">
              <a16:creationId xmlns:a16="http://schemas.microsoft.com/office/drawing/2014/main" id="{AF657F82-4056-40B2-96FF-2FFF6C34AE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501775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158" name="Line 4">
          <a:extLst>
            <a:ext uri="{FF2B5EF4-FFF2-40B4-BE49-F238E27FC236}">
              <a16:creationId xmlns:a16="http://schemas.microsoft.com/office/drawing/2014/main" id="{2A3EC77B-2FA3-4DAE-8A2C-A6FF104FA24C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59" name="Line 14">
          <a:extLst>
            <a:ext uri="{FF2B5EF4-FFF2-40B4-BE49-F238E27FC236}">
              <a16:creationId xmlns:a16="http://schemas.microsoft.com/office/drawing/2014/main" id="{7916D38C-1A3B-4F07-B4AB-E66D86FA41E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0" name="Line 15">
          <a:extLst>
            <a:ext uri="{FF2B5EF4-FFF2-40B4-BE49-F238E27FC236}">
              <a16:creationId xmlns:a16="http://schemas.microsoft.com/office/drawing/2014/main" id="{D7C695AF-B54C-4647-AD99-904F618C792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1" name="Line 42">
          <a:extLst>
            <a:ext uri="{FF2B5EF4-FFF2-40B4-BE49-F238E27FC236}">
              <a16:creationId xmlns:a16="http://schemas.microsoft.com/office/drawing/2014/main" id="{B6BD825D-2735-47F0-A056-593F3A05000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162" name="Line 4">
          <a:extLst>
            <a:ext uri="{FF2B5EF4-FFF2-40B4-BE49-F238E27FC236}">
              <a16:creationId xmlns:a16="http://schemas.microsoft.com/office/drawing/2014/main" id="{587AA40F-B65D-4FF9-8A28-9530B11BF0F1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3" name="Line 14">
          <a:extLst>
            <a:ext uri="{FF2B5EF4-FFF2-40B4-BE49-F238E27FC236}">
              <a16:creationId xmlns:a16="http://schemas.microsoft.com/office/drawing/2014/main" id="{4A78AB5A-B958-4FEF-9147-E2DDD5A89A6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4" name="Line 15">
          <a:extLst>
            <a:ext uri="{FF2B5EF4-FFF2-40B4-BE49-F238E27FC236}">
              <a16:creationId xmlns:a16="http://schemas.microsoft.com/office/drawing/2014/main" id="{0ACC3CF7-A58E-46A6-B2A6-BA0CEFBCCB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5" name="Line 42">
          <a:extLst>
            <a:ext uri="{FF2B5EF4-FFF2-40B4-BE49-F238E27FC236}">
              <a16:creationId xmlns:a16="http://schemas.microsoft.com/office/drawing/2014/main" id="{069DBCBC-83E8-4234-9CF9-005F9A44544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166" name="Line 4">
          <a:extLst>
            <a:ext uri="{FF2B5EF4-FFF2-40B4-BE49-F238E27FC236}">
              <a16:creationId xmlns:a16="http://schemas.microsoft.com/office/drawing/2014/main" id="{77B43E5E-E970-4207-8830-FCA56EF56A60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7" name="Line 14">
          <a:extLst>
            <a:ext uri="{FF2B5EF4-FFF2-40B4-BE49-F238E27FC236}">
              <a16:creationId xmlns:a16="http://schemas.microsoft.com/office/drawing/2014/main" id="{4FAC97FC-3156-40D9-9943-B34F0FFA4F1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8" name="Line 15">
          <a:extLst>
            <a:ext uri="{FF2B5EF4-FFF2-40B4-BE49-F238E27FC236}">
              <a16:creationId xmlns:a16="http://schemas.microsoft.com/office/drawing/2014/main" id="{C595B8F9-A828-41D5-8236-CA509490684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69" name="Line 42">
          <a:extLst>
            <a:ext uri="{FF2B5EF4-FFF2-40B4-BE49-F238E27FC236}">
              <a16:creationId xmlns:a16="http://schemas.microsoft.com/office/drawing/2014/main" id="{F8468F5E-B75E-4876-A490-B1BC3FF2FBE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70" name="Line 4">
          <a:extLst>
            <a:ext uri="{FF2B5EF4-FFF2-40B4-BE49-F238E27FC236}">
              <a16:creationId xmlns:a16="http://schemas.microsoft.com/office/drawing/2014/main" id="{C180EA2D-38A3-46F6-AC0C-28C1CAC0DA99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1" name="Line 14">
          <a:extLst>
            <a:ext uri="{FF2B5EF4-FFF2-40B4-BE49-F238E27FC236}">
              <a16:creationId xmlns:a16="http://schemas.microsoft.com/office/drawing/2014/main" id="{4C791A10-BC05-42CB-AE0A-4A48F35241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2" name="Line 15">
          <a:extLst>
            <a:ext uri="{FF2B5EF4-FFF2-40B4-BE49-F238E27FC236}">
              <a16:creationId xmlns:a16="http://schemas.microsoft.com/office/drawing/2014/main" id="{0D814D11-7050-45C2-AD93-BA62DA579A3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3" name="Line 42">
          <a:extLst>
            <a:ext uri="{FF2B5EF4-FFF2-40B4-BE49-F238E27FC236}">
              <a16:creationId xmlns:a16="http://schemas.microsoft.com/office/drawing/2014/main" id="{E999553A-A462-4AD0-B199-8B126390872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74" name="Line 4">
          <a:extLst>
            <a:ext uri="{FF2B5EF4-FFF2-40B4-BE49-F238E27FC236}">
              <a16:creationId xmlns:a16="http://schemas.microsoft.com/office/drawing/2014/main" id="{705B1238-791D-420F-88A1-392B6994AC91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5" name="Line 14">
          <a:extLst>
            <a:ext uri="{FF2B5EF4-FFF2-40B4-BE49-F238E27FC236}">
              <a16:creationId xmlns:a16="http://schemas.microsoft.com/office/drawing/2014/main" id="{A212721F-62C9-4F4F-A88D-C7D70E4AB79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6" name="Line 15">
          <a:extLst>
            <a:ext uri="{FF2B5EF4-FFF2-40B4-BE49-F238E27FC236}">
              <a16:creationId xmlns:a16="http://schemas.microsoft.com/office/drawing/2014/main" id="{9ADA09C0-65AE-40A0-8B5C-7D63CF95654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7" name="Line 42">
          <a:extLst>
            <a:ext uri="{FF2B5EF4-FFF2-40B4-BE49-F238E27FC236}">
              <a16:creationId xmlns:a16="http://schemas.microsoft.com/office/drawing/2014/main" id="{9ACD1B9E-B4C0-4F80-B6DC-C4184A696A6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78" name="Line 4">
          <a:extLst>
            <a:ext uri="{FF2B5EF4-FFF2-40B4-BE49-F238E27FC236}">
              <a16:creationId xmlns:a16="http://schemas.microsoft.com/office/drawing/2014/main" id="{623F3DDD-C773-4BF1-8F84-CBB53D9CE9D9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79" name="Line 14">
          <a:extLst>
            <a:ext uri="{FF2B5EF4-FFF2-40B4-BE49-F238E27FC236}">
              <a16:creationId xmlns:a16="http://schemas.microsoft.com/office/drawing/2014/main" id="{012DAAB0-D2D6-4038-B2A6-8EA868E5BD6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0" name="Line 15">
          <a:extLst>
            <a:ext uri="{FF2B5EF4-FFF2-40B4-BE49-F238E27FC236}">
              <a16:creationId xmlns:a16="http://schemas.microsoft.com/office/drawing/2014/main" id="{96BBF8E2-AC76-4AF9-BC9F-A80587B8C37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1" name="Line 42">
          <a:extLst>
            <a:ext uri="{FF2B5EF4-FFF2-40B4-BE49-F238E27FC236}">
              <a16:creationId xmlns:a16="http://schemas.microsoft.com/office/drawing/2014/main" id="{87BFEFFE-FBBD-48E5-B290-B1B4DE7DF8C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82" name="Line 4">
          <a:extLst>
            <a:ext uri="{FF2B5EF4-FFF2-40B4-BE49-F238E27FC236}">
              <a16:creationId xmlns:a16="http://schemas.microsoft.com/office/drawing/2014/main" id="{1256B70F-0287-4923-B6B8-9EBABB7BE741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3" name="Line 14">
          <a:extLst>
            <a:ext uri="{FF2B5EF4-FFF2-40B4-BE49-F238E27FC236}">
              <a16:creationId xmlns:a16="http://schemas.microsoft.com/office/drawing/2014/main" id="{11FACBF9-2BD5-4F4F-BC29-F85C6A2990E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4" name="Line 15">
          <a:extLst>
            <a:ext uri="{FF2B5EF4-FFF2-40B4-BE49-F238E27FC236}">
              <a16:creationId xmlns:a16="http://schemas.microsoft.com/office/drawing/2014/main" id="{00EBDF9A-63DF-4269-A4B9-C361FBD4E23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5" name="Line 42">
          <a:extLst>
            <a:ext uri="{FF2B5EF4-FFF2-40B4-BE49-F238E27FC236}">
              <a16:creationId xmlns:a16="http://schemas.microsoft.com/office/drawing/2014/main" id="{B6537070-E113-4479-A2B6-78ADD032265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86" name="Line 4">
          <a:extLst>
            <a:ext uri="{FF2B5EF4-FFF2-40B4-BE49-F238E27FC236}">
              <a16:creationId xmlns:a16="http://schemas.microsoft.com/office/drawing/2014/main" id="{5988D428-8C80-49D1-B40B-3D6BA0164F21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7" name="Line 14">
          <a:extLst>
            <a:ext uri="{FF2B5EF4-FFF2-40B4-BE49-F238E27FC236}">
              <a16:creationId xmlns:a16="http://schemas.microsoft.com/office/drawing/2014/main" id="{9619873A-D7EF-4988-9B12-E07F40746B6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8" name="Line 15">
          <a:extLst>
            <a:ext uri="{FF2B5EF4-FFF2-40B4-BE49-F238E27FC236}">
              <a16:creationId xmlns:a16="http://schemas.microsoft.com/office/drawing/2014/main" id="{B897FF26-5E86-40AE-8158-4FB8707FF04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89" name="Line 42">
          <a:extLst>
            <a:ext uri="{FF2B5EF4-FFF2-40B4-BE49-F238E27FC236}">
              <a16:creationId xmlns:a16="http://schemas.microsoft.com/office/drawing/2014/main" id="{F0F75B08-DC71-4071-A8AD-044B93F75A6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190" name="Line 4">
          <a:extLst>
            <a:ext uri="{FF2B5EF4-FFF2-40B4-BE49-F238E27FC236}">
              <a16:creationId xmlns:a16="http://schemas.microsoft.com/office/drawing/2014/main" id="{8F50F55A-0956-43DD-BC21-2B36ED8B6D08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91" name="Line 14">
          <a:extLst>
            <a:ext uri="{FF2B5EF4-FFF2-40B4-BE49-F238E27FC236}">
              <a16:creationId xmlns:a16="http://schemas.microsoft.com/office/drawing/2014/main" id="{C8B2DDAB-0F08-4462-A1EE-3B83712C3A8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92" name="Line 15">
          <a:extLst>
            <a:ext uri="{FF2B5EF4-FFF2-40B4-BE49-F238E27FC236}">
              <a16:creationId xmlns:a16="http://schemas.microsoft.com/office/drawing/2014/main" id="{2ADC73BB-5812-46CC-86FF-D39C325AFD3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193" name="Line 42">
          <a:extLst>
            <a:ext uri="{FF2B5EF4-FFF2-40B4-BE49-F238E27FC236}">
              <a16:creationId xmlns:a16="http://schemas.microsoft.com/office/drawing/2014/main" id="{5F321CB5-6AE5-45E8-8742-78756B7CA0B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194" name="Line 4">
          <a:extLst>
            <a:ext uri="{FF2B5EF4-FFF2-40B4-BE49-F238E27FC236}">
              <a16:creationId xmlns:a16="http://schemas.microsoft.com/office/drawing/2014/main" id="{474320CA-DE04-491D-A927-18DE5E3D19DD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95" name="Line 14">
          <a:extLst>
            <a:ext uri="{FF2B5EF4-FFF2-40B4-BE49-F238E27FC236}">
              <a16:creationId xmlns:a16="http://schemas.microsoft.com/office/drawing/2014/main" id="{1DCE63C6-D178-421B-A4BD-460C8114FE2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96" name="Line 15">
          <a:extLst>
            <a:ext uri="{FF2B5EF4-FFF2-40B4-BE49-F238E27FC236}">
              <a16:creationId xmlns:a16="http://schemas.microsoft.com/office/drawing/2014/main" id="{EFADA336-D80E-4588-AE87-31033508F66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97" name="Line 42">
          <a:extLst>
            <a:ext uri="{FF2B5EF4-FFF2-40B4-BE49-F238E27FC236}">
              <a16:creationId xmlns:a16="http://schemas.microsoft.com/office/drawing/2014/main" id="{546942D8-1079-4457-9733-4E692370057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198" name="Line 4">
          <a:extLst>
            <a:ext uri="{FF2B5EF4-FFF2-40B4-BE49-F238E27FC236}">
              <a16:creationId xmlns:a16="http://schemas.microsoft.com/office/drawing/2014/main" id="{74B4793E-CDCD-48F6-990D-C82B8956A8E1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199" name="Line 14">
          <a:extLst>
            <a:ext uri="{FF2B5EF4-FFF2-40B4-BE49-F238E27FC236}">
              <a16:creationId xmlns:a16="http://schemas.microsoft.com/office/drawing/2014/main" id="{9E90D9FD-8BFD-4B3C-BD22-E2F13974D93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200" name="Line 15">
          <a:extLst>
            <a:ext uri="{FF2B5EF4-FFF2-40B4-BE49-F238E27FC236}">
              <a16:creationId xmlns:a16="http://schemas.microsoft.com/office/drawing/2014/main" id="{93F44291-0A18-4B79-9972-732C32DA276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201" name="Line 42">
          <a:extLst>
            <a:ext uri="{FF2B5EF4-FFF2-40B4-BE49-F238E27FC236}">
              <a16:creationId xmlns:a16="http://schemas.microsoft.com/office/drawing/2014/main" id="{11DBFA91-0FC8-466A-9729-06EFC814C25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822</xdr:row>
      <xdr:rowOff>0</xdr:rowOff>
    </xdr:from>
    <xdr:to>
      <xdr:col>18</xdr:col>
      <xdr:colOff>447675</xdr:colOff>
      <xdr:row>823</xdr:row>
      <xdr:rowOff>0</xdr:rowOff>
    </xdr:to>
    <xdr:sp macro="" textlink="">
      <xdr:nvSpPr>
        <xdr:cNvPr id="6202" name="Line 4">
          <a:extLst>
            <a:ext uri="{FF2B5EF4-FFF2-40B4-BE49-F238E27FC236}">
              <a16:creationId xmlns:a16="http://schemas.microsoft.com/office/drawing/2014/main" id="{25AE577F-96B3-4F88-8F78-645F62E8BF30}"/>
            </a:ext>
          </a:extLst>
        </xdr:cNvPr>
        <xdr:cNvSpPr>
          <a:spLocks noChangeShapeType="1"/>
        </xdr:cNvSpPr>
      </xdr:nvSpPr>
      <xdr:spPr bwMode="auto">
        <a:xfrm>
          <a:off x="7686675" y="165872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203" name="Line 14">
          <a:extLst>
            <a:ext uri="{FF2B5EF4-FFF2-40B4-BE49-F238E27FC236}">
              <a16:creationId xmlns:a16="http://schemas.microsoft.com/office/drawing/2014/main" id="{1C628978-1EC3-4A35-BC79-E9053E9800A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204" name="Line 15">
          <a:extLst>
            <a:ext uri="{FF2B5EF4-FFF2-40B4-BE49-F238E27FC236}">
              <a16:creationId xmlns:a16="http://schemas.microsoft.com/office/drawing/2014/main" id="{158EF2D6-1CA4-4B09-8698-EF4A335C63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822</xdr:row>
      <xdr:rowOff>0</xdr:rowOff>
    </xdr:from>
    <xdr:to>
      <xdr:col>18</xdr:col>
      <xdr:colOff>438150</xdr:colOff>
      <xdr:row>823</xdr:row>
      <xdr:rowOff>0</xdr:rowOff>
    </xdr:to>
    <xdr:sp macro="" textlink="">
      <xdr:nvSpPr>
        <xdr:cNvPr id="6205" name="Line 42">
          <a:extLst>
            <a:ext uri="{FF2B5EF4-FFF2-40B4-BE49-F238E27FC236}">
              <a16:creationId xmlns:a16="http://schemas.microsoft.com/office/drawing/2014/main" id="{21117CAC-B117-4583-ACE6-96D956FA85E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5872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06" name="Line 4">
          <a:extLst>
            <a:ext uri="{FF2B5EF4-FFF2-40B4-BE49-F238E27FC236}">
              <a16:creationId xmlns:a16="http://schemas.microsoft.com/office/drawing/2014/main" id="{616CF73F-C6DA-4886-9AD3-98B308DE23E7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07" name="Line 14">
          <a:extLst>
            <a:ext uri="{FF2B5EF4-FFF2-40B4-BE49-F238E27FC236}">
              <a16:creationId xmlns:a16="http://schemas.microsoft.com/office/drawing/2014/main" id="{A0B296D7-F961-4F52-AF85-60F08A849B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08" name="Line 15">
          <a:extLst>
            <a:ext uri="{FF2B5EF4-FFF2-40B4-BE49-F238E27FC236}">
              <a16:creationId xmlns:a16="http://schemas.microsoft.com/office/drawing/2014/main" id="{3996D143-E61F-4359-8DC3-FD14A7F249F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09" name="Line 42">
          <a:extLst>
            <a:ext uri="{FF2B5EF4-FFF2-40B4-BE49-F238E27FC236}">
              <a16:creationId xmlns:a16="http://schemas.microsoft.com/office/drawing/2014/main" id="{9AEA19C7-D2AC-4669-9B77-C3ACFD3C24C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10" name="Line 4">
          <a:extLst>
            <a:ext uri="{FF2B5EF4-FFF2-40B4-BE49-F238E27FC236}">
              <a16:creationId xmlns:a16="http://schemas.microsoft.com/office/drawing/2014/main" id="{49982E30-881D-4705-A55E-47F2FB94408D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1" name="Line 14">
          <a:extLst>
            <a:ext uri="{FF2B5EF4-FFF2-40B4-BE49-F238E27FC236}">
              <a16:creationId xmlns:a16="http://schemas.microsoft.com/office/drawing/2014/main" id="{54550833-0E2F-479E-B2C9-A70873DE15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2" name="Line 15">
          <a:extLst>
            <a:ext uri="{FF2B5EF4-FFF2-40B4-BE49-F238E27FC236}">
              <a16:creationId xmlns:a16="http://schemas.microsoft.com/office/drawing/2014/main" id="{391009D8-3FBD-42C2-8245-6FE7E3D8050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3" name="Line 42">
          <a:extLst>
            <a:ext uri="{FF2B5EF4-FFF2-40B4-BE49-F238E27FC236}">
              <a16:creationId xmlns:a16="http://schemas.microsoft.com/office/drawing/2014/main" id="{72E370B3-059A-467A-94A6-E8134A8DB94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14" name="Line 4">
          <a:extLst>
            <a:ext uri="{FF2B5EF4-FFF2-40B4-BE49-F238E27FC236}">
              <a16:creationId xmlns:a16="http://schemas.microsoft.com/office/drawing/2014/main" id="{B70DFE02-0670-49BF-92AA-E188E803EF53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5" name="Line 14">
          <a:extLst>
            <a:ext uri="{FF2B5EF4-FFF2-40B4-BE49-F238E27FC236}">
              <a16:creationId xmlns:a16="http://schemas.microsoft.com/office/drawing/2014/main" id="{813B8B71-612E-49C5-8FC3-BDDC6E460B2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6" name="Line 15">
          <a:extLst>
            <a:ext uri="{FF2B5EF4-FFF2-40B4-BE49-F238E27FC236}">
              <a16:creationId xmlns:a16="http://schemas.microsoft.com/office/drawing/2014/main" id="{76AB645B-0A3F-45A7-A072-0BEA220662F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7" name="Line 42">
          <a:extLst>
            <a:ext uri="{FF2B5EF4-FFF2-40B4-BE49-F238E27FC236}">
              <a16:creationId xmlns:a16="http://schemas.microsoft.com/office/drawing/2014/main" id="{BEEDEE03-F0BF-4D3A-BC7F-559EBD126CF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18" name="Line 4">
          <a:extLst>
            <a:ext uri="{FF2B5EF4-FFF2-40B4-BE49-F238E27FC236}">
              <a16:creationId xmlns:a16="http://schemas.microsoft.com/office/drawing/2014/main" id="{C9E8F981-29F6-4D07-AC6C-D4007FB88042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19" name="Line 14">
          <a:extLst>
            <a:ext uri="{FF2B5EF4-FFF2-40B4-BE49-F238E27FC236}">
              <a16:creationId xmlns:a16="http://schemas.microsoft.com/office/drawing/2014/main" id="{52AE750C-5C68-4C50-A281-DE1EDF8EF60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0" name="Line 15">
          <a:extLst>
            <a:ext uri="{FF2B5EF4-FFF2-40B4-BE49-F238E27FC236}">
              <a16:creationId xmlns:a16="http://schemas.microsoft.com/office/drawing/2014/main" id="{DEF62E3E-B8AB-4772-8A38-AC83DA7610D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1" name="Line 42">
          <a:extLst>
            <a:ext uri="{FF2B5EF4-FFF2-40B4-BE49-F238E27FC236}">
              <a16:creationId xmlns:a16="http://schemas.microsoft.com/office/drawing/2014/main" id="{E072A40D-46D3-4418-B9C8-481B7A03C99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22" name="Line 4">
          <a:extLst>
            <a:ext uri="{FF2B5EF4-FFF2-40B4-BE49-F238E27FC236}">
              <a16:creationId xmlns:a16="http://schemas.microsoft.com/office/drawing/2014/main" id="{8D9F50DC-F2C0-4E4A-B7A0-1DD848D844BD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3" name="Line 14">
          <a:extLst>
            <a:ext uri="{FF2B5EF4-FFF2-40B4-BE49-F238E27FC236}">
              <a16:creationId xmlns:a16="http://schemas.microsoft.com/office/drawing/2014/main" id="{45FCC2BE-A5FC-4FC9-86D0-37E470D6F4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4" name="Line 15">
          <a:extLst>
            <a:ext uri="{FF2B5EF4-FFF2-40B4-BE49-F238E27FC236}">
              <a16:creationId xmlns:a16="http://schemas.microsoft.com/office/drawing/2014/main" id="{07347207-651D-4BE2-AC46-09D6CD86639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5" name="Line 42">
          <a:extLst>
            <a:ext uri="{FF2B5EF4-FFF2-40B4-BE49-F238E27FC236}">
              <a16:creationId xmlns:a16="http://schemas.microsoft.com/office/drawing/2014/main" id="{4B4A483B-6EBF-4832-8E7A-9F436BD08DE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824</xdr:row>
      <xdr:rowOff>0</xdr:rowOff>
    </xdr:from>
    <xdr:to>
      <xdr:col>18</xdr:col>
      <xdr:colOff>447675</xdr:colOff>
      <xdr:row>825</xdr:row>
      <xdr:rowOff>0</xdr:rowOff>
    </xdr:to>
    <xdr:sp macro="" textlink="">
      <xdr:nvSpPr>
        <xdr:cNvPr id="6226" name="Line 4">
          <a:extLst>
            <a:ext uri="{FF2B5EF4-FFF2-40B4-BE49-F238E27FC236}">
              <a16:creationId xmlns:a16="http://schemas.microsoft.com/office/drawing/2014/main" id="{B1BA1779-F8AC-4F8F-8647-55EB2D9FE8CA}"/>
            </a:ext>
          </a:extLst>
        </xdr:cNvPr>
        <xdr:cNvSpPr>
          <a:spLocks noChangeShapeType="1"/>
        </xdr:cNvSpPr>
      </xdr:nvSpPr>
      <xdr:spPr bwMode="auto">
        <a:xfrm>
          <a:off x="7686675" y="1662959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7" name="Line 14">
          <a:extLst>
            <a:ext uri="{FF2B5EF4-FFF2-40B4-BE49-F238E27FC236}">
              <a16:creationId xmlns:a16="http://schemas.microsoft.com/office/drawing/2014/main" id="{69E2D02D-ECED-4990-835D-4D40759C6D4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8" name="Line 15">
          <a:extLst>
            <a:ext uri="{FF2B5EF4-FFF2-40B4-BE49-F238E27FC236}">
              <a16:creationId xmlns:a16="http://schemas.microsoft.com/office/drawing/2014/main" id="{A6B5CCF4-1D77-45C4-AA76-7E53F6FD107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824</xdr:row>
      <xdr:rowOff>0</xdr:rowOff>
    </xdr:from>
    <xdr:to>
      <xdr:col>18</xdr:col>
      <xdr:colOff>438150</xdr:colOff>
      <xdr:row>825</xdr:row>
      <xdr:rowOff>0</xdr:rowOff>
    </xdr:to>
    <xdr:sp macro="" textlink="">
      <xdr:nvSpPr>
        <xdr:cNvPr id="6229" name="Line 42">
          <a:extLst>
            <a:ext uri="{FF2B5EF4-FFF2-40B4-BE49-F238E27FC236}">
              <a16:creationId xmlns:a16="http://schemas.microsoft.com/office/drawing/2014/main" id="{5E27AA1C-DB74-40E5-9987-512776B38C0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662959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30" name="Line 4">
          <a:extLst>
            <a:ext uri="{FF2B5EF4-FFF2-40B4-BE49-F238E27FC236}">
              <a16:creationId xmlns:a16="http://schemas.microsoft.com/office/drawing/2014/main" id="{71D87C48-E71B-4C4E-9E8D-7B320134F7BB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1" name="Line 14">
          <a:extLst>
            <a:ext uri="{FF2B5EF4-FFF2-40B4-BE49-F238E27FC236}">
              <a16:creationId xmlns:a16="http://schemas.microsoft.com/office/drawing/2014/main" id="{2913E033-68BA-49D6-9505-F85CACD413A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2" name="Line 15">
          <a:extLst>
            <a:ext uri="{FF2B5EF4-FFF2-40B4-BE49-F238E27FC236}">
              <a16:creationId xmlns:a16="http://schemas.microsoft.com/office/drawing/2014/main" id="{11039CBF-0A8A-4973-A30A-046CB5D8970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3" name="Line 42">
          <a:extLst>
            <a:ext uri="{FF2B5EF4-FFF2-40B4-BE49-F238E27FC236}">
              <a16:creationId xmlns:a16="http://schemas.microsoft.com/office/drawing/2014/main" id="{5B468ADE-8DFA-41F4-BF10-3FFB379B446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34" name="Line 4">
          <a:extLst>
            <a:ext uri="{FF2B5EF4-FFF2-40B4-BE49-F238E27FC236}">
              <a16:creationId xmlns:a16="http://schemas.microsoft.com/office/drawing/2014/main" id="{FCEC4D56-A21C-4931-A4DB-F4A951733185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5" name="Line 14">
          <a:extLst>
            <a:ext uri="{FF2B5EF4-FFF2-40B4-BE49-F238E27FC236}">
              <a16:creationId xmlns:a16="http://schemas.microsoft.com/office/drawing/2014/main" id="{9216DEFA-5B11-4BB0-88B3-BF141B60D7C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6" name="Line 15">
          <a:extLst>
            <a:ext uri="{FF2B5EF4-FFF2-40B4-BE49-F238E27FC236}">
              <a16:creationId xmlns:a16="http://schemas.microsoft.com/office/drawing/2014/main" id="{42107885-66EE-4CF1-891D-A014A4323A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7" name="Line 42">
          <a:extLst>
            <a:ext uri="{FF2B5EF4-FFF2-40B4-BE49-F238E27FC236}">
              <a16:creationId xmlns:a16="http://schemas.microsoft.com/office/drawing/2014/main" id="{03A8E493-05AD-49D9-98BF-A91ED1AC806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38" name="Line 4">
          <a:extLst>
            <a:ext uri="{FF2B5EF4-FFF2-40B4-BE49-F238E27FC236}">
              <a16:creationId xmlns:a16="http://schemas.microsoft.com/office/drawing/2014/main" id="{E61A1E96-4229-4B3F-A0B1-AF1CA12424C9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39" name="Line 14">
          <a:extLst>
            <a:ext uri="{FF2B5EF4-FFF2-40B4-BE49-F238E27FC236}">
              <a16:creationId xmlns:a16="http://schemas.microsoft.com/office/drawing/2014/main" id="{AA905FC1-7081-4579-AC8B-30CE3432FE2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40" name="Line 15">
          <a:extLst>
            <a:ext uri="{FF2B5EF4-FFF2-40B4-BE49-F238E27FC236}">
              <a16:creationId xmlns:a16="http://schemas.microsoft.com/office/drawing/2014/main" id="{A6E368B1-A47A-4AF8-8D61-8175A46A92D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41" name="Line 42">
          <a:extLst>
            <a:ext uri="{FF2B5EF4-FFF2-40B4-BE49-F238E27FC236}">
              <a16:creationId xmlns:a16="http://schemas.microsoft.com/office/drawing/2014/main" id="{16F1020B-ECF8-414D-BE91-28902A7F3E9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42" name="Line 4">
          <a:extLst>
            <a:ext uri="{FF2B5EF4-FFF2-40B4-BE49-F238E27FC236}">
              <a16:creationId xmlns:a16="http://schemas.microsoft.com/office/drawing/2014/main" id="{94D27324-313D-43CD-BFFB-E4CEF09A9430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3" name="Line 14">
          <a:extLst>
            <a:ext uri="{FF2B5EF4-FFF2-40B4-BE49-F238E27FC236}">
              <a16:creationId xmlns:a16="http://schemas.microsoft.com/office/drawing/2014/main" id="{7AD46E35-06D8-4DBE-927A-09858F63D23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4" name="Line 15">
          <a:extLst>
            <a:ext uri="{FF2B5EF4-FFF2-40B4-BE49-F238E27FC236}">
              <a16:creationId xmlns:a16="http://schemas.microsoft.com/office/drawing/2014/main" id="{05EEDC9D-4C60-40EC-9982-8CD081AE3D3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5" name="Line 42">
          <a:extLst>
            <a:ext uri="{FF2B5EF4-FFF2-40B4-BE49-F238E27FC236}">
              <a16:creationId xmlns:a16="http://schemas.microsoft.com/office/drawing/2014/main" id="{6D8A3FAD-9E6F-44EC-B67C-B6AC5845BAC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46" name="Line 4">
          <a:extLst>
            <a:ext uri="{FF2B5EF4-FFF2-40B4-BE49-F238E27FC236}">
              <a16:creationId xmlns:a16="http://schemas.microsoft.com/office/drawing/2014/main" id="{AB2F8612-080E-4F33-B4EC-FD3FBF31CED2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7" name="Line 14">
          <a:extLst>
            <a:ext uri="{FF2B5EF4-FFF2-40B4-BE49-F238E27FC236}">
              <a16:creationId xmlns:a16="http://schemas.microsoft.com/office/drawing/2014/main" id="{A55A125E-E124-4456-A786-51B11F829F0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8" name="Line 15">
          <a:extLst>
            <a:ext uri="{FF2B5EF4-FFF2-40B4-BE49-F238E27FC236}">
              <a16:creationId xmlns:a16="http://schemas.microsoft.com/office/drawing/2014/main" id="{E603C4B8-0C7C-42B4-B278-F7B6C01019C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49" name="Line 42">
          <a:extLst>
            <a:ext uri="{FF2B5EF4-FFF2-40B4-BE49-F238E27FC236}">
              <a16:creationId xmlns:a16="http://schemas.microsoft.com/office/drawing/2014/main" id="{0A444455-E9CF-4A8A-B2AB-E73C82B1391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50" name="Line 4">
          <a:extLst>
            <a:ext uri="{FF2B5EF4-FFF2-40B4-BE49-F238E27FC236}">
              <a16:creationId xmlns:a16="http://schemas.microsoft.com/office/drawing/2014/main" id="{6C119D4E-30FF-4B17-BF26-1DA4944D74C4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1" name="Line 14">
          <a:extLst>
            <a:ext uri="{FF2B5EF4-FFF2-40B4-BE49-F238E27FC236}">
              <a16:creationId xmlns:a16="http://schemas.microsoft.com/office/drawing/2014/main" id="{538DF7E3-1C04-4C99-9726-8BE7C80FF90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2" name="Line 15">
          <a:extLst>
            <a:ext uri="{FF2B5EF4-FFF2-40B4-BE49-F238E27FC236}">
              <a16:creationId xmlns:a16="http://schemas.microsoft.com/office/drawing/2014/main" id="{411178C6-D8DE-4E68-A264-1FDE02CAE0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3" name="Line 42">
          <a:extLst>
            <a:ext uri="{FF2B5EF4-FFF2-40B4-BE49-F238E27FC236}">
              <a16:creationId xmlns:a16="http://schemas.microsoft.com/office/drawing/2014/main" id="{D79972D5-B73B-4BBD-BCE2-60A50E669BD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54" name="Line 4">
          <a:extLst>
            <a:ext uri="{FF2B5EF4-FFF2-40B4-BE49-F238E27FC236}">
              <a16:creationId xmlns:a16="http://schemas.microsoft.com/office/drawing/2014/main" id="{0360575C-45B3-46A9-BD5F-FBAD14E6437E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5" name="Line 14">
          <a:extLst>
            <a:ext uri="{FF2B5EF4-FFF2-40B4-BE49-F238E27FC236}">
              <a16:creationId xmlns:a16="http://schemas.microsoft.com/office/drawing/2014/main" id="{0AA85C3E-1694-431B-8E41-1394A7A779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6" name="Line 15">
          <a:extLst>
            <a:ext uri="{FF2B5EF4-FFF2-40B4-BE49-F238E27FC236}">
              <a16:creationId xmlns:a16="http://schemas.microsoft.com/office/drawing/2014/main" id="{CC7BB98A-FFB6-4173-A90D-3675798830B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7" name="Line 42">
          <a:extLst>
            <a:ext uri="{FF2B5EF4-FFF2-40B4-BE49-F238E27FC236}">
              <a16:creationId xmlns:a16="http://schemas.microsoft.com/office/drawing/2014/main" id="{DEFDC729-6429-4CE9-A0A0-E33D41A3F3F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58" name="Line 4">
          <a:extLst>
            <a:ext uri="{FF2B5EF4-FFF2-40B4-BE49-F238E27FC236}">
              <a16:creationId xmlns:a16="http://schemas.microsoft.com/office/drawing/2014/main" id="{60D7B224-863E-4CEC-9A0D-A08498C6F31D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59" name="Line 14">
          <a:extLst>
            <a:ext uri="{FF2B5EF4-FFF2-40B4-BE49-F238E27FC236}">
              <a16:creationId xmlns:a16="http://schemas.microsoft.com/office/drawing/2014/main" id="{D40D1354-59F6-47B2-95A5-FE3605172A4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60" name="Line 15">
          <a:extLst>
            <a:ext uri="{FF2B5EF4-FFF2-40B4-BE49-F238E27FC236}">
              <a16:creationId xmlns:a16="http://schemas.microsoft.com/office/drawing/2014/main" id="{CEDAD582-66FC-4B89-9156-A651894059A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61" name="Line 42">
          <a:extLst>
            <a:ext uri="{FF2B5EF4-FFF2-40B4-BE49-F238E27FC236}">
              <a16:creationId xmlns:a16="http://schemas.microsoft.com/office/drawing/2014/main" id="{DA21C241-114D-4397-8078-DC66703ED31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62" name="Line 4">
          <a:extLst>
            <a:ext uri="{FF2B5EF4-FFF2-40B4-BE49-F238E27FC236}">
              <a16:creationId xmlns:a16="http://schemas.microsoft.com/office/drawing/2014/main" id="{15523363-1BA1-4E95-B0AE-D8237AB7F69D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63" name="Line 14">
          <a:extLst>
            <a:ext uri="{FF2B5EF4-FFF2-40B4-BE49-F238E27FC236}">
              <a16:creationId xmlns:a16="http://schemas.microsoft.com/office/drawing/2014/main" id="{7AAA7749-C2EC-43EE-A214-598C3C8A96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64" name="Line 15">
          <a:extLst>
            <a:ext uri="{FF2B5EF4-FFF2-40B4-BE49-F238E27FC236}">
              <a16:creationId xmlns:a16="http://schemas.microsoft.com/office/drawing/2014/main" id="{DB2525CD-DAC9-4406-9DDF-DC623ED0DBA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65" name="Line 42">
          <a:extLst>
            <a:ext uri="{FF2B5EF4-FFF2-40B4-BE49-F238E27FC236}">
              <a16:creationId xmlns:a16="http://schemas.microsoft.com/office/drawing/2014/main" id="{00D87919-B9BA-484C-BFEA-CD6CB2E434E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66" name="Line 4">
          <a:extLst>
            <a:ext uri="{FF2B5EF4-FFF2-40B4-BE49-F238E27FC236}">
              <a16:creationId xmlns:a16="http://schemas.microsoft.com/office/drawing/2014/main" id="{2ECACFD0-F98F-46A9-A1B6-AE3499C3FB5E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67" name="Line 14">
          <a:extLst>
            <a:ext uri="{FF2B5EF4-FFF2-40B4-BE49-F238E27FC236}">
              <a16:creationId xmlns:a16="http://schemas.microsoft.com/office/drawing/2014/main" id="{1247616F-7A9D-47D5-8F3B-1434C146C89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68" name="Line 15">
          <a:extLst>
            <a:ext uri="{FF2B5EF4-FFF2-40B4-BE49-F238E27FC236}">
              <a16:creationId xmlns:a16="http://schemas.microsoft.com/office/drawing/2014/main" id="{315DAAF9-ADF1-42F7-A02D-BA3182BAA6E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69" name="Line 42">
          <a:extLst>
            <a:ext uri="{FF2B5EF4-FFF2-40B4-BE49-F238E27FC236}">
              <a16:creationId xmlns:a16="http://schemas.microsoft.com/office/drawing/2014/main" id="{0D18CA74-0A11-43FE-A9D3-434C4FE441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70" name="Line 4">
          <a:extLst>
            <a:ext uri="{FF2B5EF4-FFF2-40B4-BE49-F238E27FC236}">
              <a16:creationId xmlns:a16="http://schemas.microsoft.com/office/drawing/2014/main" id="{0725CE40-E851-40E6-8C63-45D9E25EEA6E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1" name="Line 14">
          <a:extLst>
            <a:ext uri="{FF2B5EF4-FFF2-40B4-BE49-F238E27FC236}">
              <a16:creationId xmlns:a16="http://schemas.microsoft.com/office/drawing/2014/main" id="{818C76C2-E596-488A-860E-F434DD316DB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2" name="Line 15">
          <a:extLst>
            <a:ext uri="{FF2B5EF4-FFF2-40B4-BE49-F238E27FC236}">
              <a16:creationId xmlns:a16="http://schemas.microsoft.com/office/drawing/2014/main" id="{472CB26E-F608-460A-AEFD-DA8FA098679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3" name="Line 42">
          <a:extLst>
            <a:ext uri="{FF2B5EF4-FFF2-40B4-BE49-F238E27FC236}">
              <a16:creationId xmlns:a16="http://schemas.microsoft.com/office/drawing/2014/main" id="{7C73B5F6-FB84-4593-90C1-5AAB29705A0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895</xdr:row>
      <xdr:rowOff>0</xdr:rowOff>
    </xdr:from>
    <xdr:to>
      <xdr:col>18</xdr:col>
      <xdr:colOff>447675</xdr:colOff>
      <xdr:row>896</xdr:row>
      <xdr:rowOff>0</xdr:rowOff>
    </xdr:to>
    <xdr:sp macro="" textlink="">
      <xdr:nvSpPr>
        <xdr:cNvPr id="6274" name="Line 4">
          <a:extLst>
            <a:ext uri="{FF2B5EF4-FFF2-40B4-BE49-F238E27FC236}">
              <a16:creationId xmlns:a16="http://schemas.microsoft.com/office/drawing/2014/main" id="{A97D62F4-A8FB-4D00-AA52-DA716D6EC1B6}"/>
            </a:ext>
          </a:extLst>
        </xdr:cNvPr>
        <xdr:cNvSpPr>
          <a:spLocks noChangeShapeType="1"/>
        </xdr:cNvSpPr>
      </xdr:nvSpPr>
      <xdr:spPr bwMode="auto">
        <a:xfrm>
          <a:off x="7686675" y="18199100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5" name="Line 14">
          <a:extLst>
            <a:ext uri="{FF2B5EF4-FFF2-40B4-BE49-F238E27FC236}">
              <a16:creationId xmlns:a16="http://schemas.microsoft.com/office/drawing/2014/main" id="{530734C3-F1BF-42E0-9C42-8AE721AB498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6" name="Line 15">
          <a:extLst>
            <a:ext uri="{FF2B5EF4-FFF2-40B4-BE49-F238E27FC236}">
              <a16:creationId xmlns:a16="http://schemas.microsoft.com/office/drawing/2014/main" id="{1DBC52D1-67CC-42FF-BCAE-81BA98A7644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895</xdr:row>
      <xdr:rowOff>0</xdr:rowOff>
    </xdr:from>
    <xdr:to>
      <xdr:col>18</xdr:col>
      <xdr:colOff>438150</xdr:colOff>
      <xdr:row>896</xdr:row>
      <xdr:rowOff>0</xdr:rowOff>
    </xdr:to>
    <xdr:sp macro="" textlink="">
      <xdr:nvSpPr>
        <xdr:cNvPr id="6277" name="Line 42">
          <a:extLst>
            <a:ext uri="{FF2B5EF4-FFF2-40B4-BE49-F238E27FC236}">
              <a16:creationId xmlns:a16="http://schemas.microsoft.com/office/drawing/2014/main" id="{7ED49ACF-92E3-434F-B29E-F3FB8CD1FB4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199100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78" name="Line 4">
          <a:extLst>
            <a:ext uri="{FF2B5EF4-FFF2-40B4-BE49-F238E27FC236}">
              <a16:creationId xmlns:a16="http://schemas.microsoft.com/office/drawing/2014/main" id="{D8A79D5C-08DF-4430-8563-AE2F85A83989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79" name="Line 14">
          <a:extLst>
            <a:ext uri="{FF2B5EF4-FFF2-40B4-BE49-F238E27FC236}">
              <a16:creationId xmlns:a16="http://schemas.microsoft.com/office/drawing/2014/main" id="{57E43628-5624-4CD9-A0F3-36B6554D25B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0" name="Line 15">
          <a:extLst>
            <a:ext uri="{FF2B5EF4-FFF2-40B4-BE49-F238E27FC236}">
              <a16:creationId xmlns:a16="http://schemas.microsoft.com/office/drawing/2014/main" id="{F56C4E85-75C8-490B-B38C-BE233BDCFD1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1" name="Line 42">
          <a:extLst>
            <a:ext uri="{FF2B5EF4-FFF2-40B4-BE49-F238E27FC236}">
              <a16:creationId xmlns:a16="http://schemas.microsoft.com/office/drawing/2014/main" id="{4ED01BDE-93B3-4BCE-BA90-D2AC981953B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82" name="Line 4">
          <a:extLst>
            <a:ext uri="{FF2B5EF4-FFF2-40B4-BE49-F238E27FC236}">
              <a16:creationId xmlns:a16="http://schemas.microsoft.com/office/drawing/2014/main" id="{DCA4FF9D-DA7A-464A-B947-728F57AB90DB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3" name="Line 14">
          <a:extLst>
            <a:ext uri="{FF2B5EF4-FFF2-40B4-BE49-F238E27FC236}">
              <a16:creationId xmlns:a16="http://schemas.microsoft.com/office/drawing/2014/main" id="{2FA5E3E9-9696-46F9-8825-67FFE16A9D6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4" name="Line 15">
          <a:extLst>
            <a:ext uri="{FF2B5EF4-FFF2-40B4-BE49-F238E27FC236}">
              <a16:creationId xmlns:a16="http://schemas.microsoft.com/office/drawing/2014/main" id="{CF23E75D-E69D-45F2-9605-74B462ABE15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5" name="Line 42">
          <a:extLst>
            <a:ext uri="{FF2B5EF4-FFF2-40B4-BE49-F238E27FC236}">
              <a16:creationId xmlns:a16="http://schemas.microsoft.com/office/drawing/2014/main" id="{A44F624D-BED8-4576-8C26-204165EDC6D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86" name="Line 4">
          <a:extLst>
            <a:ext uri="{FF2B5EF4-FFF2-40B4-BE49-F238E27FC236}">
              <a16:creationId xmlns:a16="http://schemas.microsoft.com/office/drawing/2014/main" id="{C71ED921-DAD0-4867-BBD2-033C1F290D56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7" name="Line 14">
          <a:extLst>
            <a:ext uri="{FF2B5EF4-FFF2-40B4-BE49-F238E27FC236}">
              <a16:creationId xmlns:a16="http://schemas.microsoft.com/office/drawing/2014/main" id="{857D43AF-9F8F-448A-BD85-7DDA502CAAC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8" name="Line 15">
          <a:extLst>
            <a:ext uri="{FF2B5EF4-FFF2-40B4-BE49-F238E27FC236}">
              <a16:creationId xmlns:a16="http://schemas.microsoft.com/office/drawing/2014/main" id="{7B38F193-0720-4B07-897B-C3F9DC17676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89" name="Line 42">
          <a:extLst>
            <a:ext uri="{FF2B5EF4-FFF2-40B4-BE49-F238E27FC236}">
              <a16:creationId xmlns:a16="http://schemas.microsoft.com/office/drawing/2014/main" id="{B96F61EB-4648-47F8-84D4-9F999E7779B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90" name="Line 4">
          <a:extLst>
            <a:ext uri="{FF2B5EF4-FFF2-40B4-BE49-F238E27FC236}">
              <a16:creationId xmlns:a16="http://schemas.microsoft.com/office/drawing/2014/main" id="{ADB2F434-E944-4765-82A1-6D28FEFF1C92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1" name="Line 14">
          <a:extLst>
            <a:ext uri="{FF2B5EF4-FFF2-40B4-BE49-F238E27FC236}">
              <a16:creationId xmlns:a16="http://schemas.microsoft.com/office/drawing/2014/main" id="{4D7E5917-82D6-4993-93E0-06B363252B9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2" name="Line 15">
          <a:extLst>
            <a:ext uri="{FF2B5EF4-FFF2-40B4-BE49-F238E27FC236}">
              <a16:creationId xmlns:a16="http://schemas.microsoft.com/office/drawing/2014/main" id="{8046E6B4-1ABE-4DB5-9C29-5F773B76CD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3" name="Line 42">
          <a:extLst>
            <a:ext uri="{FF2B5EF4-FFF2-40B4-BE49-F238E27FC236}">
              <a16:creationId xmlns:a16="http://schemas.microsoft.com/office/drawing/2014/main" id="{D6672D61-0EF9-406B-AD61-721CBFE5B1C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94" name="Line 4">
          <a:extLst>
            <a:ext uri="{FF2B5EF4-FFF2-40B4-BE49-F238E27FC236}">
              <a16:creationId xmlns:a16="http://schemas.microsoft.com/office/drawing/2014/main" id="{EC94247F-68FF-442D-9D21-874774316586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5" name="Line 14">
          <a:extLst>
            <a:ext uri="{FF2B5EF4-FFF2-40B4-BE49-F238E27FC236}">
              <a16:creationId xmlns:a16="http://schemas.microsoft.com/office/drawing/2014/main" id="{726F2CFF-405E-4651-A435-53474FC883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6" name="Line 15">
          <a:extLst>
            <a:ext uri="{FF2B5EF4-FFF2-40B4-BE49-F238E27FC236}">
              <a16:creationId xmlns:a16="http://schemas.microsoft.com/office/drawing/2014/main" id="{74B36A82-D611-41D6-9DB8-F54993E8F0A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7" name="Line 42">
          <a:extLst>
            <a:ext uri="{FF2B5EF4-FFF2-40B4-BE49-F238E27FC236}">
              <a16:creationId xmlns:a16="http://schemas.microsoft.com/office/drawing/2014/main" id="{58E62797-C2CC-44A0-A11F-B147A8D6F4D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897</xdr:row>
      <xdr:rowOff>0</xdr:rowOff>
    </xdr:from>
    <xdr:to>
      <xdr:col>18</xdr:col>
      <xdr:colOff>447675</xdr:colOff>
      <xdr:row>898</xdr:row>
      <xdr:rowOff>0</xdr:rowOff>
    </xdr:to>
    <xdr:sp macro="" textlink="">
      <xdr:nvSpPr>
        <xdr:cNvPr id="6298" name="Line 4">
          <a:extLst>
            <a:ext uri="{FF2B5EF4-FFF2-40B4-BE49-F238E27FC236}">
              <a16:creationId xmlns:a16="http://schemas.microsoft.com/office/drawing/2014/main" id="{263DE3CB-42C0-4BDA-999B-C2893CFAB88B}"/>
            </a:ext>
          </a:extLst>
        </xdr:cNvPr>
        <xdr:cNvSpPr>
          <a:spLocks noChangeShapeType="1"/>
        </xdr:cNvSpPr>
      </xdr:nvSpPr>
      <xdr:spPr bwMode="auto">
        <a:xfrm>
          <a:off x="7686675" y="1824143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299" name="Line 14">
          <a:extLst>
            <a:ext uri="{FF2B5EF4-FFF2-40B4-BE49-F238E27FC236}">
              <a16:creationId xmlns:a16="http://schemas.microsoft.com/office/drawing/2014/main" id="{BB500E91-75FE-4B36-9A87-2BF7F35D18F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300" name="Line 15">
          <a:extLst>
            <a:ext uri="{FF2B5EF4-FFF2-40B4-BE49-F238E27FC236}">
              <a16:creationId xmlns:a16="http://schemas.microsoft.com/office/drawing/2014/main" id="{506DB135-EAE0-4B24-BF55-4FD48CA1D75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897</xdr:row>
      <xdr:rowOff>0</xdr:rowOff>
    </xdr:from>
    <xdr:to>
      <xdr:col>18</xdr:col>
      <xdr:colOff>438150</xdr:colOff>
      <xdr:row>898</xdr:row>
      <xdr:rowOff>0</xdr:rowOff>
    </xdr:to>
    <xdr:sp macro="" textlink="">
      <xdr:nvSpPr>
        <xdr:cNvPr id="6301" name="Line 42">
          <a:extLst>
            <a:ext uri="{FF2B5EF4-FFF2-40B4-BE49-F238E27FC236}">
              <a16:creationId xmlns:a16="http://schemas.microsoft.com/office/drawing/2014/main" id="{4961EF07-BF38-461B-A7E1-FA9744B86F0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824143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02" name="Line 4">
          <a:extLst>
            <a:ext uri="{FF2B5EF4-FFF2-40B4-BE49-F238E27FC236}">
              <a16:creationId xmlns:a16="http://schemas.microsoft.com/office/drawing/2014/main" id="{C90E8E62-8C67-484E-87CF-891DB56AB5C2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3" name="Line 14">
          <a:extLst>
            <a:ext uri="{FF2B5EF4-FFF2-40B4-BE49-F238E27FC236}">
              <a16:creationId xmlns:a16="http://schemas.microsoft.com/office/drawing/2014/main" id="{63764F6F-8D31-4C05-AD9B-254CCE43E7A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4" name="Line 15">
          <a:extLst>
            <a:ext uri="{FF2B5EF4-FFF2-40B4-BE49-F238E27FC236}">
              <a16:creationId xmlns:a16="http://schemas.microsoft.com/office/drawing/2014/main" id="{585D7B10-1F90-43EC-B154-AA0128208C6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5" name="Line 42">
          <a:extLst>
            <a:ext uri="{FF2B5EF4-FFF2-40B4-BE49-F238E27FC236}">
              <a16:creationId xmlns:a16="http://schemas.microsoft.com/office/drawing/2014/main" id="{5ED8D0C4-2602-4A02-85F8-F5D9DE09A3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06" name="Line 4">
          <a:extLst>
            <a:ext uri="{FF2B5EF4-FFF2-40B4-BE49-F238E27FC236}">
              <a16:creationId xmlns:a16="http://schemas.microsoft.com/office/drawing/2014/main" id="{8E3D2524-5E84-4FDB-A020-328E635209CD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7" name="Line 14">
          <a:extLst>
            <a:ext uri="{FF2B5EF4-FFF2-40B4-BE49-F238E27FC236}">
              <a16:creationId xmlns:a16="http://schemas.microsoft.com/office/drawing/2014/main" id="{8451E073-27BC-4F6D-9913-CA2AE39DEB0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8" name="Line 15">
          <a:extLst>
            <a:ext uri="{FF2B5EF4-FFF2-40B4-BE49-F238E27FC236}">
              <a16:creationId xmlns:a16="http://schemas.microsoft.com/office/drawing/2014/main" id="{08770B83-F40D-4D40-A879-3D87A24AC9D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09" name="Line 42">
          <a:extLst>
            <a:ext uri="{FF2B5EF4-FFF2-40B4-BE49-F238E27FC236}">
              <a16:creationId xmlns:a16="http://schemas.microsoft.com/office/drawing/2014/main" id="{F871A58E-F7FF-4954-AF96-696E95E7170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10" name="Line 4">
          <a:extLst>
            <a:ext uri="{FF2B5EF4-FFF2-40B4-BE49-F238E27FC236}">
              <a16:creationId xmlns:a16="http://schemas.microsoft.com/office/drawing/2014/main" id="{02ECFF34-AA29-4CF7-8EC4-7CD3AAD2BDCF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11" name="Line 14">
          <a:extLst>
            <a:ext uri="{FF2B5EF4-FFF2-40B4-BE49-F238E27FC236}">
              <a16:creationId xmlns:a16="http://schemas.microsoft.com/office/drawing/2014/main" id="{787BE99C-4FC4-48DD-B1F7-C93C6CA9225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12" name="Line 15">
          <a:extLst>
            <a:ext uri="{FF2B5EF4-FFF2-40B4-BE49-F238E27FC236}">
              <a16:creationId xmlns:a16="http://schemas.microsoft.com/office/drawing/2014/main" id="{399967F3-97FB-4AE6-BED8-927128FA4C0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13" name="Line 42">
          <a:extLst>
            <a:ext uri="{FF2B5EF4-FFF2-40B4-BE49-F238E27FC236}">
              <a16:creationId xmlns:a16="http://schemas.microsoft.com/office/drawing/2014/main" id="{FC8593B0-BDA9-4ADF-B3CF-28BEEB3E52E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14" name="Line 4">
          <a:extLst>
            <a:ext uri="{FF2B5EF4-FFF2-40B4-BE49-F238E27FC236}">
              <a16:creationId xmlns:a16="http://schemas.microsoft.com/office/drawing/2014/main" id="{45C29329-FE8F-4A3A-B24A-4489C63C72D7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15" name="Line 14">
          <a:extLst>
            <a:ext uri="{FF2B5EF4-FFF2-40B4-BE49-F238E27FC236}">
              <a16:creationId xmlns:a16="http://schemas.microsoft.com/office/drawing/2014/main" id="{3D81E6EB-A847-4CB8-91CE-5CE5121D3BA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16" name="Line 15">
          <a:extLst>
            <a:ext uri="{FF2B5EF4-FFF2-40B4-BE49-F238E27FC236}">
              <a16:creationId xmlns:a16="http://schemas.microsoft.com/office/drawing/2014/main" id="{8403D096-CE65-48CB-9D93-719748C6B85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17" name="Line 42">
          <a:extLst>
            <a:ext uri="{FF2B5EF4-FFF2-40B4-BE49-F238E27FC236}">
              <a16:creationId xmlns:a16="http://schemas.microsoft.com/office/drawing/2014/main" id="{BFE43E4C-773B-4B56-8E67-02FA591B652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18" name="Line 4">
          <a:extLst>
            <a:ext uri="{FF2B5EF4-FFF2-40B4-BE49-F238E27FC236}">
              <a16:creationId xmlns:a16="http://schemas.microsoft.com/office/drawing/2014/main" id="{62A74C13-97B6-451E-A6C8-76695784642E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19" name="Line 14">
          <a:extLst>
            <a:ext uri="{FF2B5EF4-FFF2-40B4-BE49-F238E27FC236}">
              <a16:creationId xmlns:a16="http://schemas.microsoft.com/office/drawing/2014/main" id="{954223D1-502C-4F3B-BAC4-CC813EF8E79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0" name="Line 15">
          <a:extLst>
            <a:ext uri="{FF2B5EF4-FFF2-40B4-BE49-F238E27FC236}">
              <a16:creationId xmlns:a16="http://schemas.microsoft.com/office/drawing/2014/main" id="{AFB58619-5274-474C-9171-77624D1AF67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1" name="Line 42">
          <a:extLst>
            <a:ext uri="{FF2B5EF4-FFF2-40B4-BE49-F238E27FC236}">
              <a16:creationId xmlns:a16="http://schemas.microsoft.com/office/drawing/2014/main" id="{059D4D6E-85F0-4267-A4E3-8FA49FE2356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22" name="Line 4">
          <a:extLst>
            <a:ext uri="{FF2B5EF4-FFF2-40B4-BE49-F238E27FC236}">
              <a16:creationId xmlns:a16="http://schemas.microsoft.com/office/drawing/2014/main" id="{91C3116C-7F9B-4F96-A813-4A6192298669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3" name="Line 14">
          <a:extLst>
            <a:ext uri="{FF2B5EF4-FFF2-40B4-BE49-F238E27FC236}">
              <a16:creationId xmlns:a16="http://schemas.microsoft.com/office/drawing/2014/main" id="{D95FA466-C619-405B-A70A-8472F40E907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4" name="Line 15">
          <a:extLst>
            <a:ext uri="{FF2B5EF4-FFF2-40B4-BE49-F238E27FC236}">
              <a16:creationId xmlns:a16="http://schemas.microsoft.com/office/drawing/2014/main" id="{97EA1ADC-9FA8-42E0-B296-F5B5EAD97D6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5" name="Line 42">
          <a:extLst>
            <a:ext uri="{FF2B5EF4-FFF2-40B4-BE49-F238E27FC236}">
              <a16:creationId xmlns:a16="http://schemas.microsoft.com/office/drawing/2014/main" id="{7C12AA6B-F6F2-43BC-B86E-97B8EA0A21F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26" name="Line 4">
          <a:extLst>
            <a:ext uri="{FF2B5EF4-FFF2-40B4-BE49-F238E27FC236}">
              <a16:creationId xmlns:a16="http://schemas.microsoft.com/office/drawing/2014/main" id="{5509A7DD-EA03-4385-AA46-0F341C29577D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7" name="Line 14">
          <a:extLst>
            <a:ext uri="{FF2B5EF4-FFF2-40B4-BE49-F238E27FC236}">
              <a16:creationId xmlns:a16="http://schemas.microsoft.com/office/drawing/2014/main" id="{515B1C32-B531-4CE8-B5B7-49671C3EA83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8" name="Line 15">
          <a:extLst>
            <a:ext uri="{FF2B5EF4-FFF2-40B4-BE49-F238E27FC236}">
              <a16:creationId xmlns:a16="http://schemas.microsoft.com/office/drawing/2014/main" id="{90E37016-C79E-4224-9767-7290F68842F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29" name="Line 42">
          <a:extLst>
            <a:ext uri="{FF2B5EF4-FFF2-40B4-BE49-F238E27FC236}">
              <a16:creationId xmlns:a16="http://schemas.microsoft.com/office/drawing/2014/main" id="{13AD30DE-E240-4CA0-9916-D758DDE8239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30" name="Line 4">
          <a:extLst>
            <a:ext uri="{FF2B5EF4-FFF2-40B4-BE49-F238E27FC236}">
              <a16:creationId xmlns:a16="http://schemas.microsoft.com/office/drawing/2014/main" id="{00193534-D336-44DE-95D4-E6914E956FFE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1" name="Line 14">
          <a:extLst>
            <a:ext uri="{FF2B5EF4-FFF2-40B4-BE49-F238E27FC236}">
              <a16:creationId xmlns:a16="http://schemas.microsoft.com/office/drawing/2014/main" id="{6CC4289A-ADCE-4C16-8A66-E7FC0BFB10A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2" name="Line 15">
          <a:extLst>
            <a:ext uri="{FF2B5EF4-FFF2-40B4-BE49-F238E27FC236}">
              <a16:creationId xmlns:a16="http://schemas.microsoft.com/office/drawing/2014/main" id="{3B9C771E-5477-45D8-913A-6BDBFDD5D1B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3" name="Line 42">
          <a:extLst>
            <a:ext uri="{FF2B5EF4-FFF2-40B4-BE49-F238E27FC236}">
              <a16:creationId xmlns:a16="http://schemas.microsoft.com/office/drawing/2014/main" id="{39F65273-957C-47ED-864A-12CA87A6B10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34" name="Line 4">
          <a:extLst>
            <a:ext uri="{FF2B5EF4-FFF2-40B4-BE49-F238E27FC236}">
              <a16:creationId xmlns:a16="http://schemas.microsoft.com/office/drawing/2014/main" id="{01EC9505-C180-4DE8-A79C-B876A0260CFE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5" name="Line 14">
          <a:extLst>
            <a:ext uri="{FF2B5EF4-FFF2-40B4-BE49-F238E27FC236}">
              <a16:creationId xmlns:a16="http://schemas.microsoft.com/office/drawing/2014/main" id="{3712D2B7-40ED-4583-BCC3-FF21C7D2CB2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6" name="Line 15">
          <a:extLst>
            <a:ext uri="{FF2B5EF4-FFF2-40B4-BE49-F238E27FC236}">
              <a16:creationId xmlns:a16="http://schemas.microsoft.com/office/drawing/2014/main" id="{748285A0-582D-4079-A53B-7FDECE9465B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37" name="Line 42">
          <a:extLst>
            <a:ext uri="{FF2B5EF4-FFF2-40B4-BE49-F238E27FC236}">
              <a16:creationId xmlns:a16="http://schemas.microsoft.com/office/drawing/2014/main" id="{13175BA7-227B-4F7A-9E81-F39E0055979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38" name="Line 4">
          <a:extLst>
            <a:ext uri="{FF2B5EF4-FFF2-40B4-BE49-F238E27FC236}">
              <a16:creationId xmlns:a16="http://schemas.microsoft.com/office/drawing/2014/main" id="{1041AA2A-B06E-4E29-AB39-C9A32CC8AD2C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39" name="Line 14">
          <a:extLst>
            <a:ext uri="{FF2B5EF4-FFF2-40B4-BE49-F238E27FC236}">
              <a16:creationId xmlns:a16="http://schemas.microsoft.com/office/drawing/2014/main" id="{751C7853-4C30-41B2-9315-C2A95B8EFA1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0" name="Line 15">
          <a:extLst>
            <a:ext uri="{FF2B5EF4-FFF2-40B4-BE49-F238E27FC236}">
              <a16:creationId xmlns:a16="http://schemas.microsoft.com/office/drawing/2014/main" id="{A2757AEA-D704-4AA1-8881-E566336ACF4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1" name="Line 42">
          <a:extLst>
            <a:ext uri="{FF2B5EF4-FFF2-40B4-BE49-F238E27FC236}">
              <a16:creationId xmlns:a16="http://schemas.microsoft.com/office/drawing/2014/main" id="{3A0FC201-5E6B-4B2C-A192-4DC0E5A6B84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42" name="Line 4">
          <a:extLst>
            <a:ext uri="{FF2B5EF4-FFF2-40B4-BE49-F238E27FC236}">
              <a16:creationId xmlns:a16="http://schemas.microsoft.com/office/drawing/2014/main" id="{8C742A89-7C99-4DDF-B82F-22AE1AE0FE39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3" name="Line 14">
          <a:extLst>
            <a:ext uri="{FF2B5EF4-FFF2-40B4-BE49-F238E27FC236}">
              <a16:creationId xmlns:a16="http://schemas.microsoft.com/office/drawing/2014/main" id="{B93EFEA0-7066-4CF8-B1A5-F3D6023847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4" name="Line 15">
          <a:extLst>
            <a:ext uri="{FF2B5EF4-FFF2-40B4-BE49-F238E27FC236}">
              <a16:creationId xmlns:a16="http://schemas.microsoft.com/office/drawing/2014/main" id="{84A97E9C-4DEC-4AF5-A743-8B412ACF06A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5" name="Line 42">
          <a:extLst>
            <a:ext uri="{FF2B5EF4-FFF2-40B4-BE49-F238E27FC236}">
              <a16:creationId xmlns:a16="http://schemas.microsoft.com/office/drawing/2014/main" id="{61C59544-9EDD-4782-BD5D-2E390476133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968</xdr:row>
      <xdr:rowOff>0</xdr:rowOff>
    </xdr:from>
    <xdr:to>
      <xdr:col>18</xdr:col>
      <xdr:colOff>447675</xdr:colOff>
      <xdr:row>969</xdr:row>
      <xdr:rowOff>0</xdr:rowOff>
    </xdr:to>
    <xdr:sp macro="" textlink="">
      <xdr:nvSpPr>
        <xdr:cNvPr id="6346" name="Line 4">
          <a:extLst>
            <a:ext uri="{FF2B5EF4-FFF2-40B4-BE49-F238E27FC236}">
              <a16:creationId xmlns:a16="http://schemas.microsoft.com/office/drawing/2014/main" id="{DCF6DDF5-5785-456B-9417-48FFD52B5FBA}"/>
            </a:ext>
          </a:extLst>
        </xdr:cNvPr>
        <xdr:cNvSpPr>
          <a:spLocks noChangeShapeType="1"/>
        </xdr:cNvSpPr>
      </xdr:nvSpPr>
      <xdr:spPr bwMode="auto">
        <a:xfrm>
          <a:off x="7686675" y="19810941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7" name="Line 14">
          <a:extLst>
            <a:ext uri="{FF2B5EF4-FFF2-40B4-BE49-F238E27FC236}">
              <a16:creationId xmlns:a16="http://schemas.microsoft.com/office/drawing/2014/main" id="{961E4FE1-672D-4459-B8FF-283A732821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8" name="Line 15">
          <a:extLst>
            <a:ext uri="{FF2B5EF4-FFF2-40B4-BE49-F238E27FC236}">
              <a16:creationId xmlns:a16="http://schemas.microsoft.com/office/drawing/2014/main" id="{034261D9-E574-456D-9D1D-45570E9F6C1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968</xdr:row>
      <xdr:rowOff>0</xdr:rowOff>
    </xdr:from>
    <xdr:to>
      <xdr:col>18</xdr:col>
      <xdr:colOff>438150</xdr:colOff>
      <xdr:row>969</xdr:row>
      <xdr:rowOff>0</xdr:rowOff>
    </xdr:to>
    <xdr:sp macro="" textlink="">
      <xdr:nvSpPr>
        <xdr:cNvPr id="6349" name="Line 42">
          <a:extLst>
            <a:ext uri="{FF2B5EF4-FFF2-40B4-BE49-F238E27FC236}">
              <a16:creationId xmlns:a16="http://schemas.microsoft.com/office/drawing/2014/main" id="{90790791-21E0-41DC-A7C9-9CA9126380A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10941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50" name="Line 4">
          <a:extLst>
            <a:ext uri="{FF2B5EF4-FFF2-40B4-BE49-F238E27FC236}">
              <a16:creationId xmlns:a16="http://schemas.microsoft.com/office/drawing/2014/main" id="{94A015E8-D125-4727-BAE8-F0D844E42A66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1" name="Line 14">
          <a:extLst>
            <a:ext uri="{FF2B5EF4-FFF2-40B4-BE49-F238E27FC236}">
              <a16:creationId xmlns:a16="http://schemas.microsoft.com/office/drawing/2014/main" id="{E36E01FF-191B-4F62-BD55-8F402E2C861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2" name="Line 15">
          <a:extLst>
            <a:ext uri="{FF2B5EF4-FFF2-40B4-BE49-F238E27FC236}">
              <a16:creationId xmlns:a16="http://schemas.microsoft.com/office/drawing/2014/main" id="{BC8A7144-928D-4A8F-B481-06508BE7DD2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3" name="Line 42">
          <a:extLst>
            <a:ext uri="{FF2B5EF4-FFF2-40B4-BE49-F238E27FC236}">
              <a16:creationId xmlns:a16="http://schemas.microsoft.com/office/drawing/2014/main" id="{37A89DC3-E2F4-421D-9C39-1DBA6F1E0BB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54" name="Line 4">
          <a:extLst>
            <a:ext uri="{FF2B5EF4-FFF2-40B4-BE49-F238E27FC236}">
              <a16:creationId xmlns:a16="http://schemas.microsoft.com/office/drawing/2014/main" id="{B9A35708-1AFA-4772-B155-F899AEC2BD18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5" name="Line 14">
          <a:extLst>
            <a:ext uri="{FF2B5EF4-FFF2-40B4-BE49-F238E27FC236}">
              <a16:creationId xmlns:a16="http://schemas.microsoft.com/office/drawing/2014/main" id="{14D32E95-9E19-4EEA-8245-F84150E7669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6" name="Line 15">
          <a:extLst>
            <a:ext uri="{FF2B5EF4-FFF2-40B4-BE49-F238E27FC236}">
              <a16:creationId xmlns:a16="http://schemas.microsoft.com/office/drawing/2014/main" id="{1BCEC112-608E-4218-AF0F-79F61B669F3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7" name="Line 42">
          <a:extLst>
            <a:ext uri="{FF2B5EF4-FFF2-40B4-BE49-F238E27FC236}">
              <a16:creationId xmlns:a16="http://schemas.microsoft.com/office/drawing/2014/main" id="{6FA8EF6D-0ACB-4385-9211-91D116943C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58" name="Line 4">
          <a:extLst>
            <a:ext uri="{FF2B5EF4-FFF2-40B4-BE49-F238E27FC236}">
              <a16:creationId xmlns:a16="http://schemas.microsoft.com/office/drawing/2014/main" id="{AE338A42-42CA-488B-BF83-C9D69E6AA450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59" name="Line 14">
          <a:extLst>
            <a:ext uri="{FF2B5EF4-FFF2-40B4-BE49-F238E27FC236}">
              <a16:creationId xmlns:a16="http://schemas.microsoft.com/office/drawing/2014/main" id="{564C2490-4DB0-4F06-86F6-8C65E0C51A8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0" name="Line 15">
          <a:extLst>
            <a:ext uri="{FF2B5EF4-FFF2-40B4-BE49-F238E27FC236}">
              <a16:creationId xmlns:a16="http://schemas.microsoft.com/office/drawing/2014/main" id="{7A62CC9B-9CBC-43CB-8D00-177896D89CC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1" name="Line 42">
          <a:extLst>
            <a:ext uri="{FF2B5EF4-FFF2-40B4-BE49-F238E27FC236}">
              <a16:creationId xmlns:a16="http://schemas.microsoft.com/office/drawing/2014/main" id="{5836C738-C1F3-4074-A843-E3A41162A9D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62" name="Line 4">
          <a:extLst>
            <a:ext uri="{FF2B5EF4-FFF2-40B4-BE49-F238E27FC236}">
              <a16:creationId xmlns:a16="http://schemas.microsoft.com/office/drawing/2014/main" id="{67B9ABE3-7CDA-4F50-9177-90977633A0D4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3" name="Line 14">
          <a:extLst>
            <a:ext uri="{FF2B5EF4-FFF2-40B4-BE49-F238E27FC236}">
              <a16:creationId xmlns:a16="http://schemas.microsoft.com/office/drawing/2014/main" id="{ED392081-D1F6-43FE-8579-77DA08C48C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4" name="Line 15">
          <a:extLst>
            <a:ext uri="{FF2B5EF4-FFF2-40B4-BE49-F238E27FC236}">
              <a16:creationId xmlns:a16="http://schemas.microsoft.com/office/drawing/2014/main" id="{DBDA8C3D-EE0F-42D9-AE8E-88D37A232F2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5" name="Line 42">
          <a:extLst>
            <a:ext uri="{FF2B5EF4-FFF2-40B4-BE49-F238E27FC236}">
              <a16:creationId xmlns:a16="http://schemas.microsoft.com/office/drawing/2014/main" id="{58EA7602-CD4C-4CE3-9C4E-E1A8292AF25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66" name="Line 4">
          <a:extLst>
            <a:ext uri="{FF2B5EF4-FFF2-40B4-BE49-F238E27FC236}">
              <a16:creationId xmlns:a16="http://schemas.microsoft.com/office/drawing/2014/main" id="{17886CF4-40ED-47FF-8905-C90EC7CCFA2E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7" name="Line 14">
          <a:extLst>
            <a:ext uri="{FF2B5EF4-FFF2-40B4-BE49-F238E27FC236}">
              <a16:creationId xmlns:a16="http://schemas.microsoft.com/office/drawing/2014/main" id="{35077113-5BB5-4FB1-97D7-B669E5EA113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8" name="Line 15">
          <a:extLst>
            <a:ext uri="{FF2B5EF4-FFF2-40B4-BE49-F238E27FC236}">
              <a16:creationId xmlns:a16="http://schemas.microsoft.com/office/drawing/2014/main" id="{558E4C8E-AE27-4050-A2F3-035599CAD64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69" name="Line 42">
          <a:extLst>
            <a:ext uri="{FF2B5EF4-FFF2-40B4-BE49-F238E27FC236}">
              <a16:creationId xmlns:a16="http://schemas.microsoft.com/office/drawing/2014/main" id="{309CE15C-B3C7-4017-8D8D-A76DB38BE6F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970</xdr:row>
      <xdr:rowOff>0</xdr:rowOff>
    </xdr:from>
    <xdr:to>
      <xdr:col>18</xdr:col>
      <xdr:colOff>447675</xdr:colOff>
      <xdr:row>971</xdr:row>
      <xdr:rowOff>0</xdr:rowOff>
    </xdr:to>
    <xdr:sp macro="" textlink="">
      <xdr:nvSpPr>
        <xdr:cNvPr id="6370" name="Line 4">
          <a:extLst>
            <a:ext uri="{FF2B5EF4-FFF2-40B4-BE49-F238E27FC236}">
              <a16:creationId xmlns:a16="http://schemas.microsoft.com/office/drawing/2014/main" id="{6D90A738-585E-411B-8564-23EB0AF9FE7D}"/>
            </a:ext>
          </a:extLst>
        </xdr:cNvPr>
        <xdr:cNvSpPr>
          <a:spLocks noChangeShapeType="1"/>
        </xdr:cNvSpPr>
      </xdr:nvSpPr>
      <xdr:spPr bwMode="auto">
        <a:xfrm>
          <a:off x="7686675" y="1985327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71" name="Line 14">
          <a:extLst>
            <a:ext uri="{FF2B5EF4-FFF2-40B4-BE49-F238E27FC236}">
              <a16:creationId xmlns:a16="http://schemas.microsoft.com/office/drawing/2014/main" id="{B6F239BB-473C-49D3-BF77-0DCAF7ABB17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72" name="Line 15">
          <a:extLst>
            <a:ext uri="{FF2B5EF4-FFF2-40B4-BE49-F238E27FC236}">
              <a16:creationId xmlns:a16="http://schemas.microsoft.com/office/drawing/2014/main" id="{E993C890-6F40-4D94-BAEC-B14F20AA35D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970</xdr:row>
      <xdr:rowOff>0</xdr:rowOff>
    </xdr:from>
    <xdr:to>
      <xdr:col>18</xdr:col>
      <xdr:colOff>438150</xdr:colOff>
      <xdr:row>971</xdr:row>
      <xdr:rowOff>0</xdr:rowOff>
    </xdr:to>
    <xdr:sp macro="" textlink="">
      <xdr:nvSpPr>
        <xdr:cNvPr id="6373" name="Line 42">
          <a:extLst>
            <a:ext uri="{FF2B5EF4-FFF2-40B4-BE49-F238E27FC236}">
              <a16:creationId xmlns:a16="http://schemas.microsoft.com/office/drawing/2014/main" id="{E8C59238-C977-46AA-A6C8-A3F42B6669D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1985327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374" name="Line 4">
          <a:extLst>
            <a:ext uri="{FF2B5EF4-FFF2-40B4-BE49-F238E27FC236}">
              <a16:creationId xmlns:a16="http://schemas.microsoft.com/office/drawing/2014/main" id="{2397D347-74C5-455E-B44C-B86761419FAA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75" name="Line 14">
          <a:extLst>
            <a:ext uri="{FF2B5EF4-FFF2-40B4-BE49-F238E27FC236}">
              <a16:creationId xmlns:a16="http://schemas.microsoft.com/office/drawing/2014/main" id="{43E138AB-C0FF-4926-BEE4-258DE2A19A1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76" name="Line 15">
          <a:extLst>
            <a:ext uri="{FF2B5EF4-FFF2-40B4-BE49-F238E27FC236}">
              <a16:creationId xmlns:a16="http://schemas.microsoft.com/office/drawing/2014/main" id="{72FF70D1-DBB7-4EF8-898F-7B7B84E56BF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77" name="Line 42">
          <a:extLst>
            <a:ext uri="{FF2B5EF4-FFF2-40B4-BE49-F238E27FC236}">
              <a16:creationId xmlns:a16="http://schemas.microsoft.com/office/drawing/2014/main" id="{0463D5F0-C4E6-4EA5-B5F0-B96A5F9D71E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378" name="Line 4">
          <a:extLst>
            <a:ext uri="{FF2B5EF4-FFF2-40B4-BE49-F238E27FC236}">
              <a16:creationId xmlns:a16="http://schemas.microsoft.com/office/drawing/2014/main" id="{F0DA085A-9186-4A1D-A4AE-2E06327D8935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79" name="Line 14">
          <a:extLst>
            <a:ext uri="{FF2B5EF4-FFF2-40B4-BE49-F238E27FC236}">
              <a16:creationId xmlns:a16="http://schemas.microsoft.com/office/drawing/2014/main" id="{24B1ADFC-2D91-4571-B580-E2875B7898D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80" name="Line 15">
          <a:extLst>
            <a:ext uri="{FF2B5EF4-FFF2-40B4-BE49-F238E27FC236}">
              <a16:creationId xmlns:a16="http://schemas.microsoft.com/office/drawing/2014/main" id="{579230BC-4E46-4159-AC8B-02D998B0839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81" name="Line 42">
          <a:extLst>
            <a:ext uri="{FF2B5EF4-FFF2-40B4-BE49-F238E27FC236}">
              <a16:creationId xmlns:a16="http://schemas.microsoft.com/office/drawing/2014/main" id="{C393613C-606A-4BD1-8FD0-A87EE832B33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382" name="Line 4">
          <a:extLst>
            <a:ext uri="{FF2B5EF4-FFF2-40B4-BE49-F238E27FC236}">
              <a16:creationId xmlns:a16="http://schemas.microsoft.com/office/drawing/2014/main" id="{C8E107AF-8F9A-40FD-9853-214D0016C5A2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83" name="Line 14">
          <a:extLst>
            <a:ext uri="{FF2B5EF4-FFF2-40B4-BE49-F238E27FC236}">
              <a16:creationId xmlns:a16="http://schemas.microsoft.com/office/drawing/2014/main" id="{E8E34433-ACDF-4B11-B1F0-43FE8BFD684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84" name="Line 15">
          <a:extLst>
            <a:ext uri="{FF2B5EF4-FFF2-40B4-BE49-F238E27FC236}">
              <a16:creationId xmlns:a16="http://schemas.microsoft.com/office/drawing/2014/main" id="{9AF7576F-CA95-40C0-8BDC-AC649A12C2A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385" name="Line 42">
          <a:extLst>
            <a:ext uri="{FF2B5EF4-FFF2-40B4-BE49-F238E27FC236}">
              <a16:creationId xmlns:a16="http://schemas.microsoft.com/office/drawing/2014/main" id="{A59314A8-4C98-4230-A58F-16731E67718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386" name="Line 4">
          <a:extLst>
            <a:ext uri="{FF2B5EF4-FFF2-40B4-BE49-F238E27FC236}">
              <a16:creationId xmlns:a16="http://schemas.microsoft.com/office/drawing/2014/main" id="{05B1D097-CEE5-4CD2-8C76-B98DFD24A5A2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87" name="Line 14">
          <a:extLst>
            <a:ext uri="{FF2B5EF4-FFF2-40B4-BE49-F238E27FC236}">
              <a16:creationId xmlns:a16="http://schemas.microsoft.com/office/drawing/2014/main" id="{16F41133-564F-4C63-9963-9E4EF65D4AE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88" name="Line 15">
          <a:extLst>
            <a:ext uri="{FF2B5EF4-FFF2-40B4-BE49-F238E27FC236}">
              <a16:creationId xmlns:a16="http://schemas.microsoft.com/office/drawing/2014/main" id="{9442129C-356D-4329-8348-97ED225F466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89" name="Line 42">
          <a:extLst>
            <a:ext uri="{FF2B5EF4-FFF2-40B4-BE49-F238E27FC236}">
              <a16:creationId xmlns:a16="http://schemas.microsoft.com/office/drawing/2014/main" id="{B96CDF6E-F6A8-41C6-80B3-75747CBC096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390" name="Line 4">
          <a:extLst>
            <a:ext uri="{FF2B5EF4-FFF2-40B4-BE49-F238E27FC236}">
              <a16:creationId xmlns:a16="http://schemas.microsoft.com/office/drawing/2014/main" id="{F9DE11CB-2F42-4AE5-81DF-A71FDD86819D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1" name="Line 14">
          <a:extLst>
            <a:ext uri="{FF2B5EF4-FFF2-40B4-BE49-F238E27FC236}">
              <a16:creationId xmlns:a16="http://schemas.microsoft.com/office/drawing/2014/main" id="{B9B75633-2230-4AB1-8E3E-01B47CC8D10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2" name="Line 15">
          <a:extLst>
            <a:ext uri="{FF2B5EF4-FFF2-40B4-BE49-F238E27FC236}">
              <a16:creationId xmlns:a16="http://schemas.microsoft.com/office/drawing/2014/main" id="{01609F00-427B-44A8-AB11-E56A028F28C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3" name="Line 42">
          <a:extLst>
            <a:ext uri="{FF2B5EF4-FFF2-40B4-BE49-F238E27FC236}">
              <a16:creationId xmlns:a16="http://schemas.microsoft.com/office/drawing/2014/main" id="{388F6811-5B1F-457E-AB58-179C3360474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394" name="Line 4">
          <a:extLst>
            <a:ext uri="{FF2B5EF4-FFF2-40B4-BE49-F238E27FC236}">
              <a16:creationId xmlns:a16="http://schemas.microsoft.com/office/drawing/2014/main" id="{05138583-7EED-437E-973C-7708DA6851FC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5" name="Line 14">
          <a:extLst>
            <a:ext uri="{FF2B5EF4-FFF2-40B4-BE49-F238E27FC236}">
              <a16:creationId xmlns:a16="http://schemas.microsoft.com/office/drawing/2014/main" id="{88592033-DA26-48D6-B9B2-1D08C28E29E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6" name="Line 15">
          <a:extLst>
            <a:ext uri="{FF2B5EF4-FFF2-40B4-BE49-F238E27FC236}">
              <a16:creationId xmlns:a16="http://schemas.microsoft.com/office/drawing/2014/main" id="{65A08EE3-8BA0-4254-A0E9-405D632A8F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7" name="Line 42">
          <a:extLst>
            <a:ext uri="{FF2B5EF4-FFF2-40B4-BE49-F238E27FC236}">
              <a16:creationId xmlns:a16="http://schemas.microsoft.com/office/drawing/2014/main" id="{2C9092F8-C574-4F97-BA8E-B1A7BEB485F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398" name="Line 4">
          <a:extLst>
            <a:ext uri="{FF2B5EF4-FFF2-40B4-BE49-F238E27FC236}">
              <a16:creationId xmlns:a16="http://schemas.microsoft.com/office/drawing/2014/main" id="{F6A8B3FA-6DCF-4559-BF9B-4B3D781ADBC0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399" name="Line 14">
          <a:extLst>
            <a:ext uri="{FF2B5EF4-FFF2-40B4-BE49-F238E27FC236}">
              <a16:creationId xmlns:a16="http://schemas.microsoft.com/office/drawing/2014/main" id="{EBF12EE6-F2DC-42AB-B11C-8F7D0D35575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0" name="Line 15">
          <a:extLst>
            <a:ext uri="{FF2B5EF4-FFF2-40B4-BE49-F238E27FC236}">
              <a16:creationId xmlns:a16="http://schemas.microsoft.com/office/drawing/2014/main" id="{94E615D1-F467-42BE-A7F5-3D6AD5CC6BF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1" name="Line 42">
          <a:extLst>
            <a:ext uri="{FF2B5EF4-FFF2-40B4-BE49-F238E27FC236}">
              <a16:creationId xmlns:a16="http://schemas.microsoft.com/office/drawing/2014/main" id="{E05F4544-D244-435C-B9AD-4D76B75FE5E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02" name="Line 4">
          <a:extLst>
            <a:ext uri="{FF2B5EF4-FFF2-40B4-BE49-F238E27FC236}">
              <a16:creationId xmlns:a16="http://schemas.microsoft.com/office/drawing/2014/main" id="{8D64815E-AD7E-4624-96AC-5DC0B04047FF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3" name="Line 14">
          <a:extLst>
            <a:ext uri="{FF2B5EF4-FFF2-40B4-BE49-F238E27FC236}">
              <a16:creationId xmlns:a16="http://schemas.microsoft.com/office/drawing/2014/main" id="{12432627-33BD-4E72-AF53-C87A59C50F1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4" name="Line 15">
          <a:extLst>
            <a:ext uri="{FF2B5EF4-FFF2-40B4-BE49-F238E27FC236}">
              <a16:creationId xmlns:a16="http://schemas.microsoft.com/office/drawing/2014/main" id="{FC00FAEB-5A65-4B88-A4DE-9AFF3F4CFA6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5" name="Line 42">
          <a:extLst>
            <a:ext uri="{FF2B5EF4-FFF2-40B4-BE49-F238E27FC236}">
              <a16:creationId xmlns:a16="http://schemas.microsoft.com/office/drawing/2014/main" id="{DF00A2C4-7987-40DE-AE4F-A68571C995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06" name="Line 4">
          <a:extLst>
            <a:ext uri="{FF2B5EF4-FFF2-40B4-BE49-F238E27FC236}">
              <a16:creationId xmlns:a16="http://schemas.microsoft.com/office/drawing/2014/main" id="{D4347EB5-CAD4-48EB-AC66-B48928760B77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7" name="Line 14">
          <a:extLst>
            <a:ext uri="{FF2B5EF4-FFF2-40B4-BE49-F238E27FC236}">
              <a16:creationId xmlns:a16="http://schemas.microsoft.com/office/drawing/2014/main" id="{2C7628CF-A564-4C3B-A179-890697BEF43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8" name="Line 15">
          <a:extLst>
            <a:ext uri="{FF2B5EF4-FFF2-40B4-BE49-F238E27FC236}">
              <a16:creationId xmlns:a16="http://schemas.microsoft.com/office/drawing/2014/main" id="{9E225B1C-3C2B-4097-9434-6777DC61D63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09" name="Line 42">
          <a:extLst>
            <a:ext uri="{FF2B5EF4-FFF2-40B4-BE49-F238E27FC236}">
              <a16:creationId xmlns:a16="http://schemas.microsoft.com/office/drawing/2014/main" id="{3ECA9028-D109-4F5F-B0E9-044CC643E7F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410" name="Line 4">
          <a:extLst>
            <a:ext uri="{FF2B5EF4-FFF2-40B4-BE49-F238E27FC236}">
              <a16:creationId xmlns:a16="http://schemas.microsoft.com/office/drawing/2014/main" id="{037CFCA7-1544-406C-8264-86A81DFF1CE5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1" name="Line 14">
          <a:extLst>
            <a:ext uri="{FF2B5EF4-FFF2-40B4-BE49-F238E27FC236}">
              <a16:creationId xmlns:a16="http://schemas.microsoft.com/office/drawing/2014/main" id="{E957EAE0-7729-40F6-A766-7870C2F9B8A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2" name="Line 15">
          <a:extLst>
            <a:ext uri="{FF2B5EF4-FFF2-40B4-BE49-F238E27FC236}">
              <a16:creationId xmlns:a16="http://schemas.microsoft.com/office/drawing/2014/main" id="{E0627252-6225-42E5-9C4E-6B748F0051D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3" name="Line 42">
          <a:extLst>
            <a:ext uri="{FF2B5EF4-FFF2-40B4-BE49-F238E27FC236}">
              <a16:creationId xmlns:a16="http://schemas.microsoft.com/office/drawing/2014/main" id="{D6DA88C7-273D-447C-A0D6-243E4EC9E7E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414" name="Line 4">
          <a:extLst>
            <a:ext uri="{FF2B5EF4-FFF2-40B4-BE49-F238E27FC236}">
              <a16:creationId xmlns:a16="http://schemas.microsoft.com/office/drawing/2014/main" id="{8362B8E8-5D96-4EBA-8D81-F5B3F6A2B097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5" name="Line 14">
          <a:extLst>
            <a:ext uri="{FF2B5EF4-FFF2-40B4-BE49-F238E27FC236}">
              <a16:creationId xmlns:a16="http://schemas.microsoft.com/office/drawing/2014/main" id="{BF5386A8-9486-4A94-B69D-F6FCD3D06EC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6" name="Line 15">
          <a:extLst>
            <a:ext uri="{FF2B5EF4-FFF2-40B4-BE49-F238E27FC236}">
              <a16:creationId xmlns:a16="http://schemas.microsoft.com/office/drawing/2014/main" id="{52204504-5011-4A02-A4AE-4DBF2B83A28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7" name="Line 42">
          <a:extLst>
            <a:ext uri="{FF2B5EF4-FFF2-40B4-BE49-F238E27FC236}">
              <a16:creationId xmlns:a16="http://schemas.microsoft.com/office/drawing/2014/main" id="{96AFE4F8-D719-4CB4-8DEA-638F531404D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1041</xdr:row>
      <xdr:rowOff>0</xdr:rowOff>
    </xdr:from>
    <xdr:to>
      <xdr:col>18</xdr:col>
      <xdr:colOff>447675</xdr:colOff>
      <xdr:row>1042</xdr:row>
      <xdr:rowOff>0</xdr:rowOff>
    </xdr:to>
    <xdr:sp macro="" textlink="">
      <xdr:nvSpPr>
        <xdr:cNvPr id="6418" name="Line 4">
          <a:extLst>
            <a:ext uri="{FF2B5EF4-FFF2-40B4-BE49-F238E27FC236}">
              <a16:creationId xmlns:a16="http://schemas.microsoft.com/office/drawing/2014/main" id="{C4153A0B-7586-4270-8084-27AC41BDCC9E}"/>
            </a:ext>
          </a:extLst>
        </xdr:cNvPr>
        <xdr:cNvSpPr>
          <a:spLocks noChangeShapeType="1"/>
        </xdr:cNvSpPr>
      </xdr:nvSpPr>
      <xdr:spPr bwMode="auto">
        <a:xfrm>
          <a:off x="7686675" y="21422783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19" name="Line 14">
          <a:extLst>
            <a:ext uri="{FF2B5EF4-FFF2-40B4-BE49-F238E27FC236}">
              <a16:creationId xmlns:a16="http://schemas.microsoft.com/office/drawing/2014/main" id="{4AA258A2-C1B6-46C7-9EDA-CE52D10BFA3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20" name="Line 15">
          <a:extLst>
            <a:ext uri="{FF2B5EF4-FFF2-40B4-BE49-F238E27FC236}">
              <a16:creationId xmlns:a16="http://schemas.microsoft.com/office/drawing/2014/main" id="{5127BD09-4C58-4806-A5FA-7E51C509728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1041</xdr:row>
      <xdr:rowOff>0</xdr:rowOff>
    </xdr:from>
    <xdr:to>
      <xdr:col>18</xdr:col>
      <xdr:colOff>438150</xdr:colOff>
      <xdr:row>1042</xdr:row>
      <xdr:rowOff>0</xdr:rowOff>
    </xdr:to>
    <xdr:sp macro="" textlink="">
      <xdr:nvSpPr>
        <xdr:cNvPr id="6421" name="Line 42">
          <a:extLst>
            <a:ext uri="{FF2B5EF4-FFF2-40B4-BE49-F238E27FC236}">
              <a16:creationId xmlns:a16="http://schemas.microsoft.com/office/drawing/2014/main" id="{B4B73843-3431-4819-BDC0-B27C0656B98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22783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22" name="Line 4">
          <a:extLst>
            <a:ext uri="{FF2B5EF4-FFF2-40B4-BE49-F238E27FC236}">
              <a16:creationId xmlns:a16="http://schemas.microsoft.com/office/drawing/2014/main" id="{863E0B22-F6F0-4493-A388-3CCFC2F3410D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3" name="Line 14">
          <a:extLst>
            <a:ext uri="{FF2B5EF4-FFF2-40B4-BE49-F238E27FC236}">
              <a16:creationId xmlns:a16="http://schemas.microsoft.com/office/drawing/2014/main" id="{A33380B9-3208-43F5-8BE7-2C44DD70672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4" name="Line 15">
          <a:extLst>
            <a:ext uri="{FF2B5EF4-FFF2-40B4-BE49-F238E27FC236}">
              <a16:creationId xmlns:a16="http://schemas.microsoft.com/office/drawing/2014/main" id="{5335B088-A24E-4FE9-B1CA-DDC466397F6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5" name="Line 42">
          <a:extLst>
            <a:ext uri="{FF2B5EF4-FFF2-40B4-BE49-F238E27FC236}">
              <a16:creationId xmlns:a16="http://schemas.microsoft.com/office/drawing/2014/main" id="{A4210ED6-72D9-4092-8716-CDE1EBDC0EF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26" name="Line 4">
          <a:extLst>
            <a:ext uri="{FF2B5EF4-FFF2-40B4-BE49-F238E27FC236}">
              <a16:creationId xmlns:a16="http://schemas.microsoft.com/office/drawing/2014/main" id="{E736A667-78A6-4486-BB46-B9363FF3BCE9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7" name="Line 14">
          <a:extLst>
            <a:ext uri="{FF2B5EF4-FFF2-40B4-BE49-F238E27FC236}">
              <a16:creationId xmlns:a16="http://schemas.microsoft.com/office/drawing/2014/main" id="{C6CFB3CF-DA4D-4B20-AFBC-C47889A722D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8" name="Line 15">
          <a:extLst>
            <a:ext uri="{FF2B5EF4-FFF2-40B4-BE49-F238E27FC236}">
              <a16:creationId xmlns:a16="http://schemas.microsoft.com/office/drawing/2014/main" id="{D3EB23F5-BB2F-453A-A939-BB7E273E394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29" name="Line 42">
          <a:extLst>
            <a:ext uri="{FF2B5EF4-FFF2-40B4-BE49-F238E27FC236}">
              <a16:creationId xmlns:a16="http://schemas.microsoft.com/office/drawing/2014/main" id="{9A9CF588-7ADC-4619-909D-0B9C12B8553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30" name="Line 4">
          <a:extLst>
            <a:ext uri="{FF2B5EF4-FFF2-40B4-BE49-F238E27FC236}">
              <a16:creationId xmlns:a16="http://schemas.microsoft.com/office/drawing/2014/main" id="{3397C7AD-EE7E-4FD1-A584-C95F89CDBD60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1" name="Line 14">
          <a:extLst>
            <a:ext uri="{FF2B5EF4-FFF2-40B4-BE49-F238E27FC236}">
              <a16:creationId xmlns:a16="http://schemas.microsoft.com/office/drawing/2014/main" id="{830C81BF-F976-4032-9F15-FC548505AC1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2" name="Line 15">
          <a:extLst>
            <a:ext uri="{FF2B5EF4-FFF2-40B4-BE49-F238E27FC236}">
              <a16:creationId xmlns:a16="http://schemas.microsoft.com/office/drawing/2014/main" id="{D3D97265-071F-4D92-93EA-F505AAE88BB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3" name="Line 42">
          <a:extLst>
            <a:ext uri="{FF2B5EF4-FFF2-40B4-BE49-F238E27FC236}">
              <a16:creationId xmlns:a16="http://schemas.microsoft.com/office/drawing/2014/main" id="{263DA7FE-E0BE-443F-A678-1A7D228F6C3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34" name="Line 4">
          <a:extLst>
            <a:ext uri="{FF2B5EF4-FFF2-40B4-BE49-F238E27FC236}">
              <a16:creationId xmlns:a16="http://schemas.microsoft.com/office/drawing/2014/main" id="{71243D99-97CB-4034-8F97-AE0B5434C44E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5" name="Line 14">
          <a:extLst>
            <a:ext uri="{FF2B5EF4-FFF2-40B4-BE49-F238E27FC236}">
              <a16:creationId xmlns:a16="http://schemas.microsoft.com/office/drawing/2014/main" id="{1FA44C36-74B9-4485-8718-DD6E7FED82A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6" name="Line 15">
          <a:extLst>
            <a:ext uri="{FF2B5EF4-FFF2-40B4-BE49-F238E27FC236}">
              <a16:creationId xmlns:a16="http://schemas.microsoft.com/office/drawing/2014/main" id="{FB36AC5E-A230-47B0-8B2C-3A103B47E93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7" name="Line 42">
          <a:extLst>
            <a:ext uri="{FF2B5EF4-FFF2-40B4-BE49-F238E27FC236}">
              <a16:creationId xmlns:a16="http://schemas.microsoft.com/office/drawing/2014/main" id="{2F7BC5B0-B542-4342-B2C6-96AB7B5432D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38" name="Line 4">
          <a:extLst>
            <a:ext uri="{FF2B5EF4-FFF2-40B4-BE49-F238E27FC236}">
              <a16:creationId xmlns:a16="http://schemas.microsoft.com/office/drawing/2014/main" id="{5479EB58-242D-4323-9C09-28DB1EB28FDB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39" name="Line 14">
          <a:extLst>
            <a:ext uri="{FF2B5EF4-FFF2-40B4-BE49-F238E27FC236}">
              <a16:creationId xmlns:a16="http://schemas.microsoft.com/office/drawing/2014/main" id="{BC79C933-4067-478E-95EF-35E2444E056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40" name="Line 15">
          <a:extLst>
            <a:ext uri="{FF2B5EF4-FFF2-40B4-BE49-F238E27FC236}">
              <a16:creationId xmlns:a16="http://schemas.microsoft.com/office/drawing/2014/main" id="{64C92F16-FA4B-44C6-B635-D8651C5F82A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41" name="Line 42">
          <a:extLst>
            <a:ext uri="{FF2B5EF4-FFF2-40B4-BE49-F238E27FC236}">
              <a16:creationId xmlns:a16="http://schemas.microsoft.com/office/drawing/2014/main" id="{71E4DD41-5F0F-49EF-8420-D268E9D2ECD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1043</xdr:row>
      <xdr:rowOff>0</xdr:rowOff>
    </xdr:from>
    <xdr:to>
      <xdr:col>18</xdr:col>
      <xdr:colOff>447675</xdr:colOff>
      <xdr:row>1044</xdr:row>
      <xdr:rowOff>0</xdr:rowOff>
    </xdr:to>
    <xdr:sp macro="" textlink="">
      <xdr:nvSpPr>
        <xdr:cNvPr id="6442" name="Line 4">
          <a:extLst>
            <a:ext uri="{FF2B5EF4-FFF2-40B4-BE49-F238E27FC236}">
              <a16:creationId xmlns:a16="http://schemas.microsoft.com/office/drawing/2014/main" id="{FD915301-1F7F-4B6C-936C-5C10BEEC0F5A}"/>
            </a:ext>
          </a:extLst>
        </xdr:cNvPr>
        <xdr:cNvSpPr>
          <a:spLocks noChangeShapeType="1"/>
        </xdr:cNvSpPr>
      </xdr:nvSpPr>
      <xdr:spPr bwMode="auto">
        <a:xfrm>
          <a:off x="7686675" y="214651167"/>
          <a:ext cx="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43" name="Line 14">
          <a:extLst>
            <a:ext uri="{FF2B5EF4-FFF2-40B4-BE49-F238E27FC236}">
              <a16:creationId xmlns:a16="http://schemas.microsoft.com/office/drawing/2014/main" id="{856261A2-D9C9-413D-BA80-F5D76E656FB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44" name="Line 15">
          <a:extLst>
            <a:ext uri="{FF2B5EF4-FFF2-40B4-BE49-F238E27FC236}">
              <a16:creationId xmlns:a16="http://schemas.microsoft.com/office/drawing/2014/main" id="{D99936AA-8472-4384-BDB7-95457C98357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1043</xdr:row>
      <xdr:rowOff>0</xdr:rowOff>
    </xdr:from>
    <xdr:to>
      <xdr:col>18</xdr:col>
      <xdr:colOff>438150</xdr:colOff>
      <xdr:row>1044</xdr:row>
      <xdr:rowOff>0</xdr:rowOff>
    </xdr:to>
    <xdr:sp macro="" textlink="">
      <xdr:nvSpPr>
        <xdr:cNvPr id="6445" name="Line 42">
          <a:extLst>
            <a:ext uri="{FF2B5EF4-FFF2-40B4-BE49-F238E27FC236}">
              <a16:creationId xmlns:a16="http://schemas.microsoft.com/office/drawing/2014/main" id="{2729A925-32E8-433A-86BC-3E191AC5D69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14651167"/>
          <a:ext cx="19050" cy="211666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46" name="Line 4">
          <a:extLst>
            <a:ext uri="{FF2B5EF4-FFF2-40B4-BE49-F238E27FC236}">
              <a16:creationId xmlns:a16="http://schemas.microsoft.com/office/drawing/2014/main" id="{BE2B2BEF-311D-4BFB-BC28-1E9600A1A318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47" name="Line 14">
          <a:extLst>
            <a:ext uri="{FF2B5EF4-FFF2-40B4-BE49-F238E27FC236}">
              <a16:creationId xmlns:a16="http://schemas.microsoft.com/office/drawing/2014/main" id="{4AE553B6-2F85-4D81-B8D4-4A902C4225C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48" name="Line 15">
          <a:extLst>
            <a:ext uri="{FF2B5EF4-FFF2-40B4-BE49-F238E27FC236}">
              <a16:creationId xmlns:a16="http://schemas.microsoft.com/office/drawing/2014/main" id="{45347D89-EB9A-48D7-A3B5-069B364F362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49" name="Line 42">
          <a:extLst>
            <a:ext uri="{FF2B5EF4-FFF2-40B4-BE49-F238E27FC236}">
              <a16:creationId xmlns:a16="http://schemas.microsoft.com/office/drawing/2014/main" id="{6ABA269E-0ABB-42FE-AF5D-75679E57345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50" name="Line 4">
          <a:extLst>
            <a:ext uri="{FF2B5EF4-FFF2-40B4-BE49-F238E27FC236}">
              <a16:creationId xmlns:a16="http://schemas.microsoft.com/office/drawing/2014/main" id="{DE315937-C2F4-4DFF-9819-1AA24258C6F0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1" name="Line 14">
          <a:extLst>
            <a:ext uri="{FF2B5EF4-FFF2-40B4-BE49-F238E27FC236}">
              <a16:creationId xmlns:a16="http://schemas.microsoft.com/office/drawing/2014/main" id="{0496AD6E-ECF5-46D6-B0F9-8BBD7E7F3E9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2" name="Line 15">
          <a:extLst>
            <a:ext uri="{FF2B5EF4-FFF2-40B4-BE49-F238E27FC236}">
              <a16:creationId xmlns:a16="http://schemas.microsoft.com/office/drawing/2014/main" id="{700E66E3-7275-4504-AE5B-F370971E779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3" name="Line 42">
          <a:extLst>
            <a:ext uri="{FF2B5EF4-FFF2-40B4-BE49-F238E27FC236}">
              <a16:creationId xmlns:a16="http://schemas.microsoft.com/office/drawing/2014/main" id="{2EC563A6-2017-4E23-9606-3ADBCDB9DF8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54" name="Line 4">
          <a:extLst>
            <a:ext uri="{FF2B5EF4-FFF2-40B4-BE49-F238E27FC236}">
              <a16:creationId xmlns:a16="http://schemas.microsoft.com/office/drawing/2014/main" id="{E48B08BF-0C50-4FB9-BFDA-0C8744F2EE2E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5" name="Line 14">
          <a:extLst>
            <a:ext uri="{FF2B5EF4-FFF2-40B4-BE49-F238E27FC236}">
              <a16:creationId xmlns:a16="http://schemas.microsoft.com/office/drawing/2014/main" id="{12E8B0ED-DAA5-4BF1-8369-72AF2EA49FC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6" name="Line 15">
          <a:extLst>
            <a:ext uri="{FF2B5EF4-FFF2-40B4-BE49-F238E27FC236}">
              <a16:creationId xmlns:a16="http://schemas.microsoft.com/office/drawing/2014/main" id="{2ACF3AF1-523E-4519-A47D-8219F8E73A0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57" name="Line 42">
          <a:extLst>
            <a:ext uri="{FF2B5EF4-FFF2-40B4-BE49-F238E27FC236}">
              <a16:creationId xmlns:a16="http://schemas.microsoft.com/office/drawing/2014/main" id="{93BD36F9-0F3F-48F5-A64D-B1A773FB76F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58" name="Line 4">
          <a:extLst>
            <a:ext uri="{FF2B5EF4-FFF2-40B4-BE49-F238E27FC236}">
              <a16:creationId xmlns:a16="http://schemas.microsoft.com/office/drawing/2014/main" id="{45E09BDF-1804-4F3D-B8E8-4B2912CBFEA6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59" name="Line 14">
          <a:extLst>
            <a:ext uri="{FF2B5EF4-FFF2-40B4-BE49-F238E27FC236}">
              <a16:creationId xmlns:a16="http://schemas.microsoft.com/office/drawing/2014/main" id="{29BA884D-0D6C-4168-A630-CB38EE80A2EC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0" name="Line 15">
          <a:extLst>
            <a:ext uri="{FF2B5EF4-FFF2-40B4-BE49-F238E27FC236}">
              <a16:creationId xmlns:a16="http://schemas.microsoft.com/office/drawing/2014/main" id="{FA031BFE-0811-471E-9C23-A674770906B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1" name="Line 42">
          <a:extLst>
            <a:ext uri="{FF2B5EF4-FFF2-40B4-BE49-F238E27FC236}">
              <a16:creationId xmlns:a16="http://schemas.microsoft.com/office/drawing/2014/main" id="{83D4B162-D9D8-4037-A9C4-0C1ADE36796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62" name="Line 4">
          <a:extLst>
            <a:ext uri="{FF2B5EF4-FFF2-40B4-BE49-F238E27FC236}">
              <a16:creationId xmlns:a16="http://schemas.microsoft.com/office/drawing/2014/main" id="{D9DFF316-0656-444F-BF15-5A6F548C676F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3" name="Line 14">
          <a:extLst>
            <a:ext uri="{FF2B5EF4-FFF2-40B4-BE49-F238E27FC236}">
              <a16:creationId xmlns:a16="http://schemas.microsoft.com/office/drawing/2014/main" id="{B12FFC67-121F-46BA-A1FD-0B07FA031C4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4" name="Line 15">
          <a:extLst>
            <a:ext uri="{FF2B5EF4-FFF2-40B4-BE49-F238E27FC236}">
              <a16:creationId xmlns:a16="http://schemas.microsoft.com/office/drawing/2014/main" id="{24D80165-6861-4BC4-BD0C-222926C42BF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5" name="Line 42">
          <a:extLst>
            <a:ext uri="{FF2B5EF4-FFF2-40B4-BE49-F238E27FC236}">
              <a16:creationId xmlns:a16="http://schemas.microsoft.com/office/drawing/2014/main" id="{FB9C657D-B944-4E07-9C8D-8BC131ED877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66" name="Line 4">
          <a:extLst>
            <a:ext uri="{FF2B5EF4-FFF2-40B4-BE49-F238E27FC236}">
              <a16:creationId xmlns:a16="http://schemas.microsoft.com/office/drawing/2014/main" id="{31834D17-EBF6-4515-B94F-5121DE93EEFD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7" name="Line 14">
          <a:extLst>
            <a:ext uri="{FF2B5EF4-FFF2-40B4-BE49-F238E27FC236}">
              <a16:creationId xmlns:a16="http://schemas.microsoft.com/office/drawing/2014/main" id="{E4C2A42E-9157-4D8C-A013-1E093C4AC27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8" name="Line 15">
          <a:extLst>
            <a:ext uri="{FF2B5EF4-FFF2-40B4-BE49-F238E27FC236}">
              <a16:creationId xmlns:a16="http://schemas.microsoft.com/office/drawing/2014/main" id="{852774CB-8468-4588-9A9C-C6DE6A0E6FF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69" name="Line 42">
          <a:extLst>
            <a:ext uri="{FF2B5EF4-FFF2-40B4-BE49-F238E27FC236}">
              <a16:creationId xmlns:a16="http://schemas.microsoft.com/office/drawing/2014/main" id="{C2E3E481-2EF5-4A4D-9E04-8790B4CC917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70" name="Line 4">
          <a:extLst>
            <a:ext uri="{FF2B5EF4-FFF2-40B4-BE49-F238E27FC236}">
              <a16:creationId xmlns:a16="http://schemas.microsoft.com/office/drawing/2014/main" id="{0C17B4FC-29F8-43B6-8A4B-C7410769D98F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1" name="Line 14">
          <a:extLst>
            <a:ext uri="{FF2B5EF4-FFF2-40B4-BE49-F238E27FC236}">
              <a16:creationId xmlns:a16="http://schemas.microsoft.com/office/drawing/2014/main" id="{1D5F4C29-2405-4156-8091-A67AE9DE74D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2" name="Line 15">
          <a:extLst>
            <a:ext uri="{FF2B5EF4-FFF2-40B4-BE49-F238E27FC236}">
              <a16:creationId xmlns:a16="http://schemas.microsoft.com/office/drawing/2014/main" id="{8804E572-45EE-4F5F-B236-413CBDEC3FD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3" name="Line 42">
          <a:extLst>
            <a:ext uri="{FF2B5EF4-FFF2-40B4-BE49-F238E27FC236}">
              <a16:creationId xmlns:a16="http://schemas.microsoft.com/office/drawing/2014/main" id="{7CCC50BA-CA99-44D9-BAF6-8874B583A73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74" name="Line 4">
          <a:extLst>
            <a:ext uri="{FF2B5EF4-FFF2-40B4-BE49-F238E27FC236}">
              <a16:creationId xmlns:a16="http://schemas.microsoft.com/office/drawing/2014/main" id="{42D761E5-0100-4F5C-AA68-3373D3CBEB86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5" name="Line 14">
          <a:extLst>
            <a:ext uri="{FF2B5EF4-FFF2-40B4-BE49-F238E27FC236}">
              <a16:creationId xmlns:a16="http://schemas.microsoft.com/office/drawing/2014/main" id="{375C0397-A9EA-4396-B7F7-CE68F971692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6" name="Line 15">
          <a:extLst>
            <a:ext uri="{FF2B5EF4-FFF2-40B4-BE49-F238E27FC236}">
              <a16:creationId xmlns:a16="http://schemas.microsoft.com/office/drawing/2014/main" id="{E56B31D0-9D3B-4F77-9711-F844CF5043B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7" name="Line 42">
          <a:extLst>
            <a:ext uri="{FF2B5EF4-FFF2-40B4-BE49-F238E27FC236}">
              <a16:creationId xmlns:a16="http://schemas.microsoft.com/office/drawing/2014/main" id="{F8C603C3-27E5-46A5-89B3-D08B564A2D5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78" name="Line 4">
          <a:extLst>
            <a:ext uri="{FF2B5EF4-FFF2-40B4-BE49-F238E27FC236}">
              <a16:creationId xmlns:a16="http://schemas.microsoft.com/office/drawing/2014/main" id="{C701BF18-676A-4154-8CDA-3F0ABA4CBD76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79" name="Line 14">
          <a:extLst>
            <a:ext uri="{FF2B5EF4-FFF2-40B4-BE49-F238E27FC236}">
              <a16:creationId xmlns:a16="http://schemas.microsoft.com/office/drawing/2014/main" id="{7BC76078-C8C9-4515-8910-54BFFF7E571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80" name="Line 15">
          <a:extLst>
            <a:ext uri="{FF2B5EF4-FFF2-40B4-BE49-F238E27FC236}">
              <a16:creationId xmlns:a16="http://schemas.microsoft.com/office/drawing/2014/main" id="{1EFFE823-68CF-44BC-B202-631C413FB5F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81" name="Line 42">
          <a:extLst>
            <a:ext uri="{FF2B5EF4-FFF2-40B4-BE49-F238E27FC236}">
              <a16:creationId xmlns:a16="http://schemas.microsoft.com/office/drawing/2014/main" id="{1466CCCC-ABE2-4C50-847F-5B6536B3B9C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82" name="Line 4">
          <a:extLst>
            <a:ext uri="{FF2B5EF4-FFF2-40B4-BE49-F238E27FC236}">
              <a16:creationId xmlns:a16="http://schemas.microsoft.com/office/drawing/2014/main" id="{580B5484-AF82-4A40-88FB-E5E9EAA979F5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3" name="Line 14">
          <a:extLst>
            <a:ext uri="{FF2B5EF4-FFF2-40B4-BE49-F238E27FC236}">
              <a16:creationId xmlns:a16="http://schemas.microsoft.com/office/drawing/2014/main" id="{31ACC33B-ACF3-4CD1-9685-FE07E0C3E6A5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4" name="Line 15">
          <a:extLst>
            <a:ext uri="{FF2B5EF4-FFF2-40B4-BE49-F238E27FC236}">
              <a16:creationId xmlns:a16="http://schemas.microsoft.com/office/drawing/2014/main" id="{2E6E03BE-5F34-4722-AC31-1CC1AFFE06C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5" name="Line 42">
          <a:extLst>
            <a:ext uri="{FF2B5EF4-FFF2-40B4-BE49-F238E27FC236}">
              <a16:creationId xmlns:a16="http://schemas.microsoft.com/office/drawing/2014/main" id="{34C0863C-EC7C-4605-BB10-03FA892E06B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86" name="Line 4">
          <a:extLst>
            <a:ext uri="{FF2B5EF4-FFF2-40B4-BE49-F238E27FC236}">
              <a16:creationId xmlns:a16="http://schemas.microsoft.com/office/drawing/2014/main" id="{D44C69C8-9963-4AD8-8431-70E599743410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7" name="Line 14">
          <a:extLst>
            <a:ext uri="{FF2B5EF4-FFF2-40B4-BE49-F238E27FC236}">
              <a16:creationId xmlns:a16="http://schemas.microsoft.com/office/drawing/2014/main" id="{1C7445C3-AD13-4F01-A342-8B96D9FBE378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8" name="Line 15">
          <a:extLst>
            <a:ext uri="{FF2B5EF4-FFF2-40B4-BE49-F238E27FC236}">
              <a16:creationId xmlns:a16="http://schemas.microsoft.com/office/drawing/2014/main" id="{CBA46F79-9EB8-40EB-96F6-5717020D780A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89" name="Line 42">
          <a:extLst>
            <a:ext uri="{FF2B5EF4-FFF2-40B4-BE49-F238E27FC236}">
              <a16:creationId xmlns:a16="http://schemas.microsoft.com/office/drawing/2014/main" id="{1553D688-8137-4DBA-81E7-926960252672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1114</xdr:row>
      <xdr:rowOff>0</xdr:rowOff>
    </xdr:from>
    <xdr:to>
      <xdr:col>18</xdr:col>
      <xdr:colOff>447675</xdr:colOff>
      <xdr:row>1115</xdr:row>
      <xdr:rowOff>0</xdr:rowOff>
    </xdr:to>
    <xdr:sp macro="" textlink="">
      <xdr:nvSpPr>
        <xdr:cNvPr id="6490" name="Line 4">
          <a:extLst>
            <a:ext uri="{FF2B5EF4-FFF2-40B4-BE49-F238E27FC236}">
              <a16:creationId xmlns:a16="http://schemas.microsoft.com/office/drawing/2014/main" id="{1BA81EAA-CF91-4987-94A9-FED4EE92B37B}"/>
            </a:ext>
          </a:extLst>
        </xdr:cNvPr>
        <xdr:cNvSpPr>
          <a:spLocks noChangeShapeType="1"/>
        </xdr:cNvSpPr>
      </xdr:nvSpPr>
      <xdr:spPr bwMode="auto">
        <a:xfrm>
          <a:off x="7686675" y="230346250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91" name="Line 14">
          <a:extLst>
            <a:ext uri="{FF2B5EF4-FFF2-40B4-BE49-F238E27FC236}">
              <a16:creationId xmlns:a16="http://schemas.microsoft.com/office/drawing/2014/main" id="{038F146E-5724-41F2-87AD-AB77917A04D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92" name="Line 15">
          <a:extLst>
            <a:ext uri="{FF2B5EF4-FFF2-40B4-BE49-F238E27FC236}">
              <a16:creationId xmlns:a16="http://schemas.microsoft.com/office/drawing/2014/main" id="{866FAA41-8986-4812-AEDF-AC5BAEA0586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1114</xdr:row>
      <xdr:rowOff>0</xdr:rowOff>
    </xdr:from>
    <xdr:to>
      <xdr:col>18</xdr:col>
      <xdr:colOff>438150</xdr:colOff>
      <xdr:row>1115</xdr:row>
      <xdr:rowOff>0</xdr:rowOff>
    </xdr:to>
    <xdr:sp macro="" textlink="">
      <xdr:nvSpPr>
        <xdr:cNvPr id="6493" name="Line 42">
          <a:extLst>
            <a:ext uri="{FF2B5EF4-FFF2-40B4-BE49-F238E27FC236}">
              <a16:creationId xmlns:a16="http://schemas.microsoft.com/office/drawing/2014/main" id="{158773BA-615D-4023-BBE2-E7D1AE7412A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346250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94" name="Line 4">
          <a:extLst>
            <a:ext uri="{FF2B5EF4-FFF2-40B4-BE49-F238E27FC236}">
              <a16:creationId xmlns:a16="http://schemas.microsoft.com/office/drawing/2014/main" id="{A1DBC255-29DA-4568-BB3B-6D53B5D19AEA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95" name="Line 14">
          <a:extLst>
            <a:ext uri="{FF2B5EF4-FFF2-40B4-BE49-F238E27FC236}">
              <a16:creationId xmlns:a16="http://schemas.microsoft.com/office/drawing/2014/main" id="{14EE6C5F-8820-4367-BD17-D0A290BA904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96" name="Line 15">
          <a:extLst>
            <a:ext uri="{FF2B5EF4-FFF2-40B4-BE49-F238E27FC236}">
              <a16:creationId xmlns:a16="http://schemas.microsoft.com/office/drawing/2014/main" id="{1321D709-CEAC-4DD2-96AB-CD0670AE462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97" name="Line 42">
          <a:extLst>
            <a:ext uri="{FF2B5EF4-FFF2-40B4-BE49-F238E27FC236}">
              <a16:creationId xmlns:a16="http://schemas.microsoft.com/office/drawing/2014/main" id="{4D9D5B19-A5CC-4BF8-B4A0-694B0F62CEF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498" name="Line 4">
          <a:extLst>
            <a:ext uri="{FF2B5EF4-FFF2-40B4-BE49-F238E27FC236}">
              <a16:creationId xmlns:a16="http://schemas.microsoft.com/office/drawing/2014/main" id="{220FF37C-CC7C-4AF0-BE7F-965981AE1A98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499" name="Line 14">
          <a:extLst>
            <a:ext uri="{FF2B5EF4-FFF2-40B4-BE49-F238E27FC236}">
              <a16:creationId xmlns:a16="http://schemas.microsoft.com/office/drawing/2014/main" id="{155F35D5-2C2F-498D-AF79-37897AF60404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0" name="Line 15">
          <a:extLst>
            <a:ext uri="{FF2B5EF4-FFF2-40B4-BE49-F238E27FC236}">
              <a16:creationId xmlns:a16="http://schemas.microsoft.com/office/drawing/2014/main" id="{281D577B-C51F-47BF-B333-4730C9202437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1" name="Line 42">
          <a:extLst>
            <a:ext uri="{FF2B5EF4-FFF2-40B4-BE49-F238E27FC236}">
              <a16:creationId xmlns:a16="http://schemas.microsoft.com/office/drawing/2014/main" id="{7B245F83-D960-4D72-B1AD-DE0C63F4DEA6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502" name="Line 4">
          <a:extLst>
            <a:ext uri="{FF2B5EF4-FFF2-40B4-BE49-F238E27FC236}">
              <a16:creationId xmlns:a16="http://schemas.microsoft.com/office/drawing/2014/main" id="{C0E2E763-9C10-48B1-89CA-551B2BE11784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3" name="Line 14">
          <a:extLst>
            <a:ext uri="{FF2B5EF4-FFF2-40B4-BE49-F238E27FC236}">
              <a16:creationId xmlns:a16="http://schemas.microsoft.com/office/drawing/2014/main" id="{B9374063-7B5B-47A5-8D12-FB353FDC7C7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4" name="Line 15">
          <a:extLst>
            <a:ext uri="{FF2B5EF4-FFF2-40B4-BE49-F238E27FC236}">
              <a16:creationId xmlns:a16="http://schemas.microsoft.com/office/drawing/2014/main" id="{30C0E3CC-8401-4C58-8BB6-19DAC1ED640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5" name="Line 42">
          <a:extLst>
            <a:ext uri="{FF2B5EF4-FFF2-40B4-BE49-F238E27FC236}">
              <a16:creationId xmlns:a16="http://schemas.microsoft.com/office/drawing/2014/main" id="{8C142D70-922B-4B36-B879-A7BCC6B88F5B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506" name="Line 4">
          <a:extLst>
            <a:ext uri="{FF2B5EF4-FFF2-40B4-BE49-F238E27FC236}">
              <a16:creationId xmlns:a16="http://schemas.microsoft.com/office/drawing/2014/main" id="{BA479C9D-96AC-4884-9078-CEB3F0BCCA97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7" name="Line 14">
          <a:extLst>
            <a:ext uri="{FF2B5EF4-FFF2-40B4-BE49-F238E27FC236}">
              <a16:creationId xmlns:a16="http://schemas.microsoft.com/office/drawing/2014/main" id="{148C0D3B-DB22-4FF0-9F76-5F1FFF1712ED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8" name="Line 15">
          <a:extLst>
            <a:ext uri="{FF2B5EF4-FFF2-40B4-BE49-F238E27FC236}">
              <a16:creationId xmlns:a16="http://schemas.microsoft.com/office/drawing/2014/main" id="{BBF39E82-2E4C-49E8-B1CB-93C23A62CE43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09" name="Line 42">
          <a:extLst>
            <a:ext uri="{FF2B5EF4-FFF2-40B4-BE49-F238E27FC236}">
              <a16:creationId xmlns:a16="http://schemas.microsoft.com/office/drawing/2014/main" id="{FE55623D-167D-46E9-BDE5-E90874360AAF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510" name="Line 4">
          <a:extLst>
            <a:ext uri="{FF2B5EF4-FFF2-40B4-BE49-F238E27FC236}">
              <a16:creationId xmlns:a16="http://schemas.microsoft.com/office/drawing/2014/main" id="{A1AB1575-DD61-4126-9396-3BF811989CD9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1" name="Line 14">
          <a:extLst>
            <a:ext uri="{FF2B5EF4-FFF2-40B4-BE49-F238E27FC236}">
              <a16:creationId xmlns:a16="http://schemas.microsoft.com/office/drawing/2014/main" id="{9614C550-AADD-4627-8336-B219115F9D30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2" name="Line 15">
          <a:extLst>
            <a:ext uri="{FF2B5EF4-FFF2-40B4-BE49-F238E27FC236}">
              <a16:creationId xmlns:a16="http://schemas.microsoft.com/office/drawing/2014/main" id="{EC7E287B-5750-4F00-AFEA-D9217B50EA2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3" name="Line 42">
          <a:extLst>
            <a:ext uri="{FF2B5EF4-FFF2-40B4-BE49-F238E27FC236}">
              <a16:creationId xmlns:a16="http://schemas.microsoft.com/office/drawing/2014/main" id="{26F413E8-614C-4C1B-8FF5-F5765C868889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1116</xdr:row>
      <xdr:rowOff>0</xdr:rowOff>
    </xdr:from>
    <xdr:to>
      <xdr:col>18</xdr:col>
      <xdr:colOff>447675</xdr:colOff>
      <xdr:row>1117</xdr:row>
      <xdr:rowOff>0</xdr:rowOff>
    </xdr:to>
    <xdr:sp macro="" textlink="">
      <xdr:nvSpPr>
        <xdr:cNvPr id="6514" name="Line 4">
          <a:extLst>
            <a:ext uri="{FF2B5EF4-FFF2-40B4-BE49-F238E27FC236}">
              <a16:creationId xmlns:a16="http://schemas.microsoft.com/office/drawing/2014/main" id="{D60C0B09-F2CE-4142-A6DA-AB29113F3C64}"/>
            </a:ext>
          </a:extLst>
        </xdr:cNvPr>
        <xdr:cNvSpPr>
          <a:spLocks noChangeShapeType="1"/>
        </xdr:cNvSpPr>
      </xdr:nvSpPr>
      <xdr:spPr bwMode="auto">
        <a:xfrm>
          <a:off x="7686675" y="230769583"/>
          <a:ext cx="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5" name="Line 14">
          <a:extLst>
            <a:ext uri="{FF2B5EF4-FFF2-40B4-BE49-F238E27FC236}">
              <a16:creationId xmlns:a16="http://schemas.microsoft.com/office/drawing/2014/main" id="{2A9E2E0E-8462-47D6-A182-A4857DDEE031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6" name="Line 15">
          <a:extLst>
            <a:ext uri="{FF2B5EF4-FFF2-40B4-BE49-F238E27FC236}">
              <a16:creationId xmlns:a16="http://schemas.microsoft.com/office/drawing/2014/main" id="{1B4AEB3D-8464-451C-9444-D036FE35B30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1116</xdr:row>
      <xdr:rowOff>0</xdr:rowOff>
    </xdr:from>
    <xdr:to>
      <xdr:col>18</xdr:col>
      <xdr:colOff>438150</xdr:colOff>
      <xdr:row>1117</xdr:row>
      <xdr:rowOff>0</xdr:rowOff>
    </xdr:to>
    <xdr:sp macro="" textlink="">
      <xdr:nvSpPr>
        <xdr:cNvPr id="6517" name="Line 42">
          <a:extLst>
            <a:ext uri="{FF2B5EF4-FFF2-40B4-BE49-F238E27FC236}">
              <a16:creationId xmlns:a16="http://schemas.microsoft.com/office/drawing/2014/main" id="{6670443C-A756-4C66-A46E-2ECF3053375E}"/>
            </a:ext>
          </a:extLst>
        </xdr:cNvPr>
        <xdr:cNvSpPr>
          <a:spLocks noChangeShapeType="1"/>
        </xdr:cNvSpPr>
      </xdr:nvSpPr>
      <xdr:spPr bwMode="auto">
        <a:xfrm flipH="1" flipV="1">
          <a:off x="7658100" y="230769583"/>
          <a:ext cx="19050" cy="211667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18" name="Line 4">
          <a:extLst>
            <a:ext uri="{FF2B5EF4-FFF2-40B4-BE49-F238E27FC236}">
              <a16:creationId xmlns:a16="http://schemas.microsoft.com/office/drawing/2014/main" id="{40C2E77A-12B0-404C-8396-F7265263ACB6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19" name="Line 14">
          <a:extLst>
            <a:ext uri="{FF2B5EF4-FFF2-40B4-BE49-F238E27FC236}">
              <a16:creationId xmlns:a16="http://schemas.microsoft.com/office/drawing/2014/main" id="{F37D2631-D140-4F87-A1CD-4822A643D13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0" name="Line 15">
          <a:extLst>
            <a:ext uri="{FF2B5EF4-FFF2-40B4-BE49-F238E27FC236}">
              <a16:creationId xmlns:a16="http://schemas.microsoft.com/office/drawing/2014/main" id="{7F6AF94A-3022-4EDA-AE33-8C258CB036F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1" name="Line 42">
          <a:extLst>
            <a:ext uri="{FF2B5EF4-FFF2-40B4-BE49-F238E27FC236}">
              <a16:creationId xmlns:a16="http://schemas.microsoft.com/office/drawing/2014/main" id="{7F2253BA-49C0-4A13-AD57-88186182385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22" name="Line 4">
          <a:extLst>
            <a:ext uri="{FF2B5EF4-FFF2-40B4-BE49-F238E27FC236}">
              <a16:creationId xmlns:a16="http://schemas.microsoft.com/office/drawing/2014/main" id="{A93DBDA3-3D47-4D7A-B02F-2CC456792A43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3" name="Line 14">
          <a:extLst>
            <a:ext uri="{FF2B5EF4-FFF2-40B4-BE49-F238E27FC236}">
              <a16:creationId xmlns:a16="http://schemas.microsoft.com/office/drawing/2014/main" id="{460C17E7-B0CB-419F-BC7D-1DC2760CC92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4" name="Line 15">
          <a:extLst>
            <a:ext uri="{FF2B5EF4-FFF2-40B4-BE49-F238E27FC236}">
              <a16:creationId xmlns:a16="http://schemas.microsoft.com/office/drawing/2014/main" id="{FEF6420F-6C9B-426D-9C2A-6AFAD340CA4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5" name="Line 42">
          <a:extLst>
            <a:ext uri="{FF2B5EF4-FFF2-40B4-BE49-F238E27FC236}">
              <a16:creationId xmlns:a16="http://schemas.microsoft.com/office/drawing/2014/main" id="{8209083B-E75F-4C8A-AE70-F829F5F6564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26" name="Line 4">
          <a:extLst>
            <a:ext uri="{FF2B5EF4-FFF2-40B4-BE49-F238E27FC236}">
              <a16:creationId xmlns:a16="http://schemas.microsoft.com/office/drawing/2014/main" id="{09A4C70C-B724-4786-AE64-8673ADEC3D6D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7" name="Line 14">
          <a:extLst>
            <a:ext uri="{FF2B5EF4-FFF2-40B4-BE49-F238E27FC236}">
              <a16:creationId xmlns:a16="http://schemas.microsoft.com/office/drawing/2014/main" id="{2A082F2D-A5A7-467F-9F7E-06CA6EF5643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8" name="Line 15">
          <a:extLst>
            <a:ext uri="{FF2B5EF4-FFF2-40B4-BE49-F238E27FC236}">
              <a16:creationId xmlns:a16="http://schemas.microsoft.com/office/drawing/2014/main" id="{DE6F9667-1E8F-40A8-8A17-3877248E11B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29" name="Line 42">
          <a:extLst>
            <a:ext uri="{FF2B5EF4-FFF2-40B4-BE49-F238E27FC236}">
              <a16:creationId xmlns:a16="http://schemas.microsoft.com/office/drawing/2014/main" id="{6B19661A-4BF6-4DED-886D-0ED7A31B8F5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30" name="Line 4">
          <a:extLst>
            <a:ext uri="{FF2B5EF4-FFF2-40B4-BE49-F238E27FC236}">
              <a16:creationId xmlns:a16="http://schemas.microsoft.com/office/drawing/2014/main" id="{4C48A172-4E8C-410F-8B9C-448D54508877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1" name="Line 14">
          <a:extLst>
            <a:ext uri="{FF2B5EF4-FFF2-40B4-BE49-F238E27FC236}">
              <a16:creationId xmlns:a16="http://schemas.microsoft.com/office/drawing/2014/main" id="{F930D0DA-148A-4486-BAD9-0C723FC3A9B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2" name="Line 15">
          <a:extLst>
            <a:ext uri="{FF2B5EF4-FFF2-40B4-BE49-F238E27FC236}">
              <a16:creationId xmlns:a16="http://schemas.microsoft.com/office/drawing/2014/main" id="{0DD70080-6BE4-49D2-A4A0-2F7FF0377F8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3" name="Line 42">
          <a:extLst>
            <a:ext uri="{FF2B5EF4-FFF2-40B4-BE49-F238E27FC236}">
              <a16:creationId xmlns:a16="http://schemas.microsoft.com/office/drawing/2014/main" id="{046AA771-D7A9-4205-A796-8F98EA47457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34" name="Line 4">
          <a:extLst>
            <a:ext uri="{FF2B5EF4-FFF2-40B4-BE49-F238E27FC236}">
              <a16:creationId xmlns:a16="http://schemas.microsoft.com/office/drawing/2014/main" id="{6B0A52EE-C4A2-47A0-A9CE-0DD7470180F3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5" name="Line 14">
          <a:extLst>
            <a:ext uri="{FF2B5EF4-FFF2-40B4-BE49-F238E27FC236}">
              <a16:creationId xmlns:a16="http://schemas.microsoft.com/office/drawing/2014/main" id="{4105615D-ED10-42AE-94DA-C93937C0B09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6" name="Line 15">
          <a:extLst>
            <a:ext uri="{FF2B5EF4-FFF2-40B4-BE49-F238E27FC236}">
              <a16:creationId xmlns:a16="http://schemas.microsoft.com/office/drawing/2014/main" id="{54BFDBBB-B30B-430C-8401-38D8E00222E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7" name="Line 42">
          <a:extLst>
            <a:ext uri="{FF2B5EF4-FFF2-40B4-BE49-F238E27FC236}">
              <a16:creationId xmlns:a16="http://schemas.microsoft.com/office/drawing/2014/main" id="{D80AD0E0-E70A-4080-B737-CDF0171041B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38" name="Line 4">
          <a:extLst>
            <a:ext uri="{FF2B5EF4-FFF2-40B4-BE49-F238E27FC236}">
              <a16:creationId xmlns:a16="http://schemas.microsoft.com/office/drawing/2014/main" id="{35F00D2C-606D-4371-8778-F505BE7A5FF7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39" name="Line 14">
          <a:extLst>
            <a:ext uri="{FF2B5EF4-FFF2-40B4-BE49-F238E27FC236}">
              <a16:creationId xmlns:a16="http://schemas.microsoft.com/office/drawing/2014/main" id="{4D78ADB0-CB50-4B3F-9307-4F371242689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0" name="Line 15">
          <a:extLst>
            <a:ext uri="{FF2B5EF4-FFF2-40B4-BE49-F238E27FC236}">
              <a16:creationId xmlns:a16="http://schemas.microsoft.com/office/drawing/2014/main" id="{C2BBA358-6274-41BB-9707-2888F594497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1" name="Line 42">
          <a:extLst>
            <a:ext uri="{FF2B5EF4-FFF2-40B4-BE49-F238E27FC236}">
              <a16:creationId xmlns:a16="http://schemas.microsoft.com/office/drawing/2014/main" id="{CA9EA339-9D20-4F30-86B0-6E6C5E9946D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42" name="Line 4">
          <a:extLst>
            <a:ext uri="{FF2B5EF4-FFF2-40B4-BE49-F238E27FC236}">
              <a16:creationId xmlns:a16="http://schemas.microsoft.com/office/drawing/2014/main" id="{348D6F0A-6179-4CF6-9257-795931E9A29B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3" name="Line 14">
          <a:extLst>
            <a:ext uri="{FF2B5EF4-FFF2-40B4-BE49-F238E27FC236}">
              <a16:creationId xmlns:a16="http://schemas.microsoft.com/office/drawing/2014/main" id="{A3F6E29C-8D98-447C-808D-3358DD56673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4" name="Line 15">
          <a:extLst>
            <a:ext uri="{FF2B5EF4-FFF2-40B4-BE49-F238E27FC236}">
              <a16:creationId xmlns:a16="http://schemas.microsoft.com/office/drawing/2014/main" id="{36349682-915B-4E0B-851C-8D507ACB031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5" name="Line 42">
          <a:extLst>
            <a:ext uri="{FF2B5EF4-FFF2-40B4-BE49-F238E27FC236}">
              <a16:creationId xmlns:a16="http://schemas.microsoft.com/office/drawing/2014/main" id="{F877226B-7978-41E8-89C5-A4B4DF1DC6D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46" name="Line 4">
          <a:extLst>
            <a:ext uri="{FF2B5EF4-FFF2-40B4-BE49-F238E27FC236}">
              <a16:creationId xmlns:a16="http://schemas.microsoft.com/office/drawing/2014/main" id="{EEA9EA66-AC9B-4BB8-BB7F-66754CBEA46D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7" name="Line 14">
          <a:extLst>
            <a:ext uri="{FF2B5EF4-FFF2-40B4-BE49-F238E27FC236}">
              <a16:creationId xmlns:a16="http://schemas.microsoft.com/office/drawing/2014/main" id="{7F8B376F-F216-4D08-AE1F-EA20AB239E3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8" name="Line 15">
          <a:extLst>
            <a:ext uri="{FF2B5EF4-FFF2-40B4-BE49-F238E27FC236}">
              <a16:creationId xmlns:a16="http://schemas.microsoft.com/office/drawing/2014/main" id="{11243458-11A7-4123-8057-DD613120725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49" name="Line 42">
          <a:extLst>
            <a:ext uri="{FF2B5EF4-FFF2-40B4-BE49-F238E27FC236}">
              <a16:creationId xmlns:a16="http://schemas.microsoft.com/office/drawing/2014/main" id="{36671B60-D86C-4D6E-843A-3E6EBDABC31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50" name="Line 4">
          <a:extLst>
            <a:ext uri="{FF2B5EF4-FFF2-40B4-BE49-F238E27FC236}">
              <a16:creationId xmlns:a16="http://schemas.microsoft.com/office/drawing/2014/main" id="{476B823F-0119-4FBC-8F17-A71C36AFE76D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51" name="Line 14">
          <a:extLst>
            <a:ext uri="{FF2B5EF4-FFF2-40B4-BE49-F238E27FC236}">
              <a16:creationId xmlns:a16="http://schemas.microsoft.com/office/drawing/2014/main" id="{3D63DB97-0EF5-40DF-B129-8DCCD35AE13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52" name="Line 15">
          <a:extLst>
            <a:ext uri="{FF2B5EF4-FFF2-40B4-BE49-F238E27FC236}">
              <a16:creationId xmlns:a16="http://schemas.microsoft.com/office/drawing/2014/main" id="{DE04F498-2591-4922-A97A-B69A269E567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53" name="Line 42">
          <a:extLst>
            <a:ext uri="{FF2B5EF4-FFF2-40B4-BE49-F238E27FC236}">
              <a16:creationId xmlns:a16="http://schemas.microsoft.com/office/drawing/2014/main" id="{17D47984-87D3-451D-912F-C5213F0ADE0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54" name="Line 4">
          <a:extLst>
            <a:ext uri="{FF2B5EF4-FFF2-40B4-BE49-F238E27FC236}">
              <a16:creationId xmlns:a16="http://schemas.microsoft.com/office/drawing/2014/main" id="{9F8C89CD-4DF7-4394-8DB1-0AD704FFABC3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55" name="Line 14">
          <a:extLst>
            <a:ext uri="{FF2B5EF4-FFF2-40B4-BE49-F238E27FC236}">
              <a16:creationId xmlns:a16="http://schemas.microsoft.com/office/drawing/2014/main" id="{C131AFC4-DCC0-4C77-839C-26B57002C1D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56" name="Line 15">
          <a:extLst>
            <a:ext uri="{FF2B5EF4-FFF2-40B4-BE49-F238E27FC236}">
              <a16:creationId xmlns:a16="http://schemas.microsoft.com/office/drawing/2014/main" id="{F39B1E5C-3FEF-40F5-9486-C47F8989B41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57" name="Line 42">
          <a:extLst>
            <a:ext uri="{FF2B5EF4-FFF2-40B4-BE49-F238E27FC236}">
              <a16:creationId xmlns:a16="http://schemas.microsoft.com/office/drawing/2014/main" id="{3E55C9FE-22AE-4CE9-A295-C9BFFDCF38A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58" name="Line 4">
          <a:extLst>
            <a:ext uri="{FF2B5EF4-FFF2-40B4-BE49-F238E27FC236}">
              <a16:creationId xmlns:a16="http://schemas.microsoft.com/office/drawing/2014/main" id="{35A1E42B-C5FF-43C0-A31F-171BA1F7E87B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59" name="Line 14">
          <a:extLst>
            <a:ext uri="{FF2B5EF4-FFF2-40B4-BE49-F238E27FC236}">
              <a16:creationId xmlns:a16="http://schemas.microsoft.com/office/drawing/2014/main" id="{E17CAEE6-16C9-4E19-8374-AD8AB5A5346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60" name="Line 15">
          <a:extLst>
            <a:ext uri="{FF2B5EF4-FFF2-40B4-BE49-F238E27FC236}">
              <a16:creationId xmlns:a16="http://schemas.microsoft.com/office/drawing/2014/main" id="{CDE04C48-CCF4-4E83-8D8B-322966A9747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61" name="Line 42">
          <a:extLst>
            <a:ext uri="{FF2B5EF4-FFF2-40B4-BE49-F238E27FC236}">
              <a16:creationId xmlns:a16="http://schemas.microsoft.com/office/drawing/2014/main" id="{43306BF2-291F-40D3-B121-239CE730369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1187</xdr:row>
      <xdr:rowOff>0</xdr:rowOff>
    </xdr:from>
    <xdr:to>
      <xdr:col>18</xdr:col>
      <xdr:colOff>447675</xdr:colOff>
      <xdr:row>1188</xdr:row>
      <xdr:rowOff>0</xdr:rowOff>
    </xdr:to>
    <xdr:sp macro="" textlink="">
      <xdr:nvSpPr>
        <xdr:cNvPr id="6562" name="Line 4">
          <a:extLst>
            <a:ext uri="{FF2B5EF4-FFF2-40B4-BE49-F238E27FC236}">
              <a16:creationId xmlns:a16="http://schemas.microsoft.com/office/drawing/2014/main" id="{4927A267-1F4C-4041-9699-517C721B025B}"/>
            </a:ext>
          </a:extLst>
        </xdr:cNvPr>
        <xdr:cNvSpPr>
          <a:spLocks noChangeShapeType="1"/>
        </xdr:cNvSpPr>
      </xdr:nvSpPr>
      <xdr:spPr bwMode="auto">
        <a:xfrm>
          <a:off x="7681283" y="241162217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63" name="Line 14">
          <a:extLst>
            <a:ext uri="{FF2B5EF4-FFF2-40B4-BE49-F238E27FC236}">
              <a16:creationId xmlns:a16="http://schemas.microsoft.com/office/drawing/2014/main" id="{50D50572-7EB5-4912-88B8-BA9B8450286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64" name="Line 15">
          <a:extLst>
            <a:ext uri="{FF2B5EF4-FFF2-40B4-BE49-F238E27FC236}">
              <a16:creationId xmlns:a16="http://schemas.microsoft.com/office/drawing/2014/main" id="{2A6DABBA-62B7-4336-809E-017092EDB33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1187</xdr:row>
      <xdr:rowOff>0</xdr:rowOff>
    </xdr:from>
    <xdr:to>
      <xdr:col>18</xdr:col>
      <xdr:colOff>438150</xdr:colOff>
      <xdr:row>1188</xdr:row>
      <xdr:rowOff>0</xdr:rowOff>
    </xdr:to>
    <xdr:sp macro="" textlink="">
      <xdr:nvSpPr>
        <xdr:cNvPr id="6565" name="Line 42">
          <a:extLst>
            <a:ext uri="{FF2B5EF4-FFF2-40B4-BE49-F238E27FC236}">
              <a16:creationId xmlns:a16="http://schemas.microsoft.com/office/drawing/2014/main" id="{322BAC26-0527-44E4-A0F0-F282E4D4A85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162217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66" name="Line 4">
          <a:extLst>
            <a:ext uri="{FF2B5EF4-FFF2-40B4-BE49-F238E27FC236}">
              <a16:creationId xmlns:a16="http://schemas.microsoft.com/office/drawing/2014/main" id="{FE26C1D1-0B0F-432D-9A84-4420985F5A0E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67" name="Line 14">
          <a:extLst>
            <a:ext uri="{FF2B5EF4-FFF2-40B4-BE49-F238E27FC236}">
              <a16:creationId xmlns:a16="http://schemas.microsoft.com/office/drawing/2014/main" id="{36967C64-E63B-491F-B1F2-A5DFC00424F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68" name="Line 15">
          <a:extLst>
            <a:ext uri="{FF2B5EF4-FFF2-40B4-BE49-F238E27FC236}">
              <a16:creationId xmlns:a16="http://schemas.microsoft.com/office/drawing/2014/main" id="{2CD074AE-951D-4D70-B0FF-BBDF079C601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69" name="Line 42">
          <a:extLst>
            <a:ext uri="{FF2B5EF4-FFF2-40B4-BE49-F238E27FC236}">
              <a16:creationId xmlns:a16="http://schemas.microsoft.com/office/drawing/2014/main" id="{1C3B8F2E-2755-4264-AC6E-8A7A13B010A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70" name="Line 4">
          <a:extLst>
            <a:ext uri="{FF2B5EF4-FFF2-40B4-BE49-F238E27FC236}">
              <a16:creationId xmlns:a16="http://schemas.microsoft.com/office/drawing/2014/main" id="{23C670DA-2413-4C55-BC98-26111E31C2CF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1" name="Line 14">
          <a:extLst>
            <a:ext uri="{FF2B5EF4-FFF2-40B4-BE49-F238E27FC236}">
              <a16:creationId xmlns:a16="http://schemas.microsoft.com/office/drawing/2014/main" id="{7A9233FD-F0F9-4B37-9B30-7F590605F9A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2" name="Line 15">
          <a:extLst>
            <a:ext uri="{FF2B5EF4-FFF2-40B4-BE49-F238E27FC236}">
              <a16:creationId xmlns:a16="http://schemas.microsoft.com/office/drawing/2014/main" id="{8DC867E2-8B48-4569-904A-431397CDA91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3" name="Line 42">
          <a:extLst>
            <a:ext uri="{FF2B5EF4-FFF2-40B4-BE49-F238E27FC236}">
              <a16:creationId xmlns:a16="http://schemas.microsoft.com/office/drawing/2014/main" id="{2C4EB0A7-42B3-45E1-9B78-66CC9EE5E57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74" name="Line 4">
          <a:extLst>
            <a:ext uri="{FF2B5EF4-FFF2-40B4-BE49-F238E27FC236}">
              <a16:creationId xmlns:a16="http://schemas.microsoft.com/office/drawing/2014/main" id="{45FF53D3-C954-4F4A-8243-E90BE772FE1B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5" name="Line 14">
          <a:extLst>
            <a:ext uri="{FF2B5EF4-FFF2-40B4-BE49-F238E27FC236}">
              <a16:creationId xmlns:a16="http://schemas.microsoft.com/office/drawing/2014/main" id="{2DE275F3-467D-4593-A31F-1614CE8E6EA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6" name="Line 15">
          <a:extLst>
            <a:ext uri="{FF2B5EF4-FFF2-40B4-BE49-F238E27FC236}">
              <a16:creationId xmlns:a16="http://schemas.microsoft.com/office/drawing/2014/main" id="{88A8BA4E-21F2-493D-8AB2-C4709A801D0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7" name="Line 42">
          <a:extLst>
            <a:ext uri="{FF2B5EF4-FFF2-40B4-BE49-F238E27FC236}">
              <a16:creationId xmlns:a16="http://schemas.microsoft.com/office/drawing/2014/main" id="{7C74E8B2-3763-4716-8BCF-A3CC9D5DEF3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78" name="Line 4">
          <a:extLst>
            <a:ext uri="{FF2B5EF4-FFF2-40B4-BE49-F238E27FC236}">
              <a16:creationId xmlns:a16="http://schemas.microsoft.com/office/drawing/2014/main" id="{F415218B-17E0-446B-83B0-3656D297E719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79" name="Line 14">
          <a:extLst>
            <a:ext uri="{FF2B5EF4-FFF2-40B4-BE49-F238E27FC236}">
              <a16:creationId xmlns:a16="http://schemas.microsoft.com/office/drawing/2014/main" id="{EC0EBDE4-0AE3-42EE-A20B-48B22D22903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0" name="Line 15">
          <a:extLst>
            <a:ext uri="{FF2B5EF4-FFF2-40B4-BE49-F238E27FC236}">
              <a16:creationId xmlns:a16="http://schemas.microsoft.com/office/drawing/2014/main" id="{C75F18A0-798D-4A35-8832-5567D51573A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1" name="Line 42">
          <a:extLst>
            <a:ext uri="{FF2B5EF4-FFF2-40B4-BE49-F238E27FC236}">
              <a16:creationId xmlns:a16="http://schemas.microsoft.com/office/drawing/2014/main" id="{BDAEE271-ABAE-4578-AD79-C5CC85E409D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82" name="Line 4">
          <a:extLst>
            <a:ext uri="{FF2B5EF4-FFF2-40B4-BE49-F238E27FC236}">
              <a16:creationId xmlns:a16="http://schemas.microsoft.com/office/drawing/2014/main" id="{B71E3A39-06E3-4833-907B-260BB7C78D6E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3" name="Line 14">
          <a:extLst>
            <a:ext uri="{FF2B5EF4-FFF2-40B4-BE49-F238E27FC236}">
              <a16:creationId xmlns:a16="http://schemas.microsoft.com/office/drawing/2014/main" id="{4D69E9E4-0397-401A-AC8A-25719C7C153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4" name="Line 15">
          <a:extLst>
            <a:ext uri="{FF2B5EF4-FFF2-40B4-BE49-F238E27FC236}">
              <a16:creationId xmlns:a16="http://schemas.microsoft.com/office/drawing/2014/main" id="{B08C8CAE-7F8B-44B3-9EE4-64989EC0D5D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5" name="Line 42">
          <a:extLst>
            <a:ext uri="{FF2B5EF4-FFF2-40B4-BE49-F238E27FC236}">
              <a16:creationId xmlns:a16="http://schemas.microsoft.com/office/drawing/2014/main" id="{27D688C1-B91B-4E8C-B1A1-06C6DEFB12D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1189</xdr:row>
      <xdr:rowOff>0</xdr:rowOff>
    </xdr:from>
    <xdr:to>
      <xdr:col>18</xdr:col>
      <xdr:colOff>447675</xdr:colOff>
      <xdr:row>1190</xdr:row>
      <xdr:rowOff>0</xdr:rowOff>
    </xdr:to>
    <xdr:sp macro="" textlink="">
      <xdr:nvSpPr>
        <xdr:cNvPr id="6586" name="Line 4">
          <a:extLst>
            <a:ext uri="{FF2B5EF4-FFF2-40B4-BE49-F238E27FC236}">
              <a16:creationId xmlns:a16="http://schemas.microsoft.com/office/drawing/2014/main" id="{F049FEE2-4CFB-4077-991F-A333F98557B9}"/>
            </a:ext>
          </a:extLst>
        </xdr:cNvPr>
        <xdr:cNvSpPr>
          <a:spLocks noChangeShapeType="1"/>
        </xdr:cNvSpPr>
      </xdr:nvSpPr>
      <xdr:spPr bwMode="auto">
        <a:xfrm>
          <a:off x="7681283" y="241575566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7" name="Line 14">
          <a:extLst>
            <a:ext uri="{FF2B5EF4-FFF2-40B4-BE49-F238E27FC236}">
              <a16:creationId xmlns:a16="http://schemas.microsoft.com/office/drawing/2014/main" id="{201B5C94-61F4-426E-ADC1-04BAE1CD6CB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8" name="Line 15">
          <a:extLst>
            <a:ext uri="{FF2B5EF4-FFF2-40B4-BE49-F238E27FC236}">
              <a16:creationId xmlns:a16="http://schemas.microsoft.com/office/drawing/2014/main" id="{1C2C3519-EAF9-4126-83CB-F189A9AF825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1189</xdr:row>
      <xdr:rowOff>0</xdr:rowOff>
    </xdr:from>
    <xdr:to>
      <xdr:col>18</xdr:col>
      <xdr:colOff>438150</xdr:colOff>
      <xdr:row>1190</xdr:row>
      <xdr:rowOff>0</xdr:rowOff>
    </xdr:to>
    <xdr:sp macro="" textlink="">
      <xdr:nvSpPr>
        <xdr:cNvPr id="6589" name="Line 42">
          <a:extLst>
            <a:ext uri="{FF2B5EF4-FFF2-40B4-BE49-F238E27FC236}">
              <a16:creationId xmlns:a16="http://schemas.microsoft.com/office/drawing/2014/main" id="{25211B04-99DD-42BA-BB1B-3F47C9A6111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41575566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22" name="Line 4">
          <a:extLst>
            <a:ext uri="{FF2B5EF4-FFF2-40B4-BE49-F238E27FC236}">
              <a16:creationId xmlns:a16="http://schemas.microsoft.com/office/drawing/2014/main" id="{6C52E2F4-479F-4425-AA4F-994F74E23AA8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3" name="Line 14">
          <a:extLst>
            <a:ext uri="{FF2B5EF4-FFF2-40B4-BE49-F238E27FC236}">
              <a16:creationId xmlns:a16="http://schemas.microsoft.com/office/drawing/2014/main" id="{98E03B80-ED0A-4C6B-91DA-03BC533A863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4" name="Line 15">
          <a:extLst>
            <a:ext uri="{FF2B5EF4-FFF2-40B4-BE49-F238E27FC236}">
              <a16:creationId xmlns:a16="http://schemas.microsoft.com/office/drawing/2014/main" id="{85C6A4ED-AED8-47BE-90E9-25B0194819E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5" name="Line 42">
          <a:extLst>
            <a:ext uri="{FF2B5EF4-FFF2-40B4-BE49-F238E27FC236}">
              <a16:creationId xmlns:a16="http://schemas.microsoft.com/office/drawing/2014/main" id="{37C986CE-B872-49D2-9805-CDE7DCC7A16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26" name="Line 4">
          <a:extLst>
            <a:ext uri="{FF2B5EF4-FFF2-40B4-BE49-F238E27FC236}">
              <a16:creationId xmlns:a16="http://schemas.microsoft.com/office/drawing/2014/main" id="{F3B8C706-D57F-4979-BF74-688B7FD9EC9B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7" name="Line 14">
          <a:extLst>
            <a:ext uri="{FF2B5EF4-FFF2-40B4-BE49-F238E27FC236}">
              <a16:creationId xmlns:a16="http://schemas.microsoft.com/office/drawing/2014/main" id="{B718F718-04FD-44A5-9EDB-5B78EF1EF86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8" name="Line 15">
          <a:extLst>
            <a:ext uri="{FF2B5EF4-FFF2-40B4-BE49-F238E27FC236}">
              <a16:creationId xmlns:a16="http://schemas.microsoft.com/office/drawing/2014/main" id="{2F66B05A-25D4-42A3-BB52-4CC730E7195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29" name="Line 42">
          <a:extLst>
            <a:ext uri="{FF2B5EF4-FFF2-40B4-BE49-F238E27FC236}">
              <a16:creationId xmlns:a16="http://schemas.microsoft.com/office/drawing/2014/main" id="{B8369960-5C23-482B-B062-67FB1BA1972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30" name="Line 4">
          <a:extLst>
            <a:ext uri="{FF2B5EF4-FFF2-40B4-BE49-F238E27FC236}">
              <a16:creationId xmlns:a16="http://schemas.microsoft.com/office/drawing/2014/main" id="{B832459C-B1B9-4D60-84CB-52339AEE5750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31" name="Line 14">
          <a:extLst>
            <a:ext uri="{FF2B5EF4-FFF2-40B4-BE49-F238E27FC236}">
              <a16:creationId xmlns:a16="http://schemas.microsoft.com/office/drawing/2014/main" id="{025F3AD2-BED4-42BC-BAA1-BBC14892E9E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32" name="Line 15">
          <a:extLst>
            <a:ext uri="{FF2B5EF4-FFF2-40B4-BE49-F238E27FC236}">
              <a16:creationId xmlns:a16="http://schemas.microsoft.com/office/drawing/2014/main" id="{F2917ABE-AA5D-4522-9913-BC022038316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33" name="Line 42">
          <a:extLst>
            <a:ext uri="{FF2B5EF4-FFF2-40B4-BE49-F238E27FC236}">
              <a16:creationId xmlns:a16="http://schemas.microsoft.com/office/drawing/2014/main" id="{70B4D6A3-0563-4972-90A5-E9E5B281F7D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34" name="Line 4">
          <a:extLst>
            <a:ext uri="{FF2B5EF4-FFF2-40B4-BE49-F238E27FC236}">
              <a16:creationId xmlns:a16="http://schemas.microsoft.com/office/drawing/2014/main" id="{0DE1F004-FCBC-42CD-8D3B-246E508F916F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35" name="Line 14">
          <a:extLst>
            <a:ext uri="{FF2B5EF4-FFF2-40B4-BE49-F238E27FC236}">
              <a16:creationId xmlns:a16="http://schemas.microsoft.com/office/drawing/2014/main" id="{BB01E094-E4C6-4DE7-BB7C-B2BE0D44E07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36" name="Line 15">
          <a:extLst>
            <a:ext uri="{FF2B5EF4-FFF2-40B4-BE49-F238E27FC236}">
              <a16:creationId xmlns:a16="http://schemas.microsoft.com/office/drawing/2014/main" id="{6B74BE79-EF36-4CC4-82AA-A6E1B0AA5FE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37" name="Line 42">
          <a:extLst>
            <a:ext uri="{FF2B5EF4-FFF2-40B4-BE49-F238E27FC236}">
              <a16:creationId xmlns:a16="http://schemas.microsoft.com/office/drawing/2014/main" id="{25F2296D-FA7F-4465-B332-E23F40EF10A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38" name="Line 4">
          <a:extLst>
            <a:ext uri="{FF2B5EF4-FFF2-40B4-BE49-F238E27FC236}">
              <a16:creationId xmlns:a16="http://schemas.microsoft.com/office/drawing/2014/main" id="{2CF4214A-5222-44F5-B151-71820DB2D6EE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39" name="Line 14">
          <a:extLst>
            <a:ext uri="{FF2B5EF4-FFF2-40B4-BE49-F238E27FC236}">
              <a16:creationId xmlns:a16="http://schemas.microsoft.com/office/drawing/2014/main" id="{699A0AB6-3209-4C01-B335-04EB908EAE9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0" name="Line 15">
          <a:extLst>
            <a:ext uri="{FF2B5EF4-FFF2-40B4-BE49-F238E27FC236}">
              <a16:creationId xmlns:a16="http://schemas.microsoft.com/office/drawing/2014/main" id="{FAEE587F-AF20-4983-94D9-48F4098DD90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1" name="Line 42">
          <a:extLst>
            <a:ext uri="{FF2B5EF4-FFF2-40B4-BE49-F238E27FC236}">
              <a16:creationId xmlns:a16="http://schemas.microsoft.com/office/drawing/2014/main" id="{DDDA16E1-9464-4DC3-834F-2B4F4871C5A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42" name="Line 4">
          <a:extLst>
            <a:ext uri="{FF2B5EF4-FFF2-40B4-BE49-F238E27FC236}">
              <a16:creationId xmlns:a16="http://schemas.microsoft.com/office/drawing/2014/main" id="{BFF71B22-946D-433C-BAEE-C8022AB069D4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3" name="Line 14">
          <a:extLst>
            <a:ext uri="{FF2B5EF4-FFF2-40B4-BE49-F238E27FC236}">
              <a16:creationId xmlns:a16="http://schemas.microsoft.com/office/drawing/2014/main" id="{BE6EA3B0-FF39-4565-B79C-5E8C1850513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4" name="Line 15">
          <a:extLst>
            <a:ext uri="{FF2B5EF4-FFF2-40B4-BE49-F238E27FC236}">
              <a16:creationId xmlns:a16="http://schemas.microsoft.com/office/drawing/2014/main" id="{2339F634-351B-4F3D-8FF7-360CF4592D3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5" name="Line 42">
          <a:extLst>
            <a:ext uri="{FF2B5EF4-FFF2-40B4-BE49-F238E27FC236}">
              <a16:creationId xmlns:a16="http://schemas.microsoft.com/office/drawing/2014/main" id="{605B8091-C646-4C92-8D5D-32FA6B2AB64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46" name="Line 4">
          <a:extLst>
            <a:ext uri="{FF2B5EF4-FFF2-40B4-BE49-F238E27FC236}">
              <a16:creationId xmlns:a16="http://schemas.microsoft.com/office/drawing/2014/main" id="{16089033-F837-4497-9889-49D3D397911C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7" name="Line 14">
          <a:extLst>
            <a:ext uri="{FF2B5EF4-FFF2-40B4-BE49-F238E27FC236}">
              <a16:creationId xmlns:a16="http://schemas.microsoft.com/office/drawing/2014/main" id="{A4BB9562-94B4-44A8-B3B6-84AB11EDC3B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8" name="Line 15">
          <a:extLst>
            <a:ext uri="{FF2B5EF4-FFF2-40B4-BE49-F238E27FC236}">
              <a16:creationId xmlns:a16="http://schemas.microsoft.com/office/drawing/2014/main" id="{AF2E68E2-6981-4529-B436-D8ED1759DC1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49" name="Line 42">
          <a:extLst>
            <a:ext uri="{FF2B5EF4-FFF2-40B4-BE49-F238E27FC236}">
              <a16:creationId xmlns:a16="http://schemas.microsoft.com/office/drawing/2014/main" id="{962713A6-4F29-44D7-A291-953AB1AF349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50" name="Line 4">
          <a:extLst>
            <a:ext uri="{FF2B5EF4-FFF2-40B4-BE49-F238E27FC236}">
              <a16:creationId xmlns:a16="http://schemas.microsoft.com/office/drawing/2014/main" id="{82A675E5-C03F-4368-9E15-D8AF89F0E424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1" name="Line 14">
          <a:extLst>
            <a:ext uri="{FF2B5EF4-FFF2-40B4-BE49-F238E27FC236}">
              <a16:creationId xmlns:a16="http://schemas.microsoft.com/office/drawing/2014/main" id="{C302C9B7-C8BB-4E92-9078-B2D79590AA5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2" name="Line 15">
          <a:extLst>
            <a:ext uri="{FF2B5EF4-FFF2-40B4-BE49-F238E27FC236}">
              <a16:creationId xmlns:a16="http://schemas.microsoft.com/office/drawing/2014/main" id="{BAB10537-CFB5-4DA1-B2DD-C39DD8F1100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3" name="Line 42">
          <a:extLst>
            <a:ext uri="{FF2B5EF4-FFF2-40B4-BE49-F238E27FC236}">
              <a16:creationId xmlns:a16="http://schemas.microsoft.com/office/drawing/2014/main" id="{52CFE762-E383-49CB-96DC-B8FFEDA79CA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54" name="Line 4">
          <a:extLst>
            <a:ext uri="{FF2B5EF4-FFF2-40B4-BE49-F238E27FC236}">
              <a16:creationId xmlns:a16="http://schemas.microsoft.com/office/drawing/2014/main" id="{695606D7-5CAA-4525-BE7E-59EFE9A94557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5" name="Line 14">
          <a:extLst>
            <a:ext uri="{FF2B5EF4-FFF2-40B4-BE49-F238E27FC236}">
              <a16:creationId xmlns:a16="http://schemas.microsoft.com/office/drawing/2014/main" id="{9B53B6D5-30C5-4951-AE83-E7AA24739CE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6" name="Line 15">
          <a:extLst>
            <a:ext uri="{FF2B5EF4-FFF2-40B4-BE49-F238E27FC236}">
              <a16:creationId xmlns:a16="http://schemas.microsoft.com/office/drawing/2014/main" id="{7D82FAAA-56D6-4644-8FD6-E50AA766F36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57" name="Line 42">
          <a:extLst>
            <a:ext uri="{FF2B5EF4-FFF2-40B4-BE49-F238E27FC236}">
              <a16:creationId xmlns:a16="http://schemas.microsoft.com/office/drawing/2014/main" id="{45DC9098-51C3-4B3F-A2AA-9F38D194E2C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58" name="Line 4">
          <a:extLst>
            <a:ext uri="{FF2B5EF4-FFF2-40B4-BE49-F238E27FC236}">
              <a16:creationId xmlns:a16="http://schemas.microsoft.com/office/drawing/2014/main" id="{F1D3BBF2-DB5A-40CF-8D1B-4EC4C96FDD68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59" name="Line 14">
          <a:extLst>
            <a:ext uri="{FF2B5EF4-FFF2-40B4-BE49-F238E27FC236}">
              <a16:creationId xmlns:a16="http://schemas.microsoft.com/office/drawing/2014/main" id="{AEDD9DE2-3FC6-4F44-97B3-82E08BED6B9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0" name="Line 15">
          <a:extLst>
            <a:ext uri="{FF2B5EF4-FFF2-40B4-BE49-F238E27FC236}">
              <a16:creationId xmlns:a16="http://schemas.microsoft.com/office/drawing/2014/main" id="{3FAC1D03-90F7-4B38-B9A8-D72F814F766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1" name="Line 42">
          <a:extLst>
            <a:ext uri="{FF2B5EF4-FFF2-40B4-BE49-F238E27FC236}">
              <a16:creationId xmlns:a16="http://schemas.microsoft.com/office/drawing/2014/main" id="{7A58C89C-59D3-41F7-84CE-4817C5CB46F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62" name="Line 4">
          <a:extLst>
            <a:ext uri="{FF2B5EF4-FFF2-40B4-BE49-F238E27FC236}">
              <a16:creationId xmlns:a16="http://schemas.microsoft.com/office/drawing/2014/main" id="{B2145AC0-D4D7-4875-9D68-51127F709899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3" name="Line 14">
          <a:extLst>
            <a:ext uri="{FF2B5EF4-FFF2-40B4-BE49-F238E27FC236}">
              <a16:creationId xmlns:a16="http://schemas.microsoft.com/office/drawing/2014/main" id="{C0438B00-A4D8-422D-AC42-674F8BBD8D3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4" name="Line 15">
          <a:extLst>
            <a:ext uri="{FF2B5EF4-FFF2-40B4-BE49-F238E27FC236}">
              <a16:creationId xmlns:a16="http://schemas.microsoft.com/office/drawing/2014/main" id="{E2CB69E6-9878-4F34-8A2E-C386D50E02E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5" name="Line 42">
          <a:extLst>
            <a:ext uri="{FF2B5EF4-FFF2-40B4-BE49-F238E27FC236}">
              <a16:creationId xmlns:a16="http://schemas.microsoft.com/office/drawing/2014/main" id="{BCA143D3-F108-4D66-A1A8-3FC46CE8F09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1260</xdr:row>
      <xdr:rowOff>0</xdr:rowOff>
    </xdr:from>
    <xdr:to>
      <xdr:col>18</xdr:col>
      <xdr:colOff>447675</xdr:colOff>
      <xdr:row>1261</xdr:row>
      <xdr:rowOff>0</xdr:rowOff>
    </xdr:to>
    <xdr:sp macro="" textlink="">
      <xdr:nvSpPr>
        <xdr:cNvPr id="1066" name="Line 4">
          <a:extLst>
            <a:ext uri="{FF2B5EF4-FFF2-40B4-BE49-F238E27FC236}">
              <a16:creationId xmlns:a16="http://schemas.microsoft.com/office/drawing/2014/main" id="{6E6DFC64-0768-4DAC-B30D-18A219E26256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7" name="Line 14">
          <a:extLst>
            <a:ext uri="{FF2B5EF4-FFF2-40B4-BE49-F238E27FC236}">
              <a16:creationId xmlns:a16="http://schemas.microsoft.com/office/drawing/2014/main" id="{E79979B3-6782-47B5-930C-01835C2E4BB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8" name="Line 15">
          <a:extLst>
            <a:ext uri="{FF2B5EF4-FFF2-40B4-BE49-F238E27FC236}">
              <a16:creationId xmlns:a16="http://schemas.microsoft.com/office/drawing/2014/main" id="{13149175-C312-4A94-8BC4-BA68564EEF0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1260</xdr:row>
      <xdr:rowOff>0</xdr:rowOff>
    </xdr:from>
    <xdr:to>
      <xdr:col>18</xdr:col>
      <xdr:colOff>438150</xdr:colOff>
      <xdr:row>1261</xdr:row>
      <xdr:rowOff>0</xdr:rowOff>
    </xdr:to>
    <xdr:sp macro="" textlink="">
      <xdr:nvSpPr>
        <xdr:cNvPr id="1069" name="Line 42">
          <a:extLst>
            <a:ext uri="{FF2B5EF4-FFF2-40B4-BE49-F238E27FC236}">
              <a16:creationId xmlns:a16="http://schemas.microsoft.com/office/drawing/2014/main" id="{A0A53AC4-4754-4151-B25E-41BA036AB96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70" name="Line 4">
          <a:extLst>
            <a:ext uri="{FF2B5EF4-FFF2-40B4-BE49-F238E27FC236}">
              <a16:creationId xmlns:a16="http://schemas.microsoft.com/office/drawing/2014/main" id="{26151335-40BC-4817-8D00-163D554EA4D7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1" name="Line 14">
          <a:extLst>
            <a:ext uri="{FF2B5EF4-FFF2-40B4-BE49-F238E27FC236}">
              <a16:creationId xmlns:a16="http://schemas.microsoft.com/office/drawing/2014/main" id="{CAD3BC3D-3682-478A-B4F3-5A1923C6808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2" name="Line 15">
          <a:extLst>
            <a:ext uri="{FF2B5EF4-FFF2-40B4-BE49-F238E27FC236}">
              <a16:creationId xmlns:a16="http://schemas.microsoft.com/office/drawing/2014/main" id="{D6AA4056-9223-499E-BEF1-FC413FAA8E6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3" name="Line 42">
          <a:extLst>
            <a:ext uri="{FF2B5EF4-FFF2-40B4-BE49-F238E27FC236}">
              <a16:creationId xmlns:a16="http://schemas.microsoft.com/office/drawing/2014/main" id="{4ABFC120-7C15-44E5-8426-88C184CA8DC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74" name="Line 4">
          <a:extLst>
            <a:ext uri="{FF2B5EF4-FFF2-40B4-BE49-F238E27FC236}">
              <a16:creationId xmlns:a16="http://schemas.microsoft.com/office/drawing/2014/main" id="{D9BACFC3-7E18-4D01-A463-F50E7F6277D2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5" name="Line 14">
          <a:extLst>
            <a:ext uri="{FF2B5EF4-FFF2-40B4-BE49-F238E27FC236}">
              <a16:creationId xmlns:a16="http://schemas.microsoft.com/office/drawing/2014/main" id="{1E80CF11-478D-48A1-8370-A5AD9311AA3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6" name="Line 15">
          <a:extLst>
            <a:ext uri="{FF2B5EF4-FFF2-40B4-BE49-F238E27FC236}">
              <a16:creationId xmlns:a16="http://schemas.microsoft.com/office/drawing/2014/main" id="{8E582E5D-9C3D-4B2F-935C-FE7B90A2D7D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7" name="Line 42">
          <a:extLst>
            <a:ext uri="{FF2B5EF4-FFF2-40B4-BE49-F238E27FC236}">
              <a16:creationId xmlns:a16="http://schemas.microsoft.com/office/drawing/2014/main" id="{B4664AA8-DF86-479F-A1E3-20F17894BD9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78" name="Line 4">
          <a:extLst>
            <a:ext uri="{FF2B5EF4-FFF2-40B4-BE49-F238E27FC236}">
              <a16:creationId xmlns:a16="http://schemas.microsoft.com/office/drawing/2014/main" id="{2900D110-E403-47EE-8139-89F8F71ECB11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79" name="Line 14">
          <a:extLst>
            <a:ext uri="{FF2B5EF4-FFF2-40B4-BE49-F238E27FC236}">
              <a16:creationId xmlns:a16="http://schemas.microsoft.com/office/drawing/2014/main" id="{EA3DC8DE-8A0A-4099-998C-D9AD1D2B533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0" name="Line 15">
          <a:extLst>
            <a:ext uri="{FF2B5EF4-FFF2-40B4-BE49-F238E27FC236}">
              <a16:creationId xmlns:a16="http://schemas.microsoft.com/office/drawing/2014/main" id="{AD54F5F2-4E53-4647-B163-A86593512CD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1" name="Line 42">
          <a:extLst>
            <a:ext uri="{FF2B5EF4-FFF2-40B4-BE49-F238E27FC236}">
              <a16:creationId xmlns:a16="http://schemas.microsoft.com/office/drawing/2014/main" id="{3F5E7F5F-5DF1-4904-B88A-A02555CABB0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82" name="Line 4">
          <a:extLst>
            <a:ext uri="{FF2B5EF4-FFF2-40B4-BE49-F238E27FC236}">
              <a16:creationId xmlns:a16="http://schemas.microsoft.com/office/drawing/2014/main" id="{434595C6-51BA-4C6E-A55C-181F4E17F810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3" name="Line 14">
          <a:extLst>
            <a:ext uri="{FF2B5EF4-FFF2-40B4-BE49-F238E27FC236}">
              <a16:creationId xmlns:a16="http://schemas.microsoft.com/office/drawing/2014/main" id="{C4C27A49-5832-4162-BB51-4BA24496CCC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4" name="Line 15">
          <a:extLst>
            <a:ext uri="{FF2B5EF4-FFF2-40B4-BE49-F238E27FC236}">
              <a16:creationId xmlns:a16="http://schemas.microsoft.com/office/drawing/2014/main" id="{88E28A02-BC2C-4573-851B-6AFB2A430DB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5" name="Line 42">
          <a:extLst>
            <a:ext uri="{FF2B5EF4-FFF2-40B4-BE49-F238E27FC236}">
              <a16:creationId xmlns:a16="http://schemas.microsoft.com/office/drawing/2014/main" id="{C5F77225-E41D-49AD-A56A-66C6B6B7FDE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86" name="Line 4">
          <a:extLst>
            <a:ext uri="{FF2B5EF4-FFF2-40B4-BE49-F238E27FC236}">
              <a16:creationId xmlns:a16="http://schemas.microsoft.com/office/drawing/2014/main" id="{8C3D4AFC-C03D-4141-BD30-3153A614C69D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7" name="Line 14">
          <a:extLst>
            <a:ext uri="{FF2B5EF4-FFF2-40B4-BE49-F238E27FC236}">
              <a16:creationId xmlns:a16="http://schemas.microsoft.com/office/drawing/2014/main" id="{FB277686-D8FA-44D5-8842-050BF99E79D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8" name="Line 15">
          <a:extLst>
            <a:ext uri="{FF2B5EF4-FFF2-40B4-BE49-F238E27FC236}">
              <a16:creationId xmlns:a16="http://schemas.microsoft.com/office/drawing/2014/main" id="{2515EF8A-A3C7-466A-9292-6B32A04517F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89" name="Line 42">
          <a:extLst>
            <a:ext uri="{FF2B5EF4-FFF2-40B4-BE49-F238E27FC236}">
              <a16:creationId xmlns:a16="http://schemas.microsoft.com/office/drawing/2014/main" id="{7497F138-74AE-49EE-B282-A5BB9A2E806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1262</xdr:row>
      <xdr:rowOff>0</xdr:rowOff>
    </xdr:from>
    <xdr:to>
      <xdr:col>18</xdr:col>
      <xdr:colOff>447675</xdr:colOff>
      <xdr:row>1263</xdr:row>
      <xdr:rowOff>0</xdr:rowOff>
    </xdr:to>
    <xdr:sp macro="" textlink="">
      <xdr:nvSpPr>
        <xdr:cNvPr id="1090" name="Line 4">
          <a:extLst>
            <a:ext uri="{FF2B5EF4-FFF2-40B4-BE49-F238E27FC236}">
              <a16:creationId xmlns:a16="http://schemas.microsoft.com/office/drawing/2014/main" id="{06C8F35B-1E7C-4947-84EF-24E897524DB8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91" name="Line 14">
          <a:extLst>
            <a:ext uri="{FF2B5EF4-FFF2-40B4-BE49-F238E27FC236}">
              <a16:creationId xmlns:a16="http://schemas.microsoft.com/office/drawing/2014/main" id="{008B41C8-9B24-49BC-B1EF-BEEA60EA2A4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92" name="Line 15">
          <a:extLst>
            <a:ext uri="{FF2B5EF4-FFF2-40B4-BE49-F238E27FC236}">
              <a16:creationId xmlns:a16="http://schemas.microsoft.com/office/drawing/2014/main" id="{E05AC997-DDFB-45F3-AA73-417F109C11C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1262</xdr:row>
      <xdr:rowOff>0</xdr:rowOff>
    </xdr:from>
    <xdr:to>
      <xdr:col>18</xdr:col>
      <xdr:colOff>438150</xdr:colOff>
      <xdr:row>1263</xdr:row>
      <xdr:rowOff>0</xdr:rowOff>
    </xdr:to>
    <xdr:sp macro="" textlink="">
      <xdr:nvSpPr>
        <xdr:cNvPr id="1093" name="Line 42">
          <a:extLst>
            <a:ext uri="{FF2B5EF4-FFF2-40B4-BE49-F238E27FC236}">
              <a16:creationId xmlns:a16="http://schemas.microsoft.com/office/drawing/2014/main" id="{B77D05EE-4D9D-4255-9043-28EBF3148F4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094" name="Line 4">
          <a:extLst>
            <a:ext uri="{FF2B5EF4-FFF2-40B4-BE49-F238E27FC236}">
              <a16:creationId xmlns:a16="http://schemas.microsoft.com/office/drawing/2014/main" id="{9C71B1DA-8A43-49CB-BCDB-79B4535C7044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095" name="Line 14">
          <a:extLst>
            <a:ext uri="{FF2B5EF4-FFF2-40B4-BE49-F238E27FC236}">
              <a16:creationId xmlns:a16="http://schemas.microsoft.com/office/drawing/2014/main" id="{A600D611-EF0D-4E17-9F4F-E93DE276767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096" name="Line 15">
          <a:extLst>
            <a:ext uri="{FF2B5EF4-FFF2-40B4-BE49-F238E27FC236}">
              <a16:creationId xmlns:a16="http://schemas.microsoft.com/office/drawing/2014/main" id="{94662352-299E-4FBD-982E-34FB4AC6A48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097" name="Line 42">
          <a:extLst>
            <a:ext uri="{FF2B5EF4-FFF2-40B4-BE49-F238E27FC236}">
              <a16:creationId xmlns:a16="http://schemas.microsoft.com/office/drawing/2014/main" id="{E1E25541-CC04-4597-9049-07724498CD5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098" name="Line 4">
          <a:extLst>
            <a:ext uri="{FF2B5EF4-FFF2-40B4-BE49-F238E27FC236}">
              <a16:creationId xmlns:a16="http://schemas.microsoft.com/office/drawing/2014/main" id="{DC65EB0F-B881-4E88-9ED8-EB0C8448D0DD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099" name="Line 14">
          <a:extLst>
            <a:ext uri="{FF2B5EF4-FFF2-40B4-BE49-F238E27FC236}">
              <a16:creationId xmlns:a16="http://schemas.microsoft.com/office/drawing/2014/main" id="{ABA53C9F-4E60-4ECA-83E5-C750FD0E05F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00" name="Line 15">
          <a:extLst>
            <a:ext uri="{FF2B5EF4-FFF2-40B4-BE49-F238E27FC236}">
              <a16:creationId xmlns:a16="http://schemas.microsoft.com/office/drawing/2014/main" id="{E1445DF6-EC79-4AC0-B2FC-078EC7B9BF4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01" name="Line 42">
          <a:extLst>
            <a:ext uri="{FF2B5EF4-FFF2-40B4-BE49-F238E27FC236}">
              <a16:creationId xmlns:a16="http://schemas.microsoft.com/office/drawing/2014/main" id="{A30CDA92-42DC-4AAE-ACBC-80045F30749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102" name="Line 4">
          <a:extLst>
            <a:ext uri="{FF2B5EF4-FFF2-40B4-BE49-F238E27FC236}">
              <a16:creationId xmlns:a16="http://schemas.microsoft.com/office/drawing/2014/main" id="{34E32C93-91AC-44F4-AA7E-AEDE0D02FB58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03" name="Line 14">
          <a:extLst>
            <a:ext uri="{FF2B5EF4-FFF2-40B4-BE49-F238E27FC236}">
              <a16:creationId xmlns:a16="http://schemas.microsoft.com/office/drawing/2014/main" id="{2DCB7FB1-39D5-4DD1-99BC-B91459A9997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04" name="Line 15">
          <a:extLst>
            <a:ext uri="{FF2B5EF4-FFF2-40B4-BE49-F238E27FC236}">
              <a16:creationId xmlns:a16="http://schemas.microsoft.com/office/drawing/2014/main" id="{8F5473E8-C110-491D-B01F-F29EA9C9A82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05" name="Line 42">
          <a:extLst>
            <a:ext uri="{FF2B5EF4-FFF2-40B4-BE49-F238E27FC236}">
              <a16:creationId xmlns:a16="http://schemas.microsoft.com/office/drawing/2014/main" id="{D7E14055-20CF-429E-A173-05DAA6CC640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06" name="Line 4">
          <a:extLst>
            <a:ext uri="{FF2B5EF4-FFF2-40B4-BE49-F238E27FC236}">
              <a16:creationId xmlns:a16="http://schemas.microsoft.com/office/drawing/2014/main" id="{624C36D7-0A60-43A3-B79B-912889C051DA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07" name="Line 14">
          <a:extLst>
            <a:ext uri="{FF2B5EF4-FFF2-40B4-BE49-F238E27FC236}">
              <a16:creationId xmlns:a16="http://schemas.microsoft.com/office/drawing/2014/main" id="{461FB12F-FF21-4015-9929-953B5EAF842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08" name="Line 15">
          <a:extLst>
            <a:ext uri="{FF2B5EF4-FFF2-40B4-BE49-F238E27FC236}">
              <a16:creationId xmlns:a16="http://schemas.microsoft.com/office/drawing/2014/main" id="{8F36D4CB-FEE0-4AFB-8E4D-006A9A86632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09" name="Line 42">
          <a:extLst>
            <a:ext uri="{FF2B5EF4-FFF2-40B4-BE49-F238E27FC236}">
              <a16:creationId xmlns:a16="http://schemas.microsoft.com/office/drawing/2014/main" id="{2B437A47-04A4-4C80-B917-700B6513D5D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10" name="Line 4">
          <a:extLst>
            <a:ext uri="{FF2B5EF4-FFF2-40B4-BE49-F238E27FC236}">
              <a16:creationId xmlns:a16="http://schemas.microsoft.com/office/drawing/2014/main" id="{6A6D44B9-EB75-488E-9CA8-56E51AC6FABB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1" name="Line 14">
          <a:extLst>
            <a:ext uri="{FF2B5EF4-FFF2-40B4-BE49-F238E27FC236}">
              <a16:creationId xmlns:a16="http://schemas.microsoft.com/office/drawing/2014/main" id="{A48A1C96-9985-4889-A943-2332450381D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2" name="Line 15">
          <a:extLst>
            <a:ext uri="{FF2B5EF4-FFF2-40B4-BE49-F238E27FC236}">
              <a16:creationId xmlns:a16="http://schemas.microsoft.com/office/drawing/2014/main" id="{1E0801DC-A221-48D1-86EE-F891B868883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3" name="Line 42">
          <a:extLst>
            <a:ext uri="{FF2B5EF4-FFF2-40B4-BE49-F238E27FC236}">
              <a16:creationId xmlns:a16="http://schemas.microsoft.com/office/drawing/2014/main" id="{70D31AED-62DC-40AB-A511-9A7799C11CA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14" name="Line 4">
          <a:extLst>
            <a:ext uri="{FF2B5EF4-FFF2-40B4-BE49-F238E27FC236}">
              <a16:creationId xmlns:a16="http://schemas.microsoft.com/office/drawing/2014/main" id="{E5D34F45-BC9E-42B4-AC6E-0E3EFAB9EAAA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5" name="Line 14">
          <a:extLst>
            <a:ext uri="{FF2B5EF4-FFF2-40B4-BE49-F238E27FC236}">
              <a16:creationId xmlns:a16="http://schemas.microsoft.com/office/drawing/2014/main" id="{3A6719C6-5A4F-47A3-8684-01449C719FF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6" name="Line 15">
          <a:extLst>
            <a:ext uri="{FF2B5EF4-FFF2-40B4-BE49-F238E27FC236}">
              <a16:creationId xmlns:a16="http://schemas.microsoft.com/office/drawing/2014/main" id="{8263BDEE-E838-46E6-9564-44EA2A6E9FD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7" name="Line 42">
          <a:extLst>
            <a:ext uri="{FF2B5EF4-FFF2-40B4-BE49-F238E27FC236}">
              <a16:creationId xmlns:a16="http://schemas.microsoft.com/office/drawing/2014/main" id="{885B00AD-C4E2-440F-BC6C-EE7CFC6640F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18" name="Line 4">
          <a:extLst>
            <a:ext uri="{FF2B5EF4-FFF2-40B4-BE49-F238E27FC236}">
              <a16:creationId xmlns:a16="http://schemas.microsoft.com/office/drawing/2014/main" id="{22685A77-6C3E-4B29-8470-6F64CA302714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19" name="Line 14">
          <a:extLst>
            <a:ext uri="{FF2B5EF4-FFF2-40B4-BE49-F238E27FC236}">
              <a16:creationId xmlns:a16="http://schemas.microsoft.com/office/drawing/2014/main" id="{6CAC57D0-B75F-49FF-B3FE-98F3F25DAB0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0" name="Line 15">
          <a:extLst>
            <a:ext uri="{FF2B5EF4-FFF2-40B4-BE49-F238E27FC236}">
              <a16:creationId xmlns:a16="http://schemas.microsoft.com/office/drawing/2014/main" id="{EBDB3ABA-79BA-40AB-876E-95564DE76F1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1" name="Line 42">
          <a:extLst>
            <a:ext uri="{FF2B5EF4-FFF2-40B4-BE49-F238E27FC236}">
              <a16:creationId xmlns:a16="http://schemas.microsoft.com/office/drawing/2014/main" id="{48DFBD06-4C7B-4DCD-B3E2-DD4E3E31E95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22" name="Line 4">
          <a:extLst>
            <a:ext uri="{FF2B5EF4-FFF2-40B4-BE49-F238E27FC236}">
              <a16:creationId xmlns:a16="http://schemas.microsoft.com/office/drawing/2014/main" id="{2CA6433B-A03B-468D-9CED-9EB56A4BA962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3" name="Line 14">
          <a:extLst>
            <a:ext uri="{FF2B5EF4-FFF2-40B4-BE49-F238E27FC236}">
              <a16:creationId xmlns:a16="http://schemas.microsoft.com/office/drawing/2014/main" id="{A6C748A0-FB67-4164-9F56-B856C577DD7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4" name="Line 15">
          <a:extLst>
            <a:ext uri="{FF2B5EF4-FFF2-40B4-BE49-F238E27FC236}">
              <a16:creationId xmlns:a16="http://schemas.microsoft.com/office/drawing/2014/main" id="{029456D6-E02A-4FAA-973D-BEDCCDBD883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5" name="Line 42">
          <a:extLst>
            <a:ext uri="{FF2B5EF4-FFF2-40B4-BE49-F238E27FC236}">
              <a16:creationId xmlns:a16="http://schemas.microsoft.com/office/drawing/2014/main" id="{18E99540-FBA0-417D-AFD0-4755800FE4A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26" name="Line 4">
          <a:extLst>
            <a:ext uri="{FF2B5EF4-FFF2-40B4-BE49-F238E27FC236}">
              <a16:creationId xmlns:a16="http://schemas.microsoft.com/office/drawing/2014/main" id="{DB4473DB-C87B-48CF-B4A2-82C8A673F47C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7" name="Line 14">
          <a:extLst>
            <a:ext uri="{FF2B5EF4-FFF2-40B4-BE49-F238E27FC236}">
              <a16:creationId xmlns:a16="http://schemas.microsoft.com/office/drawing/2014/main" id="{24D20DCC-F1D1-4AD7-A14F-76C980C5E85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8" name="Line 15">
          <a:extLst>
            <a:ext uri="{FF2B5EF4-FFF2-40B4-BE49-F238E27FC236}">
              <a16:creationId xmlns:a16="http://schemas.microsoft.com/office/drawing/2014/main" id="{10F352F4-A241-49D9-B61D-1E7ABE7528E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29" name="Line 42">
          <a:extLst>
            <a:ext uri="{FF2B5EF4-FFF2-40B4-BE49-F238E27FC236}">
              <a16:creationId xmlns:a16="http://schemas.microsoft.com/office/drawing/2014/main" id="{CF0E2146-5870-412A-848A-FDB249F0C38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130" name="Line 4">
          <a:extLst>
            <a:ext uri="{FF2B5EF4-FFF2-40B4-BE49-F238E27FC236}">
              <a16:creationId xmlns:a16="http://schemas.microsoft.com/office/drawing/2014/main" id="{BA054AAF-82DA-4DA1-9E73-FDE3D576ADCD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1" name="Line 14">
          <a:extLst>
            <a:ext uri="{FF2B5EF4-FFF2-40B4-BE49-F238E27FC236}">
              <a16:creationId xmlns:a16="http://schemas.microsoft.com/office/drawing/2014/main" id="{328E1D5A-77A5-4A77-8C1B-63E7F98A8F4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2" name="Line 15">
          <a:extLst>
            <a:ext uri="{FF2B5EF4-FFF2-40B4-BE49-F238E27FC236}">
              <a16:creationId xmlns:a16="http://schemas.microsoft.com/office/drawing/2014/main" id="{42933269-96E0-43C6-9E2F-28F882A4D93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3" name="Line 42">
          <a:extLst>
            <a:ext uri="{FF2B5EF4-FFF2-40B4-BE49-F238E27FC236}">
              <a16:creationId xmlns:a16="http://schemas.microsoft.com/office/drawing/2014/main" id="{BFA866CC-E96A-4FE3-B968-104744E1262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134" name="Line 4">
          <a:extLst>
            <a:ext uri="{FF2B5EF4-FFF2-40B4-BE49-F238E27FC236}">
              <a16:creationId xmlns:a16="http://schemas.microsoft.com/office/drawing/2014/main" id="{8455F253-364B-4FD1-8A4D-7C84A4F0FA9F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5" name="Line 14">
          <a:extLst>
            <a:ext uri="{FF2B5EF4-FFF2-40B4-BE49-F238E27FC236}">
              <a16:creationId xmlns:a16="http://schemas.microsoft.com/office/drawing/2014/main" id="{0EE8A511-7CB0-4BE1-A251-BD770A02FB4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6" name="Line 15">
          <a:extLst>
            <a:ext uri="{FF2B5EF4-FFF2-40B4-BE49-F238E27FC236}">
              <a16:creationId xmlns:a16="http://schemas.microsoft.com/office/drawing/2014/main" id="{B7A01714-21F2-4610-9A6C-091B7DB1F92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7" name="Line 42">
          <a:extLst>
            <a:ext uri="{FF2B5EF4-FFF2-40B4-BE49-F238E27FC236}">
              <a16:creationId xmlns:a16="http://schemas.microsoft.com/office/drawing/2014/main" id="{3CC9B44D-37CE-4550-B96D-F25193A05AE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1333</xdr:row>
      <xdr:rowOff>0</xdr:rowOff>
    </xdr:from>
    <xdr:to>
      <xdr:col>18</xdr:col>
      <xdr:colOff>447675</xdr:colOff>
      <xdr:row>1334</xdr:row>
      <xdr:rowOff>0</xdr:rowOff>
    </xdr:to>
    <xdr:sp macro="" textlink="">
      <xdr:nvSpPr>
        <xdr:cNvPr id="1138" name="Line 4">
          <a:extLst>
            <a:ext uri="{FF2B5EF4-FFF2-40B4-BE49-F238E27FC236}">
              <a16:creationId xmlns:a16="http://schemas.microsoft.com/office/drawing/2014/main" id="{34B90AB8-9B5E-4523-AF22-FCD1B043B4EC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39" name="Line 14">
          <a:extLst>
            <a:ext uri="{FF2B5EF4-FFF2-40B4-BE49-F238E27FC236}">
              <a16:creationId xmlns:a16="http://schemas.microsoft.com/office/drawing/2014/main" id="{73B51F0C-D375-4C3F-8C80-3D9BE7C5D01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40" name="Line 15">
          <a:extLst>
            <a:ext uri="{FF2B5EF4-FFF2-40B4-BE49-F238E27FC236}">
              <a16:creationId xmlns:a16="http://schemas.microsoft.com/office/drawing/2014/main" id="{72DF4B28-C7EB-43A0-BC23-BB19A56550F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1333</xdr:row>
      <xdr:rowOff>0</xdr:rowOff>
    </xdr:from>
    <xdr:to>
      <xdr:col>18</xdr:col>
      <xdr:colOff>438150</xdr:colOff>
      <xdr:row>1334</xdr:row>
      <xdr:rowOff>0</xdr:rowOff>
    </xdr:to>
    <xdr:sp macro="" textlink="">
      <xdr:nvSpPr>
        <xdr:cNvPr id="1141" name="Line 42">
          <a:extLst>
            <a:ext uri="{FF2B5EF4-FFF2-40B4-BE49-F238E27FC236}">
              <a16:creationId xmlns:a16="http://schemas.microsoft.com/office/drawing/2014/main" id="{ECD202FC-DC06-4F04-93B7-9A3A0324AC1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42" name="Line 4">
          <a:extLst>
            <a:ext uri="{FF2B5EF4-FFF2-40B4-BE49-F238E27FC236}">
              <a16:creationId xmlns:a16="http://schemas.microsoft.com/office/drawing/2014/main" id="{1D2215ED-3D5C-4B67-A54E-B4606F49D662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3" name="Line 14">
          <a:extLst>
            <a:ext uri="{FF2B5EF4-FFF2-40B4-BE49-F238E27FC236}">
              <a16:creationId xmlns:a16="http://schemas.microsoft.com/office/drawing/2014/main" id="{D1158BA0-A5F1-4ADF-BEFF-D1F79E9FDFF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4" name="Line 15">
          <a:extLst>
            <a:ext uri="{FF2B5EF4-FFF2-40B4-BE49-F238E27FC236}">
              <a16:creationId xmlns:a16="http://schemas.microsoft.com/office/drawing/2014/main" id="{A128182C-7D8B-4BC2-847E-F0461687382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5" name="Line 42">
          <a:extLst>
            <a:ext uri="{FF2B5EF4-FFF2-40B4-BE49-F238E27FC236}">
              <a16:creationId xmlns:a16="http://schemas.microsoft.com/office/drawing/2014/main" id="{03279141-4BED-4622-8DBE-4779E1A0DC5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46" name="Line 4">
          <a:extLst>
            <a:ext uri="{FF2B5EF4-FFF2-40B4-BE49-F238E27FC236}">
              <a16:creationId xmlns:a16="http://schemas.microsoft.com/office/drawing/2014/main" id="{E6F03D7C-3563-4CFB-9DB9-578476A0D2A5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7" name="Line 14">
          <a:extLst>
            <a:ext uri="{FF2B5EF4-FFF2-40B4-BE49-F238E27FC236}">
              <a16:creationId xmlns:a16="http://schemas.microsoft.com/office/drawing/2014/main" id="{7B98FCBA-E985-425F-A975-E09CE5B821B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8" name="Line 15">
          <a:extLst>
            <a:ext uri="{FF2B5EF4-FFF2-40B4-BE49-F238E27FC236}">
              <a16:creationId xmlns:a16="http://schemas.microsoft.com/office/drawing/2014/main" id="{61EC3B2B-60DC-40F8-9D9F-D5546741FBF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49" name="Line 42">
          <a:extLst>
            <a:ext uri="{FF2B5EF4-FFF2-40B4-BE49-F238E27FC236}">
              <a16:creationId xmlns:a16="http://schemas.microsoft.com/office/drawing/2014/main" id="{BB16E923-6842-4CA9-856E-D6B3DC1B3BF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50" name="Line 4">
          <a:extLst>
            <a:ext uri="{FF2B5EF4-FFF2-40B4-BE49-F238E27FC236}">
              <a16:creationId xmlns:a16="http://schemas.microsoft.com/office/drawing/2014/main" id="{8BC3F977-F965-4F9F-B4BC-4D4FB3D49283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1" name="Line 14">
          <a:extLst>
            <a:ext uri="{FF2B5EF4-FFF2-40B4-BE49-F238E27FC236}">
              <a16:creationId xmlns:a16="http://schemas.microsoft.com/office/drawing/2014/main" id="{453B6331-3321-4344-8F7B-9919F3CC343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2" name="Line 15">
          <a:extLst>
            <a:ext uri="{FF2B5EF4-FFF2-40B4-BE49-F238E27FC236}">
              <a16:creationId xmlns:a16="http://schemas.microsoft.com/office/drawing/2014/main" id="{A1FC9E39-9287-4E0F-91CF-ABF53F0C3CA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3" name="Line 42">
          <a:extLst>
            <a:ext uri="{FF2B5EF4-FFF2-40B4-BE49-F238E27FC236}">
              <a16:creationId xmlns:a16="http://schemas.microsoft.com/office/drawing/2014/main" id="{8135499C-D6D4-4206-BB85-C602D2D08C2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54" name="Line 4">
          <a:extLst>
            <a:ext uri="{FF2B5EF4-FFF2-40B4-BE49-F238E27FC236}">
              <a16:creationId xmlns:a16="http://schemas.microsoft.com/office/drawing/2014/main" id="{ED99C133-0FA6-4C34-B7CE-25CAFAD05438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5" name="Line 14">
          <a:extLst>
            <a:ext uri="{FF2B5EF4-FFF2-40B4-BE49-F238E27FC236}">
              <a16:creationId xmlns:a16="http://schemas.microsoft.com/office/drawing/2014/main" id="{F59E07D9-D770-41F4-B1C8-5B991B385F0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6" name="Line 15">
          <a:extLst>
            <a:ext uri="{FF2B5EF4-FFF2-40B4-BE49-F238E27FC236}">
              <a16:creationId xmlns:a16="http://schemas.microsoft.com/office/drawing/2014/main" id="{3A78B94A-FA33-450E-8E59-9BC48BA516F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7" name="Line 42">
          <a:extLst>
            <a:ext uri="{FF2B5EF4-FFF2-40B4-BE49-F238E27FC236}">
              <a16:creationId xmlns:a16="http://schemas.microsoft.com/office/drawing/2014/main" id="{285A729D-9ED7-4303-989D-BD8E3486F2A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58" name="Line 4">
          <a:extLst>
            <a:ext uri="{FF2B5EF4-FFF2-40B4-BE49-F238E27FC236}">
              <a16:creationId xmlns:a16="http://schemas.microsoft.com/office/drawing/2014/main" id="{EF0F6274-A117-4845-BD67-21EE925DCBA6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59" name="Line 14">
          <a:extLst>
            <a:ext uri="{FF2B5EF4-FFF2-40B4-BE49-F238E27FC236}">
              <a16:creationId xmlns:a16="http://schemas.microsoft.com/office/drawing/2014/main" id="{B270E701-15C1-471C-A05E-245B5F44058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60" name="Line 15">
          <a:extLst>
            <a:ext uri="{FF2B5EF4-FFF2-40B4-BE49-F238E27FC236}">
              <a16:creationId xmlns:a16="http://schemas.microsoft.com/office/drawing/2014/main" id="{1C369E5C-9698-443F-BB49-257A5BE1C9A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61" name="Line 42">
          <a:extLst>
            <a:ext uri="{FF2B5EF4-FFF2-40B4-BE49-F238E27FC236}">
              <a16:creationId xmlns:a16="http://schemas.microsoft.com/office/drawing/2014/main" id="{F2FE9513-79B7-48BC-9307-80DB711FFC5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1335</xdr:row>
      <xdr:rowOff>0</xdr:rowOff>
    </xdr:from>
    <xdr:to>
      <xdr:col>18</xdr:col>
      <xdr:colOff>447675</xdr:colOff>
      <xdr:row>1336</xdr:row>
      <xdr:rowOff>0</xdr:rowOff>
    </xdr:to>
    <xdr:sp macro="" textlink="">
      <xdr:nvSpPr>
        <xdr:cNvPr id="1162" name="Line 4">
          <a:extLst>
            <a:ext uri="{FF2B5EF4-FFF2-40B4-BE49-F238E27FC236}">
              <a16:creationId xmlns:a16="http://schemas.microsoft.com/office/drawing/2014/main" id="{35E0CBAC-5DAD-4E50-954D-370598D64807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63" name="Line 14">
          <a:extLst>
            <a:ext uri="{FF2B5EF4-FFF2-40B4-BE49-F238E27FC236}">
              <a16:creationId xmlns:a16="http://schemas.microsoft.com/office/drawing/2014/main" id="{2420BBF6-16F0-4559-8236-0CA63328A60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64" name="Line 15">
          <a:extLst>
            <a:ext uri="{FF2B5EF4-FFF2-40B4-BE49-F238E27FC236}">
              <a16:creationId xmlns:a16="http://schemas.microsoft.com/office/drawing/2014/main" id="{2814F7EF-8823-4F17-9BF7-5810DEC1777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1335</xdr:row>
      <xdr:rowOff>0</xdr:rowOff>
    </xdr:from>
    <xdr:to>
      <xdr:col>18</xdr:col>
      <xdr:colOff>438150</xdr:colOff>
      <xdr:row>1336</xdr:row>
      <xdr:rowOff>0</xdr:rowOff>
    </xdr:to>
    <xdr:sp macro="" textlink="">
      <xdr:nvSpPr>
        <xdr:cNvPr id="1165" name="Line 42">
          <a:extLst>
            <a:ext uri="{FF2B5EF4-FFF2-40B4-BE49-F238E27FC236}">
              <a16:creationId xmlns:a16="http://schemas.microsoft.com/office/drawing/2014/main" id="{F307382F-874E-4F60-A039-303780B2228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166" name="Line 4">
          <a:extLst>
            <a:ext uri="{FF2B5EF4-FFF2-40B4-BE49-F238E27FC236}">
              <a16:creationId xmlns:a16="http://schemas.microsoft.com/office/drawing/2014/main" id="{3109A4B7-B5D7-434D-B4AF-7838CE7145D8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67" name="Line 14">
          <a:extLst>
            <a:ext uri="{FF2B5EF4-FFF2-40B4-BE49-F238E27FC236}">
              <a16:creationId xmlns:a16="http://schemas.microsoft.com/office/drawing/2014/main" id="{80A27A9F-0897-40EF-8867-7DDDDBA09BF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68" name="Line 15">
          <a:extLst>
            <a:ext uri="{FF2B5EF4-FFF2-40B4-BE49-F238E27FC236}">
              <a16:creationId xmlns:a16="http://schemas.microsoft.com/office/drawing/2014/main" id="{E80FD794-CF56-4E0E-9455-FBE8EAEAE2C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69" name="Line 42">
          <a:extLst>
            <a:ext uri="{FF2B5EF4-FFF2-40B4-BE49-F238E27FC236}">
              <a16:creationId xmlns:a16="http://schemas.microsoft.com/office/drawing/2014/main" id="{0D84B6B0-5AC9-4E9D-88AC-6800A45D25B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170" name="Line 4">
          <a:extLst>
            <a:ext uri="{FF2B5EF4-FFF2-40B4-BE49-F238E27FC236}">
              <a16:creationId xmlns:a16="http://schemas.microsoft.com/office/drawing/2014/main" id="{4AAD7155-08A7-40FB-A5E1-918D32836243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1" name="Line 14">
          <a:extLst>
            <a:ext uri="{FF2B5EF4-FFF2-40B4-BE49-F238E27FC236}">
              <a16:creationId xmlns:a16="http://schemas.microsoft.com/office/drawing/2014/main" id="{C5FE7CBB-5343-4A3B-A860-50EE68AFED0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2" name="Line 15">
          <a:extLst>
            <a:ext uri="{FF2B5EF4-FFF2-40B4-BE49-F238E27FC236}">
              <a16:creationId xmlns:a16="http://schemas.microsoft.com/office/drawing/2014/main" id="{238929AB-E4D4-40B9-A7D9-626B9009E95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3" name="Line 42">
          <a:extLst>
            <a:ext uri="{FF2B5EF4-FFF2-40B4-BE49-F238E27FC236}">
              <a16:creationId xmlns:a16="http://schemas.microsoft.com/office/drawing/2014/main" id="{BD1F28A9-6519-4DF4-BDA1-BB665DB4DC5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174" name="Line 4">
          <a:extLst>
            <a:ext uri="{FF2B5EF4-FFF2-40B4-BE49-F238E27FC236}">
              <a16:creationId xmlns:a16="http://schemas.microsoft.com/office/drawing/2014/main" id="{BBDDD7C3-0EF5-42D0-9E82-7B689F572B83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5" name="Line 14">
          <a:extLst>
            <a:ext uri="{FF2B5EF4-FFF2-40B4-BE49-F238E27FC236}">
              <a16:creationId xmlns:a16="http://schemas.microsoft.com/office/drawing/2014/main" id="{095731CE-86EF-4061-A730-B91EB6F1162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6" name="Line 15">
          <a:extLst>
            <a:ext uri="{FF2B5EF4-FFF2-40B4-BE49-F238E27FC236}">
              <a16:creationId xmlns:a16="http://schemas.microsoft.com/office/drawing/2014/main" id="{CE0A69EC-25B7-4D42-AE0F-72AFFFFC032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177" name="Line 42">
          <a:extLst>
            <a:ext uri="{FF2B5EF4-FFF2-40B4-BE49-F238E27FC236}">
              <a16:creationId xmlns:a16="http://schemas.microsoft.com/office/drawing/2014/main" id="{E6CF5A6E-8382-49D7-BAE4-338DEE4FDA5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78" name="Line 4">
          <a:extLst>
            <a:ext uri="{FF2B5EF4-FFF2-40B4-BE49-F238E27FC236}">
              <a16:creationId xmlns:a16="http://schemas.microsoft.com/office/drawing/2014/main" id="{A1067BA1-3F6F-4ED0-8F9B-C015C14ACB8D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79" name="Line 14">
          <a:extLst>
            <a:ext uri="{FF2B5EF4-FFF2-40B4-BE49-F238E27FC236}">
              <a16:creationId xmlns:a16="http://schemas.microsoft.com/office/drawing/2014/main" id="{BFAAD68A-55BD-4888-A284-6243F9FE8D1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0" name="Line 15">
          <a:extLst>
            <a:ext uri="{FF2B5EF4-FFF2-40B4-BE49-F238E27FC236}">
              <a16:creationId xmlns:a16="http://schemas.microsoft.com/office/drawing/2014/main" id="{16A90C7A-6B8A-4C4B-B51F-BB1D0126C93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1" name="Line 42">
          <a:extLst>
            <a:ext uri="{FF2B5EF4-FFF2-40B4-BE49-F238E27FC236}">
              <a16:creationId xmlns:a16="http://schemas.microsoft.com/office/drawing/2014/main" id="{76764628-6E51-48C0-AB03-18191386102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82" name="Line 4">
          <a:extLst>
            <a:ext uri="{FF2B5EF4-FFF2-40B4-BE49-F238E27FC236}">
              <a16:creationId xmlns:a16="http://schemas.microsoft.com/office/drawing/2014/main" id="{15678F07-061D-46D6-A7DB-C47FE7623E0F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3" name="Line 14">
          <a:extLst>
            <a:ext uri="{FF2B5EF4-FFF2-40B4-BE49-F238E27FC236}">
              <a16:creationId xmlns:a16="http://schemas.microsoft.com/office/drawing/2014/main" id="{2DEE84A8-4411-4939-9310-2CC2276264AD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4" name="Line 15">
          <a:extLst>
            <a:ext uri="{FF2B5EF4-FFF2-40B4-BE49-F238E27FC236}">
              <a16:creationId xmlns:a16="http://schemas.microsoft.com/office/drawing/2014/main" id="{0F453B97-A50C-47A3-8FFA-F429DED1B3F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5" name="Line 42">
          <a:extLst>
            <a:ext uri="{FF2B5EF4-FFF2-40B4-BE49-F238E27FC236}">
              <a16:creationId xmlns:a16="http://schemas.microsoft.com/office/drawing/2014/main" id="{5453C570-4700-496E-837D-4A98B36A136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86" name="Line 4">
          <a:extLst>
            <a:ext uri="{FF2B5EF4-FFF2-40B4-BE49-F238E27FC236}">
              <a16:creationId xmlns:a16="http://schemas.microsoft.com/office/drawing/2014/main" id="{61667AD2-3E32-4E47-8D96-B2F2C8D026F7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7" name="Line 14">
          <a:extLst>
            <a:ext uri="{FF2B5EF4-FFF2-40B4-BE49-F238E27FC236}">
              <a16:creationId xmlns:a16="http://schemas.microsoft.com/office/drawing/2014/main" id="{EB18D8A4-D7B6-46D9-A170-8A71FB67492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8" name="Line 15">
          <a:extLst>
            <a:ext uri="{FF2B5EF4-FFF2-40B4-BE49-F238E27FC236}">
              <a16:creationId xmlns:a16="http://schemas.microsoft.com/office/drawing/2014/main" id="{BA0660CA-A541-4F36-BCCA-47CB15784F7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89" name="Line 42">
          <a:extLst>
            <a:ext uri="{FF2B5EF4-FFF2-40B4-BE49-F238E27FC236}">
              <a16:creationId xmlns:a16="http://schemas.microsoft.com/office/drawing/2014/main" id="{D227E686-166F-4F04-98CB-68CC33C7F35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90" name="Line 4">
          <a:extLst>
            <a:ext uri="{FF2B5EF4-FFF2-40B4-BE49-F238E27FC236}">
              <a16:creationId xmlns:a16="http://schemas.microsoft.com/office/drawing/2014/main" id="{F66A7569-4964-43B3-9FF7-459F415D89DA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1" name="Line 14">
          <a:extLst>
            <a:ext uri="{FF2B5EF4-FFF2-40B4-BE49-F238E27FC236}">
              <a16:creationId xmlns:a16="http://schemas.microsoft.com/office/drawing/2014/main" id="{77F94717-302C-4171-A0F1-5B148079098C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2" name="Line 15">
          <a:extLst>
            <a:ext uri="{FF2B5EF4-FFF2-40B4-BE49-F238E27FC236}">
              <a16:creationId xmlns:a16="http://schemas.microsoft.com/office/drawing/2014/main" id="{11F7694C-DE67-44B3-9C18-0547DB6217D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3" name="Line 42">
          <a:extLst>
            <a:ext uri="{FF2B5EF4-FFF2-40B4-BE49-F238E27FC236}">
              <a16:creationId xmlns:a16="http://schemas.microsoft.com/office/drawing/2014/main" id="{DF43B1A3-4AD2-4042-936D-387803047768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94" name="Line 4">
          <a:extLst>
            <a:ext uri="{FF2B5EF4-FFF2-40B4-BE49-F238E27FC236}">
              <a16:creationId xmlns:a16="http://schemas.microsoft.com/office/drawing/2014/main" id="{B39C8990-E353-4514-8124-DF3A906AE22A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5" name="Line 14">
          <a:extLst>
            <a:ext uri="{FF2B5EF4-FFF2-40B4-BE49-F238E27FC236}">
              <a16:creationId xmlns:a16="http://schemas.microsoft.com/office/drawing/2014/main" id="{8D651368-F566-4A0A-B529-54B71D2C9A3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6" name="Line 15">
          <a:extLst>
            <a:ext uri="{FF2B5EF4-FFF2-40B4-BE49-F238E27FC236}">
              <a16:creationId xmlns:a16="http://schemas.microsoft.com/office/drawing/2014/main" id="{49A219A3-594D-4A86-A4BA-ECF324F491D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7" name="Line 42">
          <a:extLst>
            <a:ext uri="{FF2B5EF4-FFF2-40B4-BE49-F238E27FC236}">
              <a16:creationId xmlns:a16="http://schemas.microsoft.com/office/drawing/2014/main" id="{CEFF6BA2-033D-4201-8CA4-E750D42008D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198" name="Line 4">
          <a:extLst>
            <a:ext uri="{FF2B5EF4-FFF2-40B4-BE49-F238E27FC236}">
              <a16:creationId xmlns:a16="http://schemas.microsoft.com/office/drawing/2014/main" id="{F24EC5BF-AA5A-471A-826D-D56978B53114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199" name="Line 14">
          <a:extLst>
            <a:ext uri="{FF2B5EF4-FFF2-40B4-BE49-F238E27FC236}">
              <a16:creationId xmlns:a16="http://schemas.microsoft.com/office/drawing/2014/main" id="{7DFD2E47-FD61-4149-8456-3224C855570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00" name="Line 15">
          <a:extLst>
            <a:ext uri="{FF2B5EF4-FFF2-40B4-BE49-F238E27FC236}">
              <a16:creationId xmlns:a16="http://schemas.microsoft.com/office/drawing/2014/main" id="{77537926-563F-455F-B6ED-D6243C34CEC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01" name="Line 42">
          <a:extLst>
            <a:ext uri="{FF2B5EF4-FFF2-40B4-BE49-F238E27FC236}">
              <a16:creationId xmlns:a16="http://schemas.microsoft.com/office/drawing/2014/main" id="{306DE1D5-7B2B-4963-9E47-36C776C5C2B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202" name="Line 4">
          <a:extLst>
            <a:ext uri="{FF2B5EF4-FFF2-40B4-BE49-F238E27FC236}">
              <a16:creationId xmlns:a16="http://schemas.microsoft.com/office/drawing/2014/main" id="{397E9DB7-2FC9-4C52-8167-FDB2E29BD369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3" name="Line 14">
          <a:extLst>
            <a:ext uri="{FF2B5EF4-FFF2-40B4-BE49-F238E27FC236}">
              <a16:creationId xmlns:a16="http://schemas.microsoft.com/office/drawing/2014/main" id="{EFCEBC8D-8CF6-4A71-A0DF-6F0DA738A3B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4" name="Line 15">
          <a:extLst>
            <a:ext uri="{FF2B5EF4-FFF2-40B4-BE49-F238E27FC236}">
              <a16:creationId xmlns:a16="http://schemas.microsoft.com/office/drawing/2014/main" id="{7062942D-B125-4474-97AF-6F128FB6BACF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5" name="Line 42">
          <a:extLst>
            <a:ext uri="{FF2B5EF4-FFF2-40B4-BE49-F238E27FC236}">
              <a16:creationId xmlns:a16="http://schemas.microsoft.com/office/drawing/2014/main" id="{D8D31075-DB4F-4CE5-A669-02ED060C7B4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206" name="Line 4">
          <a:extLst>
            <a:ext uri="{FF2B5EF4-FFF2-40B4-BE49-F238E27FC236}">
              <a16:creationId xmlns:a16="http://schemas.microsoft.com/office/drawing/2014/main" id="{48196ED9-3591-483C-8759-3C778585D9C2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7" name="Line 14">
          <a:extLst>
            <a:ext uri="{FF2B5EF4-FFF2-40B4-BE49-F238E27FC236}">
              <a16:creationId xmlns:a16="http://schemas.microsoft.com/office/drawing/2014/main" id="{926CE4DA-1DFE-4FF6-AE53-763E79223B8A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8" name="Line 15">
          <a:extLst>
            <a:ext uri="{FF2B5EF4-FFF2-40B4-BE49-F238E27FC236}">
              <a16:creationId xmlns:a16="http://schemas.microsoft.com/office/drawing/2014/main" id="{DBC81970-8D07-4C30-BCDD-D06DBAC75C0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09" name="Line 42">
          <a:extLst>
            <a:ext uri="{FF2B5EF4-FFF2-40B4-BE49-F238E27FC236}">
              <a16:creationId xmlns:a16="http://schemas.microsoft.com/office/drawing/2014/main" id="{E3E6E37E-789E-47B9-BCF8-1B3ADD6CC4C9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1406</xdr:row>
      <xdr:rowOff>0</xdr:rowOff>
    </xdr:from>
    <xdr:to>
      <xdr:col>18</xdr:col>
      <xdr:colOff>447675</xdr:colOff>
      <xdr:row>1407</xdr:row>
      <xdr:rowOff>0</xdr:rowOff>
    </xdr:to>
    <xdr:sp macro="" textlink="">
      <xdr:nvSpPr>
        <xdr:cNvPr id="1210" name="Line 4">
          <a:extLst>
            <a:ext uri="{FF2B5EF4-FFF2-40B4-BE49-F238E27FC236}">
              <a16:creationId xmlns:a16="http://schemas.microsoft.com/office/drawing/2014/main" id="{0E66F554-596B-4F67-B08C-842384CEDD9F}"/>
            </a:ext>
          </a:extLst>
        </xdr:cNvPr>
        <xdr:cNvSpPr>
          <a:spLocks noChangeShapeType="1"/>
        </xdr:cNvSpPr>
      </xdr:nvSpPr>
      <xdr:spPr bwMode="auto">
        <a:xfrm>
          <a:off x="7681283" y="256932382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11" name="Line 14">
          <a:extLst>
            <a:ext uri="{FF2B5EF4-FFF2-40B4-BE49-F238E27FC236}">
              <a16:creationId xmlns:a16="http://schemas.microsoft.com/office/drawing/2014/main" id="{0B4E3B7C-2227-401C-9DBD-A9ECE0F23697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12" name="Line 15">
          <a:extLst>
            <a:ext uri="{FF2B5EF4-FFF2-40B4-BE49-F238E27FC236}">
              <a16:creationId xmlns:a16="http://schemas.microsoft.com/office/drawing/2014/main" id="{608B10F7-53FB-49CF-88EB-298E470AE01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1406</xdr:row>
      <xdr:rowOff>0</xdr:rowOff>
    </xdr:from>
    <xdr:to>
      <xdr:col>18</xdr:col>
      <xdr:colOff>438150</xdr:colOff>
      <xdr:row>1407</xdr:row>
      <xdr:rowOff>0</xdr:rowOff>
    </xdr:to>
    <xdr:sp macro="" textlink="">
      <xdr:nvSpPr>
        <xdr:cNvPr id="1213" name="Line 42">
          <a:extLst>
            <a:ext uri="{FF2B5EF4-FFF2-40B4-BE49-F238E27FC236}">
              <a16:creationId xmlns:a16="http://schemas.microsoft.com/office/drawing/2014/main" id="{692419CE-D7E1-4538-9647-70B6A0AB8913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6932382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14" name="Line 4">
          <a:extLst>
            <a:ext uri="{FF2B5EF4-FFF2-40B4-BE49-F238E27FC236}">
              <a16:creationId xmlns:a16="http://schemas.microsoft.com/office/drawing/2014/main" id="{1BBA9948-F808-4F82-A824-69B933B6EC58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15" name="Line 14">
          <a:extLst>
            <a:ext uri="{FF2B5EF4-FFF2-40B4-BE49-F238E27FC236}">
              <a16:creationId xmlns:a16="http://schemas.microsoft.com/office/drawing/2014/main" id="{3A3F9954-E1D2-487C-85FB-6C3A52E2BE9B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16" name="Line 15">
          <a:extLst>
            <a:ext uri="{FF2B5EF4-FFF2-40B4-BE49-F238E27FC236}">
              <a16:creationId xmlns:a16="http://schemas.microsoft.com/office/drawing/2014/main" id="{64DA3B2C-EEC6-4B9F-89A0-0169FDDF536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17" name="Line 42">
          <a:extLst>
            <a:ext uri="{FF2B5EF4-FFF2-40B4-BE49-F238E27FC236}">
              <a16:creationId xmlns:a16="http://schemas.microsoft.com/office/drawing/2014/main" id="{0981E385-F24C-4500-B022-96374FEE549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18" name="Line 4">
          <a:extLst>
            <a:ext uri="{FF2B5EF4-FFF2-40B4-BE49-F238E27FC236}">
              <a16:creationId xmlns:a16="http://schemas.microsoft.com/office/drawing/2014/main" id="{F29A3665-1243-4DFF-8C4C-89E4C2E41F2B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19" name="Line 14">
          <a:extLst>
            <a:ext uri="{FF2B5EF4-FFF2-40B4-BE49-F238E27FC236}">
              <a16:creationId xmlns:a16="http://schemas.microsoft.com/office/drawing/2014/main" id="{E7C5935E-33ED-4E2B-80E1-7D89C88C19A2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0" name="Line 15">
          <a:extLst>
            <a:ext uri="{FF2B5EF4-FFF2-40B4-BE49-F238E27FC236}">
              <a16:creationId xmlns:a16="http://schemas.microsoft.com/office/drawing/2014/main" id="{F4573ABD-55D6-4447-91FA-C8CE7421097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1" name="Line 42">
          <a:extLst>
            <a:ext uri="{FF2B5EF4-FFF2-40B4-BE49-F238E27FC236}">
              <a16:creationId xmlns:a16="http://schemas.microsoft.com/office/drawing/2014/main" id="{E41773C6-4A61-48E5-BB64-5CC1277ACA3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22" name="Line 4">
          <a:extLst>
            <a:ext uri="{FF2B5EF4-FFF2-40B4-BE49-F238E27FC236}">
              <a16:creationId xmlns:a16="http://schemas.microsoft.com/office/drawing/2014/main" id="{8615F88D-E1A2-4707-AF34-CE392D6DF0F5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3" name="Line 14">
          <a:extLst>
            <a:ext uri="{FF2B5EF4-FFF2-40B4-BE49-F238E27FC236}">
              <a16:creationId xmlns:a16="http://schemas.microsoft.com/office/drawing/2014/main" id="{45AE4B69-B28C-463F-B362-C6F78206735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4" name="Line 15">
          <a:extLst>
            <a:ext uri="{FF2B5EF4-FFF2-40B4-BE49-F238E27FC236}">
              <a16:creationId xmlns:a16="http://schemas.microsoft.com/office/drawing/2014/main" id="{1C2E71BB-12CA-4F14-8E23-953A381B306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5" name="Line 42">
          <a:extLst>
            <a:ext uri="{FF2B5EF4-FFF2-40B4-BE49-F238E27FC236}">
              <a16:creationId xmlns:a16="http://schemas.microsoft.com/office/drawing/2014/main" id="{29191E2E-2101-4D49-95FA-E81DAF75679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26" name="Line 4">
          <a:extLst>
            <a:ext uri="{FF2B5EF4-FFF2-40B4-BE49-F238E27FC236}">
              <a16:creationId xmlns:a16="http://schemas.microsoft.com/office/drawing/2014/main" id="{B69B07E0-7CA8-4C06-90FA-C84A3A230D20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7" name="Line 14">
          <a:extLst>
            <a:ext uri="{FF2B5EF4-FFF2-40B4-BE49-F238E27FC236}">
              <a16:creationId xmlns:a16="http://schemas.microsoft.com/office/drawing/2014/main" id="{2D9147F7-C769-4DE1-AC00-E5FF046036A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8" name="Line 15">
          <a:extLst>
            <a:ext uri="{FF2B5EF4-FFF2-40B4-BE49-F238E27FC236}">
              <a16:creationId xmlns:a16="http://schemas.microsoft.com/office/drawing/2014/main" id="{8C161A71-03A9-40BF-B3CB-50B448863026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29" name="Line 42">
          <a:extLst>
            <a:ext uri="{FF2B5EF4-FFF2-40B4-BE49-F238E27FC236}">
              <a16:creationId xmlns:a16="http://schemas.microsoft.com/office/drawing/2014/main" id="{46979CDC-6795-41E4-98B1-2BE230244BE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30" name="Line 4">
          <a:extLst>
            <a:ext uri="{FF2B5EF4-FFF2-40B4-BE49-F238E27FC236}">
              <a16:creationId xmlns:a16="http://schemas.microsoft.com/office/drawing/2014/main" id="{D1622478-4748-452E-AF22-1AD56096D688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1" name="Line 14">
          <a:extLst>
            <a:ext uri="{FF2B5EF4-FFF2-40B4-BE49-F238E27FC236}">
              <a16:creationId xmlns:a16="http://schemas.microsoft.com/office/drawing/2014/main" id="{6EE7CA6B-14F5-4CD6-94BE-6F108D85418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2" name="Line 15">
          <a:extLst>
            <a:ext uri="{FF2B5EF4-FFF2-40B4-BE49-F238E27FC236}">
              <a16:creationId xmlns:a16="http://schemas.microsoft.com/office/drawing/2014/main" id="{34FB485F-3D95-41AB-85E8-1428A62C87D0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3" name="Line 42">
          <a:extLst>
            <a:ext uri="{FF2B5EF4-FFF2-40B4-BE49-F238E27FC236}">
              <a16:creationId xmlns:a16="http://schemas.microsoft.com/office/drawing/2014/main" id="{5773C89B-2F1A-4A2F-85BA-CAB7F2783021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1408</xdr:row>
      <xdr:rowOff>0</xdr:rowOff>
    </xdr:from>
    <xdr:to>
      <xdr:col>18</xdr:col>
      <xdr:colOff>447675</xdr:colOff>
      <xdr:row>1409</xdr:row>
      <xdr:rowOff>0</xdr:rowOff>
    </xdr:to>
    <xdr:sp macro="" textlink="">
      <xdr:nvSpPr>
        <xdr:cNvPr id="1234" name="Line 4">
          <a:extLst>
            <a:ext uri="{FF2B5EF4-FFF2-40B4-BE49-F238E27FC236}">
              <a16:creationId xmlns:a16="http://schemas.microsoft.com/office/drawing/2014/main" id="{93C38CF1-6D5E-47DF-9F88-2D403C4B0F3F}"/>
            </a:ext>
          </a:extLst>
        </xdr:cNvPr>
        <xdr:cNvSpPr>
          <a:spLocks noChangeShapeType="1"/>
        </xdr:cNvSpPr>
      </xdr:nvSpPr>
      <xdr:spPr bwMode="auto">
        <a:xfrm>
          <a:off x="7681283" y="257345731"/>
          <a:ext cx="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5" name="Line 14">
          <a:extLst>
            <a:ext uri="{FF2B5EF4-FFF2-40B4-BE49-F238E27FC236}">
              <a16:creationId xmlns:a16="http://schemas.microsoft.com/office/drawing/2014/main" id="{C70D0D49-4171-4390-80C7-2743A384C2CE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6" name="Line 15">
          <a:extLst>
            <a:ext uri="{FF2B5EF4-FFF2-40B4-BE49-F238E27FC236}">
              <a16:creationId xmlns:a16="http://schemas.microsoft.com/office/drawing/2014/main" id="{20D67D6B-09AE-4BFB-89F1-AC52E34FB215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1408</xdr:row>
      <xdr:rowOff>0</xdr:rowOff>
    </xdr:from>
    <xdr:to>
      <xdr:col>18</xdr:col>
      <xdr:colOff>438150</xdr:colOff>
      <xdr:row>1409</xdr:row>
      <xdr:rowOff>0</xdr:rowOff>
    </xdr:to>
    <xdr:sp macro="" textlink="">
      <xdr:nvSpPr>
        <xdr:cNvPr id="1237" name="Line 42">
          <a:extLst>
            <a:ext uri="{FF2B5EF4-FFF2-40B4-BE49-F238E27FC236}">
              <a16:creationId xmlns:a16="http://schemas.microsoft.com/office/drawing/2014/main" id="{7CEC74C0-F8A3-4A91-82B3-B603A3789564}"/>
            </a:ext>
          </a:extLst>
        </xdr:cNvPr>
        <xdr:cNvSpPr>
          <a:spLocks noChangeShapeType="1"/>
        </xdr:cNvSpPr>
      </xdr:nvSpPr>
      <xdr:spPr bwMode="auto">
        <a:xfrm flipH="1" flipV="1">
          <a:off x="7652708" y="257345731"/>
          <a:ext cx="19050" cy="2066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38" name="Line 4">
          <a:extLst>
            <a:ext uri="{FF2B5EF4-FFF2-40B4-BE49-F238E27FC236}">
              <a16:creationId xmlns:a16="http://schemas.microsoft.com/office/drawing/2014/main" id="{C874FEED-474E-43E2-A322-3754D629B81D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39" name="Line 14">
          <a:extLst>
            <a:ext uri="{FF2B5EF4-FFF2-40B4-BE49-F238E27FC236}">
              <a16:creationId xmlns:a16="http://schemas.microsoft.com/office/drawing/2014/main" id="{26E60B33-4D6B-46FE-BDEF-C2834FCDAA7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0" name="Line 15">
          <a:extLst>
            <a:ext uri="{FF2B5EF4-FFF2-40B4-BE49-F238E27FC236}">
              <a16:creationId xmlns:a16="http://schemas.microsoft.com/office/drawing/2014/main" id="{A66B8117-EEC5-4A41-B670-69FDA79E47D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1" name="Line 42">
          <a:extLst>
            <a:ext uri="{FF2B5EF4-FFF2-40B4-BE49-F238E27FC236}">
              <a16:creationId xmlns:a16="http://schemas.microsoft.com/office/drawing/2014/main" id="{D7E971E4-3526-48AF-A688-BEF7DB9C5E9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42" name="Line 4">
          <a:extLst>
            <a:ext uri="{FF2B5EF4-FFF2-40B4-BE49-F238E27FC236}">
              <a16:creationId xmlns:a16="http://schemas.microsoft.com/office/drawing/2014/main" id="{4A89776D-4FB7-4C29-9500-3BEDF914E782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3" name="Line 14">
          <a:extLst>
            <a:ext uri="{FF2B5EF4-FFF2-40B4-BE49-F238E27FC236}">
              <a16:creationId xmlns:a16="http://schemas.microsoft.com/office/drawing/2014/main" id="{A7500F12-36D1-4872-88CE-BB63CA5D8DE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4" name="Line 15">
          <a:extLst>
            <a:ext uri="{FF2B5EF4-FFF2-40B4-BE49-F238E27FC236}">
              <a16:creationId xmlns:a16="http://schemas.microsoft.com/office/drawing/2014/main" id="{49CF34D7-B989-44E4-99D6-164A2A890A0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5" name="Line 42">
          <a:extLst>
            <a:ext uri="{FF2B5EF4-FFF2-40B4-BE49-F238E27FC236}">
              <a16:creationId xmlns:a16="http://schemas.microsoft.com/office/drawing/2014/main" id="{60493A8B-EBE3-468E-A72B-9D7CF87DF12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46" name="Line 4">
          <a:extLst>
            <a:ext uri="{FF2B5EF4-FFF2-40B4-BE49-F238E27FC236}">
              <a16:creationId xmlns:a16="http://schemas.microsoft.com/office/drawing/2014/main" id="{59F76E30-7E0E-4ABF-A665-CB13F92A4CB1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7" name="Line 14">
          <a:extLst>
            <a:ext uri="{FF2B5EF4-FFF2-40B4-BE49-F238E27FC236}">
              <a16:creationId xmlns:a16="http://schemas.microsoft.com/office/drawing/2014/main" id="{FB86CFB3-39C7-44A3-8699-F37F643193C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8" name="Line 15">
          <a:extLst>
            <a:ext uri="{FF2B5EF4-FFF2-40B4-BE49-F238E27FC236}">
              <a16:creationId xmlns:a16="http://schemas.microsoft.com/office/drawing/2014/main" id="{8B3FECC1-8035-461F-BF85-6DF070E73D0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49" name="Line 42">
          <a:extLst>
            <a:ext uri="{FF2B5EF4-FFF2-40B4-BE49-F238E27FC236}">
              <a16:creationId xmlns:a16="http://schemas.microsoft.com/office/drawing/2014/main" id="{DC257CE7-B214-4096-8297-17CE367DCFB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50" name="Line 4">
          <a:extLst>
            <a:ext uri="{FF2B5EF4-FFF2-40B4-BE49-F238E27FC236}">
              <a16:creationId xmlns:a16="http://schemas.microsoft.com/office/drawing/2014/main" id="{9A8E409B-9E38-4F80-93E7-7D06B7839DC9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1" name="Line 14">
          <a:extLst>
            <a:ext uri="{FF2B5EF4-FFF2-40B4-BE49-F238E27FC236}">
              <a16:creationId xmlns:a16="http://schemas.microsoft.com/office/drawing/2014/main" id="{82A9EF3D-65B2-45F8-AF04-7CF0E592019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2" name="Line 15">
          <a:extLst>
            <a:ext uri="{FF2B5EF4-FFF2-40B4-BE49-F238E27FC236}">
              <a16:creationId xmlns:a16="http://schemas.microsoft.com/office/drawing/2014/main" id="{49667903-3088-446F-A25D-4866E17010F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3" name="Line 42">
          <a:extLst>
            <a:ext uri="{FF2B5EF4-FFF2-40B4-BE49-F238E27FC236}">
              <a16:creationId xmlns:a16="http://schemas.microsoft.com/office/drawing/2014/main" id="{883A0131-06B9-4F76-B867-03295697FBC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54" name="Line 4">
          <a:extLst>
            <a:ext uri="{FF2B5EF4-FFF2-40B4-BE49-F238E27FC236}">
              <a16:creationId xmlns:a16="http://schemas.microsoft.com/office/drawing/2014/main" id="{B4A597B5-F5CD-45B0-B3C8-191B8164D991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5" name="Line 14">
          <a:extLst>
            <a:ext uri="{FF2B5EF4-FFF2-40B4-BE49-F238E27FC236}">
              <a16:creationId xmlns:a16="http://schemas.microsoft.com/office/drawing/2014/main" id="{2F9B5CBA-408D-441E-A65C-FDD9AF12434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6" name="Line 15">
          <a:extLst>
            <a:ext uri="{FF2B5EF4-FFF2-40B4-BE49-F238E27FC236}">
              <a16:creationId xmlns:a16="http://schemas.microsoft.com/office/drawing/2014/main" id="{D26DC81F-7194-48F1-AD97-7D06370EABD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7" name="Line 42">
          <a:extLst>
            <a:ext uri="{FF2B5EF4-FFF2-40B4-BE49-F238E27FC236}">
              <a16:creationId xmlns:a16="http://schemas.microsoft.com/office/drawing/2014/main" id="{07C8FC96-E73F-449F-AD25-1AB9C849A3C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58" name="Line 4">
          <a:extLst>
            <a:ext uri="{FF2B5EF4-FFF2-40B4-BE49-F238E27FC236}">
              <a16:creationId xmlns:a16="http://schemas.microsoft.com/office/drawing/2014/main" id="{7390F0CC-F927-4515-A55D-CDB41A3A9FD9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59" name="Line 14">
          <a:extLst>
            <a:ext uri="{FF2B5EF4-FFF2-40B4-BE49-F238E27FC236}">
              <a16:creationId xmlns:a16="http://schemas.microsoft.com/office/drawing/2014/main" id="{2A1B0D9E-0E9C-4A8F-B3CD-C3581077A80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0" name="Line 15">
          <a:extLst>
            <a:ext uri="{FF2B5EF4-FFF2-40B4-BE49-F238E27FC236}">
              <a16:creationId xmlns:a16="http://schemas.microsoft.com/office/drawing/2014/main" id="{90413D3D-94BE-4F00-A001-0E6B3BA86E2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1" name="Line 42">
          <a:extLst>
            <a:ext uri="{FF2B5EF4-FFF2-40B4-BE49-F238E27FC236}">
              <a16:creationId xmlns:a16="http://schemas.microsoft.com/office/drawing/2014/main" id="{E121C5B0-C2FC-4A9A-9EFE-3385B66FF4B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62" name="Line 4">
          <a:extLst>
            <a:ext uri="{FF2B5EF4-FFF2-40B4-BE49-F238E27FC236}">
              <a16:creationId xmlns:a16="http://schemas.microsoft.com/office/drawing/2014/main" id="{3A57AB16-297E-4E65-8DF6-250270A2F03C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3" name="Line 14">
          <a:extLst>
            <a:ext uri="{FF2B5EF4-FFF2-40B4-BE49-F238E27FC236}">
              <a16:creationId xmlns:a16="http://schemas.microsoft.com/office/drawing/2014/main" id="{295C02EB-2CE5-4BCC-9B78-596B0969FC8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4" name="Line 15">
          <a:extLst>
            <a:ext uri="{FF2B5EF4-FFF2-40B4-BE49-F238E27FC236}">
              <a16:creationId xmlns:a16="http://schemas.microsoft.com/office/drawing/2014/main" id="{C94AED46-2166-4AA5-A41C-FC1CE229831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5" name="Line 42">
          <a:extLst>
            <a:ext uri="{FF2B5EF4-FFF2-40B4-BE49-F238E27FC236}">
              <a16:creationId xmlns:a16="http://schemas.microsoft.com/office/drawing/2014/main" id="{2CEFEE0A-78BF-43DD-BD8E-36D76CDB350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66" name="Line 4">
          <a:extLst>
            <a:ext uri="{FF2B5EF4-FFF2-40B4-BE49-F238E27FC236}">
              <a16:creationId xmlns:a16="http://schemas.microsoft.com/office/drawing/2014/main" id="{21527AF4-CAE3-4D4D-96C0-E25D6D6741B5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7" name="Line 14">
          <a:extLst>
            <a:ext uri="{FF2B5EF4-FFF2-40B4-BE49-F238E27FC236}">
              <a16:creationId xmlns:a16="http://schemas.microsoft.com/office/drawing/2014/main" id="{BF52B529-BE1A-4F23-B373-4671159A500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8" name="Line 15">
          <a:extLst>
            <a:ext uri="{FF2B5EF4-FFF2-40B4-BE49-F238E27FC236}">
              <a16:creationId xmlns:a16="http://schemas.microsoft.com/office/drawing/2014/main" id="{D9DC0B3D-8E86-4A64-9D63-4F9F1932E64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69" name="Line 42">
          <a:extLst>
            <a:ext uri="{FF2B5EF4-FFF2-40B4-BE49-F238E27FC236}">
              <a16:creationId xmlns:a16="http://schemas.microsoft.com/office/drawing/2014/main" id="{0AAF61EE-C7AC-44B8-8071-FEDA1C1CA12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70" name="Line 4">
          <a:extLst>
            <a:ext uri="{FF2B5EF4-FFF2-40B4-BE49-F238E27FC236}">
              <a16:creationId xmlns:a16="http://schemas.microsoft.com/office/drawing/2014/main" id="{78EB6801-4714-46A2-9FE3-507E67075B7D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71" name="Line 14">
          <a:extLst>
            <a:ext uri="{FF2B5EF4-FFF2-40B4-BE49-F238E27FC236}">
              <a16:creationId xmlns:a16="http://schemas.microsoft.com/office/drawing/2014/main" id="{666E84F1-C071-4D8E-B29C-4A792CDF912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72" name="Line 15">
          <a:extLst>
            <a:ext uri="{FF2B5EF4-FFF2-40B4-BE49-F238E27FC236}">
              <a16:creationId xmlns:a16="http://schemas.microsoft.com/office/drawing/2014/main" id="{8B82656D-F7CD-4298-B6AB-EAED8C827B1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73" name="Line 42">
          <a:extLst>
            <a:ext uri="{FF2B5EF4-FFF2-40B4-BE49-F238E27FC236}">
              <a16:creationId xmlns:a16="http://schemas.microsoft.com/office/drawing/2014/main" id="{2DEAEA4A-4931-476F-ADAE-1366D8029DB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74" name="Line 4">
          <a:extLst>
            <a:ext uri="{FF2B5EF4-FFF2-40B4-BE49-F238E27FC236}">
              <a16:creationId xmlns:a16="http://schemas.microsoft.com/office/drawing/2014/main" id="{4C8B30ED-2D37-4801-9FE7-D26588013A2D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75" name="Line 14">
          <a:extLst>
            <a:ext uri="{FF2B5EF4-FFF2-40B4-BE49-F238E27FC236}">
              <a16:creationId xmlns:a16="http://schemas.microsoft.com/office/drawing/2014/main" id="{B30FCB78-EC80-4C49-B14B-7FEC5EA1208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76" name="Line 15">
          <a:extLst>
            <a:ext uri="{FF2B5EF4-FFF2-40B4-BE49-F238E27FC236}">
              <a16:creationId xmlns:a16="http://schemas.microsoft.com/office/drawing/2014/main" id="{FE712182-70FE-4F6D-9C36-BF88090E8EA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77" name="Line 42">
          <a:extLst>
            <a:ext uri="{FF2B5EF4-FFF2-40B4-BE49-F238E27FC236}">
              <a16:creationId xmlns:a16="http://schemas.microsoft.com/office/drawing/2014/main" id="{822B12C2-9E1C-4AA8-A53F-ECF63F27DA9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78" name="Line 4">
          <a:extLst>
            <a:ext uri="{FF2B5EF4-FFF2-40B4-BE49-F238E27FC236}">
              <a16:creationId xmlns:a16="http://schemas.microsoft.com/office/drawing/2014/main" id="{FD5FF285-F4D7-4DF0-9F93-9F72AF366EBC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79" name="Line 14">
          <a:extLst>
            <a:ext uri="{FF2B5EF4-FFF2-40B4-BE49-F238E27FC236}">
              <a16:creationId xmlns:a16="http://schemas.microsoft.com/office/drawing/2014/main" id="{F9D835AB-94D2-4ADF-A04D-E7B1007F9AA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80" name="Line 15">
          <a:extLst>
            <a:ext uri="{FF2B5EF4-FFF2-40B4-BE49-F238E27FC236}">
              <a16:creationId xmlns:a16="http://schemas.microsoft.com/office/drawing/2014/main" id="{61A1CA38-7372-4858-B765-AF92C601651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81" name="Line 42">
          <a:extLst>
            <a:ext uri="{FF2B5EF4-FFF2-40B4-BE49-F238E27FC236}">
              <a16:creationId xmlns:a16="http://schemas.microsoft.com/office/drawing/2014/main" id="{2FE7798A-E165-4C56-9ACC-B15691815FC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1479</xdr:row>
      <xdr:rowOff>0</xdr:rowOff>
    </xdr:from>
    <xdr:to>
      <xdr:col>18</xdr:col>
      <xdr:colOff>447675</xdr:colOff>
      <xdr:row>1480</xdr:row>
      <xdr:rowOff>0</xdr:rowOff>
    </xdr:to>
    <xdr:sp macro="" textlink="">
      <xdr:nvSpPr>
        <xdr:cNvPr id="1282" name="Line 4">
          <a:extLst>
            <a:ext uri="{FF2B5EF4-FFF2-40B4-BE49-F238E27FC236}">
              <a16:creationId xmlns:a16="http://schemas.microsoft.com/office/drawing/2014/main" id="{4DC1964C-DAC5-4140-B0AA-3B1910EEF885}"/>
            </a:ext>
          </a:extLst>
        </xdr:cNvPr>
        <xdr:cNvSpPr>
          <a:spLocks noChangeShapeType="1"/>
        </xdr:cNvSpPr>
      </xdr:nvSpPr>
      <xdr:spPr bwMode="auto">
        <a:xfrm>
          <a:off x="7667625" y="307962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83" name="Line 14">
          <a:extLst>
            <a:ext uri="{FF2B5EF4-FFF2-40B4-BE49-F238E27FC236}">
              <a16:creationId xmlns:a16="http://schemas.microsoft.com/office/drawing/2014/main" id="{43F99633-D980-45DC-9A78-6EF068CC55B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84" name="Line 15">
          <a:extLst>
            <a:ext uri="{FF2B5EF4-FFF2-40B4-BE49-F238E27FC236}">
              <a16:creationId xmlns:a16="http://schemas.microsoft.com/office/drawing/2014/main" id="{B8C0A561-27BD-4020-AEA3-C86E49795CB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1479</xdr:row>
      <xdr:rowOff>0</xdr:rowOff>
    </xdr:from>
    <xdr:to>
      <xdr:col>18</xdr:col>
      <xdr:colOff>438150</xdr:colOff>
      <xdr:row>1480</xdr:row>
      <xdr:rowOff>0</xdr:rowOff>
    </xdr:to>
    <xdr:sp macro="" textlink="">
      <xdr:nvSpPr>
        <xdr:cNvPr id="1285" name="Line 42">
          <a:extLst>
            <a:ext uri="{FF2B5EF4-FFF2-40B4-BE49-F238E27FC236}">
              <a16:creationId xmlns:a16="http://schemas.microsoft.com/office/drawing/2014/main" id="{D0861032-DD77-4AC3-9671-0563B61B979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7962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86" name="Line 4">
          <a:extLst>
            <a:ext uri="{FF2B5EF4-FFF2-40B4-BE49-F238E27FC236}">
              <a16:creationId xmlns:a16="http://schemas.microsoft.com/office/drawing/2014/main" id="{8CEE6B01-F61D-4E55-8B1E-2185759DD0DD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87" name="Line 14">
          <a:extLst>
            <a:ext uri="{FF2B5EF4-FFF2-40B4-BE49-F238E27FC236}">
              <a16:creationId xmlns:a16="http://schemas.microsoft.com/office/drawing/2014/main" id="{4AC43B45-51F1-43C3-B787-72491AFE6C1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88" name="Line 15">
          <a:extLst>
            <a:ext uri="{FF2B5EF4-FFF2-40B4-BE49-F238E27FC236}">
              <a16:creationId xmlns:a16="http://schemas.microsoft.com/office/drawing/2014/main" id="{93D1197E-77B4-4991-84F3-B5B8FA53BD7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89" name="Line 42">
          <a:extLst>
            <a:ext uri="{FF2B5EF4-FFF2-40B4-BE49-F238E27FC236}">
              <a16:creationId xmlns:a16="http://schemas.microsoft.com/office/drawing/2014/main" id="{2108C01C-6AA7-439D-8B2B-70F90758D8E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90" name="Line 4">
          <a:extLst>
            <a:ext uri="{FF2B5EF4-FFF2-40B4-BE49-F238E27FC236}">
              <a16:creationId xmlns:a16="http://schemas.microsoft.com/office/drawing/2014/main" id="{0A2064FC-FADB-489E-8E21-7332EA62C290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1" name="Line 14">
          <a:extLst>
            <a:ext uri="{FF2B5EF4-FFF2-40B4-BE49-F238E27FC236}">
              <a16:creationId xmlns:a16="http://schemas.microsoft.com/office/drawing/2014/main" id="{488D4DE6-27F3-48D2-8D7E-5D5C1A12032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2" name="Line 15">
          <a:extLst>
            <a:ext uri="{FF2B5EF4-FFF2-40B4-BE49-F238E27FC236}">
              <a16:creationId xmlns:a16="http://schemas.microsoft.com/office/drawing/2014/main" id="{297FD63A-DE13-43D1-AB6B-AB396A41FB5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3" name="Line 42">
          <a:extLst>
            <a:ext uri="{FF2B5EF4-FFF2-40B4-BE49-F238E27FC236}">
              <a16:creationId xmlns:a16="http://schemas.microsoft.com/office/drawing/2014/main" id="{1CACA1E8-7BF9-4212-B0B3-F0A45FE4AC1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94" name="Line 4">
          <a:extLst>
            <a:ext uri="{FF2B5EF4-FFF2-40B4-BE49-F238E27FC236}">
              <a16:creationId xmlns:a16="http://schemas.microsoft.com/office/drawing/2014/main" id="{1A763F8D-4768-457F-A26C-2376C6C90E46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5" name="Line 14">
          <a:extLst>
            <a:ext uri="{FF2B5EF4-FFF2-40B4-BE49-F238E27FC236}">
              <a16:creationId xmlns:a16="http://schemas.microsoft.com/office/drawing/2014/main" id="{4B8137A3-8EC4-4E05-8ABE-CC64D5E15A5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6" name="Line 15">
          <a:extLst>
            <a:ext uri="{FF2B5EF4-FFF2-40B4-BE49-F238E27FC236}">
              <a16:creationId xmlns:a16="http://schemas.microsoft.com/office/drawing/2014/main" id="{3F0A5A60-C1AF-4503-9119-AEF065D0BAE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7" name="Line 42">
          <a:extLst>
            <a:ext uri="{FF2B5EF4-FFF2-40B4-BE49-F238E27FC236}">
              <a16:creationId xmlns:a16="http://schemas.microsoft.com/office/drawing/2014/main" id="{C27CC4C9-6D4C-4F98-843B-3F948D4A1DC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298" name="Line 4">
          <a:extLst>
            <a:ext uri="{FF2B5EF4-FFF2-40B4-BE49-F238E27FC236}">
              <a16:creationId xmlns:a16="http://schemas.microsoft.com/office/drawing/2014/main" id="{95E80980-E173-42A5-9987-7DB5D215B159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299" name="Line 14">
          <a:extLst>
            <a:ext uri="{FF2B5EF4-FFF2-40B4-BE49-F238E27FC236}">
              <a16:creationId xmlns:a16="http://schemas.microsoft.com/office/drawing/2014/main" id="{E646BCD1-CCF1-4010-B609-63D11803341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0" name="Line 15">
          <a:extLst>
            <a:ext uri="{FF2B5EF4-FFF2-40B4-BE49-F238E27FC236}">
              <a16:creationId xmlns:a16="http://schemas.microsoft.com/office/drawing/2014/main" id="{F762CB93-12AF-40EE-8A77-DF77996174D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1" name="Line 42">
          <a:extLst>
            <a:ext uri="{FF2B5EF4-FFF2-40B4-BE49-F238E27FC236}">
              <a16:creationId xmlns:a16="http://schemas.microsoft.com/office/drawing/2014/main" id="{302E3B22-F748-4719-B74F-098C70B7591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302" name="Line 4">
          <a:extLst>
            <a:ext uri="{FF2B5EF4-FFF2-40B4-BE49-F238E27FC236}">
              <a16:creationId xmlns:a16="http://schemas.microsoft.com/office/drawing/2014/main" id="{54CDA6BA-B8E8-40C8-95B1-ADA3F56C93F8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3" name="Line 14">
          <a:extLst>
            <a:ext uri="{FF2B5EF4-FFF2-40B4-BE49-F238E27FC236}">
              <a16:creationId xmlns:a16="http://schemas.microsoft.com/office/drawing/2014/main" id="{3A15DB3C-D38F-490E-B7F8-C312797E450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4" name="Line 15">
          <a:extLst>
            <a:ext uri="{FF2B5EF4-FFF2-40B4-BE49-F238E27FC236}">
              <a16:creationId xmlns:a16="http://schemas.microsoft.com/office/drawing/2014/main" id="{9837AA88-33F2-4070-B9B6-3E65EA3D44C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5" name="Line 42">
          <a:extLst>
            <a:ext uri="{FF2B5EF4-FFF2-40B4-BE49-F238E27FC236}">
              <a16:creationId xmlns:a16="http://schemas.microsoft.com/office/drawing/2014/main" id="{3826B638-DB1F-4C9D-8472-9F256E73984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1481</xdr:row>
      <xdr:rowOff>0</xdr:rowOff>
    </xdr:from>
    <xdr:to>
      <xdr:col>18</xdr:col>
      <xdr:colOff>447675</xdr:colOff>
      <xdr:row>1482</xdr:row>
      <xdr:rowOff>0</xdr:rowOff>
    </xdr:to>
    <xdr:sp macro="" textlink="">
      <xdr:nvSpPr>
        <xdr:cNvPr id="1306" name="Line 4">
          <a:extLst>
            <a:ext uri="{FF2B5EF4-FFF2-40B4-BE49-F238E27FC236}">
              <a16:creationId xmlns:a16="http://schemas.microsoft.com/office/drawing/2014/main" id="{F754C4E9-1497-4B8E-9D3E-FD6158B9748E}"/>
            </a:ext>
          </a:extLst>
        </xdr:cNvPr>
        <xdr:cNvSpPr>
          <a:spLocks noChangeShapeType="1"/>
        </xdr:cNvSpPr>
      </xdr:nvSpPr>
      <xdr:spPr bwMode="auto">
        <a:xfrm>
          <a:off x="7667625" y="3083814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7" name="Line 14">
          <a:extLst>
            <a:ext uri="{FF2B5EF4-FFF2-40B4-BE49-F238E27FC236}">
              <a16:creationId xmlns:a16="http://schemas.microsoft.com/office/drawing/2014/main" id="{874BCC27-6E9F-4D4F-86BC-E8E4CEE2E91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8" name="Line 15">
          <a:extLst>
            <a:ext uri="{FF2B5EF4-FFF2-40B4-BE49-F238E27FC236}">
              <a16:creationId xmlns:a16="http://schemas.microsoft.com/office/drawing/2014/main" id="{0C5DBB57-7F21-4AE0-B4A3-84DDE3B52B4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1481</xdr:row>
      <xdr:rowOff>0</xdr:rowOff>
    </xdr:from>
    <xdr:to>
      <xdr:col>18</xdr:col>
      <xdr:colOff>438150</xdr:colOff>
      <xdr:row>1482</xdr:row>
      <xdr:rowOff>0</xdr:rowOff>
    </xdr:to>
    <xdr:sp macro="" textlink="">
      <xdr:nvSpPr>
        <xdr:cNvPr id="1309" name="Line 42">
          <a:extLst>
            <a:ext uri="{FF2B5EF4-FFF2-40B4-BE49-F238E27FC236}">
              <a16:creationId xmlns:a16="http://schemas.microsoft.com/office/drawing/2014/main" id="{C4E60691-C25B-4799-9512-913C3F20307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083814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10" name="Line 4">
          <a:extLst>
            <a:ext uri="{FF2B5EF4-FFF2-40B4-BE49-F238E27FC236}">
              <a16:creationId xmlns:a16="http://schemas.microsoft.com/office/drawing/2014/main" id="{DF9F2771-0B18-4775-B1C7-09F2209C7FE7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1" name="Line 14">
          <a:extLst>
            <a:ext uri="{FF2B5EF4-FFF2-40B4-BE49-F238E27FC236}">
              <a16:creationId xmlns:a16="http://schemas.microsoft.com/office/drawing/2014/main" id="{C686C3E0-D999-48EF-BDD4-8B06277A2E5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2" name="Line 15">
          <a:extLst>
            <a:ext uri="{FF2B5EF4-FFF2-40B4-BE49-F238E27FC236}">
              <a16:creationId xmlns:a16="http://schemas.microsoft.com/office/drawing/2014/main" id="{7A8DCDB1-CCA4-419D-A07D-2DE38F2042C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3" name="Line 42">
          <a:extLst>
            <a:ext uri="{FF2B5EF4-FFF2-40B4-BE49-F238E27FC236}">
              <a16:creationId xmlns:a16="http://schemas.microsoft.com/office/drawing/2014/main" id="{B1ED0D5A-6BB3-494F-BEEC-81C19C699AE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14" name="Line 4">
          <a:extLst>
            <a:ext uri="{FF2B5EF4-FFF2-40B4-BE49-F238E27FC236}">
              <a16:creationId xmlns:a16="http://schemas.microsoft.com/office/drawing/2014/main" id="{213D33A2-97CF-4BA5-BBB4-8653067D651C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5" name="Line 14">
          <a:extLst>
            <a:ext uri="{FF2B5EF4-FFF2-40B4-BE49-F238E27FC236}">
              <a16:creationId xmlns:a16="http://schemas.microsoft.com/office/drawing/2014/main" id="{9922F087-CB30-423C-A87B-915C7E37E88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6" name="Line 15">
          <a:extLst>
            <a:ext uri="{FF2B5EF4-FFF2-40B4-BE49-F238E27FC236}">
              <a16:creationId xmlns:a16="http://schemas.microsoft.com/office/drawing/2014/main" id="{20CA9D13-4E2B-4D4C-ABAC-E6E17E5617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7" name="Line 42">
          <a:extLst>
            <a:ext uri="{FF2B5EF4-FFF2-40B4-BE49-F238E27FC236}">
              <a16:creationId xmlns:a16="http://schemas.microsoft.com/office/drawing/2014/main" id="{8C6463FB-C0E7-4D8E-900E-B7A5EF823EB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18" name="Line 4">
          <a:extLst>
            <a:ext uri="{FF2B5EF4-FFF2-40B4-BE49-F238E27FC236}">
              <a16:creationId xmlns:a16="http://schemas.microsoft.com/office/drawing/2014/main" id="{DB5B9976-66B2-4C7B-84BD-F2F297337964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19" name="Line 14">
          <a:extLst>
            <a:ext uri="{FF2B5EF4-FFF2-40B4-BE49-F238E27FC236}">
              <a16:creationId xmlns:a16="http://schemas.microsoft.com/office/drawing/2014/main" id="{40312A9B-9D5B-4F8F-AAAE-3EB774FC7A3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20" name="Line 15">
          <a:extLst>
            <a:ext uri="{FF2B5EF4-FFF2-40B4-BE49-F238E27FC236}">
              <a16:creationId xmlns:a16="http://schemas.microsoft.com/office/drawing/2014/main" id="{63A35A7D-25F5-42D8-8800-F345463D4B0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21" name="Line 42">
          <a:extLst>
            <a:ext uri="{FF2B5EF4-FFF2-40B4-BE49-F238E27FC236}">
              <a16:creationId xmlns:a16="http://schemas.microsoft.com/office/drawing/2014/main" id="{4D27F1FD-4588-4C22-88AA-7AEB888CD59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22" name="Line 4">
          <a:extLst>
            <a:ext uri="{FF2B5EF4-FFF2-40B4-BE49-F238E27FC236}">
              <a16:creationId xmlns:a16="http://schemas.microsoft.com/office/drawing/2014/main" id="{F91D1F71-3C01-47D4-9CA3-44E790C249C3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3" name="Line 14">
          <a:extLst>
            <a:ext uri="{FF2B5EF4-FFF2-40B4-BE49-F238E27FC236}">
              <a16:creationId xmlns:a16="http://schemas.microsoft.com/office/drawing/2014/main" id="{019A2E68-EA4F-4E1C-AE64-94956976AEC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4" name="Line 15">
          <a:extLst>
            <a:ext uri="{FF2B5EF4-FFF2-40B4-BE49-F238E27FC236}">
              <a16:creationId xmlns:a16="http://schemas.microsoft.com/office/drawing/2014/main" id="{27D0FF02-9439-40B7-8370-99409DED99B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5" name="Line 42">
          <a:extLst>
            <a:ext uri="{FF2B5EF4-FFF2-40B4-BE49-F238E27FC236}">
              <a16:creationId xmlns:a16="http://schemas.microsoft.com/office/drawing/2014/main" id="{7E38E380-7E77-4ED8-A531-C5700B0673F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26" name="Line 4">
          <a:extLst>
            <a:ext uri="{FF2B5EF4-FFF2-40B4-BE49-F238E27FC236}">
              <a16:creationId xmlns:a16="http://schemas.microsoft.com/office/drawing/2014/main" id="{6ED01A74-3EE0-47A0-9E04-2D98DD102E4C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7" name="Line 14">
          <a:extLst>
            <a:ext uri="{FF2B5EF4-FFF2-40B4-BE49-F238E27FC236}">
              <a16:creationId xmlns:a16="http://schemas.microsoft.com/office/drawing/2014/main" id="{870E0130-4E30-46E6-8C0F-79FFCB022C4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8" name="Line 15">
          <a:extLst>
            <a:ext uri="{FF2B5EF4-FFF2-40B4-BE49-F238E27FC236}">
              <a16:creationId xmlns:a16="http://schemas.microsoft.com/office/drawing/2014/main" id="{5F71CFE3-1A5B-49B3-8E21-9580F923852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29" name="Line 42">
          <a:extLst>
            <a:ext uri="{FF2B5EF4-FFF2-40B4-BE49-F238E27FC236}">
              <a16:creationId xmlns:a16="http://schemas.microsoft.com/office/drawing/2014/main" id="{DC1E16EC-3263-4126-A5C2-FADE06A10B1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30" name="Line 4">
          <a:extLst>
            <a:ext uri="{FF2B5EF4-FFF2-40B4-BE49-F238E27FC236}">
              <a16:creationId xmlns:a16="http://schemas.microsoft.com/office/drawing/2014/main" id="{E1BB4077-D86B-48C6-8478-D8F8CDD7BE53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1" name="Line 14">
          <a:extLst>
            <a:ext uri="{FF2B5EF4-FFF2-40B4-BE49-F238E27FC236}">
              <a16:creationId xmlns:a16="http://schemas.microsoft.com/office/drawing/2014/main" id="{A8356564-1E88-4505-BE6B-2D584589020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2" name="Line 15">
          <a:extLst>
            <a:ext uri="{FF2B5EF4-FFF2-40B4-BE49-F238E27FC236}">
              <a16:creationId xmlns:a16="http://schemas.microsoft.com/office/drawing/2014/main" id="{1D3E5A53-1EC4-45FA-91C6-A99EF810E0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3" name="Line 42">
          <a:extLst>
            <a:ext uri="{FF2B5EF4-FFF2-40B4-BE49-F238E27FC236}">
              <a16:creationId xmlns:a16="http://schemas.microsoft.com/office/drawing/2014/main" id="{589A1DF3-237D-462E-ABAE-8016DD5F6BA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34" name="Line 4">
          <a:extLst>
            <a:ext uri="{FF2B5EF4-FFF2-40B4-BE49-F238E27FC236}">
              <a16:creationId xmlns:a16="http://schemas.microsoft.com/office/drawing/2014/main" id="{322E82DE-7004-4218-ABE8-0CC0E0161DEA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5" name="Line 14">
          <a:extLst>
            <a:ext uri="{FF2B5EF4-FFF2-40B4-BE49-F238E27FC236}">
              <a16:creationId xmlns:a16="http://schemas.microsoft.com/office/drawing/2014/main" id="{16201C3A-35F1-47AE-8A27-40124D56407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6" name="Line 15">
          <a:extLst>
            <a:ext uri="{FF2B5EF4-FFF2-40B4-BE49-F238E27FC236}">
              <a16:creationId xmlns:a16="http://schemas.microsoft.com/office/drawing/2014/main" id="{626BF9AC-BF28-4CDA-A956-DB6C5D6F634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7" name="Line 42">
          <a:extLst>
            <a:ext uri="{FF2B5EF4-FFF2-40B4-BE49-F238E27FC236}">
              <a16:creationId xmlns:a16="http://schemas.microsoft.com/office/drawing/2014/main" id="{D27D5871-0B3D-4DAB-B587-0717EEC1014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38" name="Line 4">
          <a:extLst>
            <a:ext uri="{FF2B5EF4-FFF2-40B4-BE49-F238E27FC236}">
              <a16:creationId xmlns:a16="http://schemas.microsoft.com/office/drawing/2014/main" id="{B89C9B6A-FF85-4945-A29A-5B2249219F6E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39" name="Line 14">
          <a:extLst>
            <a:ext uri="{FF2B5EF4-FFF2-40B4-BE49-F238E27FC236}">
              <a16:creationId xmlns:a16="http://schemas.microsoft.com/office/drawing/2014/main" id="{ACF0059E-D3E7-4427-BECC-E2F2A2AD96B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40" name="Line 15">
          <a:extLst>
            <a:ext uri="{FF2B5EF4-FFF2-40B4-BE49-F238E27FC236}">
              <a16:creationId xmlns:a16="http://schemas.microsoft.com/office/drawing/2014/main" id="{168EE4B9-20BE-4017-A32B-278463E783B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41" name="Line 42">
          <a:extLst>
            <a:ext uri="{FF2B5EF4-FFF2-40B4-BE49-F238E27FC236}">
              <a16:creationId xmlns:a16="http://schemas.microsoft.com/office/drawing/2014/main" id="{6EA3940B-3CAF-4049-B4D7-759D09679EE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42" name="Line 4">
          <a:extLst>
            <a:ext uri="{FF2B5EF4-FFF2-40B4-BE49-F238E27FC236}">
              <a16:creationId xmlns:a16="http://schemas.microsoft.com/office/drawing/2014/main" id="{34258DBD-9E80-4692-B29C-7C176C37F2E0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43" name="Line 14">
          <a:extLst>
            <a:ext uri="{FF2B5EF4-FFF2-40B4-BE49-F238E27FC236}">
              <a16:creationId xmlns:a16="http://schemas.microsoft.com/office/drawing/2014/main" id="{0C83064C-B082-48E2-8B53-ECECB4915B9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44" name="Line 15">
          <a:extLst>
            <a:ext uri="{FF2B5EF4-FFF2-40B4-BE49-F238E27FC236}">
              <a16:creationId xmlns:a16="http://schemas.microsoft.com/office/drawing/2014/main" id="{BB051A8D-8EB5-43B5-8B1E-F0468DE23A2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45" name="Line 42">
          <a:extLst>
            <a:ext uri="{FF2B5EF4-FFF2-40B4-BE49-F238E27FC236}">
              <a16:creationId xmlns:a16="http://schemas.microsoft.com/office/drawing/2014/main" id="{8E0A5D49-BFCE-43AF-87F6-7DC68FE3C9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46" name="Line 4">
          <a:extLst>
            <a:ext uri="{FF2B5EF4-FFF2-40B4-BE49-F238E27FC236}">
              <a16:creationId xmlns:a16="http://schemas.microsoft.com/office/drawing/2014/main" id="{958885E3-9498-4331-8CDC-B69947B4316E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47" name="Line 14">
          <a:extLst>
            <a:ext uri="{FF2B5EF4-FFF2-40B4-BE49-F238E27FC236}">
              <a16:creationId xmlns:a16="http://schemas.microsoft.com/office/drawing/2014/main" id="{C599DC66-8B92-441A-BC7B-8953F1C5A72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48" name="Line 15">
          <a:extLst>
            <a:ext uri="{FF2B5EF4-FFF2-40B4-BE49-F238E27FC236}">
              <a16:creationId xmlns:a16="http://schemas.microsoft.com/office/drawing/2014/main" id="{76EEFECB-7597-4E6C-B106-B34F5710725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49" name="Line 42">
          <a:extLst>
            <a:ext uri="{FF2B5EF4-FFF2-40B4-BE49-F238E27FC236}">
              <a16:creationId xmlns:a16="http://schemas.microsoft.com/office/drawing/2014/main" id="{9C2354AD-969F-468F-85F4-BDB64ECA8B4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50" name="Line 4">
          <a:extLst>
            <a:ext uri="{FF2B5EF4-FFF2-40B4-BE49-F238E27FC236}">
              <a16:creationId xmlns:a16="http://schemas.microsoft.com/office/drawing/2014/main" id="{125EF04D-A0F6-41C2-9D11-B3EBC5ACE48A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1" name="Line 14">
          <a:extLst>
            <a:ext uri="{FF2B5EF4-FFF2-40B4-BE49-F238E27FC236}">
              <a16:creationId xmlns:a16="http://schemas.microsoft.com/office/drawing/2014/main" id="{87CA896E-813D-483F-BD12-B6A33FC584E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2" name="Line 15">
          <a:extLst>
            <a:ext uri="{FF2B5EF4-FFF2-40B4-BE49-F238E27FC236}">
              <a16:creationId xmlns:a16="http://schemas.microsoft.com/office/drawing/2014/main" id="{1050719F-9FEF-4D4A-ADC2-676F0AEBA8F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3" name="Line 42">
          <a:extLst>
            <a:ext uri="{FF2B5EF4-FFF2-40B4-BE49-F238E27FC236}">
              <a16:creationId xmlns:a16="http://schemas.microsoft.com/office/drawing/2014/main" id="{E393BAFB-720E-4FBB-AB74-0F70EC76ECE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1552</xdr:row>
      <xdr:rowOff>0</xdr:rowOff>
    </xdr:from>
    <xdr:to>
      <xdr:col>18</xdr:col>
      <xdr:colOff>447675</xdr:colOff>
      <xdr:row>1553</xdr:row>
      <xdr:rowOff>0</xdr:rowOff>
    </xdr:to>
    <xdr:sp macro="" textlink="">
      <xdr:nvSpPr>
        <xdr:cNvPr id="1354" name="Line 4">
          <a:extLst>
            <a:ext uri="{FF2B5EF4-FFF2-40B4-BE49-F238E27FC236}">
              <a16:creationId xmlns:a16="http://schemas.microsoft.com/office/drawing/2014/main" id="{B8009D57-6B28-4DAA-BEB3-ECD6A51B5EA2}"/>
            </a:ext>
          </a:extLst>
        </xdr:cNvPr>
        <xdr:cNvSpPr>
          <a:spLocks noChangeShapeType="1"/>
        </xdr:cNvSpPr>
      </xdr:nvSpPr>
      <xdr:spPr bwMode="auto">
        <a:xfrm>
          <a:off x="7667625" y="323926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5" name="Line 14">
          <a:extLst>
            <a:ext uri="{FF2B5EF4-FFF2-40B4-BE49-F238E27FC236}">
              <a16:creationId xmlns:a16="http://schemas.microsoft.com/office/drawing/2014/main" id="{5732A60E-50D5-405D-AA37-F35A9690451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6" name="Line 15">
          <a:extLst>
            <a:ext uri="{FF2B5EF4-FFF2-40B4-BE49-F238E27FC236}">
              <a16:creationId xmlns:a16="http://schemas.microsoft.com/office/drawing/2014/main" id="{B1E3FD4D-6361-41F2-8200-EC043ECFB2B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1552</xdr:row>
      <xdr:rowOff>0</xdr:rowOff>
    </xdr:from>
    <xdr:to>
      <xdr:col>18</xdr:col>
      <xdr:colOff>438150</xdr:colOff>
      <xdr:row>1553</xdr:row>
      <xdr:rowOff>0</xdr:rowOff>
    </xdr:to>
    <xdr:sp macro="" textlink="">
      <xdr:nvSpPr>
        <xdr:cNvPr id="1357" name="Line 42">
          <a:extLst>
            <a:ext uri="{FF2B5EF4-FFF2-40B4-BE49-F238E27FC236}">
              <a16:creationId xmlns:a16="http://schemas.microsoft.com/office/drawing/2014/main" id="{05FF7707-6FE2-43F1-94A8-F72A3D8013B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3926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58" name="Line 4">
          <a:extLst>
            <a:ext uri="{FF2B5EF4-FFF2-40B4-BE49-F238E27FC236}">
              <a16:creationId xmlns:a16="http://schemas.microsoft.com/office/drawing/2014/main" id="{FBABC9E6-D75A-4855-8387-ADFECD397A08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59" name="Line 14">
          <a:extLst>
            <a:ext uri="{FF2B5EF4-FFF2-40B4-BE49-F238E27FC236}">
              <a16:creationId xmlns:a16="http://schemas.microsoft.com/office/drawing/2014/main" id="{319E9187-E60F-40DD-851D-397DAD9520D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0" name="Line 15">
          <a:extLst>
            <a:ext uri="{FF2B5EF4-FFF2-40B4-BE49-F238E27FC236}">
              <a16:creationId xmlns:a16="http://schemas.microsoft.com/office/drawing/2014/main" id="{44988E95-47CF-41B2-B909-7EDE4FD2B47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1" name="Line 42">
          <a:extLst>
            <a:ext uri="{FF2B5EF4-FFF2-40B4-BE49-F238E27FC236}">
              <a16:creationId xmlns:a16="http://schemas.microsoft.com/office/drawing/2014/main" id="{2846A1ED-F522-4793-AB5A-2C92E86EB78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62" name="Line 4">
          <a:extLst>
            <a:ext uri="{FF2B5EF4-FFF2-40B4-BE49-F238E27FC236}">
              <a16:creationId xmlns:a16="http://schemas.microsoft.com/office/drawing/2014/main" id="{3EFAE6C1-111F-4586-A95E-884CAE2DDDDB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3" name="Line 14">
          <a:extLst>
            <a:ext uri="{FF2B5EF4-FFF2-40B4-BE49-F238E27FC236}">
              <a16:creationId xmlns:a16="http://schemas.microsoft.com/office/drawing/2014/main" id="{FDE29EE9-0092-40F1-BE08-1E743F588FF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4" name="Line 15">
          <a:extLst>
            <a:ext uri="{FF2B5EF4-FFF2-40B4-BE49-F238E27FC236}">
              <a16:creationId xmlns:a16="http://schemas.microsoft.com/office/drawing/2014/main" id="{C7403A22-F8A0-40DE-B2AD-79B4848C061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5" name="Line 42">
          <a:extLst>
            <a:ext uri="{FF2B5EF4-FFF2-40B4-BE49-F238E27FC236}">
              <a16:creationId xmlns:a16="http://schemas.microsoft.com/office/drawing/2014/main" id="{D2A43AAB-B217-47CD-98A8-92C4E648AA8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66" name="Line 4">
          <a:extLst>
            <a:ext uri="{FF2B5EF4-FFF2-40B4-BE49-F238E27FC236}">
              <a16:creationId xmlns:a16="http://schemas.microsoft.com/office/drawing/2014/main" id="{21EA3311-37AB-4872-A156-34A7331F99E5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7" name="Line 14">
          <a:extLst>
            <a:ext uri="{FF2B5EF4-FFF2-40B4-BE49-F238E27FC236}">
              <a16:creationId xmlns:a16="http://schemas.microsoft.com/office/drawing/2014/main" id="{80B64E2D-5555-49A8-B1B8-FDA2EBC421F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8" name="Line 15">
          <a:extLst>
            <a:ext uri="{FF2B5EF4-FFF2-40B4-BE49-F238E27FC236}">
              <a16:creationId xmlns:a16="http://schemas.microsoft.com/office/drawing/2014/main" id="{14D07304-970B-45E8-BF58-74C22A94C98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69" name="Line 42">
          <a:extLst>
            <a:ext uri="{FF2B5EF4-FFF2-40B4-BE49-F238E27FC236}">
              <a16:creationId xmlns:a16="http://schemas.microsoft.com/office/drawing/2014/main" id="{F9F5378D-1459-4164-9D31-6FA4EC4FDCE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70" name="Line 4">
          <a:extLst>
            <a:ext uri="{FF2B5EF4-FFF2-40B4-BE49-F238E27FC236}">
              <a16:creationId xmlns:a16="http://schemas.microsoft.com/office/drawing/2014/main" id="{7C1B256A-DC2C-45ED-9463-825C116BD7D0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1" name="Line 14">
          <a:extLst>
            <a:ext uri="{FF2B5EF4-FFF2-40B4-BE49-F238E27FC236}">
              <a16:creationId xmlns:a16="http://schemas.microsoft.com/office/drawing/2014/main" id="{2F68418C-F2FD-49FA-A02B-850219D57BC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2" name="Line 15">
          <a:extLst>
            <a:ext uri="{FF2B5EF4-FFF2-40B4-BE49-F238E27FC236}">
              <a16:creationId xmlns:a16="http://schemas.microsoft.com/office/drawing/2014/main" id="{B8A724FB-A130-4269-BF89-EDC4127577C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3" name="Line 42">
          <a:extLst>
            <a:ext uri="{FF2B5EF4-FFF2-40B4-BE49-F238E27FC236}">
              <a16:creationId xmlns:a16="http://schemas.microsoft.com/office/drawing/2014/main" id="{10253FFD-1728-415B-8457-5F5F92F7A58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74" name="Line 4">
          <a:extLst>
            <a:ext uri="{FF2B5EF4-FFF2-40B4-BE49-F238E27FC236}">
              <a16:creationId xmlns:a16="http://schemas.microsoft.com/office/drawing/2014/main" id="{1BFBD50B-5B5D-48D7-87D7-92C3E8B7DF4A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5" name="Line 14">
          <a:extLst>
            <a:ext uri="{FF2B5EF4-FFF2-40B4-BE49-F238E27FC236}">
              <a16:creationId xmlns:a16="http://schemas.microsoft.com/office/drawing/2014/main" id="{2B6BF3E2-6045-437C-B6CD-FB062C71445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6" name="Line 15">
          <a:extLst>
            <a:ext uri="{FF2B5EF4-FFF2-40B4-BE49-F238E27FC236}">
              <a16:creationId xmlns:a16="http://schemas.microsoft.com/office/drawing/2014/main" id="{63ABCFFC-0D49-483D-ACE3-8B4F7B42902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7" name="Line 42">
          <a:extLst>
            <a:ext uri="{FF2B5EF4-FFF2-40B4-BE49-F238E27FC236}">
              <a16:creationId xmlns:a16="http://schemas.microsoft.com/office/drawing/2014/main" id="{A795815D-125D-4CDB-A078-C65113345CA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1554</xdr:row>
      <xdr:rowOff>0</xdr:rowOff>
    </xdr:from>
    <xdr:to>
      <xdr:col>18</xdr:col>
      <xdr:colOff>447675</xdr:colOff>
      <xdr:row>1555</xdr:row>
      <xdr:rowOff>0</xdr:rowOff>
    </xdr:to>
    <xdr:sp macro="" textlink="">
      <xdr:nvSpPr>
        <xdr:cNvPr id="1378" name="Line 4">
          <a:extLst>
            <a:ext uri="{FF2B5EF4-FFF2-40B4-BE49-F238E27FC236}">
              <a16:creationId xmlns:a16="http://schemas.microsoft.com/office/drawing/2014/main" id="{9D6ED21E-BC86-4A72-910C-4E255E53EE6B}"/>
            </a:ext>
          </a:extLst>
        </xdr:cNvPr>
        <xdr:cNvSpPr>
          <a:spLocks noChangeShapeType="1"/>
        </xdr:cNvSpPr>
      </xdr:nvSpPr>
      <xdr:spPr bwMode="auto">
        <a:xfrm>
          <a:off x="7667625" y="3243453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79" name="Line 14">
          <a:extLst>
            <a:ext uri="{FF2B5EF4-FFF2-40B4-BE49-F238E27FC236}">
              <a16:creationId xmlns:a16="http://schemas.microsoft.com/office/drawing/2014/main" id="{E5F21C5F-7321-4D30-906F-1EC35F2278D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80" name="Line 15">
          <a:extLst>
            <a:ext uri="{FF2B5EF4-FFF2-40B4-BE49-F238E27FC236}">
              <a16:creationId xmlns:a16="http://schemas.microsoft.com/office/drawing/2014/main" id="{74057E11-13A1-47BB-B3ED-EDA2B392D02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1554</xdr:row>
      <xdr:rowOff>0</xdr:rowOff>
    </xdr:from>
    <xdr:to>
      <xdr:col>18</xdr:col>
      <xdr:colOff>438150</xdr:colOff>
      <xdr:row>1555</xdr:row>
      <xdr:rowOff>0</xdr:rowOff>
    </xdr:to>
    <xdr:sp macro="" textlink="">
      <xdr:nvSpPr>
        <xdr:cNvPr id="1381" name="Line 42">
          <a:extLst>
            <a:ext uri="{FF2B5EF4-FFF2-40B4-BE49-F238E27FC236}">
              <a16:creationId xmlns:a16="http://schemas.microsoft.com/office/drawing/2014/main" id="{5BA7B89A-F7B4-4121-9B66-B4A5868F760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243453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382" name="Line 4">
          <a:extLst>
            <a:ext uri="{FF2B5EF4-FFF2-40B4-BE49-F238E27FC236}">
              <a16:creationId xmlns:a16="http://schemas.microsoft.com/office/drawing/2014/main" id="{77AF8DEC-AE91-4840-BC44-C327E7C64918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3" name="Line 14">
          <a:extLst>
            <a:ext uri="{FF2B5EF4-FFF2-40B4-BE49-F238E27FC236}">
              <a16:creationId xmlns:a16="http://schemas.microsoft.com/office/drawing/2014/main" id="{3D6AB978-C4CB-47AE-ACF9-07463708667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4" name="Line 15">
          <a:extLst>
            <a:ext uri="{FF2B5EF4-FFF2-40B4-BE49-F238E27FC236}">
              <a16:creationId xmlns:a16="http://schemas.microsoft.com/office/drawing/2014/main" id="{1386C07E-0CB4-4C13-B176-0A920DB637C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5" name="Line 42">
          <a:extLst>
            <a:ext uri="{FF2B5EF4-FFF2-40B4-BE49-F238E27FC236}">
              <a16:creationId xmlns:a16="http://schemas.microsoft.com/office/drawing/2014/main" id="{66376EF7-3B4D-453C-9212-628403EE4B9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386" name="Line 4">
          <a:extLst>
            <a:ext uri="{FF2B5EF4-FFF2-40B4-BE49-F238E27FC236}">
              <a16:creationId xmlns:a16="http://schemas.microsoft.com/office/drawing/2014/main" id="{455DD462-FD4B-42F1-9984-E7F6239C0EB5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7" name="Line 14">
          <a:extLst>
            <a:ext uri="{FF2B5EF4-FFF2-40B4-BE49-F238E27FC236}">
              <a16:creationId xmlns:a16="http://schemas.microsoft.com/office/drawing/2014/main" id="{19B61606-0498-4EEF-89AD-C7706749FED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8" name="Line 15">
          <a:extLst>
            <a:ext uri="{FF2B5EF4-FFF2-40B4-BE49-F238E27FC236}">
              <a16:creationId xmlns:a16="http://schemas.microsoft.com/office/drawing/2014/main" id="{A467CD9A-7722-4B1A-8416-9F24FACB67E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89" name="Line 42">
          <a:extLst>
            <a:ext uri="{FF2B5EF4-FFF2-40B4-BE49-F238E27FC236}">
              <a16:creationId xmlns:a16="http://schemas.microsoft.com/office/drawing/2014/main" id="{15935F4D-2EAA-44BE-93A7-07769A0B58A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390" name="Line 4">
          <a:extLst>
            <a:ext uri="{FF2B5EF4-FFF2-40B4-BE49-F238E27FC236}">
              <a16:creationId xmlns:a16="http://schemas.microsoft.com/office/drawing/2014/main" id="{94B3DD81-54A7-4672-B93D-F66C68E6C7F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91" name="Line 14">
          <a:extLst>
            <a:ext uri="{FF2B5EF4-FFF2-40B4-BE49-F238E27FC236}">
              <a16:creationId xmlns:a16="http://schemas.microsoft.com/office/drawing/2014/main" id="{E56F454A-841B-47C9-A2AA-EDCCD381953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92" name="Line 15">
          <a:extLst>
            <a:ext uri="{FF2B5EF4-FFF2-40B4-BE49-F238E27FC236}">
              <a16:creationId xmlns:a16="http://schemas.microsoft.com/office/drawing/2014/main" id="{495507A4-12B8-469B-BEFA-5F83E5DF930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393" name="Line 42">
          <a:extLst>
            <a:ext uri="{FF2B5EF4-FFF2-40B4-BE49-F238E27FC236}">
              <a16:creationId xmlns:a16="http://schemas.microsoft.com/office/drawing/2014/main" id="{D9E34537-49B5-4472-A797-F38B047DB94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394" name="Line 4">
          <a:extLst>
            <a:ext uri="{FF2B5EF4-FFF2-40B4-BE49-F238E27FC236}">
              <a16:creationId xmlns:a16="http://schemas.microsoft.com/office/drawing/2014/main" id="{33B86F23-08F3-41DA-A95C-8697F61C653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395" name="Line 14">
          <a:extLst>
            <a:ext uri="{FF2B5EF4-FFF2-40B4-BE49-F238E27FC236}">
              <a16:creationId xmlns:a16="http://schemas.microsoft.com/office/drawing/2014/main" id="{23DA8E5F-1E29-433B-82A7-AAB3AF7C33A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396" name="Line 15">
          <a:extLst>
            <a:ext uri="{FF2B5EF4-FFF2-40B4-BE49-F238E27FC236}">
              <a16:creationId xmlns:a16="http://schemas.microsoft.com/office/drawing/2014/main" id="{78287744-F5CC-43B3-A2C0-FDD81DBFFE8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397" name="Line 42">
          <a:extLst>
            <a:ext uri="{FF2B5EF4-FFF2-40B4-BE49-F238E27FC236}">
              <a16:creationId xmlns:a16="http://schemas.microsoft.com/office/drawing/2014/main" id="{F1B0C971-9342-457E-88E7-50632BE23D0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398" name="Line 4">
          <a:extLst>
            <a:ext uri="{FF2B5EF4-FFF2-40B4-BE49-F238E27FC236}">
              <a16:creationId xmlns:a16="http://schemas.microsoft.com/office/drawing/2014/main" id="{6E57016D-BD3C-4643-9B37-B2A3C999DAC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399" name="Line 14">
          <a:extLst>
            <a:ext uri="{FF2B5EF4-FFF2-40B4-BE49-F238E27FC236}">
              <a16:creationId xmlns:a16="http://schemas.microsoft.com/office/drawing/2014/main" id="{E55D6CA4-3D5E-40D7-B3C0-60385FBB9CE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0" name="Line 15">
          <a:extLst>
            <a:ext uri="{FF2B5EF4-FFF2-40B4-BE49-F238E27FC236}">
              <a16:creationId xmlns:a16="http://schemas.microsoft.com/office/drawing/2014/main" id="{2E862985-755B-4251-9B06-369369CA428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1" name="Line 42">
          <a:extLst>
            <a:ext uri="{FF2B5EF4-FFF2-40B4-BE49-F238E27FC236}">
              <a16:creationId xmlns:a16="http://schemas.microsoft.com/office/drawing/2014/main" id="{BE7851E8-EEF7-48E0-9B14-6FB01A81786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02" name="Line 4">
          <a:extLst>
            <a:ext uri="{FF2B5EF4-FFF2-40B4-BE49-F238E27FC236}">
              <a16:creationId xmlns:a16="http://schemas.microsoft.com/office/drawing/2014/main" id="{30FD1236-2837-40AA-B127-97D54108C877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3" name="Line 14">
          <a:extLst>
            <a:ext uri="{FF2B5EF4-FFF2-40B4-BE49-F238E27FC236}">
              <a16:creationId xmlns:a16="http://schemas.microsoft.com/office/drawing/2014/main" id="{151C73DB-230E-42BC-8EE9-09303DF99B2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4" name="Line 15">
          <a:extLst>
            <a:ext uri="{FF2B5EF4-FFF2-40B4-BE49-F238E27FC236}">
              <a16:creationId xmlns:a16="http://schemas.microsoft.com/office/drawing/2014/main" id="{0CAE4C44-7002-46E3-A1AF-15748E9F639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5" name="Line 42">
          <a:extLst>
            <a:ext uri="{FF2B5EF4-FFF2-40B4-BE49-F238E27FC236}">
              <a16:creationId xmlns:a16="http://schemas.microsoft.com/office/drawing/2014/main" id="{87AE293E-D289-4FE6-AC28-C9527138BF7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06" name="Line 4">
          <a:extLst>
            <a:ext uri="{FF2B5EF4-FFF2-40B4-BE49-F238E27FC236}">
              <a16:creationId xmlns:a16="http://schemas.microsoft.com/office/drawing/2014/main" id="{FD5DBF9F-ACBC-4F89-92E2-DDDB935AC48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7" name="Line 14">
          <a:extLst>
            <a:ext uri="{FF2B5EF4-FFF2-40B4-BE49-F238E27FC236}">
              <a16:creationId xmlns:a16="http://schemas.microsoft.com/office/drawing/2014/main" id="{3F62F561-EBBF-417F-BC1A-EEAB384C7F3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8" name="Line 15">
          <a:extLst>
            <a:ext uri="{FF2B5EF4-FFF2-40B4-BE49-F238E27FC236}">
              <a16:creationId xmlns:a16="http://schemas.microsoft.com/office/drawing/2014/main" id="{06CD859F-D9B2-4825-9B8E-486843EFC00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09" name="Line 42">
          <a:extLst>
            <a:ext uri="{FF2B5EF4-FFF2-40B4-BE49-F238E27FC236}">
              <a16:creationId xmlns:a16="http://schemas.microsoft.com/office/drawing/2014/main" id="{4A8C25E7-625D-4AA1-B9D0-3F635D4692A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10" name="Line 4">
          <a:extLst>
            <a:ext uri="{FF2B5EF4-FFF2-40B4-BE49-F238E27FC236}">
              <a16:creationId xmlns:a16="http://schemas.microsoft.com/office/drawing/2014/main" id="{017E5440-ACB1-4C74-8669-3BADE181CF85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1" name="Line 14">
          <a:extLst>
            <a:ext uri="{FF2B5EF4-FFF2-40B4-BE49-F238E27FC236}">
              <a16:creationId xmlns:a16="http://schemas.microsoft.com/office/drawing/2014/main" id="{FD9DB6B4-0EBC-4365-B366-F7922CD1D96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2" name="Line 15">
          <a:extLst>
            <a:ext uri="{FF2B5EF4-FFF2-40B4-BE49-F238E27FC236}">
              <a16:creationId xmlns:a16="http://schemas.microsoft.com/office/drawing/2014/main" id="{5BB7406E-1FF0-42BB-97A8-1033E45DDF3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3" name="Line 42">
          <a:extLst>
            <a:ext uri="{FF2B5EF4-FFF2-40B4-BE49-F238E27FC236}">
              <a16:creationId xmlns:a16="http://schemas.microsoft.com/office/drawing/2014/main" id="{9DC67DA3-3F4A-42CD-B99B-79864171D69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14" name="Line 4">
          <a:extLst>
            <a:ext uri="{FF2B5EF4-FFF2-40B4-BE49-F238E27FC236}">
              <a16:creationId xmlns:a16="http://schemas.microsoft.com/office/drawing/2014/main" id="{7F849F04-3564-4103-8C17-0DD6387B8AA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5" name="Line 14">
          <a:extLst>
            <a:ext uri="{FF2B5EF4-FFF2-40B4-BE49-F238E27FC236}">
              <a16:creationId xmlns:a16="http://schemas.microsoft.com/office/drawing/2014/main" id="{28DAF2BF-891D-449D-A3DA-3A3E1FB8EF3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6" name="Line 15">
          <a:extLst>
            <a:ext uri="{FF2B5EF4-FFF2-40B4-BE49-F238E27FC236}">
              <a16:creationId xmlns:a16="http://schemas.microsoft.com/office/drawing/2014/main" id="{8143F95B-129B-42B6-91CC-1DACF12AD11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17" name="Line 42">
          <a:extLst>
            <a:ext uri="{FF2B5EF4-FFF2-40B4-BE49-F238E27FC236}">
              <a16:creationId xmlns:a16="http://schemas.microsoft.com/office/drawing/2014/main" id="{51300423-E2CC-4650-B990-229000134A4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418" name="Line 4">
          <a:extLst>
            <a:ext uri="{FF2B5EF4-FFF2-40B4-BE49-F238E27FC236}">
              <a16:creationId xmlns:a16="http://schemas.microsoft.com/office/drawing/2014/main" id="{CFE4DC85-B63C-451A-BE02-ED32102F6566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19" name="Line 14">
          <a:extLst>
            <a:ext uri="{FF2B5EF4-FFF2-40B4-BE49-F238E27FC236}">
              <a16:creationId xmlns:a16="http://schemas.microsoft.com/office/drawing/2014/main" id="{17E6F4C1-0F26-47E5-96A0-F7B7CD84737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0" name="Line 15">
          <a:extLst>
            <a:ext uri="{FF2B5EF4-FFF2-40B4-BE49-F238E27FC236}">
              <a16:creationId xmlns:a16="http://schemas.microsoft.com/office/drawing/2014/main" id="{185BF447-2D4E-4BCC-9C7C-27070F031AD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1" name="Line 42">
          <a:extLst>
            <a:ext uri="{FF2B5EF4-FFF2-40B4-BE49-F238E27FC236}">
              <a16:creationId xmlns:a16="http://schemas.microsoft.com/office/drawing/2014/main" id="{10AEF473-1322-478F-B6FA-4C2CADD58C7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422" name="Line 4">
          <a:extLst>
            <a:ext uri="{FF2B5EF4-FFF2-40B4-BE49-F238E27FC236}">
              <a16:creationId xmlns:a16="http://schemas.microsoft.com/office/drawing/2014/main" id="{EA67F26C-8E16-4C17-88AF-0884950F9930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3" name="Line 14">
          <a:extLst>
            <a:ext uri="{FF2B5EF4-FFF2-40B4-BE49-F238E27FC236}">
              <a16:creationId xmlns:a16="http://schemas.microsoft.com/office/drawing/2014/main" id="{4F0CDBE5-11B9-430C-A796-7B011C56670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4" name="Line 15">
          <a:extLst>
            <a:ext uri="{FF2B5EF4-FFF2-40B4-BE49-F238E27FC236}">
              <a16:creationId xmlns:a16="http://schemas.microsoft.com/office/drawing/2014/main" id="{379A4B79-C758-4FD1-ADD8-816029C654F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5" name="Line 42">
          <a:extLst>
            <a:ext uri="{FF2B5EF4-FFF2-40B4-BE49-F238E27FC236}">
              <a16:creationId xmlns:a16="http://schemas.microsoft.com/office/drawing/2014/main" id="{D6792928-AB79-48F0-82FA-49AE1A385B1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1625</xdr:row>
      <xdr:rowOff>0</xdr:rowOff>
    </xdr:from>
    <xdr:to>
      <xdr:col>18</xdr:col>
      <xdr:colOff>447675</xdr:colOff>
      <xdr:row>1626</xdr:row>
      <xdr:rowOff>0</xdr:rowOff>
    </xdr:to>
    <xdr:sp macro="" textlink="">
      <xdr:nvSpPr>
        <xdr:cNvPr id="1426" name="Line 4">
          <a:extLst>
            <a:ext uri="{FF2B5EF4-FFF2-40B4-BE49-F238E27FC236}">
              <a16:creationId xmlns:a16="http://schemas.microsoft.com/office/drawing/2014/main" id="{BB6DFA02-DFA7-4E12-B724-17B4450419DF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7" name="Line 14">
          <a:extLst>
            <a:ext uri="{FF2B5EF4-FFF2-40B4-BE49-F238E27FC236}">
              <a16:creationId xmlns:a16="http://schemas.microsoft.com/office/drawing/2014/main" id="{9DC946C2-DEBA-4396-AB3F-C52E3A313DC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8" name="Line 15">
          <a:extLst>
            <a:ext uri="{FF2B5EF4-FFF2-40B4-BE49-F238E27FC236}">
              <a16:creationId xmlns:a16="http://schemas.microsoft.com/office/drawing/2014/main" id="{5F23F5C2-C66C-4A11-A21D-A68BAFC5EFC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1625</xdr:row>
      <xdr:rowOff>0</xdr:rowOff>
    </xdr:from>
    <xdr:to>
      <xdr:col>18</xdr:col>
      <xdr:colOff>438150</xdr:colOff>
      <xdr:row>1626</xdr:row>
      <xdr:rowOff>0</xdr:rowOff>
    </xdr:to>
    <xdr:sp macro="" textlink="">
      <xdr:nvSpPr>
        <xdr:cNvPr id="1429" name="Line 42">
          <a:extLst>
            <a:ext uri="{FF2B5EF4-FFF2-40B4-BE49-F238E27FC236}">
              <a16:creationId xmlns:a16="http://schemas.microsoft.com/office/drawing/2014/main" id="{C9D5BD28-CDBF-4CE6-AF73-F0F609563A4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30" name="Line 4">
          <a:extLst>
            <a:ext uri="{FF2B5EF4-FFF2-40B4-BE49-F238E27FC236}">
              <a16:creationId xmlns:a16="http://schemas.microsoft.com/office/drawing/2014/main" id="{9244967E-1381-42F3-8B85-988729B9B95B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1" name="Line 14">
          <a:extLst>
            <a:ext uri="{FF2B5EF4-FFF2-40B4-BE49-F238E27FC236}">
              <a16:creationId xmlns:a16="http://schemas.microsoft.com/office/drawing/2014/main" id="{0963CDC2-9C16-4B9D-BEA9-13EF9794DA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2" name="Line 15">
          <a:extLst>
            <a:ext uri="{FF2B5EF4-FFF2-40B4-BE49-F238E27FC236}">
              <a16:creationId xmlns:a16="http://schemas.microsoft.com/office/drawing/2014/main" id="{618C8E0F-5B8E-41FA-9D75-88850C16C34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3" name="Line 42">
          <a:extLst>
            <a:ext uri="{FF2B5EF4-FFF2-40B4-BE49-F238E27FC236}">
              <a16:creationId xmlns:a16="http://schemas.microsoft.com/office/drawing/2014/main" id="{F187B388-9E97-4B72-A52A-83E55348636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34" name="Line 4">
          <a:extLst>
            <a:ext uri="{FF2B5EF4-FFF2-40B4-BE49-F238E27FC236}">
              <a16:creationId xmlns:a16="http://schemas.microsoft.com/office/drawing/2014/main" id="{2F97D386-CF35-4E23-B733-001A717E3AE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5" name="Line 14">
          <a:extLst>
            <a:ext uri="{FF2B5EF4-FFF2-40B4-BE49-F238E27FC236}">
              <a16:creationId xmlns:a16="http://schemas.microsoft.com/office/drawing/2014/main" id="{5FD4210C-8FF5-4D9C-84FB-A6E822A31CD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6" name="Line 15">
          <a:extLst>
            <a:ext uri="{FF2B5EF4-FFF2-40B4-BE49-F238E27FC236}">
              <a16:creationId xmlns:a16="http://schemas.microsoft.com/office/drawing/2014/main" id="{64A5CCA5-1ED9-4812-9C1D-4B8D9309BE4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7" name="Line 42">
          <a:extLst>
            <a:ext uri="{FF2B5EF4-FFF2-40B4-BE49-F238E27FC236}">
              <a16:creationId xmlns:a16="http://schemas.microsoft.com/office/drawing/2014/main" id="{6260E93C-E177-4D7D-9D1F-5C41D5834B5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38" name="Line 4">
          <a:extLst>
            <a:ext uri="{FF2B5EF4-FFF2-40B4-BE49-F238E27FC236}">
              <a16:creationId xmlns:a16="http://schemas.microsoft.com/office/drawing/2014/main" id="{AAE447A7-ECF6-4D5F-A9F1-DC573B1574AE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39" name="Line 14">
          <a:extLst>
            <a:ext uri="{FF2B5EF4-FFF2-40B4-BE49-F238E27FC236}">
              <a16:creationId xmlns:a16="http://schemas.microsoft.com/office/drawing/2014/main" id="{935E44E5-7AAF-4925-BA4B-9F911B6FD46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0" name="Line 15">
          <a:extLst>
            <a:ext uri="{FF2B5EF4-FFF2-40B4-BE49-F238E27FC236}">
              <a16:creationId xmlns:a16="http://schemas.microsoft.com/office/drawing/2014/main" id="{73BFCAA5-B6B2-4D51-B37D-129E21F187F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1" name="Line 42">
          <a:extLst>
            <a:ext uri="{FF2B5EF4-FFF2-40B4-BE49-F238E27FC236}">
              <a16:creationId xmlns:a16="http://schemas.microsoft.com/office/drawing/2014/main" id="{AD151AF6-C180-4FAF-B93C-0872692C9BC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42" name="Line 4">
          <a:extLst>
            <a:ext uri="{FF2B5EF4-FFF2-40B4-BE49-F238E27FC236}">
              <a16:creationId xmlns:a16="http://schemas.microsoft.com/office/drawing/2014/main" id="{B24E440D-4C97-4CF3-A744-22CFBED1AABB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3" name="Line 14">
          <a:extLst>
            <a:ext uri="{FF2B5EF4-FFF2-40B4-BE49-F238E27FC236}">
              <a16:creationId xmlns:a16="http://schemas.microsoft.com/office/drawing/2014/main" id="{68677504-4E73-4F4F-B40F-CFD7ADD13E7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4" name="Line 15">
          <a:extLst>
            <a:ext uri="{FF2B5EF4-FFF2-40B4-BE49-F238E27FC236}">
              <a16:creationId xmlns:a16="http://schemas.microsoft.com/office/drawing/2014/main" id="{B15D6278-0418-4F56-89C5-8D41C1F8AB7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5" name="Line 42">
          <a:extLst>
            <a:ext uri="{FF2B5EF4-FFF2-40B4-BE49-F238E27FC236}">
              <a16:creationId xmlns:a16="http://schemas.microsoft.com/office/drawing/2014/main" id="{4F659FD3-9E0C-4747-98C4-7117EB60688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46" name="Line 4">
          <a:extLst>
            <a:ext uri="{FF2B5EF4-FFF2-40B4-BE49-F238E27FC236}">
              <a16:creationId xmlns:a16="http://schemas.microsoft.com/office/drawing/2014/main" id="{A4080365-90CD-4507-907E-5AD39CA0C3D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7" name="Line 14">
          <a:extLst>
            <a:ext uri="{FF2B5EF4-FFF2-40B4-BE49-F238E27FC236}">
              <a16:creationId xmlns:a16="http://schemas.microsoft.com/office/drawing/2014/main" id="{B99BB066-9978-4485-AD51-B97670A8725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8" name="Line 15">
          <a:extLst>
            <a:ext uri="{FF2B5EF4-FFF2-40B4-BE49-F238E27FC236}">
              <a16:creationId xmlns:a16="http://schemas.microsoft.com/office/drawing/2014/main" id="{31F2B2AB-CF26-4637-BEA0-D2629856CAB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49" name="Line 42">
          <a:extLst>
            <a:ext uri="{FF2B5EF4-FFF2-40B4-BE49-F238E27FC236}">
              <a16:creationId xmlns:a16="http://schemas.microsoft.com/office/drawing/2014/main" id="{7B7AF9FE-05D0-40B7-AA18-72DE49A5FC9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1627</xdr:row>
      <xdr:rowOff>0</xdr:rowOff>
    </xdr:from>
    <xdr:to>
      <xdr:col>18</xdr:col>
      <xdr:colOff>447675</xdr:colOff>
      <xdr:row>1628</xdr:row>
      <xdr:rowOff>0</xdr:rowOff>
    </xdr:to>
    <xdr:sp macro="" textlink="">
      <xdr:nvSpPr>
        <xdr:cNvPr id="1450" name="Line 4">
          <a:extLst>
            <a:ext uri="{FF2B5EF4-FFF2-40B4-BE49-F238E27FC236}">
              <a16:creationId xmlns:a16="http://schemas.microsoft.com/office/drawing/2014/main" id="{561833E8-DF59-4F45-B717-7C0B38FA57D5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51" name="Line 14">
          <a:extLst>
            <a:ext uri="{FF2B5EF4-FFF2-40B4-BE49-F238E27FC236}">
              <a16:creationId xmlns:a16="http://schemas.microsoft.com/office/drawing/2014/main" id="{30AB882D-1E86-4CDC-B09C-CAA60705BF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52" name="Line 15">
          <a:extLst>
            <a:ext uri="{FF2B5EF4-FFF2-40B4-BE49-F238E27FC236}">
              <a16:creationId xmlns:a16="http://schemas.microsoft.com/office/drawing/2014/main" id="{6909574B-F323-49F9-8473-537E1D9C34E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1627</xdr:row>
      <xdr:rowOff>0</xdr:rowOff>
    </xdr:from>
    <xdr:to>
      <xdr:col>18</xdr:col>
      <xdr:colOff>438150</xdr:colOff>
      <xdr:row>1628</xdr:row>
      <xdr:rowOff>0</xdr:rowOff>
    </xdr:to>
    <xdr:sp macro="" textlink="">
      <xdr:nvSpPr>
        <xdr:cNvPr id="1453" name="Line 42">
          <a:extLst>
            <a:ext uri="{FF2B5EF4-FFF2-40B4-BE49-F238E27FC236}">
              <a16:creationId xmlns:a16="http://schemas.microsoft.com/office/drawing/2014/main" id="{11667B03-050D-4155-911E-79909626824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54" name="Line 4">
          <a:extLst>
            <a:ext uri="{FF2B5EF4-FFF2-40B4-BE49-F238E27FC236}">
              <a16:creationId xmlns:a16="http://schemas.microsoft.com/office/drawing/2014/main" id="{75D07C13-0001-4930-B7E0-C2EBFEAEDC5B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55" name="Line 14">
          <a:extLst>
            <a:ext uri="{FF2B5EF4-FFF2-40B4-BE49-F238E27FC236}">
              <a16:creationId xmlns:a16="http://schemas.microsoft.com/office/drawing/2014/main" id="{7BEFCC23-DBD5-4C95-84F4-A2EAF22D5FF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56" name="Line 15">
          <a:extLst>
            <a:ext uri="{FF2B5EF4-FFF2-40B4-BE49-F238E27FC236}">
              <a16:creationId xmlns:a16="http://schemas.microsoft.com/office/drawing/2014/main" id="{236773DF-F98B-4B3E-89E0-0BE09AFCC80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57" name="Line 42">
          <a:extLst>
            <a:ext uri="{FF2B5EF4-FFF2-40B4-BE49-F238E27FC236}">
              <a16:creationId xmlns:a16="http://schemas.microsoft.com/office/drawing/2014/main" id="{915FDE57-F988-41D5-9187-8228869D42E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58" name="Line 4">
          <a:extLst>
            <a:ext uri="{FF2B5EF4-FFF2-40B4-BE49-F238E27FC236}">
              <a16:creationId xmlns:a16="http://schemas.microsoft.com/office/drawing/2014/main" id="{14B7566C-5122-4FF8-B811-967F7D077C39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59" name="Line 14">
          <a:extLst>
            <a:ext uri="{FF2B5EF4-FFF2-40B4-BE49-F238E27FC236}">
              <a16:creationId xmlns:a16="http://schemas.microsoft.com/office/drawing/2014/main" id="{EEB07532-6F81-4EAC-9FCF-1C9C80DA41C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60" name="Line 15">
          <a:extLst>
            <a:ext uri="{FF2B5EF4-FFF2-40B4-BE49-F238E27FC236}">
              <a16:creationId xmlns:a16="http://schemas.microsoft.com/office/drawing/2014/main" id="{4E1CBD22-39B0-426F-B290-34978B7549B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61" name="Line 42">
          <a:extLst>
            <a:ext uri="{FF2B5EF4-FFF2-40B4-BE49-F238E27FC236}">
              <a16:creationId xmlns:a16="http://schemas.microsoft.com/office/drawing/2014/main" id="{1DE8AD19-8ADC-4E8A-9C0C-F94C0984942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62" name="Line 4">
          <a:extLst>
            <a:ext uri="{FF2B5EF4-FFF2-40B4-BE49-F238E27FC236}">
              <a16:creationId xmlns:a16="http://schemas.microsoft.com/office/drawing/2014/main" id="{497C8A95-D728-424F-B18A-768F0D46E41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63" name="Line 14">
          <a:extLst>
            <a:ext uri="{FF2B5EF4-FFF2-40B4-BE49-F238E27FC236}">
              <a16:creationId xmlns:a16="http://schemas.microsoft.com/office/drawing/2014/main" id="{FC0496AC-D9F0-46E6-87A2-D057F859F91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64" name="Line 15">
          <a:extLst>
            <a:ext uri="{FF2B5EF4-FFF2-40B4-BE49-F238E27FC236}">
              <a16:creationId xmlns:a16="http://schemas.microsoft.com/office/drawing/2014/main" id="{3B9C99E3-1055-4FC1-8FC1-8D52F09CFE8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65" name="Line 42">
          <a:extLst>
            <a:ext uri="{FF2B5EF4-FFF2-40B4-BE49-F238E27FC236}">
              <a16:creationId xmlns:a16="http://schemas.microsoft.com/office/drawing/2014/main" id="{455745A5-789B-4ECE-875D-55F237D36B2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66" name="Line 4">
          <a:extLst>
            <a:ext uri="{FF2B5EF4-FFF2-40B4-BE49-F238E27FC236}">
              <a16:creationId xmlns:a16="http://schemas.microsoft.com/office/drawing/2014/main" id="{D364A09B-386E-461B-AB79-DA2121A0E571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67" name="Line 14">
          <a:extLst>
            <a:ext uri="{FF2B5EF4-FFF2-40B4-BE49-F238E27FC236}">
              <a16:creationId xmlns:a16="http://schemas.microsoft.com/office/drawing/2014/main" id="{7659ABF9-6EE9-4E32-9A5F-519B2E6BF65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68" name="Line 15">
          <a:extLst>
            <a:ext uri="{FF2B5EF4-FFF2-40B4-BE49-F238E27FC236}">
              <a16:creationId xmlns:a16="http://schemas.microsoft.com/office/drawing/2014/main" id="{A3E15812-D705-4B7E-B303-36D4E529BDD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69" name="Line 42">
          <a:extLst>
            <a:ext uri="{FF2B5EF4-FFF2-40B4-BE49-F238E27FC236}">
              <a16:creationId xmlns:a16="http://schemas.microsoft.com/office/drawing/2014/main" id="{63B53B3B-2C48-43F5-A71E-FE0A88ED3F2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70" name="Line 4">
          <a:extLst>
            <a:ext uri="{FF2B5EF4-FFF2-40B4-BE49-F238E27FC236}">
              <a16:creationId xmlns:a16="http://schemas.microsoft.com/office/drawing/2014/main" id="{DDC40558-9ED2-4507-8E26-675C41A60897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1" name="Line 14">
          <a:extLst>
            <a:ext uri="{FF2B5EF4-FFF2-40B4-BE49-F238E27FC236}">
              <a16:creationId xmlns:a16="http://schemas.microsoft.com/office/drawing/2014/main" id="{626600D9-C53E-407C-886B-ED5A6829C3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2" name="Line 15">
          <a:extLst>
            <a:ext uri="{FF2B5EF4-FFF2-40B4-BE49-F238E27FC236}">
              <a16:creationId xmlns:a16="http://schemas.microsoft.com/office/drawing/2014/main" id="{5DB4B819-1874-400D-A92E-62C8A193F98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3" name="Line 42">
          <a:extLst>
            <a:ext uri="{FF2B5EF4-FFF2-40B4-BE49-F238E27FC236}">
              <a16:creationId xmlns:a16="http://schemas.microsoft.com/office/drawing/2014/main" id="{80021272-595A-4B74-A186-B19BE9CDC4B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74" name="Line 4">
          <a:extLst>
            <a:ext uri="{FF2B5EF4-FFF2-40B4-BE49-F238E27FC236}">
              <a16:creationId xmlns:a16="http://schemas.microsoft.com/office/drawing/2014/main" id="{A1075F0B-146A-4A98-9450-A913B983ADC5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5" name="Line 14">
          <a:extLst>
            <a:ext uri="{FF2B5EF4-FFF2-40B4-BE49-F238E27FC236}">
              <a16:creationId xmlns:a16="http://schemas.microsoft.com/office/drawing/2014/main" id="{A0E71E91-0D55-43C5-AEF6-28C7C164C7C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6" name="Line 15">
          <a:extLst>
            <a:ext uri="{FF2B5EF4-FFF2-40B4-BE49-F238E27FC236}">
              <a16:creationId xmlns:a16="http://schemas.microsoft.com/office/drawing/2014/main" id="{35D4887E-5BF4-4973-987C-BE9D395411A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7" name="Line 42">
          <a:extLst>
            <a:ext uri="{FF2B5EF4-FFF2-40B4-BE49-F238E27FC236}">
              <a16:creationId xmlns:a16="http://schemas.microsoft.com/office/drawing/2014/main" id="{AA11CD42-0A11-4E2F-B118-17389FB90C2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78" name="Line 4">
          <a:extLst>
            <a:ext uri="{FF2B5EF4-FFF2-40B4-BE49-F238E27FC236}">
              <a16:creationId xmlns:a16="http://schemas.microsoft.com/office/drawing/2014/main" id="{933EDA94-C366-4D84-85B1-BA56EE3626C8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79" name="Line 14">
          <a:extLst>
            <a:ext uri="{FF2B5EF4-FFF2-40B4-BE49-F238E27FC236}">
              <a16:creationId xmlns:a16="http://schemas.microsoft.com/office/drawing/2014/main" id="{515E83D2-EDB1-4E06-9B47-34F87AB7C39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0" name="Line 15">
          <a:extLst>
            <a:ext uri="{FF2B5EF4-FFF2-40B4-BE49-F238E27FC236}">
              <a16:creationId xmlns:a16="http://schemas.microsoft.com/office/drawing/2014/main" id="{33EA7748-1E11-47CF-80A0-69F08FC726E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1" name="Line 42">
          <a:extLst>
            <a:ext uri="{FF2B5EF4-FFF2-40B4-BE49-F238E27FC236}">
              <a16:creationId xmlns:a16="http://schemas.microsoft.com/office/drawing/2014/main" id="{7EAA1A00-882E-4501-8894-91782B15EE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82" name="Line 4">
          <a:extLst>
            <a:ext uri="{FF2B5EF4-FFF2-40B4-BE49-F238E27FC236}">
              <a16:creationId xmlns:a16="http://schemas.microsoft.com/office/drawing/2014/main" id="{D740D372-53A8-401A-A0BC-26D65886DDD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3" name="Line 14">
          <a:extLst>
            <a:ext uri="{FF2B5EF4-FFF2-40B4-BE49-F238E27FC236}">
              <a16:creationId xmlns:a16="http://schemas.microsoft.com/office/drawing/2014/main" id="{A1AA0A40-D5A8-407E-BCDC-3C675BAC947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4" name="Line 15">
          <a:extLst>
            <a:ext uri="{FF2B5EF4-FFF2-40B4-BE49-F238E27FC236}">
              <a16:creationId xmlns:a16="http://schemas.microsoft.com/office/drawing/2014/main" id="{9B62CD86-20E4-46F5-AE92-8F627B9935F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5" name="Line 42">
          <a:extLst>
            <a:ext uri="{FF2B5EF4-FFF2-40B4-BE49-F238E27FC236}">
              <a16:creationId xmlns:a16="http://schemas.microsoft.com/office/drawing/2014/main" id="{16F18A85-639D-48AC-8D04-74382259EBF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486" name="Line 4">
          <a:extLst>
            <a:ext uri="{FF2B5EF4-FFF2-40B4-BE49-F238E27FC236}">
              <a16:creationId xmlns:a16="http://schemas.microsoft.com/office/drawing/2014/main" id="{4F9EC9EE-31A5-4A94-9E40-7CE48387306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7" name="Line 14">
          <a:extLst>
            <a:ext uri="{FF2B5EF4-FFF2-40B4-BE49-F238E27FC236}">
              <a16:creationId xmlns:a16="http://schemas.microsoft.com/office/drawing/2014/main" id="{E62214F3-5815-48C1-9715-E3E24C62AAA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8" name="Line 15">
          <a:extLst>
            <a:ext uri="{FF2B5EF4-FFF2-40B4-BE49-F238E27FC236}">
              <a16:creationId xmlns:a16="http://schemas.microsoft.com/office/drawing/2014/main" id="{CF4AA47D-932B-4D54-8C36-79945A46749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489" name="Line 42">
          <a:extLst>
            <a:ext uri="{FF2B5EF4-FFF2-40B4-BE49-F238E27FC236}">
              <a16:creationId xmlns:a16="http://schemas.microsoft.com/office/drawing/2014/main" id="{251EB577-095D-4352-BA83-C0FE9BD9A65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90" name="Line 4">
          <a:extLst>
            <a:ext uri="{FF2B5EF4-FFF2-40B4-BE49-F238E27FC236}">
              <a16:creationId xmlns:a16="http://schemas.microsoft.com/office/drawing/2014/main" id="{05F28ECC-54DE-4210-B05F-E7CD44E43C45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1" name="Line 14">
          <a:extLst>
            <a:ext uri="{FF2B5EF4-FFF2-40B4-BE49-F238E27FC236}">
              <a16:creationId xmlns:a16="http://schemas.microsoft.com/office/drawing/2014/main" id="{D5445483-BD60-4875-B47C-2BC23F30044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2" name="Line 15">
          <a:extLst>
            <a:ext uri="{FF2B5EF4-FFF2-40B4-BE49-F238E27FC236}">
              <a16:creationId xmlns:a16="http://schemas.microsoft.com/office/drawing/2014/main" id="{0C05B060-E496-485B-ACCD-CD5C2FD2B65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3" name="Line 42">
          <a:extLst>
            <a:ext uri="{FF2B5EF4-FFF2-40B4-BE49-F238E27FC236}">
              <a16:creationId xmlns:a16="http://schemas.microsoft.com/office/drawing/2014/main" id="{065FBCCF-35CB-4250-8E23-E74DCCF1D63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94" name="Line 4">
          <a:extLst>
            <a:ext uri="{FF2B5EF4-FFF2-40B4-BE49-F238E27FC236}">
              <a16:creationId xmlns:a16="http://schemas.microsoft.com/office/drawing/2014/main" id="{4D991502-A8FB-4A93-8A3F-08E8E6A5D55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5" name="Line 14">
          <a:extLst>
            <a:ext uri="{FF2B5EF4-FFF2-40B4-BE49-F238E27FC236}">
              <a16:creationId xmlns:a16="http://schemas.microsoft.com/office/drawing/2014/main" id="{5A8C7612-64AC-4A22-9733-1804A04591F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6" name="Line 15">
          <a:extLst>
            <a:ext uri="{FF2B5EF4-FFF2-40B4-BE49-F238E27FC236}">
              <a16:creationId xmlns:a16="http://schemas.microsoft.com/office/drawing/2014/main" id="{98636B36-362E-4D11-A796-50AF8382F9D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7" name="Line 42">
          <a:extLst>
            <a:ext uri="{FF2B5EF4-FFF2-40B4-BE49-F238E27FC236}">
              <a16:creationId xmlns:a16="http://schemas.microsoft.com/office/drawing/2014/main" id="{E19553A3-6FF2-46B7-8271-88F212D515F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1698</xdr:row>
      <xdr:rowOff>0</xdr:rowOff>
    </xdr:from>
    <xdr:to>
      <xdr:col>18</xdr:col>
      <xdr:colOff>447675</xdr:colOff>
      <xdr:row>1699</xdr:row>
      <xdr:rowOff>0</xdr:rowOff>
    </xdr:to>
    <xdr:sp macro="" textlink="">
      <xdr:nvSpPr>
        <xdr:cNvPr id="1498" name="Line 4">
          <a:extLst>
            <a:ext uri="{FF2B5EF4-FFF2-40B4-BE49-F238E27FC236}">
              <a16:creationId xmlns:a16="http://schemas.microsoft.com/office/drawing/2014/main" id="{7ECD9707-5194-454A-B058-86E6DA30B39B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499" name="Line 14">
          <a:extLst>
            <a:ext uri="{FF2B5EF4-FFF2-40B4-BE49-F238E27FC236}">
              <a16:creationId xmlns:a16="http://schemas.microsoft.com/office/drawing/2014/main" id="{B809D632-3384-472F-9877-894B847751E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500" name="Line 15">
          <a:extLst>
            <a:ext uri="{FF2B5EF4-FFF2-40B4-BE49-F238E27FC236}">
              <a16:creationId xmlns:a16="http://schemas.microsoft.com/office/drawing/2014/main" id="{A20D6DF9-08CC-4FC7-A455-DD2719CDFB9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1698</xdr:row>
      <xdr:rowOff>0</xdr:rowOff>
    </xdr:from>
    <xdr:to>
      <xdr:col>18</xdr:col>
      <xdr:colOff>438150</xdr:colOff>
      <xdr:row>1699</xdr:row>
      <xdr:rowOff>0</xdr:rowOff>
    </xdr:to>
    <xdr:sp macro="" textlink="">
      <xdr:nvSpPr>
        <xdr:cNvPr id="1501" name="Line 42">
          <a:extLst>
            <a:ext uri="{FF2B5EF4-FFF2-40B4-BE49-F238E27FC236}">
              <a16:creationId xmlns:a16="http://schemas.microsoft.com/office/drawing/2014/main" id="{C830166B-E5C8-45F4-878C-6049DE444E3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02" name="Line 4">
          <a:extLst>
            <a:ext uri="{FF2B5EF4-FFF2-40B4-BE49-F238E27FC236}">
              <a16:creationId xmlns:a16="http://schemas.microsoft.com/office/drawing/2014/main" id="{6AECDB44-C8A3-47AF-B34F-883678191E6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3" name="Line 14">
          <a:extLst>
            <a:ext uri="{FF2B5EF4-FFF2-40B4-BE49-F238E27FC236}">
              <a16:creationId xmlns:a16="http://schemas.microsoft.com/office/drawing/2014/main" id="{D02B42BB-2D2F-4E06-9590-AEFE268138D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4" name="Line 15">
          <a:extLst>
            <a:ext uri="{FF2B5EF4-FFF2-40B4-BE49-F238E27FC236}">
              <a16:creationId xmlns:a16="http://schemas.microsoft.com/office/drawing/2014/main" id="{81C2A33E-E60F-4256-8DFD-928231F6378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5" name="Line 42">
          <a:extLst>
            <a:ext uri="{FF2B5EF4-FFF2-40B4-BE49-F238E27FC236}">
              <a16:creationId xmlns:a16="http://schemas.microsoft.com/office/drawing/2014/main" id="{573EABE0-84A9-4552-A8D8-0C071A9996D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06" name="Line 4">
          <a:extLst>
            <a:ext uri="{FF2B5EF4-FFF2-40B4-BE49-F238E27FC236}">
              <a16:creationId xmlns:a16="http://schemas.microsoft.com/office/drawing/2014/main" id="{3411A13B-3958-4D0C-B0F1-5EAC41B7568B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7" name="Line 14">
          <a:extLst>
            <a:ext uri="{FF2B5EF4-FFF2-40B4-BE49-F238E27FC236}">
              <a16:creationId xmlns:a16="http://schemas.microsoft.com/office/drawing/2014/main" id="{695E00DB-8A60-4182-BC4D-EB15BFA0C7D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8" name="Line 15">
          <a:extLst>
            <a:ext uri="{FF2B5EF4-FFF2-40B4-BE49-F238E27FC236}">
              <a16:creationId xmlns:a16="http://schemas.microsoft.com/office/drawing/2014/main" id="{5C3CA52C-CEAC-4014-874C-29D9593604E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09" name="Line 42">
          <a:extLst>
            <a:ext uri="{FF2B5EF4-FFF2-40B4-BE49-F238E27FC236}">
              <a16:creationId xmlns:a16="http://schemas.microsoft.com/office/drawing/2014/main" id="{2FA89524-6EAD-4A9C-8F32-5D312E1838B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10" name="Line 4">
          <a:extLst>
            <a:ext uri="{FF2B5EF4-FFF2-40B4-BE49-F238E27FC236}">
              <a16:creationId xmlns:a16="http://schemas.microsoft.com/office/drawing/2014/main" id="{CB2E872C-BCAF-4BC8-A7DA-6C7FA0878CE2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1" name="Line 14">
          <a:extLst>
            <a:ext uri="{FF2B5EF4-FFF2-40B4-BE49-F238E27FC236}">
              <a16:creationId xmlns:a16="http://schemas.microsoft.com/office/drawing/2014/main" id="{F88C3491-DF24-4A28-9164-A2142723F26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2" name="Line 15">
          <a:extLst>
            <a:ext uri="{FF2B5EF4-FFF2-40B4-BE49-F238E27FC236}">
              <a16:creationId xmlns:a16="http://schemas.microsoft.com/office/drawing/2014/main" id="{16945B41-5AEF-493B-8BBD-33847AF7CA3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3" name="Line 42">
          <a:extLst>
            <a:ext uri="{FF2B5EF4-FFF2-40B4-BE49-F238E27FC236}">
              <a16:creationId xmlns:a16="http://schemas.microsoft.com/office/drawing/2014/main" id="{76CEE384-A7D9-477C-8FED-447D66C70A9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14" name="Line 4">
          <a:extLst>
            <a:ext uri="{FF2B5EF4-FFF2-40B4-BE49-F238E27FC236}">
              <a16:creationId xmlns:a16="http://schemas.microsoft.com/office/drawing/2014/main" id="{955517F9-4FCE-4385-B3B0-DAF502EB06F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5" name="Line 14">
          <a:extLst>
            <a:ext uri="{FF2B5EF4-FFF2-40B4-BE49-F238E27FC236}">
              <a16:creationId xmlns:a16="http://schemas.microsoft.com/office/drawing/2014/main" id="{700F5CDA-A6E5-40AD-828C-8623D23E6CB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6" name="Line 15">
          <a:extLst>
            <a:ext uri="{FF2B5EF4-FFF2-40B4-BE49-F238E27FC236}">
              <a16:creationId xmlns:a16="http://schemas.microsoft.com/office/drawing/2014/main" id="{6D426F77-3298-4087-8AEC-D2FCEC1CAAE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7" name="Line 42">
          <a:extLst>
            <a:ext uri="{FF2B5EF4-FFF2-40B4-BE49-F238E27FC236}">
              <a16:creationId xmlns:a16="http://schemas.microsoft.com/office/drawing/2014/main" id="{B06C99A3-D367-46F1-BE61-5D57D6BF6BB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18" name="Line 4">
          <a:extLst>
            <a:ext uri="{FF2B5EF4-FFF2-40B4-BE49-F238E27FC236}">
              <a16:creationId xmlns:a16="http://schemas.microsoft.com/office/drawing/2014/main" id="{630859A8-6BBC-41CC-A88E-CACE33C177E4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19" name="Line 14">
          <a:extLst>
            <a:ext uri="{FF2B5EF4-FFF2-40B4-BE49-F238E27FC236}">
              <a16:creationId xmlns:a16="http://schemas.microsoft.com/office/drawing/2014/main" id="{6833F5B9-FD01-472C-84F3-001481B608F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20" name="Line 15">
          <a:extLst>
            <a:ext uri="{FF2B5EF4-FFF2-40B4-BE49-F238E27FC236}">
              <a16:creationId xmlns:a16="http://schemas.microsoft.com/office/drawing/2014/main" id="{F9B12AAD-564F-420C-988C-2B5FC0F3DFE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21" name="Line 42">
          <a:extLst>
            <a:ext uri="{FF2B5EF4-FFF2-40B4-BE49-F238E27FC236}">
              <a16:creationId xmlns:a16="http://schemas.microsoft.com/office/drawing/2014/main" id="{6F4772FD-5E3E-42EA-B834-160781417EF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1700</xdr:row>
      <xdr:rowOff>0</xdr:rowOff>
    </xdr:from>
    <xdr:to>
      <xdr:col>18</xdr:col>
      <xdr:colOff>447675</xdr:colOff>
      <xdr:row>1701</xdr:row>
      <xdr:rowOff>0</xdr:rowOff>
    </xdr:to>
    <xdr:sp macro="" textlink="">
      <xdr:nvSpPr>
        <xdr:cNvPr id="1522" name="Line 4">
          <a:extLst>
            <a:ext uri="{FF2B5EF4-FFF2-40B4-BE49-F238E27FC236}">
              <a16:creationId xmlns:a16="http://schemas.microsoft.com/office/drawing/2014/main" id="{0DE690A7-E0DB-4B5A-8AB6-E4E44F0F061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23" name="Line 14">
          <a:extLst>
            <a:ext uri="{FF2B5EF4-FFF2-40B4-BE49-F238E27FC236}">
              <a16:creationId xmlns:a16="http://schemas.microsoft.com/office/drawing/2014/main" id="{9BB3BB6F-1D91-4C27-BDB2-E0A01E8E2F8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24" name="Line 15">
          <a:extLst>
            <a:ext uri="{FF2B5EF4-FFF2-40B4-BE49-F238E27FC236}">
              <a16:creationId xmlns:a16="http://schemas.microsoft.com/office/drawing/2014/main" id="{242ED49A-9D7F-410C-AF3F-858837E993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1700</xdr:row>
      <xdr:rowOff>0</xdr:rowOff>
    </xdr:from>
    <xdr:to>
      <xdr:col>18</xdr:col>
      <xdr:colOff>438150</xdr:colOff>
      <xdr:row>1701</xdr:row>
      <xdr:rowOff>0</xdr:rowOff>
    </xdr:to>
    <xdr:sp macro="" textlink="">
      <xdr:nvSpPr>
        <xdr:cNvPr id="1525" name="Line 42">
          <a:extLst>
            <a:ext uri="{FF2B5EF4-FFF2-40B4-BE49-F238E27FC236}">
              <a16:creationId xmlns:a16="http://schemas.microsoft.com/office/drawing/2014/main" id="{525CF252-C796-4198-8DC0-8179880D4D2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26" name="Line 4">
          <a:extLst>
            <a:ext uri="{FF2B5EF4-FFF2-40B4-BE49-F238E27FC236}">
              <a16:creationId xmlns:a16="http://schemas.microsoft.com/office/drawing/2014/main" id="{902625B9-3274-49C6-81E0-8EB988AC337C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27" name="Line 14">
          <a:extLst>
            <a:ext uri="{FF2B5EF4-FFF2-40B4-BE49-F238E27FC236}">
              <a16:creationId xmlns:a16="http://schemas.microsoft.com/office/drawing/2014/main" id="{7509892E-51FA-492C-83C8-6A12FEE53DB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28" name="Line 15">
          <a:extLst>
            <a:ext uri="{FF2B5EF4-FFF2-40B4-BE49-F238E27FC236}">
              <a16:creationId xmlns:a16="http://schemas.microsoft.com/office/drawing/2014/main" id="{79132868-09C3-4F0E-B349-016D50F399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29" name="Line 42">
          <a:extLst>
            <a:ext uri="{FF2B5EF4-FFF2-40B4-BE49-F238E27FC236}">
              <a16:creationId xmlns:a16="http://schemas.microsoft.com/office/drawing/2014/main" id="{6B9ECF8C-95C5-424C-B401-B0D9CAF9A0A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30" name="Line 4">
          <a:extLst>
            <a:ext uri="{FF2B5EF4-FFF2-40B4-BE49-F238E27FC236}">
              <a16:creationId xmlns:a16="http://schemas.microsoft.com/office/drawing/2014/main" id="{28BDAB2F-8D1B-489C-8DD1-0283FBB521EF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1" name="Line 14">
          <a:extLst>
            <a:ext uri="{FF2B5EF4-FFF2-40B4-BE49-F238E27FC236}">
              <a16:creationId xmlns:a16="http://schemas.microsoft.com/office/drawing/2014/main" id="{7FFAE46F-6080-4817-84F6-C00CA1A96C2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2" name="Line 15">
          <a:extLst>
            <a:ext uri="{FF2B5EF4-FFF2-40B4-BE49-F238E27FC236}">
              <a16:creationId xmlns:a16="http://schemas.microsoft.com/office/drawing/2014/main" id="{06282143-FD97-4D55-8A87-918044F84D7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3" name="Line 42">
          <a:extLst>
            <a:ext uri="{FF2B5EF4-FFF2-40B4-BE49-F238E27FC236}">
              <a16:creationId xmlns:a16="http://schemas.microsoft.com/office/drawing/2014/main" id="{1A0F0671-C9CE-4501-BB63-03755AD03E5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34" name="Line 4">
          <a:extLst>
            <a:ext uri="{FF2B5EF4-FFF2-40B4-BE49-F238E27FC236}">
              <a16:creationId xmlns:a16="http://schemas.microsoft.com/office/drawing/2014/main" id="{DAE23D87-CBC4-4C35-AA31-5144422D5F7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5" name="Line 14">
          <a:extLst>
            <a:ext uri="{FF2B5EF4-FFF2-40B4-BE49-F238E27FC236}">
              <a16:creationId xmlns:a16="http://schemas.microsoft.com/office/drawing/2014/main" id="{2FAE8FE2-3072-42A9-BD7F-DECF1DE0A03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6" name="Line 15">
          <a:extLst>
            <a:ext uri="{FF2B5EF4-FFF2-40B4-BE49-F238E27FC236}">
              <a16:creationId xmlns:a16="http://schemas.microsoft.com/office/drawing/2014/main" id="{D4D5CC2A-8637-47B1-B2C3-14496256C36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37" name="Line 42">
          <a:extLst>
            <a:ext uri="{FF2B5EF4-FFF2-40B4-BE49-F238E27FC236}">
              <a16:creationId xmlns:a16="http://schemas.microsoft.com/office/drawing/2014/main" id="{A89B2497-38CE-447F-94BC-F80D680092A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38" name="Line 4">
          <a:extLst>
            <a:ext uri="{FF2B5EF4-FFF2-40B4-BE49-F238E27FC236}">
              <a16:creationId xmlns:a16="http://schemas.microsoft.com/office/drawing/2014/main" id="{9F4CDA2C-611E-4664-BB17-C56878B0540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39" name="Line 14">
          <a:extLst>
            <a:ext uri="{FF2B5EF4-FFF2-40B4-BE49-F238E27FC236}">
              <a16:creationId xmlns:a16="http://schemas.microsoft.com/office/drawing/2014/main" id="{104C4B12-E56A-4510-BBCE-28C6F228FC8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0" name="Line 15">
          <a:extLst>
            <a:ext uri="{FF2B5EF4-FFF2-40B4-BE49-F238E27FC236}">
              <a16:creationId xmlns:a16="http://schemas.microsoft.com/office/drawing/2014/main" id="{1F06EE76-659B-4505-B4FE-5EF054E3D9C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1" name="Line 42">
          <a:extLst>
            <a:ext uri="{FF2B5EF4-FFF2-40B4-BE49-F238E27FC236}">
              <a16:creationId xmlns:a16="http://schemas.microsoft.com/office/drawing/2014/main" id="{8378FC57-78C8-494B-88EE-176EDB5D197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42" name="Line 4">
          <a:extLst>
            <a:ext uri="{FF2B5EF4-FFF2-40B4-BE49-F238E27FC236}">
              <a16:creationId xmlns:a16="http://schemas.microsoft.com/office/drawing/2014/main" id="{D16DBFFF-9C05-4DC3-9B34-D89B5FCD3CF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3" name="Line 14">
          <a:extLst>
            <a:ext uri="{FF2B5EF4-FFF2-40B4-BE49-F238E27FC236}">
              <a16:creationId xmlns:a16="http://schemas.microsoft.com/office/drawing/2014/main" id="{868FB3F3-34C6-4E0F-ACA0-474E0AD0140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4" name="Line 15">
          <a:extLst>
            <a:ext uri="{FF2B5EF4-FFF2-40B4-BE49-F238E27FC236}">
              <a16:creationId xmlns:a16="http://schemas.microsoft.com/office/drawing/2014/main" id="{58ABBCD8-E455-4B4B-BB0C-6F3964A68F5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5" name="Line 42">
          <a:extLst>
            <a:ext uri="{FF2B5EF4-FFF2-40B4-BE49-F238E27FC236}">
              <a16:creationId xmlns:a16="http://schemas.microsoft.com/office/drawing/2014/main" id="{9222FBB1-BC65-4D67-A18F-10E5710BD10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46" name="Line 4">
          <a:extLst>
            <a:ext uri="{FF2B5EF4-FFF2-40B4-BE49-F238E27FC236}">
              <a16:creationId xmlns:a16="http://schemas.microsoft.com/office/drawing/2014/main" id="{8B7ABBF3-4257-4025-BC1F-B98488AEFE0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7" name="Line 14">
          <a:extLst>
            <a:ext uri="{FF2B5EF4-FFF2-40B4-BE49-F238E27FC236}">
              <a16:creationId xmlns:a16="http://schemas.microsoft.com/office/drawing/2014/main" id="{18278CCF-6C8B-4CFB-BB77-AE6D5B05914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8" name="Line 15">
          <a:extLst>
            <a:ext uri="{FF2B5EF4-FFF2-40B4-BE49-F238E27FC236}">
              <a16:creationId xmlns:a16="http://schemas.microsoft.com/office/drawing/2014/main" id="{0C575E1C-7D72-4C94-BA26-FD950713386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49" name="Line 42">
          <a:extLst>
            <a:ext uri="{FF2B5EF4-FFF2-40B4-BE49-F238E27FC236}">
              <a16:creationId xmlns:a16="http://schemas.microsoft.com/office/drawing/2014/main" id="{CC5621AD-2A72-4FD0-993E-F30DB5DB944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50" name="Line 4">
          <a:extLst>
            <a:ext uri="{FF2B5EF4-FFF2-40B4-BE49-F238E27FC236}">
              <a16:creationId xmlns:a16="http://schemas.microsoft.com/office/drawing/2014/main" id="{7C7DE17D-EE5F-4498-AD45-1D28CB46BECA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1" name="Line 14">
          <a:extLst>
            <a:ext uri="{FF2B5EF4-FFF2-40B4-BE49-F238E27FC236}">
              <a16:creationId xmlns:a16="http://schemas.microsoft.com/office/drawing/2014/main" id="{35FE3B85-4059-4C4F-93B3-51456925173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2" name="Line 15">
          <a:extLst>
            <a:ext uri="{FF2B5EF4-FFF2-40B4-BE49-F238E27FC236}">
              <a16:creationId xmlns:a16="http://schemas.microsoft.com/office/drawing/2014/main" id="{FD9242D6-EF17-444F-9609-DC2EBFABA27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3" name="Line 42">
          <a:extLst>
            <a:ext uri="{FF2B5EF4-FFF2-40B4-BE49-F238E27FC236}">
              <a16:creationId xmlns:a16="http://schemas.microsoft.com/office/drawing/2014/main" id="{2608C31E-0658-4950-A3F9-B22E604F6EF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54" name="Line 4">
          <a:extLst>
            <a:ext uri="{FF2B5EF4-FFF2-40B4-BE49-F238E27FC236}">
              <a16:creationId xmlns:a16="http://schemas.microsoft.com/office/drawing/2014/main" id="{003A87A8-748C-4EDA-BA6D-8A1DC1510729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5" name="Line 14">
          <a:extLst>
            <a:ext uri="{FF2B5EF4-FFF2-40B4-BE49-F238E27FC236}">
              <a16:creationId xmlns:a16="http://schemas.microsoft.com/office/drawing/2014/main" id="{55B39547-404F-48D1-B52D-663D3F73F20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6" name="Line 15">
          <a:extLst>
            <a:ext uri="{FF2B5EF4-FFF2-40B4-BE49-F238E27FC236}">
              <a16:creationId xmlns:a16="http://schemas.microsoft.com/office/drawing/2014/main" id="{0CCDE80C-1B60-46B5-B425-F39108C86E5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7" name="Line 42">
          <a:extLst>
            <a:ext uri="{FF2B5EF4-FFF2-40B4-BE49-F238E27FC236}">
              <a16:creationId xmlns:a16="http://schemas.microsoft.com/office/drawing/2014/main" id="{9B66F905-1474-40BB-AE88-5FB6E522FC2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58" name="Line 4">
          <a:extLst>
            <a:ext uri="{FF2B5EF4-FFF2-40B4-BE49-F238E27FC236}">
              <a16:creationId xmlns:a16="http://schemas.microsoft.com/office/drawing/2014/main" id="{FD33D5F6-CB46-4E4D-B687-CCEAAC12B108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59" name="Line 14">
          <a:extLst>
            <a:ext uri="{FF2B5EF4-FFF2-40B4-BE49-F238E27FC236}">
              <a16:creationId xmlns:a16="http://schemas.microsoft.com/office/drawing/2014/main" id="{E214FEE5-B22F-41B1-98F7-E9762540E5E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60" name="Line 15">
          <a:extLst>
            <a:ext uri="{FF2B5EF4-FFF2-40B4-BE49-F238E27FC236}">
              <a16:creationId xmlns:a16="http://schemas.microsoft.com/office/drawing/2014/main" id="{4FBB1BB4-C097-42C8-827B-DECA20FFDD7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61" name="Line 42">
          <a:extLst>
            <a:ext uri="{FF2B5EF4-FFF2-40B4-BE49-F238E27FC236}">
              <a16:creationId xmlns:a16="http://schemas.microsoft.com/office/drawing/2014/main" id="{05246B1F-2361-45A2-8D24-87969A4E93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62" name="Line 4">
          <a:extLst>
            <a:ext uri="{FF2B5EF4-FFF2-40B4-BE49-F238E27FC236}">
              <a16:creationId xmlns:a16="http://schemas.microsoft.com/office/drawing/2014/main" id="{F8639F54-E7B9-4AA6-B36F-F195BA88A7B7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3" name="Line 14">
          <a:extLst>
            <a:ext uri="{FF2B5EF4-FFF2-40B4-BE49-F238E27FC236}">
              <a16:creationId xmlns:a16="http://schemas.microsoft.com/office/drawing/2014/main" id="{8BFE3F06-925D-4BA5-A07D-08F4A2289A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4" name="Line 15">
          <a:extLst>
            <a:ext uri="{FF2B5EF4-FFF2-40B4-BE49-F238E27FC236}">
              <a16:creationId xmlns:a16="http://schemas.microsoft.com/office/drawing/2014/main" id="{530BA014-2B52-49CB-8777-B86502DE0B4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5" name="Line 42">
          <a:extLst>
            <a:ext uri="{FF2B5EF4-FFF2-40B4-BE49-F238E27FC236}">
              <a16:creationId xmlns:a16="http://schemas.microsoft.com/office/drawing/2014/main" id="{B0CF21E5-F069-485B-AD7D-2B9FDE2285F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66" name="Line 4">
          <a:extLst>
            <a:ext uri="{FF2B5EF4-FFF2-40B4-BE49-F238E27FC236}">
              <a16:creationId xmlns:a16="http://schemas.microsoft.com/office/drawing/2014/main" id="{1CDCD1C1-5850-4FEA-8321-3C33F4F1819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7" name="Line 14">
          <a:extLst>
            <a:ext uri="{FF2B5EF4-FFF2-40B4-BE49-F238E27FC236}">
              <a16:creationId xmlns:a16="http://schemas.microsoft.com/office/drawing/2014/main" id="{1C41CC76-79FC-437E-8A77-65102FC966C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8" name="Line 15">
          <a:extLst>
            <a:ext uri="{FF2B5EF4-FFF2-40B4-BE49-F238E27FC236}">
              <a16:creationId xmlns:a16="http://schemas.microsoft.com/office/drawing/2014/main" id="{685C6C0D-55A1-402A-B19C-36C399EDDDD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69" name="Line 42">
          <a:extLst>
            <a:ext uri="{FF2B5EF4-FFF2-40B4-BE49-F238E27FC236}">
              <a16:creationId xmlns:a16="http://schemas.microsoft.com/office/drawing/2014/main" id="{7A048341-CBF7-4F2D-85FA-66BEA13DF6E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70" name="Line 4">
          <a:extLst>
            <a:ext uri="{FF2B5EF4-FFF2-40B4-BE49-F238E27FC236}">
              <a16:creationId xmlns:a16="http://schemas.microsoft.com/office/drawing/2014/main" id="{A2C5527B-E141-4EC1-8C02-37630BB37B47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71" name="Line 14">
          <a:extLst>
            <a:ext uri="{FF2B5EF4-FFF2-40B4-BE49-F238E27FC236}">
              <a16:creationId xmlns:a16="http://schemas.microsoft.com/office/drawing/2014/main" id="{57F674D9-CBED-4DAF-B2C7-F081C13D4DC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72" name="Line 15">
          <a:extLst>
            <a:ext uri="{FF2B5EF4-FFF2-40B4-BE49-F238E27FC236}">
              <a16:creationId xmlns:a16="http://schemas.microsoft.com/office/drawing/2014/main" id="{E93B5A80-80EB-4D68-9417-25459038FEA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73" name="Line 42">
          <a:extLst>
            <a:ext uri="{FF2B5EF4-FFF2-40B4-BE49-F238E27FC236}">
              <a16:creationId xmlns:a16="http://schemas.microsoft.com/office/drawing/2014/main" id="{92306F7E-BEB3-4A91-9A68-7D74E6533ED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74" name="Line 4">
          <a:extLst>
            <a:ext uri="{FF2B5EF4-FFF2-40B4-BE49-F238E27FC236}">
              <a16:creationId xmlns:a16="http://schemas.microsoft.com/office/drawing/2014/main" id="{F7C3F953-228C-48AB-A911-A09404F3A20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75" name="Line 14">
          <a:extLst>
            <a:ext uri="{FF2B5EF4-FFF2-40B4-BE49-F238E27FC236}">
              <a16:creationId xmlns:a16="http://schemas.microsoft.com/office/drawing/2014/main" id="{2920FFE9-7CD4-47B5-BEE0-FD9F0BB2FBF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76" name="Line 15">
          <a:extLst>
            <a:ext uri="{FF2B5EF4-FFF2-40B4-BE49-F238E27FC236}">
              <a16:creationId xmlns:a16="http://schemas.microsoft.com/office/drawing/2014/main" id="{1B6BCCAE-48A6-4A31-8D50-86954AEF912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77" name="Line 42">
          <a:extLst>
            <a:ext uri="{FF2B5EF4-FFF2-40B4-BE49-F238E27FC236}">
              <a16:creationId xmlns:a16="http://schemas.microsoft.com/office/drawing/2014/main" id="{BD68E89C-B6A2-438A-B962-B27ECE24171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78" name="Line 4">
          <a:extLst>
            <a:ext uri="{FF2B5EF4-FFF2-40B4-BE49-F238E27FC236}">
              <a16:creationId xmlns:a16="http://schemas.microsoft.com/office/drawing/2014/main" id="{C1216085-2208-48FB-8C82-4D00F24374B7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79" name="Line 14">
          <a:extLst>
            <a:ext uri="{FF2B5EF4-FFF2-40B4-BE49-F238E27FC236}">
              <a16:creationId xmlns:a16="http://schemas.microsoft.com/office/drawing/2014/main" id="{CECF6526-FB09-4967-B9BA-61F62197150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0" name="Line 15">
          <a:extLst>
            <a:ext uri="{FF2B5EF4-FFF2-40B4-BE49-F238E27FC236}">
              <a16:creationId xmlns:a16="http://schemas.microsoft.com/office/drawing/2014/main" id="{5A719439-3E94-4C87-A260-FAE91E199EC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1" name="Line 42">
          <a:extLst>
            <a:ext uri="{FF2B5EF4-FFF2-40B4-BE49-F238E27FC236}">
              <a16:creationId xmlns:a16="http://schemas.microsoft.com/office/drawing/2014/main" id="{AD955874-DA71-42A4-94C1-23D5F30A7F4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82" name="Line 4">
          <a:extLst>
            <a:ext uri="{FF2B5EF4-FFF2-40B4-BE49-F238E27FC236}">
              <a16:creationId xmlns:a16="http://schemas.microsoft.com/office/drawing/2014/main" id="{7E63B87C-F7EB-4CF7-BFA1-39A6992C0FC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3" name="Line 14">
          <a:extLst>
            <a:ext uri="{FF2B5EF4-FFF2-40B4-BE49-F238E27FC236}">
              <a16:creationId xmlns:a16="http://schemas.microsoft.com/office/drawing/2014/main" id="{F27DD71F-9B04-4991-BCC9-1507ED8EDA6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4" name="Line 15">
          <a:extLst>
            <a:ext uri="{FF2B5EF4-FFF2-40B4-BE49-F238E27FC236}">
              <a16:creationId xmlns:a16="http://schemas.microsoft.com/office/drawing/2014/main" id="{8E589D82-2D73-4FB9-89D3-0E7293AB952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5" name="Line 42">
          <a:extLst>
            <a:ext uri="{FF2B5EF4-FFF2-40B4-BE49-F238E27FC236}">
              <a16:creationId xmlns:a16="http://schemas.microsoft.com/office/drawing/2014/main" id="{235ED4B6-520B-41EB-8E6D-AB6A7F59718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86" name="Line 4">
          <a:extLst>
            <a:ext uri="{FF2B5EF4-FFF2-40B4-BE49-F238E27FC236}">
              <a16:creationId xmlns:a16="http://schemas.microsoft.com/office/drawing/2014/main" id="{1F579824-A648-4F34-AC7D-F4DA7DB2A989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7" name="Line 14">
          <a:extLst>
            <a:ext uri="{FF2B5EF4-FFF2-40B4-BE49-F238E27FC236}">
              <a16:creationId xmlns:a16="http://schemas.microsoft.com/office/drawing/2014/main" id="{8C495011-0408-4512-B8CA-30BAFF595A2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8" name="Line 15">
          <a:extLst>
            <a:ext uri="{FF2B5EF4-FFF2-40B4-BE49-F238E27FC236}">
              <a16:creationId xmlns:a16="http://schemas.microsoft.com/office/drawing/2014/main" id="{67DE7398-1295-49E0-873C-AD3F9075F32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89" name="Line 42">
          <a:extLst>
            <a:ext uri="{FF2B5EF4-FFF2-40B4-BE49-F238E27FC236}">
              <a16:creationId xmlns:a16="http://schemas.microsoft.com/office/drawing/2014/main" id="{0CA520E4-A6DB-42E2-8222-D9C7D6CD25C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90" name="Line 4">
          <a:extLst>
            <a:ext uri="{FF2B5EF4-FFF2-40B4-BE49-F238E27FC236}">
              <a16:creationId xmlns:a16="http://schemas.microsoft.com/office/drawing/2014/main" id="{963412DF-4C55-4381-8B1F-14289A3A55CE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1" name="Line 14">
          <a:extLst>
            <a:ext uri="{FF2B5EF4-FFF2-40B4-BE49-F238E27FC236}">
              <a16:creationId xmlns:a16="http://schemas.microsoft.com/office/drawing/2014/main" id="{58330F1D-FB2E-4CFB-AABC-18AC4137697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2" name="Line 15">
          <a:extLst>
            <a:ext uri="{FF2B5EF4-FFF2-40B4-BE49-F238E27FC236}">
              <a16:creationId xmlns:a16="http://schemas.microsoft.com/office/drawing/2014/main" id="{4C47CAF6-4C5B-40BB-8C74-55FC1B38126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3" name="Line 42">
          <a:extLst>
            <a:ext uri="{FF2B5EF4-FFF2-40B4-BE49-F238E27FC236}">
              <a16:creationId xmlns:a16="http://schemas.microsoft.com/office/drawing/2014/main" id="{18B03B91-26BC-4DE7-81CA-8B5A26C08C9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594" name="Line 4">
          <a:extLst>
            <a:ext uri="{FF2B5EF4-FFF2-40B4-BE49-F238E27FC236}">
              <a16:creationId xmlns:a16="http://schemas.microsoft.com/office/drawing/2014/main" id="{4761704B-D7F1-491E-9D7B-A51C4FBDA90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5" name="Line 14">
          <a:extLst>
            <a:ext uri="{FF2B5EF4-FFF2-40B4-BE49-F238E27FC236}">
              <a16:creationId xmlns:a16="http://schemas.microsoft.com/office/drawing/2014/main" id="{85EF7B6D-1B87-4AF2-914A-33EDB674908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6" name="Line 15">
          <a:extLst>
            <a:ext uri="{FF2B5EF4-FFF2-40B4-BE49-F238E27FC236}">
              <a16:creationId xmlns:a16="http://schemas.microsoft.com/office/drawing/2014/main" id="{C7F7B4E0-9014-43AB-879D-5A15AAEE248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597" name="Line 42">
          <a:extLst>
            <a:ext uri="{FF2B5EF4-FFF2-40B4-BE49-F238E27FC236}">
              <a16:creationId xmlns:a16="http://schemas.microsoft.com/office/drawing/2014/main" id="{C003E946-1B4C-49DD-8DD5-3A767E7D168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598" name="Line 4">
          <a:extLst>
            <a:ext uri="{FF2B5EF4-FFF2-40B4-BE49-F238E27FC236}">
              <a16:creationId xmlns:a16="http://schemas.microsoft.com/office/drawing/2014/main" id="{C78B9A02-D103-4A0C-9D19-DC0795E27749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599" name="Line 14">
          <a:extLst>
            <a:ext uri="{FF2B5EF4-FFF2-40B4-BE49-F238E27FC236}">
              <a16:creationId xmlns:a16="http://schemas.microsoft.com/office/drawing/2014/main" id="{E48914F8-27A3-4644-ABC6-A53AFA52365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0" name="Line 15">
          <a:extLst>
            <a:ext uri="{FF2B5EF4-FFF2-40B4-BE49-F238E27FC236}">
              <a16:creationId xmlns:a16="http://schemas.microsoft.com/office/drawing/2014/main" id="{D3245479-3012-4F9A-BD76-29BF2D4EBA8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1" name="Line 42">
          <a:extLst>
            <a:ext uri="{FF2B5EF4-FFF2-40B4-BE49-F238E27FC236}">
              <a16:creationId xmlns:a16="http://schemas.microsoft.com/office/drawing/2014/main" id="{206B0993-A716-4700-9B0C-D3788AFDB2C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602" name="Line 4">
          <a:extLst>
            <a:ext uri="{FF2B5EF4-FFF2-40B4-BE49-F238E27FC236}">
              <a16:creationId xmlns:a16="http://schemas.microsoft.com/office/drawing/2014/main" id="{708C891B-540D-4FAB-8001-E5DB5EBF647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3" name="Line 14">
          <a:extLst>
            <a:ext uri="{FF2B5EF4-FFF2-40B4-BE49-F238E27FC236}">
              <a16:creationId xmlns:a16="http://schemas.microsoft.com/office/drawing/2014/main" id="{ED9714A4-858A-4CF2-9B7F-0A92D3092EF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4" name="Line 15">
          <a:extLst>
            <a:ext uri="{FF2B5EF4-FFF2-40B4-BE49-F238E27FC236}">
              <a16:creationId xmlns:a16="http://schemas.microsoft.com/office/drawing/2014/main" id="{0877FA80-A097-4DF1-9B8C-6C2366AC9D2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5" name="Line 42">
          <a:extLst>
            <a:ext uri="{FF2B5EF4-FFF2-40B4-BE49-F238E27FC236}">
              <a16:creationId xmlns:a16="http://schemas.microsoft.com/office/drawing/2014/main" id="{26FCE418-824F-4FB5-B32C-FFA4ADE81CC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606" name="Line 4">
          <a:extLst>
            <a:ext uri="{FF2B5EF4-FFF2-40B4-BE49-F238E27FC236}">
              <a16:creationId xmlns:a16="http://schemas.microsoft.com/office/drawing/2014/main" id="{8DA75D58-AB09-46BF-8733-475F0B2722F2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7" name="Line 14">
          <a:extLst>
            <a:ext uri="{FF2B5EF4-FFF2-40B4-BE49-F238E27FC236}">
              <a16:creationId xmlns:a16="http://schemas.microsoft.com/office/drawing/2014/main" id="{8B7C7366-3D85-4606-82D1-D0AD33BA4C9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8" name="Line 15">
          <a:extLst>
            <a:ext uri="{FF2B5EF4-FFF2-40B4-BE49-F238E27FC236}">
              <a16:creationId xmlns:a16="http://schemas.microsoft.com/office/drawing/2014/main" id="{580EB86C-08CA-40BC-9498-43626FEE01F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09" name="Line 42">
          <a:extLst>
            <a:ext uri="{FF2B5EF4-FFF2-40B4-BE49-F238E27FC236}">
              <a16:creationId xmlns:a16="http://schemas.microsoft.com/office/drawing/2014/main" id="{6495B044-FDDD-405D-9DA1-EDE89420EEE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10" name="Line 4">
          <a:extLst>
            <a:ext uri="{FF2B5EF4-FFF2-40B4-BE49-F238E27FC236}">
              <a16:creationId xmlns:a16="http://schemas.microsoft.com/office/drawing/2014/main" id="{9EA68339-A2D8-45E3-8C8E-8FC574A91EA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1" name="Line 14">
          <a:extLst>
            <a:ext uri="{FF2B5EF4-FFF2-40B4-BE49-F238E27FC236}">
              <a16:creationId xmlns:a16="http://schemas.microsoft.com/office/drawing/2014/main" id="{5E429B47-D17F-4C37-9241-F8EA19A61CC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2" name="Line 15">
          <a:extLst>
            <a:ext uri="{FF2B5EF4-FFF2-40B4-BE49-F238E27FC236}">
              <a16:creationId xmlns:a16="http://schemas.microsoft.com/office/drawing/2014/main" id="{19B42A97-27D2-457F-98E3-EC26A044E44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3" name="Line 42">
          <a:extLst>
            <a:ext uri="{FF2B5EF4-FFF2-40B4-BE49-F238E27FC236}">
              <a16:creationId xmlns:a16="http://schemas.microsoft.com/office/drawing/2014/main" id="{9DE83311-B102-43FC-956B-67B17859597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14" name="Line 4">
          <a:extLst>
            <a:ext uri="{FF2B5EF4-FFF2-40B4-BE49-F238E27FC236}">
              <a16:creationId xmlns:a16="http://schemas.microsoft.com/office/drawing/2014/main" id="{598D69EA-C430-4E2F-BECD-60E725E12DD2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5" name="Line 14">
          <a:extLst>
            <a:ext uri="{FF2B5EF4-FFF2-40B4-BE49-F238E27FC236}">
              <a16:creationId xmlns:a16="http://schemas.microsoft.com/office/drawing/2014/main" id="{104FFC78-E7E2-46B5-AED8-EEB51292206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6" name="Line 15">
          <a:extLst>
            <a:ext uri="{FF2B5EF4-FFF2-40B4-BE49-F238E27FC236}">
              <a16:creationId xmlns:a16="http://schemas.microsoft.com/office/drawing/2014/main" id="{1A7E2B95-2A91-44C6-837F-D52E27D5A59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7" name="Line 42">
          <a:extLst>
            <a:ext uri="{FF2B5EF4-FFF2-40B4-BE49-F238E27FC236}">
              <a16:creationId xmlns:a16="http://schemas.microsoft.com/office/drawing/2014/main" id="{052D5397-095B-474B-81E1-E56D52F1570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18" name="Line 4">
          <a:extLst>
            <a:ext uri="{FF2B5EF4-FFF2-40B4-BE49-F238E27FC236}">
              <a16:creationId xmlns:a16="http://schemas.microsoft.com/office/drawing/2014/main" id="{9C9167DA-CD1B-4A8D-BBBF-F06EEEE22CC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19" name="Line 14">
          <a:extLst>
            <a:ext uri="{FF2B5EF4-FFF2-40B4-BE49-F238E27FC236}">
              <a16:creationId xmlns:a16="http://schemas.microsoft.com/office/drawing/2014/main" id="{3E178310-450A-4D4E-A0DA-FD33687F4C2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0" name="Line 15">
          <a:extLst>
            <a:ext uri="{FF2B5EF4-FFF2-40B4-BE49-F238E27FC236}">
              <a16:creationId xmlns:a16="http://schemas.microsoft.com/office/drawing/2014/main" id="{A3A708A5-D4E5-4C47-A1F1-B61D69EA99D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1" name="Line 42">
          <a:extLst>
            <a:ext uri="{FF2B5EF4-FFF2-40B4-BE49-F238E27FC236}">
              <a16:creationId xmlns:a16="http://schemas.microsoft.com/office/drawing/2014/main" id="{F340F5D6-BA79-4A62-A20E-ED8C6649A48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22" name="Line 4">
          <a:extLst>
            <a:ext uri="{FF2B5EF4-FFF2-40B4-BE49-F238E27FC236}">
              <a16:creationId xmlns:a16="http://schemas.microsoft.com/office/drawing/2014/main" id="{CD3A3709-9710-482D-9B63-F7ACE24C597F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3" name="Line 14">
          <a:extLst>
            <a:ext uri="{FF2B5EF4-FFF2-40B4-BE49-F238E27FC236}">
              <a16:creationId xmlns:a16="http://schemas.microsoft.com/office/drawing/2014/main" id="{21E9FE7D-F9B3-46CB-A1CD-E3CA97EF5A3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4" name="Line 15">
          <a:extLst>
            <a:ext uri="{FF2B5EF4-FFF2-40B4-BE49-F238E27FC236}">
              <a16:creationId xmlns:a16="http://schemas.microsoft.com/office/drawing/2014/main" id="{6EC3987E-349F-498D-8D4E-E24E1C86B2D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5" name="Line 42">
          <a:extLst>
            <a:ext uri="{FF2B5EF4-FFF2-40B4-BE49-F238E27FC236}">
              <a16:creationId xmlns:a16="http://schemas.microsoft.com/office/drawing/2014/main" id="{E2940394-6B95-4761-A55B-ECAC4991975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26" name="Line 4">
          <a:extLst>
            <a:ext uri="{FF2B5EF4-FFF2-40B4-BE49-F238E27FC236}">
              <a16:creationId xmlns:a16="http://schemas.microsoft.com/office/drawing/2014/main" id="{9CE40AD0-6EA2-4ACA-AC85-9B8ABCD9ED2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7" name="Line 14">
          <a:extLst>
            <a:ext uri="{FF2B5EF4-FFF2-40B4-BE49-F238E27FC236}">
              <a16:creationId xmlns:a16="http://schemas.microsoft.com/office/drawing/2014/main" id="{CAB7B261-844C-40FE-8D31-ADD06260C20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8" name="Line 15">
          <a:extLst>
            <a:ext uri="{FF2B5EF4-FFF2-40B4-BE49-F238E27FC236}">
              <a16:creationId xmlns:a16="http://schemas.microsoft.com/office/drawing/2014/main" id="{38548D4A-74CD-468A-B399-A89E1143BB7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29" name="Line 42">
          <a:extLst>
            <a:ext uri="{FF2B5EF4-FFF2-40B4-BE49-F238E27FC236}">
              <a16:creationId xmlns:a16="http://schemas.microsoft.com/office/drawing/2014/main" id="{4CA714EA-26DC-4D2D-AC81-3A59B7BAB0F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30" name="Line 4">
          <a:extLst>
            <a:ext uri="{FF2B5EF4-FFF2-40B4-BE49-F238E27FC236}">
              <a16:creationId xmlns:a16="http://schemas.microsoft.com/office/drawing/2014/main" id="{B90E69C1-1FC4-4F72-9B93-8A90D93013FF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31" name="Line 14">
          <a:extLst>
            <a:ext uri="{FF2B5EF4-FFF2-40B4-BE49-F238E27FC236}">
              <a16:creationId xmlns:a16="http://schemas.microsoft.com/office/drawing/2014/main" id="{C8393EF2-8DB9-4843-A72C-17AB39B8621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32" name="Line 15">
          <a:extLst>
            <a:ext uri="{FF2B5EF4-FFF2-40B4-BE49-F238E27FC236}">
              <a16:creationId xmlns:a16="http://schemas.microsoft.com/office/drawing/2014/main" id="{56D8A578-F1BF-48CA-8839-7EA4308917C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33" name="Line 42">
          <a:extLst>
            <a:ext uri="{FF2B5EF4-FFF2-40B4-BE49-F238E27FC236}">
              <a16:creationId xmlns:a16="http://schemas.microsoft.com/office/drawing/2014/main" id="{989CA0BD-0A1B-427A-A32F-49846792FD7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634" name="Line 4">
          <a:extLst>
            <a:ext uri="{FF2B5EF4-FFF2-40B4-BE49-F238E27FC236}">
              <a16:creationId xmlns:a16="http://schemas.microsoft.com/office/drawing/2014/main" id="{276A9B49-1124-44C5-A469-0B87E94409A0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35" name="Line 14">
          <a:extLst>
            <a:ext uri="{FF2B5EF4-FFF2-40B4-BE49-F238E27FC236}">
              <a16:creationId xmlns:a16="http://schemas.microsoft.com/office/drawing/2014/main" id="{D28A8BE4-E968-463B-AF73-4C5781C0495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36" name="Line 15">
          <a:extLst>
            <a:ext uri="{FF2B5EF4-FFF2-40B4-BE49-F238E27FC236}">
              <a16:creationId xmlns:a16="http://schemas.microsoft.com/office/drawing/2014/main" id="{F17197C3-3D83-4162-AE34-458815FF10A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37" name="Line 42">
          <a:extLst>
            <a:ext uri="{FF2B5EF4-FFF2-40B4-BE49-F238E27FC236}">
              <a16:creationId xmlns:a16="http://schemas.microsoft.com/office/drawing/2014/main" id="{60EBEA0B-3338-4B9E-A714-11DC1F15D83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638" name="Line 4">
          <a:extLst>
            <a:ext uri="{FF2B5EF4-FFF2-40B4-BE49-F238E27FC236}">
              <a16:creationId xmlns:a16="http://schemas.microsoft.com/office/drawing/2014/main" id="{3BF76A2D-F8C5-4ED3-9361-BA843E8B2671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39" name="Line 14">
          <a:extLst>
            <a:ext uri="{FF2B5EF4-FFF2-40B4-BE49-F238E27FC236}">
              <a16:creationId xmlns:a16="http://schemas.microsoft.com/office/drawing/2014/main" id="{556EAB23-53BB-4B18-9551-CFED11CC618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40" name="Line 15">
          <a:extLst>
            <a:ext uri="{FF2B5EF4-FFF2-40B4-BE49-F238E27FC236}">
              <a16:creationId xmlns:a16="http://schemas.microsoft.com/office/drawing/2014/main" id="{31808B05-BE60-4FDB-9B2E-45BA87049E3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41" name="Line 42">
          <a:extLst>
            <a:ext uri="{FF2B5EF4-FFF2-40B4-BE49-F238E27FC236}">
              <a16:creationId xmlns:a16="http://schemas.microsoft.com/office/drawing/2014/main" id="{3AFC7FDA-C910-45DF-9CE1-DD478E278CB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1771</xdr:row>
      <xdr:rowOff>0</xdr:rowOff>
    </xdr:from>
    <xdr:to>
      <xdr:col>18</xdr:col>
      <xdr:colOff>447675</xdr:colOff>
      <xdr:row>1772</xdr:row>
      <xdr:rowOff>0</xdr:rowOff>
    </xdr:to>
    <xdr:sp macro="" textlink="">
      <xdr:nvSpPr>
        <xdr:cNvPr id="1642" name="Line 4">
          <a:extLst>
            <a:ext uri="{FF2B5EF4-FFF2-40B4-BE49-F238E27FC236}">
              <a16:creationId xmlns:a16="http://schemas.microsoft.com/office/drawing/2014/main" id="{B22BB74E-744C-4086-823A-8832723A9935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43" name="Line 14">
          <a:extLst>
            <a:ext uri="{FF2B5EF4-FFF2-40B4-BE49-F238E27FC236}">
              <a16:creationId xmlns:a16="http://schemas.microsoft.com/office/drawing/2014/main" id="{CEC0DB05-2A92-48E5-912B-5F7F9412EE1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44" name="Line 15">
          <a:extLst>
            <a:ext uri="{FF2B5EF4-FFF2-40B4-BE49-F238E27FC236}">
              <a16:creationId xmlns:a16="http://schemas.microsoft.com/office/drawing/2014/main" id="{3390E7FD-6B08-4E00-BC37-DFCA92305D9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1771</xdr:row>
      <xdr:rowOff>0</xdr:rowOff>
    </xdr:from>
    <xdr:to>
      <xdr:col>18</xdr:col>
      <xdr:colOff>438150</xdr:colOff>
      <xdr:row>1772</xdr:row>
      <xdr:rowOff>0</xdr:rowOff>
    </xdr:to>
    <xdr:sp macro="" textlink="">
      <xdr:nvSpPr>
        <xdr:cNvPr id="1645" name="Line 42">
          <a:extLst>
            <a:ext uri="{FF2B5EF4-FFF2-40B4-BE49-F238E27FC236}">
              <a16:creationId xmlns:a16="http://schemas.microsoft.com/office/drawing/2014/main" id="{426F6995-E89A-425B-B63F-C2EB5846795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46" name="Line 4">
          <a:extLst>
            <a:ext uri="{FF2B5EF4-FFF2-40B4-BE49-F238E27FC236}">
              <a16:creationId xmlns:a16="http://schemas.microsoft.com/office/drawing/2014/main" id="{F135B380-AEB4-4F5C-8C79-6CEAD3115BA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47" name="Line 14">
          <a:extLst>
            <a:ext uri="{FF2B5EF4-FFF2-40B4-BE49-F238E27FC236}">
              <a16:creationId xmlns:a16="http://schemas.microsoft.com/office/drawing/2014/main" id="{9B5FB896-7FB0-4E81-865A-967592FD6EE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48" name="Line 15">
          <a:extLst>
            <a:ext uri="{FF2B5EF4-FFF2-40B4-BE49-F238E27FC236}">
              <a16:creationId xmlns:a16="http://schemas.microsoft.com/office/drawing/2014/main" id="{2CBE94A9-190E-4C33-B8CE-19AC2C8797A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49" name="Line 42">
          <a:extLst>
            <a:ext uri="{FF2B5EF4-FFF2-40B4-BE49-F238E27FC236}">
              <a16:creationId xmlns:a16="http://schemas.microsoft.com/office/drawing/2014/main" id="{D5A47638-3ECA-4831-BD25-4FDBC788995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50" name="Line 4">
          <a:extLst>
            <a:ext uri="{FF2B5EF4-FFF2-40B4-BE49-F238E27FC236}">
              <a16:creationId xmlns:a16="http://schemas.microsoft.com/office/drawing/2014/main" id="{F1E28603-BE34-4E11-A0BD-E84B2B27778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1" name="Line 14">
          <a:extLst>
            <a:ext uri="{FF2B5EF4-FFF2-40B4-BE49-F238E27FC236}">
              <a16:creationId xmlns:a16="http://schemas.microsoft.com/office/drawing/2014/main" id="{FF5B6B9B-3094-4EE6-BC2A-F927AB60F2A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2" name="Line 15">
          <a:extLst>
            <a:ext uri="{FF2B5EF4-FFF2-40B4-BE49-F238E27FC236}">
              <a16:creationId xmlns:a16="http://schemas.microsoft.com/office/drawing/2014/main" id="{EF91C2DC-C9E8-4939-8957-1DFAE048876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3" name="Line 42">
          <a:extLst>
            <a:ext uri="{FF2B5EF4-FFF2-40B4-BE49-F238E27FC236}">
              <a16:creationId xmlns:a16="http://schemas.microsoft.com/office/drawing/2014/main" id="{D349DFE1-904D-4D03-9AC6-520A2668629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54" name="Line 4">
          <a:extLst>
            <a:ext uri="{FF2B5EF4-FFF2-40B4-BE49-F238E27FC236}">
              <a16:creationId xmlns:a16="http://schemas.microsoft.com/office/drawing/2014/main" id="{8F0BB236-2A7A-4614-93B8-30F627658CD9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5" name="Line 14">
          <a:extLst>
            <a:ext uri="{FF2B5EF4-FFF2-40B4-BE49-F238E27FC236}">
              <a16:creationId xmlns:a16="http://schemas.microsoft.com/office/drawing/2014/main" id="{4641B1CA-7AC2-4E2B-9AFE-D9FF712D4B5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6" name="Line 15">
          <a:extLst>
            <a:ext uri="{FF2B5EF4-FFF2-40B4-BE49-F238E27FC236}">
              <a16:creationId xmlns:a16="http://schemas.microsoft.com/office/drawing/2014/main" id="{C60FA236-58FF-4CCD-AE25-3D7F5C0FF8C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7" name="Line 42">
          <a:extLst>
            <a:ext uri="{FF2B5EF4-FFF2-40B4-BE49-F238E27FC236}">
              <a16:creationId xmlns:a16="http://schemas.microsoft.com/office/drawing/2014/main" id="{0A93A88C-0863-4F63-9BFD-47D4BDBD383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58" name="Line 4">
          <a:extLst>
            <a:ext uri="{FF2B5EF4-FFF2-40B4-BE49-F238E27FC236}">
              <a16:creationId xmlns:a16="http://schemas.microsoft.com/office/drawing/2014/main" id="{D061BF4F-A28E-4BF6-9F6B-A6F82077F7A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59" name="Line 14">
          <a:extLst>
            <a:ext uri="{FF2B5EF4-FFF2-40B4-BE49-F238E27FC236}">
              <a16:creationId xmlns:a16="http://schemas.microsoft.com/office/drawing/2014/main" id="{5861B8B3-ED72-4470-AC14-6F22E7F9EE9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0" name="Line 15">
          <a:extLst>
            <a:ext uri="{FF2B5EF4-FFF2-40B4-BE49-F238E27FC236}">
              <a16:creationId xmlns:a16="http://schemas.microsoft.com/office/drawing/2014/main" id="{39F0063F-73C0-47FD-A7DA-AD8B4EA15D5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1" name="Line 42">
          <a:extLst>
            <a:ext uri="{FF2B5EF4-FFF2-40B4-BE49-F238E27FC236}">
              <a16:creationId xmlns:a16="http://schemas.microsoft.com/office/drawing/2014/main" id="{5610242F-4ED2-45FB-99B4-0BD00C4FB77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62" name="Line 4">
          <a:extLst>
            <a:ext uri="{FF2B5EF4-FFF2-40B4-BE49-F238E27FC236}">
              <a16:creationId xmlns:a16="http://schemas.microsoft.com/office/drawing/2014/main" id="{BB53056F-070C-45B9-A8E3-60F5F7CDFDCC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3" name="Line 14">
          <a:extLst>
            <a:ext uri="{FF2B5EF4-FFF2-40B4-BE49-F238E27FC236}">
              <a16:creationId xmlns:a16="http://schemas.microsoft.com/office/drawing/2014/main" id="{CDC5B194-4C93-4BDB-8B05-267C1D54631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4" name="Line 15">
          <a:extLst>
            <a:ext uri="{FF2B5EF4-FFF2-40B4-BE49-F238E27FC236}">
              <a16:creationId xmlns:a16="http://schemas.microsoft.com/office/drawing/2014/main" id="{9D97C43B-EBA3-4643-A31A-B3B423E776E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5" name="Line 42">
          <a:extLst>
            <a:ext uri="{FF2B5EF4-FFF2-40B4-BE49-F238E27FC236}">
              <a16:creationId xmlns:a16="http://schemas.microsoft.com/office/drawing/2014/main" id="{D4791FC3-ED5B-4BDE-94A6-C3118F023A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1773</xdr:row>
      <xdr:rowOff>0</xdr:rowOff>
    </xdr:from>
    <xdr:to>
      <xdr:col>18</xdr:col>
      <xdr:colOff>447675</xdr:colOff>
      <xdr:row>1774</xdr:row>
      <xdr:rowOff>0</xdr:rowOff>
    </xdr:to>
    <xdr:sp macro="" textlink="">
      <xdr:nvSpPr>
        <xdr:cNvPr id="1666" name="Line 4">
          <a:extLst>
            <a:ext uri="{FF2B5EF4-FFF2-40B4-BE49-F238E27FC236}">
              <a16:creationId xmlns:a16="http://schemas.microsoft.com/office/drawing/2014/main" id="{401B87D2-ACA8-4589-B265-B04B450B157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7" name="Line 14">
          <a:extLst>
            <a:ext uri="{FF2B5EF4-FFF2-40B4-BE49-F238E27FC236}">
              <a16:creationId xmlns:a16="http://schemas.microsoft.com/office/drawing/2014/main" id="{217E7049-CCD4-4224-A804-7584447D86C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8" name="Line 15">
          <a:extLst>
            <a:ext uri="{FF2B5EF4-FFF2-40B4-BE49-F238E27FC236}">
              <a16:creationId xmlns:a16="http://schemas.microsoft.com/office/drawing/2014/main" id="{A0C4E62B-E0F6-471D-A6E8-5FAE7906C91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1773</xdr:row>
      <xdr:rowOff>0</xdr:rowOff>
    </xdr:from>
    <xdr:to>
      <xdr:col>18</xdr:col>
      <xdr:colOff>438150</xdr:colOff>
      <xdr:row>1774</xdr:row>
      <xdr:rowOff>0</xdr:rowOff>
    </xdr:to>
    <xdr:sp macro="" textlink="">
      <xdr:nvSpPr>
        <xdr:cNvPr id="1669" name="Line 42">
          <a:extLst>
            <a:ext uri="{FF2B5EF4-FFF2-40B4-BE49-F238E27FC236}">
              <a16:creationId xmlns:a16="http://schemas.microsoft.com/office/drawing/2014/main" id="{84ECCE0A-1EF8-43AE-B57B-202F761E9D8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670" name="Line 4">
          <a:extLst>
            <a:ext uri="{FF2B5EF4-FFF2-40B4-BE49-F238E27FC236}">
              <a16:creationId xmlns:a16="http://schemas.microsoft.com/office/drawing/2014/main" id="{79C8E897-1CA7-4B7B-B013-C6E6A9FDC3F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1" name="Line 14">
          <a:extLst>
            <a:ext uri="{FF2B5EF4-FFF2-40B4-BE49-F238E27FC236}">
              <a16:creationId xmlns:a16="http://schemas.microsoft.com/office/drawing/2014/main" id="{A7D97E05-8BDD-431E-8240-1BF4B53CA1D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2" name="Line 15">
          <a:extLst>
            <a:ext uri="{FF2B5EF4-FFF2-40B4-BE49-F238E27FC236}">
              <a16:creationId xmlns:a16="http://schemas.microsoft.com/office/drawing/2014/main" id="{FA75B1AC-9DD9-473C-B1AE-91624AE16AE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3" name="Line 42">
          <a:extLst>
            <a:ext uri="{FF2B5EF4-FFF2-40B4-BE49-F238E27FC236}">
              <a16:creationId xmlns:a16="http://schemas.microsoft.com/office/drawing/2014/main" id="{874A0F4B-D690-413C-95D2-DD1263212AB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674" name="Line 4">
          <a:extLst>
            <a:ext uri="{FF2B5EF4-FFF2-40B4-BE49-F238E27FC236}">
              <a16:creationId xmlns:a16="http://schemas.microsoft.com/office/drawing/2014/main" id="{DBADBE0F-9912-470D-B807-36F4D9670AB8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5" name="Line 14">
          <a:extLst>
            <a:ext uri="{FF2B5EF4-FFF2-40B4-BE49-F238E27FC236}">
              <a16:creationId xmlns:a16="http://schemas.microsoft.com/office/drawing/2014/main" id="{76B1CBA7-58D3-428B-8DD4-35DE66A47B4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6" name="Line 15">
          <a:extLst>
            <a:ext uri="{FF2B5EF4-FFF2-40B4-BE49-F238E27FC236}">
              <a16:creationId xmlns:a16="http://schemas.microsoft.com/office/drawing/2014/main" id="{85914DCA-FC17-4ECE-869C-27D9177EA25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7" name="Line 42">
          <a:extLst>
            <a:ext uri="{FF2B5EF4-FFF2-40B4-BE49-F238E27FC236}">
              <a16:creationId xmlns:a16="http://schemas.microsoft.com/office/drawing/2014/main" id="{850E61C6-DC9F-41FE-9E57-457BDB7E5CA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678" name="Line 4">
          <a:extLst>
            <a:ext uri="{FF2B5EF4-FFF2-40B4-BE49-F238E27FC236}">
              <a16:creationId xmlns:a16="http://schemas.microsoft.com/office/drawing/2014/main" id="{790E9DF1-7925-4F32-8E65-006942257E7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79" name="Line 14">
          <a:extLst>
            <a:ext uri="{FF2B5EF4-FFF2-40B4-BE49-F238E27FC236}">
              <a16:creationId xmlns:a16="http://schemas.microsoft.com/office/drawing/2014/main" id="{F1BE5E12-3C22-498A-BE46-F5CBCB59631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80" name="Line 15">
          <a:extLst>
            <a:ext uri="{FF2B5EF4-FFF2-40B4-BE49-F238E27FC236}">
              <a16:creationId xmlns:a16="http://schemas.microsoft.com/office/drawing/2014/main" id="{8E20363C-492F-43DF-94B9-99A1302AC11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681" name="Line 42">
          <a:extLst>
            <a:ext uri="{FF2B5EF4-FFF2-40B4-BE49-F238E27FC236}">
              <a16:creationId xmlns:a16="http://schemas.microsoft.com/office/drawing/2014/main" id="{D0C53315-016B-4CBF-9255-A617A31E64F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682" name="Line 4">
          <a:extLst>
            <a:ext uri="{FF2B5EF4-FFF2-40B4-BE49-F238E27FC236}">
              <a16:creationId xmlns:a16="http://schemas.microsoft.com/office/drawing/2014/main" id="{85983716-F6D1-4949-8054-CE571AC5E5A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3" name="Line 14">
          <a:extLst>
            <a:ext uri="{FF2B5EF4-FFF2-40B4-BE49-F238E27FC236}">
              <a16:creationId xmlns:a16="http://schemas.microsoft.com/office/drawing/2014/main" id="{3E53C9B0-794B-49A5-AFF1-B4FFCAE83D9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4" name="Line 15">
          <a:extLst>
            <a:ext uri="{FF2B5EF4-FFF2-40B4-BE49-F238E27FC236}">
              <a16:creationId xmlns:a16="http://schemas.microsoft.com/office/drawing/2014/main" id="{045F489F-5013-4ED0-97A0-1D6B9CE405D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5" name="Line 42">
          <a:extLst>
            <a:ext uri="{FF2B5EF4-FFF2-40B4-BE49-F238E27FC236}">
              <a16:creationId xmlns:a16="http://schemas.microsoft.com/office/drawing/2014/main" id="{9D4A990D-7A60-4D3B-AC79-77D88F07C87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686" name="Line 4">
          <a:extLst>
            <a:ext uri="{FF2B5EF4-FFF2-40B4-BE49-F238E27FC236}">
              <a16:creationId xmlns:a16="http://schemas.microsoft.com/office/drawing/2014/main" id="{F3A275A7-7270-43BA-98DC-2963B632B267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7" name="Line 14">
          <a:extLst>
            <a:ext uri="{FF2B5EF4-FFF2-40B4-BE49-F238E27FC236}">
              <a16:creationId xmlns:a16="http://schemas.microsoft.com/office/drawing/2014/main" id="{A23CF244-2EFF-4BB4-8812-ED8A16DAFF7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8" name="Line 15">
          <a:extLst>
            <a:ext uri="{FF2B5EF4-FFF2-40B4-BE49-F238E27FC236}">
              <a16:creationId xmlns:a16="http://schemas.microsoft.com/office/drawing/2014/main" id="{995F7023-8170-485E-84C9-CCD16EC9338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89" name="Line 42">
          <a:extLst>
            <a:ext uri="{FF2B5EF4-FFF2-40B4-BE49-F238E27FC236}">
              <a16:creationId xmlns:a16="http://schemas.microsoft.com/office/drawing/2014/main" id="{B667D2BF-19F4-4F7C-A4C2-341DF7C7C2A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690" name="Line 4">
          <a:extLst>
            <a:ext uri="{FF2B5EF4-FFF2-40B4-BE49-F238E27FC236}">
              <a16:creationId xmlns:a16="http://schemas.microsoft.com/office/drawing/2014/main" id="{2824CEA1-24C2-415F-B25B-FD98E71F2B3E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1" name="Line 14">
          <a:extLst>
            <a:ext uri="{FF2B5EF4-FFF2-40B4-BE49-F238E27FC236}">
              <a16:creationId xmlns:a16="http://schemas.microsoft.com/office/drawing/2014/main" id="{D3AB16E3-7999-410C-8AA1-D32CECE07B7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2" name="Line 15">
          <a:extLst>
            <a:ext uri="{FF2B5EF4-FFF2-40B4-BE49-F238E27FC236}">
              <a16:creationId xmlns:a16="http://schemas.microsoft.com/office/drawing/2014/main" id="{369950DD-9A5E-4A68-99C6-60C69F13ABB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3" name="Line 42">
          <a:extLst>
            <a:ext uri="{FF2B5EF4-FFF2-40B4-BE49-F238E27FC236}">
              <a16:creationId xmlns:a16="http://schemas.microsoft.com/office/drawing/2014/main" id="{A725ECE6-1AE6-4316-8A8F-18D32616D26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694" name="Line 4">
          <a:extLst>
            <a:ext uri="{FF2B5EF4-FFF2-40B4-BE49-F238E27FC236}">
              <a16:creationId xmlns:a16="http://schemas.microsoft.com/office/drawing/2014/main" id="{3724543D-26D1-4633-8338-D1D09B0AE01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5" name="Line 14">
          <a:extLst>
            <a:ext uri="{FF2B5EF4-FFF2-40B4-BE49-F238E27FC236}">
              <a16:creationId xmlns:a16="http://schemas.microsoft.com/office/drawing/2014/main" id="{14CA7AD9-8885-4580-866E-D290AE6D36AB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6" name="Line 15">
          <a:extLst>
            <a:ext uri="{FF2B5EF4-FFF2-40B4-BE49-F238E27FC236}">
              <a16:creationId xmlns:a16="http://schemas.microsoft.com/office/drawing/2014/main" id="{F4C6E099-36D9-46FA-AE8B-5946050D599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7" name="Line 42">
          <a:extLst>
            <a:ext uri="{FF2B5EF4-FFF2-40B4-BE49-F238E27FC236}">
              <a16:creationId xmlns:a16="http://schemas.microsoft.com/office/drawing/2014/main" id="{2728C506-C1D8-4D7E-A765-8116BDF8BBE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698" name="Line 4">
          <a:extLst>
            <a:ext uri="{FF2B5EF4-FFF2-40B4-BE49-F238E27FC236}">
              <a16:creationId xmlns:a16="http://schemas.microsoft.com/office/drawing/2014/main" id="{AA5A6AD9-015B-4ECD-9ADE-A2C6A56E814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699" name="Line 14">
          <a:extLst>
            <a:ext uri="{FF2B5EF4-FFF2-40B4-BE49-F238E27FC236}">
              <a16:creationId xmlns:a16="http://schemas.microsoft.com/office/drawing/2014/main" id="{0C5BBC98-BD91-44C7-B3E3-C9FF56F97BA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00" name="Line 15">
          <a:extLst>
            <a:ext uri="{FF2B5EF4-FFF2-40B4-BE49-F238E27FC236}">
              <a16:creationId xmlns:a16="http://schemas.microsoft.com/office/drawing/2014/main" id="{F6AAF6B2-1E86-4CF4-8394-DF065407EF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01" name="Line 42">
          <a:extLst>
            <a:ext uri="{FF2B5EF4-FFF2-40B4-BE49-F238E27FC236}">
              <a16:creationId xmlns:a16="http://schemas.microsoft.com/office/drawing/2014/main" id="{DEA063F6-2C92-4A5B-94E6-074BD2AFD62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02" name="Line 4">
          <a:extLst>
            <a:ext uri="{FF2B5EF4-FFF2-40B4-BE49-F238E27FC236}">
              <a16:creationId xmlns:a16="http://schemas.microsoft.com/office/drawing/2014/main" id="{D34541B2-5589-4AC3-A406-4E559ED749CA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03" name="Line 14">
          <a:extLst>
            <a:ext uri="{FF2B5EF4-FFF2-40B4-BE49-F238E27FC236}">
              <a16:creationId xmlns:a16="http://schemas.microsoft.com/office/drawing/2014/main" id="{AE31E626-6147-4B47-B58C-E2CF8E5F191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04" name="Line 15">
          <a:extLst>
            <a:ext uri="{FF2B5EF4-FFF2-40B4-BE49-F238E27FC236}">
              <a16:creationId xmlns:a16="http://schemas.microsoft.com/office/drawing/2014/main" id="{EAED4B68-87C8-4150-8C90-2F9BE027D09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05" name="Line 42">
          <a:extLst>
            <a:ext uri="{FF2B5EF4-FFF2-40B4-BE49-F238E27FC236}">
              <a16:creationId xmlns:a16="http://schemas.microsoft.com/office/drawing/2014/main" id="{8954E66C-EE30-4C48-B0F5-35824BD9901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06" name="Line 4">
          <a:extLst>
            <a:ext uri="{FF2B5EF4-FFF2-40B4-BE49-F238E27FC236}">
              <a16:creationId xmlns:a16="http://schemas.microsoft.com/office/drawing/2014/main" id="{54B502A0-1615-47DA-BD93-A70BE584C15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07" name="Line 14">
          <a:extLst>
            <a:ext uri="{FF2B5EF4-FFF2-40B4-BE49-F238E27FC236}">
              <a16:creationId xmlns:a16="http://schemas.microsoft.com/office/drawing/2014/main" id="{0892C150-03A4-4A92-B3AA-E77B63442FC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08" name="Line 15">
          <a:extLst>
            <a:ext uri="{FF2B5EF4-FFF2-40B4-BE49-F238E27FC236}">
              <a16:creationId xmlns:a16="http://schemas.microsoft.com/office/drawing/2014/main" id="{B6E4808D-04D2-4B65-A7D0-24A0460266C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09" name="Line 42">
          <a:extLst>
            <a:ext uri="{FF2B5EF4-FFF2-40B4-BE49-F238E27FC236}">
              <a16:creationId xmlns:a16="http://schemas.microsoft.com/office/drawing/2014/main" id="{6F1C6185-AE30-4329-BE75-6B8252CACF5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10" name="Line 4">
          <a:extLst>
            <a:ext uri="{FF2B5EF4-FFF2-40B4-BE49-F238E27FC236}">
              <a16:creationId xmlns:a16="http://schemas.microsoft.com/office/drawing/2014/main" id="{EBFE390F-8FC4-46B1-A48E-C22C9AE4D043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1" name="Line 14">
          <a:extLst>
            <a:ext uri="{FF2B5EF4-FFF2-40B4-BE49-F238E27FC236}">
              <a16:creationId xmlns:a16="http://schemas.microsoft.com/office/drawing/2014/main" id="{A711C5C5-3252-44F0-A4D7-8936B0479FD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2" name="Line 15">
          <a:extLst>
            <a:ext uri="{FF2B5EF4-FFF2-40B4-BE49-F238E27FC236}">
              <a16:creationId xmlns:a16="http://schemas.microsoft.com/office/drawing/2014/main" id="{D3818282-0805-4BBA-98CD-6F0CB5C2343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3" name="Line 42">
          <a:extLst>
            <a:ext uri="{FF2B5EF4-FFF2-40B4-BE49-F238E27FC236}">
              <a16:creationId xmlns:a16="http://schemas.microsoft.com/office/drawing/2014/main" id="{D8196AD5-2AE9-412F-A38A-F049B80D3C1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14" name="Line 4">
          <a:extLst>
            <a:ext uri="{FF2B5EF4-FFF2-40B4-BE49-F238E27FC236}">
              <a16:creationId xmlns:a16="http://schemas.microsoft.com/office/drawing/2014/main" id="{81F22791-3A1C-4A72-9F41-6DD9D6B369C5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5" name="Line 14">
          <a:extLst>
            <a:ext uri="{FF2B5EF4-FFF2-40B4-BE49-F238E27FC236}">
              <a16:creationId xmlns:a16="http://schemas.microsoft.com/office/drawing/2014/main" id="{476502AB-4803-43DA-90D3-118435AA396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6" name="Line 15">
          <a:extLst>
            <a:ext uri="{FF2B5EF4-FFF2-40B4-BE49-F238E27FC236}">
              <a16:creationId xmlns:a16="http://schemas.microsoft.com/office/drawing/2014/main" id="{0B3B34B1-25BC-47A6-A0D7-7E0C39978A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17" name="Line 42">
          <a:extLst>
            <a:ext uri="{FF2B5EF4-FFF2-40B4-BE49-F238E27FC236}">
              <a16:creationId xmlns:a16="http://schemas.microsoft.com/office/drawing/2014/main" id="{FD0B7985-8D43-4A13-86B6-7BDC3BC010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18" name="Line 4">
          <a:extLst>
            <a:ext uri="{FF2B5EF4-FFF2-40B4-BE49-F238E27FC236}">
              <a16:creationId xmlns:a16="http://schemas.microsoft.com/office/drawing/2014/main" id="{342C00E4-9503-419D-88B1-53F17CFDE11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19" name="Line 14">
          <a:extLst>
            <a:ext uri="{FF2B5EF4-FFF2-40B4-BE49-F238E27FC236}">
              <a16:creationId xmlns:a16="http://schemas.microsoft.com/office/drawing/2014/main" id="{72832BE1-1D71-4C2A-B786-EF59FBBDBA2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0" name="Line 15">
          <a:extLst>
            <a:ext uri="{FF2B5EF4-FFF2-40B4-BE49-F238E27FC236}">
              <a16:creationId xmlns:a16="http://schemas.microsoft.com/office/drawing/2014/main" id="{AA68B103-E344-4D21-AD04-5F48E080AE5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1" name="Line 42">
          <a:extLst>
            <a:ext uri="{FF2B5EF4-FFF2-40B4-BE49-F238E27FC236}">
              <a16:creationId xmlns:a16="http://schemas.microsoft.com/office/drawing/2014/main" id="{EF474AE4-329E-45E0-9A1E-0D55545D634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22" name="Line 4">
          <a:extLst>
            <a:ext uri="{FF2B5EF4-FFF2-40B4-BE49-F238E27FC236}">
              <a16:creationId xmlns:a16="http://schemas.microsoft.com/office/drawing/2014/main" id="{B726EE13-837F-4AD1-AF69-FC3FE76FCCB8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3" name="Line 14">
          <a:extLst>
            <a:ext uri="{FF2B5EF4-FFF2-40B4-BE49-F238E27FC236}">
              <a16:creationId xmlns:a16="http://schemas.microsoft.com/office/drawing/2014/main" id="{EFD3040B-1501-4D78-BACC-2A4C951A482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4" name="Line 15">
          <a:extLst>
            <a:ext uri="{FF2B5EF4-FFF2-40B4-BE49-F238E27FC236}">
              <a16:creationId xmlns:a16="http://schemas.microsoft.com/office/drawing/2014/main" id="{63F73500-D3F2-428F-AF2E-E849DA48538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5" name="Line 42">
          <a:extLst>
            <a:ext uri="{FF2B5EF4-FFF2-40B4-BE49-F238E27FC236}">
              <a16:creationId xmlns:a16="http://schemas.microsoft.com/office/drawing/2014/main" id="{99E92A46-5FCE-4D6C-BD1E-23842F7B945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26" name="Line 4">
          <a:extLst>
            <a:ext uri="{FF2B5EF4-FFF2-40B4-BE49-F238E27FC236}">
              <a16:creationId xmlns:a16="http://schemas.microsoft.com/office/drawing/2014/main" id="{49EFD64B-44C1-4928-8172-FDDA130AB515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7" name="Line 14">
          <a:extLst>
            <a:ext uri="{FF2B5EF4-FFF2-40B4-BE49-F238E27FC236}">
              <a16:creationId xmlns:a16="http://schemas.microsoft.com/office/drawing/2014/main" id="{7B0459C3-C194-4309-9573-3A2641349D3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8" name="Line 15">
          <a:extLst>
            <a:ext uri="{FF2B5EF4-FFF2-40B4-BE49-F238E27FC236}">
              <a16:creationId xmlns:a16="http://schemas.microsoft.com/office/drawing/2014/main" id="{3371A410-7DC8-4FCA-96D8-EF9570EB582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29" name="Line 42">
          <a:extLst>
            <a:ext uri="{FF2B5EF4-FFF2-40B4-BE49-F238E27FC236}">
              <a16:creationId xmlns:a16="http://schemas.microsoft.com/office/drawing/2014/main" id="{447AE627-97B9-4BA7-ACA8-866D7CD8CEB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30" name="Line 4">
          <a:extLst>
            <a:ext uri="{FF2B5EF4-FFF2-40B4-BE49-F238E27FC236}">
              <a16:creationId xmlns:a16="http://schemas.microsoft.com/office/drawing/2014/main" id="{339EE048-BF47-4E10-A397-6939C5D4511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1" name="Line 14">
          <a:extLst>
            <a:ext uri="{FF2B5EF4-FFF2-40B4-BE49-F238E27FC236}">
              <a16:creationId xmlns:a16="http://schemas.microsoft.com/office/drawing/2014/main" id="{C01943EF-10C5-4539-BA7C-220CDA30B43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2" name="Line 15">
          <a:extLst>
            <a:ext uri="{FF2B5EF4-FFF2-40B4-BE49-F238E27FC236}">
              <a16:creationId xmlns:a16="http://schemas.microsoft.com/office/drawing/2014/main" id="{9CB075C6-E6BC-4519-A732-7E887978584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3" name="Line 42">
          <a:extLst>
            <a:ext uri="{FF2B5EF4-FFF2-40B4-BE49-F238E27FC236}">
              <a16:creationId xmlns:a16="http://schemas.microsoft.com/office/drawing/2014/main" id="{63AE951E-E89D-4DEC-B23E-2010A2638D5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34" name="Line 4">
          <a:extLst>
            <a:ext uri="{FF2B5EF4-FFF2-40B4-BE49-F238E27FC236}">
              <a16:creationId xmlns:a16="http://schemas.microsoft.com/office/drawing/2014/main" id="{F4343289-F6F3-4154-AD77-2E2CE8AA4099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5" name="Line 14">
          <a:extLst>
            <a:ext uri="{FF2B5EF4-FFF2-40B4-BE49-F238E27FC236}">
              <a16:creationId xmlns:a16="http://schemas.microsoft.com/office/drawing/2014/main" id="{95D4A55F-ED95-4C5F-8B1A-801F68760B7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6" name="Line 15">
          <a:extLst>
            <a:ext uri="{FF2B5EF4-FFF2-40B4-BE49-F238E27FC236}">
              <a16:creationId xmlns:a16="http://schemas.microsoft.com/office/drawing/2014/main" id="{DD099AB7-0309-44AA-B395-0CEC1CEDF24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7" name="Line 42">
          <a:extLst>
            <a:ext uri="{FF2B5EF4-FFF2-40B4-BE49-F238E27FC236}">
              <a16:creationId xmlns:a16="http://schemas.microsoft.com/office/drawing/2014/main" id="{617501A5-C31F-4F9C-8501-B7A50010441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38" name="Line 4">
          <a:extLst>
            <a:ext uri="{FF2B5EF4-FFF2-40B4-BE49-F238E27FC236}">
              <a16:creationId xmlns:a16="http://schemas.microsoft.com/office/drawing/2014/main" id="{C504D6AD-FC0F-4F77-B247-1A56D667B8D1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39" name="Line 14">
          <a:extLst>
            <a:ext uri="{FF2B5EF4-FFF2-40B4-BE49-F238E27FC236}">
              <a16:creationId xmlns:a16="http://schemas.microsoft.com/office/drawing/2014/main" id="{D56B891B-57E4-46F5-829A-F516F0E7497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40" name="Line 15">
          <a:extLst>
            <a:ext uri="{FF2B5EF4-FFF2-40B4-BE49-F238E27FC236}">
              <a16:creationId xmlns:a16="http://schemas.microsoft.com/office/drawing/2014/main" id="{890F1AE9-6392-4396-BD59-CAF15F792F5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41" name="Line 42">
          <a:extLst>
            <a:ext uri="{FF2B5EF4-FFF2-40B4-BE49-F238E27FC236}">
              <a16:creationId xmlns:a16="http://schemas.microsoft.com/office/drawing/2014/main" id="{C58056E3-8773-4434-BD6C-92953528A67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42" name="Line 4">
          <a:extLst>
            <a:ext uri="{FF2B5EF4-FFF2-40B4-BE49-F238E27FC236}">
              <a16:creationId xmlns:a16="http://schemas.microsoft.com/office/drawing/2014/main" id="{3BA8F5C4-EB97-4BF6-9943-7DCD301A9C0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3" name="Line 14">
          <a:extLst>
            <a:ext uri="{FF2B5EF4-FFF2-40B4-BE49-F238E27FC236}">
              <a16:creationId xmlns:a16="http://schemas.microsoft.com/office/drawing/2014/main" id="{3379A11E-D3C2-4754-A92D-1E15F0E2EF0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4" name="Line 15">
          <a:extLst>
            <a:ext uri="{FF2B5EF4-FFF2-40B4-BE49-F238E27FC236}">
              <a16:creationId xmlns:a16="http://schemas.microsoft.com/office/drawing/2014/main" id="{AC823D12-D7F2-4476-BDEF-4283564F00A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5" name="Line 42">
          <a:extLst>
            <a:ext uri="{FF2B5EF4-FFF2-40B4-BE49-F238E27FC236}">
              <a16:creationId xmlns:a16="http://schemas.microsoft.com/office/drawing/2014/main" id="{666221D7-F676-4B8C-AD9A-96F86E625F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46" name="Line 4">
          <a:extLst>
            <a:ext uri="{FF2B5EF4-FFF2-40B4-BE49-F238E27FC236}">
              <a16:creationId xmlns:a16="http://schemas.microsoft.com/office/drawing/2014/main" id="{923B00F2-88BD-47CF-AEF0-7DCCC6EE293B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7" name="Line 14">
          <a:extLst>
            <a:ext uri="{FF2B5EF4-FFF2-40B4-BE49-F238E27FC236}">
              <a16:creationId xmlns:a16="http://schemas.microsoft.com/office/drawing/2014/main" id="{16957C77-4140-4EEE-A381-7B4C729E301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8" name="Line 15">
          <a:extLst>
            <a:ext uri="{FF2B5EF4-FFF2-40B4-BE49-F238E27FC236}">
              <a16:creationId xmlns:a16="http://schemas.microsoft.com/office/drawing/2014/main" id="{3D38D686-34CD-4363-ACD2-08454349A39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49" name="Line 42">
          <a:extLst>
            <a:ext uri="{FF2B5EF4-FFF2-40B4-BE49-F238E27FC236}">
              <a16:creationId xmlns:a16="http://schemas.microsoft.com/office/drawing/2014/main" id="{A57B6020-8A40-4B11-967F-3F03FA47287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50" name="Line 4">
          <a:extLst>
            <a:ext uri="{FF2B5EF4-FFF2-40B4-BE49-F238E27FC236}">
              <a16:creationId xmlns:a16="http://schemas.microsoft.com/office/drawing/2014/main" id="{0AABB078-286B-4488-BCE0-24F8EACC3159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51" name="Line 14">
          <a:extLst>
            <a:ext uri="{FF2B5EF4-FFF2-40B4-BE49-F238E27FC236}">
              <a16:creationId xmlns:a16="http://schemas.microsoft.com/office/drawing/2014/main" id="{1328A02A-2F02-4662-A89B-5BDEC08BC1E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52" name="Line 15">
          <a:extLst>
            <a:ext uri="{FF2B5EF4-FFF2-40B4-BE49-F238E27FC236}">
              <a16:creationId xmlns:a16="http://schemas.microsoft.com/office/drawing/2014/main" id="{7BB049DD-AA91-4376-9A4A-5297F58FE4A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53" name="Line 42">
          <a:extLst>
            <a:ext uri="{FF2B5EF4-FFF2-40B4-BE49-F238E27FC236}">
              <a16:creationId xmlns:a16="http://schemas.microsoft.com/office/drawing/2014/main" id="{3C7C18B1-58C1-41F8-A580-0E2EAD5FFA9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54" name="Line 4">
          <a:extLst>
            <a:ext uri="{FF2B5EF4-FFF2-40B4-BE49-F238E27FC236}">
              <a16:creationId xmlns:a16="http://schemas.microsoft.com/office/drawing/2014/main" id="{204DE90D-F618-4654-9FE6-E84366CDA65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55" name="Line 14">
          <a:extLst>
            <a:ext uri="{FF2B5EF4-FFF2-40B4-BE49-F238E27FC236}">
              <a16:creationId xmlns:a16="http://schemas.microsoft.com/office/drawing/2014/main" id="{DC012F20-8112-4F33-A127-53F576F58F6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56" name="Line 15">
          <a:extLst>
            <a:ext uri="{FF2B5EF4-FFF2-40B4-BE49-F238E27FC236}">
              <a16:creationId xmlns:a16="http://schemas.microsoft.com/office/drawing/2014/main" id="{19B230ED-EF3B-4F7E-83A2-D472D363D6B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57" name="Line 42">
          <a:extLst>
            <a:ext uri="{FF2B5EF4-FFF2-40B4-BE49-F238E27FC236}">
              <a16:creationId xmlns:a16="http://schemas.microsoft.com/office/drawing/2014/main" id="{48AD8955-270A-48F5-A0E2-2AA904187F2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58" name="Line 4">
          <a:extLst>
            <a:ext uri="{FF2B5EF4-FFF2-40B4-BE49-F238E27FC236}">
              <a16:creationId xmlns:a16="http://schemas.microsoft.com/office/drawing/2014/main" id="{64A1D422-0C69-405E-984C-322923532800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59" name="Line 14">
          <a:extLst>
            <a:ext uri="{FF2B5EF4-FFF2-40B4-BE49-F238E27FC236}">
              <a16:creationId xmlns:a16="http://schemas.microsoft.com/office/drawing/2014/main" id="{6CAC9BF5-3F20-423E-9861-02AD9ACC0DD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0" name="Line 15">
          <a:extLst>
            <a:ext uri="{FF2B5EF4-FFF2-40B4-BE49-F238E27FC236}">
              <a16:creationId xmlns:a16="http://schemas.microsoft.com/office/drawing/2014/main" id="{593E8FD1-9766-4AFD-B5A9-70A976E6E9C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1" name="Line 42">
          <a:extLst>
            <a:ext uri="{FF2B5EF4-FFF2-40B4-BE49-F238E27FC236}">
              <a16:creationId xmlns:a16="http://schemas.microsoft.com/office/drawing/2014/main" id="{77A66710-FB77-48C2-8917-4EAE83938AF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62" name="Line 4">
          <a:extLst>
            <a:ext uri="{FF2B5EF4-FFF2-40B4-BE49-F238E27FC236}">
              <a16:creationId xmlns:a16="http://schemas.microsoft.com/office/drawing/2014/main" id="{8D2D16FE-526E-47B4-8C59-DB3E63403704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3" name="Line 14">
          <a:extLst>
            <a:ext uri="{FF2B5EF4-FFF2-40B4-BE49-F238E27FC236}">
              <a16:creationId xmlns:a16="http://schemas.microsoft.com/office/drawing/2014/main" id="{501752AF-2FD1-4DE5-8C92-8E1DD75A56A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4" name="Line 15">
          <a:extLst>
            <a:ext uri="{FF2B5EF4-FFF2-40B4-BE49-F238E27FC236}">
              <a16:creationId xmlns:a16="http://schemas.microsoft.com/office/drawing/2014/main" id="{59031C27-25E2-4A87-AE82-EA6AB476084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5" name="Line 42">
          <a:extLst>
            <a:ext uri="{FF2B5EF4-FFF2-40B4-BE49-F238E27FC236}">
              <a16:creationId xmlns:a16="http://schemas.microsoft.com/office/drawing/2014/main" id="{54B46175-F2C3-434E-ABCE-1E84BE5D50E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66" name="Line 4">
          <a:extLst>
            <a:ext uri="{FF2B5EF4-FFF2-40B4-BE49-F238E27FC236}">
              <a16:creationId xmlns:a16="http://schemas.microsoft.com/office/drawing/2014/main" id="{BBE787D5-83CC-4457-BD10-EF64BEB05934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7" name="Line 14">
          <a:extLst>
            <a:ext uri="{FF2B5EF4-FFF2-40B4-BE49-F238E27FC236}">
              <a16:creationId xmlns:a16="http://schemas.microsoft.com/office/drawing/2014/main" id="{2E220BA9-5784-4112-B76A-3C195F7AB02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8" name="Line 15">
          <a:extLst>
            <a:ext uri="{FF2B5EF4-FFF2-40B4-BE49-F238E27FC236}">
              <a16:creationId xmlns:a16="http://schemas.microsoft.com/office/drawing/2014/main" id="{6D2B0B09-C235-47EB-B741-D838E51CD1E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69" name="Line 42">
          <a:extLst>
            <a:ext uri="{FF2B5EF4-FFF2-40B4-BE49-F238E27FC236}">
              <a16:creationId xmlns:a16="http://schemas.microsoft.com/office/drawing/2014/main" id="{B40AA169-F65E-43A9-8813-922D926E674C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70" name="Line 4">
          <a:extLst>
            <a:ext uri="{FF2B5EF4-FFF2-40B4-BE49-F238E27FC236}">
              <a16:creationId xmlns:a16="http://schemas.microsoft.com/office/drawing/2014/main" id="{779EFD8C-3C69-4461-B51A-DF672D9C73AE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1" name="Line 14">
          <a:extLst>
            <a:ext uri="{FF2B5EF4-FFF2-40B4-BE49-F238E27FC236}">
              <a16:creationId xmlns:a16="http://schemas.microsoft.com/office/drawing/2014/main" id="{D58882BF-F465-41CD-8911-A3B666D9B04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2" name="Line 15">
          <a:extLst>
            <a:ext uri="{FF2B5EF4-FFF2-40B4-BE49-F238E27FC236}">
              <a16:creationId xmlns:a16="http://schemas.microsoft.com/office/drawing/2014/main" id="{35738F31-6C44-4D86-9713-66DD64CCD66A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3" name="Line 42">
          <a:extLst>
            <a:ext uri="{FF2B5EF4-FFF2-40B4-BE49-F238E27FC236}">
              <a16:creationId xmlns:a16="http://schemas.microsoft.com/office/drawing/2014/main" id="{01FBDD13-1178-4E27-96B8-91FBFEC0E5E5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74" name="Line 4">
          <a:extLst>
            <a:ext uri="{FF2B5EF4-FFF2-40B4-BE49-F238E27FC236}">
              <a16:creationId xmlns:a16="http://schemas.microsoft.com/office/drawing/2014/main" id="{0910E61B-7BE6-4880-A123-168F2E81DEE9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5" name="Line 14">
          <a:extLst>
            <a:ext uri="{FF2B5EF4-FFF2-40B4-BE49-F238E27FC236}">
              <a16:creationId xmlns:a16="http://schemas.microsoft.com/office/drawing/2014/main" id="{C5F7D508-3568-4415-BBD8-B351AA67472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6" name="Line 15">
          <a:extLst>
            <a:ext uri="{FF2B5EF4-FFF2-40B4-BE49-F238E27FC236}">
              <a16:creationId xmlns:a16="http://schemas.microsoft.com/office/drawing/2014/main" id="{3BEAB013-1395-493E-863C-C969FC86F0B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77" name="Line 42">
          <a:extLst>
            <a:ext uri="{FF2B5EF4-FFF2-40B4-BE49-F238E27FC236}">
              <a16:creationId xmlns:a16="http://schemas.microsoft.com/office/drawing/2014/main" id="{F2A1E5C4-6539-47A7-BFAB-7AA2958611F2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78" name="Line 4">
          <a:extLst>
            <a:ext uri="{FF2B5EF4-FFF2-40B4-BE49-F238E27FC236}">
              <a16:creationId xmlns:a16="http://schemas.microsoft.com/office/drawing/2014/main" id="{07E7D5E1-B3C6-4514-AF51-0CF8A01CB492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79" name="Line 14">
          <a:extLst>
            <a:ext uri="{FF2B5EF4-FFF2-40B4-BE49-F238E27FC236}">
              <a16:creationId xmlns:a16="http://schemas.microsoft.com/office/drawing/2014/main" id="{0E5E9077-22EB-402E-9106-E34BA1075D2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0" name="Line 15">
          <a:extLst>
            <a:ext uri="{FF2B5EF4-FFF2-40B4-BE49-F238E27FC236}">
              <a16:creationId xmlns:a16="http://schemas.microsoft.com/office/drawing/2014/main" id="{FBA4B05B-396F-4E24-BD00-B32CD584420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1" name="Line 42">
          <a:extLst>
            <a:ext uri="{FF2B5EF4-FFF2-40B4-BE49-F238E27FC236}">
              <a16:creationId xmlns:a16="http://schemas.microsoft.com/office/drawing/2014/main" id="{9FF3EEDD-B1A9-4E5F-8185-A228AFE354CD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82" name="Line 4">
          <a:extLst>
            <a:ext uri="{FF2B5EF4-FFF2-40B4-BE49-F238E27FC236}">
              <a16:creationId xmlns:a16="http://schemas.microsoft.com/office/drawing/2014/main" id="{94279C47-9A20-4CF9-8F04-6B0CBF2F6EFE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3" name="Line 14">
          <a:extLst>
            <a:ext uri="{FF2B5EF4-FFF2-40B4-BE49-F238E27FC236}">
              <a16:creationId xmlns:a16="http://schemas.microsoft.com/office/drawing/2014/main" id="{03E41AA6-6426-46EB-B14E-B9F85F04234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4" name="Line 15">
          <a:extLst>
            <a:ext uri="{FF2B5EF4-FFF2-40B4-BE49-F238E27FC236}">
              <a16:creationId xmlns:a16="http://schemas.microsoft.com/office/drawing/2014/main" id="{85EFA142-3819-40F2-B703-B4CE711EBCA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5" name="Line 42">
          <a:extLst>
            <a:ext uri="{FF2B5EF4-FFF2-40B4-BE49-F238E27FC236}">
              <a16:creationId xmlns:a16="http://schemas.microsoft.com/office/drawing/2014/main" id="{0C590E4A-DB9C-4842-803C-5DADAF712428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1844</xdr:row>
      <xdr:rowOff>0</xdr:rowOff>
    </xdr:from>
    <xdr:to>
      <xdr:col>18</xdr:col>
      <xdr:colOff>447675</xdr:colOff>
      <xdr:row>1845</xdr:row>
      <xdr:rowOff>0</xdr:rowOff>
    </xdr:to>
    <xdr:sp macro="" textlink="">
      <xdr:nvSpPr>
        <xdr:cNvPr id="1786" name="Line 4">
          <a:extLst>
            <a:ext uri="{FF2B5EF4-FFF2-40B4-BE49-F238E27FC236}">
              <a16:creationId xmlns:a16="http://schemas.microsoft.com/office/drawing/2014/main" id="{4AE24025-4372-49C1-AA51-5FECE9010222}"/>
            </a:ext>
          </a:extLst>
        </xdr:cNvPr>
        <xdr:cNvSpPr>
          <a:spLocks noChangeShapeType="1"/>
        </xdr:cNvSpPr>
      </xdr:nvSpPr>
      <xdr:spPr bwMode="auto">
        <a:xfrm>
          <a:off x="7667625" y="3398901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7" name="Line 14">
          <a:extLst>
            <a:ext uri="{FF2B5EF4-FFF2-40B4-BE49-F238E27FC236}">
              <a16:creationId xmlns:a16="http://schemas.microsoft.com/office/drawing/2014/main" id="{3A96BD4D-A254-4F0B-9B53-9EA21C96C90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8" name="Line 15">
          <a:extLst>
            <a:ext uri="{FF2B5EF4-FFF2-40B4-BE49-F238E27FC236}">
              <a16:creationId xmlns:a16="http://schemas.microsoft.com/office/drawing/2014/main" id="{143B3A78-66FC-4866-ABF3-02D918228D21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1844</xdr:row>
      <xdr:rowOff>0</xdr:rowOff>
    </xdr:from>
    <xdr:to>
      <xdr:col>18</xdr:col>
      <xdr:colOff>438150</xdr:colOff>
      <xdr:row>1845</xdr:row>
      <xdr:rowOff>0</xdr:rowOff>
    </xdr:to>
    <xdr:sp macro="" textlink="">
      <xdr:nvSpPr>
        <xdr:cNvPr id="1789" name="Line 42">
          <a:extLst>
            <a:ext uri="{FF2B5EF4-FFF2-40B4-BE49-F238E27FC236}">
              <a16:creationId xmlns:a16="http://schemas.microsoft.com/office/drawing/2014/main" id="{4DD68CCD-0B8E-48A4-A3D3-7A08CCF117D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398901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90" name="Line 4">
          <a:extLst>
            <a:ext uri="{FF2B5EF4-FFF2-40B4-BE49-F238E27FC236}">
              <a16:creationId xmlns:a16="http://schemas.microsoft.com/office/drawing/2014/main" id="{6BB5F4F6-C674-4453-8812-1CBE52379254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1" name="Line 14">
          <a:extLst>
            <a:ext uri="{FF2B5EF4-FFF2-40B4-BE49-F238E27FC236}">
              <a16:creationId xmlns:a16="http://schemas.microsoft.com/office/drawing/2014/main" id="{4D824DBB-E3A3-401D-90A3-7395C08BC2A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2" name="Line 15">
          <a:extLst>
            <a:ext uri="{FF2B5EF4-FFF2-40B4-BE49-F238E27FC236}">
              <a16:creationId xmlns:a16="http://schemas.microsoft.com/office/drawing/2014/main" id="{3F059BC6-C369-401B-A9BA-143D07A59D5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3" name="Line 42">
          <a:extLst>
            <a:ext uri="{FF2B5EF4-FFF2-40B4-BE49-F238E27FC236}">
              <a16:creationId xmlns:a16="http://schemas.microsoft.com/office/drawing/2014/main" id="{D2F6E424-7667-4CD1-99E8-DF6DFF06578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94" name="Line 4">
          <a:extLst>
            <a:ext uri="{FF2B5EF4-FFF2-40B4-BE49-F238E27FC236}">
              <a16:creationId xmlns:a16="http://schemas.microsoft.com/office/drawing/2014/main" id="{9F3BF644-3228-47BA-B553-70F80C963BD6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5" name="Line 14">
          <a:extLst>
            <a:ext uri="{FF2B5EF4-FFF2-40B4-BE49-F238E27FC236}">
              <a16:creationId xmlns:a16="http://schemas.microsoft.com/office/drawing/2014/main" id="{E99BCCFA-B779-448F-8C55-36E990CAF90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6" name="Line 15">
          <a:extLst>
            <a:ext uri="{FF2B5EF4-FFF2-40B4-BE49-F238E27FC236}">
              <a16:creationId xmlns:a16="http://schemas.microsoft.com/office/drawing/2014/main" id="{70DC0B40-32C7-4B8A-ABFA-0E7F00EABC4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7" name="Line 42">
          <a:extLst>
            <a:ext uri="{FF2B5EF4-FFF2-40B4-BE49-F238E27FC236}">
              <a16:creationId xmlns:a16="http://schemas.microsoft.com/office/drawing/2014/main" id="{02FBEFCA-7430-4407-8FFD-EADD401B3819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798" name="Line 4">
          <a:extLst>
            <a:ext uri="{FF2B5EF4-FFF2-40B4-BE49-F238E27FC236}">
              <a16:creationId xmlns:a16="http://schemas.microsoft.com/office/drawing/2014/main" id="{417EE834-A3DB-4E8B-9BD8-68147A16DA27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799" name="Line 14">
          <a:extLst>
            <a:ext uri="{FF2B5EF4-FFF2-40B4-BE49-F238E27FC236}">
              <a16:creationId xmlns:a16="http://schemas.microsoft.com/office/drawing/2014/main" id="{838BBB5B-91F3-44DE-BEB5-4E1C429D514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0" name="Line 15">
          <a:extLst>
            <a:ext uri="{FF2B5EF4-FFF2-40B4-BE49-F238E27FC236}">
              <a16:creationId xmlns:a16="http://schemas.microsoft.com/office/drawing/2014/main" id="{EE656F3A-9A5E-4130-B95F-C6FB5C46A5E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1" name="Line 42">
          <a:extLst>
            <a:ext uri="{FF2B5EF4-FFF2-40B4-BE49-F238E27FC236}">
              <a16:creationId xmlns:a16="http://schemas.microsoft.com/office/drawing/2014/main" id="{3CAA4242-957F-4264-8061-7C5F04E5FF8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802" name="Line 4">
          <a:extLst>
            <a:ext uri="{FF2B5EF4-FFF2-40B4-BE49-F238E27FC236}">
              <a16:creationId xmlns:a16="http://schemas.microsoft.com/office/drawing/2014/main" id="{A667B89A-DDAF-4A28-A223-61DA9CA4895D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3" name="Line 14">
          <a:extLst>
            <a:ext uri="{FF2B5EF4-FFF2-40B4-BE49-F238E27FC236}">
              <a16:creationId xmlns:a16="http://schemas.microsoft.com/office/drawing/2014/main" id="{86807049-D272-4276-A56E-2B233EC4E2A0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4" name="Line 15">
          <a:extLst>
            <a:ext uri="{FF2B5EF4-FFF2-40B4-BE49-F238E27FC236}">
              <a16:creationId xmlns:a16="http://schemas.microsoft.com/office/drawing/2014/main" id="{CCD59D46-2AD5-4514-9855-F0F79045EF5F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5" name="Line 42">
          <a:extLst>
            <a:ext uri="{FF2B5EF4-FFF2-40B4-BE49-F238E27FC236}">
              <a16:creationId xmlns:a16="http://schemas.microsoft.com/office/drawing/2014/main" id="{1A40DE3F-E0E1-4BB2-A392-16967B0888C6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806" name="Line 4">
          <a:extLst>
            <a:ext uri="{FF2B5EF4-FFF2-40B4-BE49-F238E27FC236}">
              <a16:creationId xmlns:a16="http://schemas.microsoft.com/office/drawing/2014/main" id="{291275BC-E5B6-403E-95EA-0AFA6998687A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7" name="Line 14">
          <a:extLst>
            <a:ext uri="{FF2B5EF4-FFF2-40B4-BE49-F238E27FC236}">
              <a16:creationId xmlns:a16="http://schemas.microsoft.com/office/drawing/2014/main" id="{BA73C2DF-7BC6-46C4-8181-815CEF166FE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8" name="Line 15">
          <a:extLst>
            <a:ext uri="{FF2B5EF4-FFF2-40B4-BE49-F238E27FC236}">
              <a16:creationId xmlns:a16="http://schemas.microsoft.com/office/drawing/2014/main" id="{422E8DA5-AFE1-4081-9533-0AFC055976C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09" name="Line 42">
          <a:extLst>
            <a:ext uri="{FF2B5EF4-FFF2-40B4-BE49-F238E27FC236}">
              <a16:creationId xmlns:a16="http://schemas.microsoft.com/office/drawing/2014/main" id="{B7123CB9-937F-449B-8421-833847F1041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1846</xdr:row>
      <xdr:rowOff>0</xdr:rowOff>
    </xdr:from>
    <xdr:to>
      <xdr:col>18</xdr:col>
      <xdr:colOff>447675</xdr:colOff>
      <xdr:row>1847</xdr:row>
      <xdr:rowOff>0</xdr:rowOff>
    </xdr:to>
    <xdr:sp macro="" textlink="">
      <xdr:nvSpPr>
        <xdr:cNvPr id="1810" name="Line 4">
          <a:extLst>
            <a:ext uri="{FF2B5EF4-FFF2-40B4-BE49-F238E27FC236}">
              <a16:creationId xmlns:a16="http://schemas.microsoft.com/office/drawing/2014/main" id="{A5D9AEEB-AEA0-4998-A487-1BE2CA421403}"/>
            </a:ext>
          </a:extLst>
        </xdr:cNvPr>
        <xdr:cNvSpPr>
          <a:spLocks noChangeShapeType="1"/>
        </xdr:cNvSpPr>
      </xdr:nvSpPr>
      <xdr:spPr bwMode="auto">
        <a:xfrm>
          <a:off x="7667625" y="340309200"/>
          <a:ext cx="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11" name="Line 14">
          <a:extLst>
            <a:ext uri="{FF2B5EF4-FFF2-40B4-BE49-F238E27FC236}">
              <a16:creationId xmlns:a16="http://schemas.microsoft.com/office/drawing/2014/main" id="{D9E73267-DFFF-4D5C-B18F-A6119B4A8C14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12" name="Line 15">
          <a:extLst>
            <a:ext uri="{FF2B5EF4-FFF2-40B4-BE49-F238E27FC236}">
              <a16:creationId xmlns:a16="http://schemas.microsoft.com/office/drawing/2014/main" id="{7E23FFFE-1EE7-4E24-898F-044AC33455B7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1846</xdr:row>
      <xdr:rowOff>0</xdr:rowOff>
    </xdr:from>
    <xdr:to>
      <xdr:col>18</xdr:col>
      <xdr:colOff>438150</xdr:colOff>
      <xdr:row>1847</xdr:row>
      <xdr:rowOff>0</xdr:rowOff>
    </xdr:to>
    <xdr:sp macro="" textlink="">
      <xdr:nvSpPr>
        <xdr:cNvPr id="1813" name="Line 42">
          <a:extLst>
            <a:ext uri="{FF2B5EF4-FFF2-40B4-BE49-F238E27FC236}">
              <a16:creationId xmlns:a16="http://schemas.microsoft.com/office/drawing/2014/main" id="{1564FDAF-3A42-464D-9678-83A8E97D273E}"/>
            </a:ext>
          </a:extLst>
        </xdr:cNvPr>
        <xdr:cNvSpPr>
          <a:spLocks noChangeShapeType="1"/>
        </xdr:cNvSpPr>
      </xdr:nvSpPr>
      <xdr:spPr bwMode="auto">
        <a:xfrm flipH="1" flipV="1">
          <a:off x="7639050" y="340309200"/>
          <a:ext cx="19050" cy="209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14" name="Line 4">
          <a:extLst>
            <a:ext uri="{FF2B5EF4-FFF2-40B4-BE49-F238E27FC236}">
              <a16:creationId xmlns:a16="http://schemas.microsoft.com/office/drawing/2014/main" id="{DA35D4AA-6512-47DC-917A-1076FEA58F1C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15" name="Line 14">
          <a:extLst>
            <a:ext uri="{FF2B5EF4-FFF2-40B4-BE49-F238E27FC236}">
              <a16:creationId xmlns:a16="http://schemas.microsoft.com/office/drawing/2014/main" id="{BA60D665-6172-436C-BF39-FA81BBA73CC4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16" name="Line 15">
          <a:extLst>
            <a:ext uri="{FF2B5EF4-FFF2-40B4-BE49-F238E27FC236}">
              <a16:creationId xmlns:a16="http://schemas.microsoft.com/office/drawing/2014/main" id="{4AB51635-B9F8-47A9-B031-B474224AC1A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17" name="Line 42">
          <a:extLst>
            <a:ext uri="{FF2B5EF4-FFF2-40B4-BE49-F238E27FC236}">
              <a16:creationId xmlns:a16="http://schemas.microsoft.com/office/drawing/2014/main" id="{FFE90688-E3C7-4DEF-A033-3258CAF02A9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18" name="Line 4">
          <a:extLst>
            <a:ext uri="{FF2B5EF4-FFF2-40B4-BE49-F238E27FC236}">
              <a16:creationId xmlns:a16="http://schemas.microsoft.com/office/drawing/2014/main" id="{CA1A246E-1615-4A44-8337-A7FDB5CAC83B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19" name="Line 14">
          <a:extLst>
            <a:ext uri="{FF2B5EF4-FFF2-40B4-BE49-F238E27FC236}">
              <a16:creationId xmlns:a16="http://schemas.microsoft.com/office/drawing/2014/main" id="{C8D2071F-BB03-4EC3-97D4-0030CBB8606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20" name="Line 15">
          <a:extLst>
            <a:ext uri="{FF2B5EF4-FFF2-40B4-BE49-F238E27FC236}">
              <a16:creationId xmlns:a16="http://schemas.microsoft.com/office/drawing/2014/main" id="{D2B05EE9-7776-4ED3-8A24-48A563796E8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21" name="Line 42">
          <a:extLst>
            <a:ext uri="{FF2B5EF4-FFF2-40B4-BE49-F238E27FC236}">
              <a16:creationId xmlns:a16="http://schemas.microsoft.com/office/drawing/2014/main" id="{984F78F1-D233-4A9E-AC33-1E85B60E171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22" name="Line 4">
          <a:extLst>
            <a:ext uri="{FF2B5EF4-FFF2-40B4-BE49-F238E27FC236}">
              <a16:creationId xmlns:a16="http://schemas.microsoft.com/office/drawing/2014/main" id="{790928DE-AC51-4C04-97D8-61016D403F3E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23" name="Line 14">
          <a:extLst>
            <a:ext uri="{FF2B5EF4-FFF2-40B4-BE49-F238E27FC236}">
              <a16:creationId xmlns:a16="http://schemas.microsoft.com/office/drawing/2014/main" id="{64216708-FF6E-4B7D-BEA5-B5E8083DBB4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24" name="Line 15">
          <a:extLst>
            <a:ext uri="{FF2B5EF4-FFF2-40B4-BE49-F238E27FC236}">
              <a16:creationId xmlns:a16="http://schemas.microsoft.com/office/drawing/2014/main" id="{25B096F4-8A1B-4053-AE0C-628B44B6258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25" name="Line 42">
          <a:extLst>
            <a:ext uri="{FF2B5EF4-FFF2-40B4-BE49-F238E27FC236}">
              <a16:creationId xmlns:a16="http://schemas.microsoft.com/office/drawing/2014/main" id="{3E7A1FE2-AB3A-4E2D-9CE1-96006F112F1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26" name="Line 4">
          <a:extLst>
            <a:ext uri="{FF2B5EF4-FFF2-40B4-BE49-F238E27FC236}">
              <a16:creationId xmlns:a16="http://schemas.microsoft.com/office/drawing/2014/main" id="{0BA7D02D-B351-45AE-BD1F-5551AF51D5D7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27" name="Line 14">
          <a:extLst>
            <a:ext uri="{FF2B5EF4-FFF2-40B4-BE49-F238E27FC236}">
              <a16:creationId xmlns:a16="http://schemas.microsoft.com/office/drawing/2014/main" id="{28C2145A-8367-446C-8835-D5A8F3887702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28" name="Line 15">
          <a:extLst>
            <a:ext uri="{FF2B5EF4-FFF2-40B4-BE49-F238E27FC236}">
              <a16:creationId xmlns:a16="http://schemas.microsoft.com/office/drawing/2014/main" id="{263BBD91-3B18-4AF3-9B4C-7799A34A87FB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29" name="Line 42">
          <a:extLst>
            <a:ext uri="{FF2B5EF4-FFF2-40B4-BE49-F238E27FC236}">
              <a16:creationId xmlns:a16="http://schemas.microsoft.com/office/drawing/2014/main" id="{8DBEFB9C-3AB8-4AD7-9C8F-BE1369AE032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30" name="Line 4">
          <a:extLst>
            <a:ext uri="{FF2B5EF4-FFF2-40B4-BE49-F238E27FC236}">
              <a16:creationId xmlns:a16="http://schemas.microsoft.com/office/drawing/2014/main" id="{C1247B16-D95A-4E06-A480-356226FEB17A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1" name="Line 14">
          <a:extLst>
            <a:ext uri="{FF2B5EF4-FFF2-40B4-BE49-F238E27FC236}">
              <a16:creationId xmlns:a16="http://schemas.microsoft.com/office/drawing/2014/main" id="{04B5528A-8823-4678-A2C6-BA4F4E2510E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2" name="Line 15">
          <a:extLst>
            <a:ext uri="{FF2B5EF4-FFF2-40B4-BE49-F238E27FC236}">
              <a16:creationId xmlns:a16="http://schemas.microsoft.com/office/drawing/2014/main" id="{6C48111C-C973-4698-B8CB-879E1B80AD3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3" name="Line 42">
          <a:extLst>
            <a:ext uri="{FF2B5EF4-FFF2-40B4-BE49-F238E27FC236}">
              <a16:creationId xmlns:a16="http://schemas.microsoft.com/office/drawing/2014/main" id="{006B67BC-8F77-4A9B-9F3F-F6EF99EB8BC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34" name="Line 4">
          <a:extLst>
            <a:ext uri="{FF2B5EF4-FFF2-40B4-BE49-F238E27FC236}">
              <a16:creationId xmlns:a16="http://schemas.microsoft.com/office/drawing/2014/main" id="{0CB44847-0B8C-4EBD-BF31-62BA5CF72A4C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5" name="Line 14">
          <a:extLst>
            <a:ext uri="{FF2B5EF4-FFF2-40B4-BE49-F238E27FC236}">
              <a16:creationId xmlns:a16="http://schemas.microsoft.com/office/drawing/2014/main" id="{0C57DFFB-41B5-4282-B37F-91B18DC3069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6" name="Line 15">
          <a:extLst>
            <a:ext uri="{FF2B5EF4-FFF2-40B4-BE49-F238E27FC236}">
              <a16:creationId xmlns:a16="http://schemas.microsoft.com/office/drawing/2014/main" id="{B5E5AF4F-2C04-45AD-B6FD-DAFFF46AA38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7" name="Line 42">
          <a:extLst>
            <a:ext uri="{FF2B5EF4-FFF2-40B4-BE49-F238E27FC236}">
              <a16:creationId xmlns:a16="http://schemas.microsoft.com/office/drawing/2014/main" id="{677B6A0D-6151-439D-A4CF-272A7BA3B35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38" name="Line 4">
          <a:extLst>
            <a:ext uri="{FF2B5EF4-FFF2-40B4-BE49-F238E27FC236}">
              <a16:creationId xmlns:a16="http://schemas.microsoft.com/office/drawing/2014/main" id="{31E5EA34-37F1-4232-89D5-72AEFF194C59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39" name="Line 14">
          <a:extLst>
            <a:ext uri="{FF2B5EF4-FFF2-40B4-BE49-F238E27FC236}">
              <a16:creationId xmlns:a16="http://schemas.microsoft.com/office/drawing/2014/main" id="{A7664689-00D7-46EF-B407-1274292E4FF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0" name="Line 15">
          <a:extLst>
            <a:ext uri="{FF2B5EF4-FFF2-40B4-BE49-F238E27FC236}">
              <a16:creationId xmlns:a16="http://schemas.microsoft.com/office/drawing/2014/main" id="{CA9ED179-5008-4BA9-B50E-66773DAB360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1" name="Line 42">
          <a:extLst>
            <a:ext uri="{FF2B5EF4-FFF2-40B4-BE49-F238E27FC236}">
              <a16:creationId xmlns:a16="http://schemas.microsoft.com/office/drawing/2014/main" id="{66F2DA52-0B41-4176-BB5F-5DEB8FCED7C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42" name="Line 4">
          <a:extLst>
            <a:ext uri="{FF2B5EF4-FFF2-40B4-BE49-F238E27FC236}">
              <a16:creationId xmlns:a16="http://schemas.microsoft.com/office/drawing/2014/main" id="{3E831BE4-D978-46FF-882C-EAEDEB0AECCE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3" name="Line 14">
          <a:extLst>
            <a:ext uri="{FF2B5EF4-FFF2-40B4-BE49-F238E27FC236}">
              <a16:creationId xmlns:a16="http://schemas.microsoft.com/office/drawing/2014/main" id="{81DD06FB-F117-4DCF-A81E-C504B553995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4" name="Line 15">
          <a:extLst>
            <a:ext uri="{FF2B5EF4-FFF2-40B4-BE49-F238E27FC236}">
              <a16:creationId xmlns:a16="http://schemas.microsoft.com/office/drawing/2014/main" id="{E32302F4-5A29-4BA7-8D1B-D0DA28F0D75B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5" name="Line 42">
          <a:extLst>
            <a:ext uri="{FF2B5EF4-FFF2-40B4-BE49-F238E27FC236}">
              <a16:creationId xmlns:a16="http://schemas.microsoft.com/office/drawing/2014/main" id="{F80F53E3-0B4D-494E-9B78-1D57F180E13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46" name="Line 4">
          <a:extLst>
            <a:ext uri="{FF2B5EF4-FFF2-40B4-BE49-F238E27FC236}">
              <a16:creationId xmlns:a16="http://schemas.microsoft.com/office/drawing/2014/main" id="{0B9BCD2E-576D-436E-B4ED-1FB2AC4EEC44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7" name="Line 14">
          <a:extLst>
            <a:ext uri="{FF2B5EF4-FFF2-40B4-BE49-F238E27FC236}">
              <a16:creationId xmlns:a16="http://schemas.microsoft.com/office/drawing/2014/main" id="{10AACDFD-9A61-4A86-BAE7-C9FA291EA0B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8" name="Line 15">
          <a:extLst>
            <a:ext uri="{FF2B5EF4-FFF2-40B4-BE49-F238E27FC236}">
              <a16:creationId xmlns:a16="http://schemas.microsoft.com/office/drawing/2014/main" id="{C82D1312-BA98-4507-820C-6842E32BD16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49" name="Line 42">
          <a:extLst>
            <a:ext uri="{FF2B5EF4-FFF2-40B4-BE49-F238E27FC236}">
              <a16:creationId xmlns:a16="http://schemas.microsoft.com/office/drawing/2014/main" id="{3FCB1E4E-E82F-46C3-A210-D5876F65F15A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50" name="Line 4">
          <a:extLst>
            <a:ext uri="{FF2B5EF4-FFF2-40B4-BE49-F238E27FC236}">
              <a16:creationId xmlns:a16="http://schemas.microsoft.com/office/drawing/2014/main" id="{2DA01B45-C0A9-4F55-B16D-AFA77C92DB91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1" name="Line 14">
          <a:extLst>
            <a:ext uri="{FF2B5EF4-FFF2-40B4-BE49-F238E27FC236}">
              <a16:creationId xmlns:a16="http://schemas.microsoft.com/office/drawing/2014/main" id="{739B4767-E073-450E-B3F3-87CA9B34655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2" name="Line 15">
          <a:extLst>
            <a:ext uri="{FF2B5EF4-FFF2-40B4-BE49-F238E27FC236}">
              <a16:creationId xmlns:a16="http://schemas.microsoft.com/office/drawing/2014/main" id="{30562E32-ED12-4B46-BA29-9F909E5BEA0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3" name="Line 42">
          <a:extLst>
            <a:ext uri="{FF2B5EF4-FFF2-40B4-BE49-F238E27FC236}">
              <a16:creationId xmlns:a16="http://schemas.microsoft.com/office/drawing/2014/main" id="{E3773C94-3B5B-4366-AC89-7300B4EF025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54" name="Line 4">
          <a:extLst>
            <a:ext uri="{FF2B5EF4-FFF2-40B4-BE49-F238E27FC236}">
              <a16:creationId xmlns:a16="http://schemas.microsoft.com/office/drawing/2014/main" id="{7CF2A14D-6568-4FCC-AAF7-0A14A4DACCC7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5" name="Line 14">
          <a:extLst>
            <a:ext uri="{FF2B5EF4-FFF2-40B4-BE49-F238E27FC236}">
              <a16:creationId xmlns:a16="http://schemas.microsoft.com/office/drawing/2014/main" id="{DFBF1803-2489-4D6A-8F69-426BC0A454F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6" name="Line 15">
          <a:extLst>
            <a:ext uri="{FF2B5EF4-FFF2-40B4-BE49-F238E27FC236}">
              <a16:creationId xmlns:a16="http://schemas.microsoft.com/office/drawing/2014/main" id="{6CF68E99-AC9A-4D14-893B-D4D06B5F918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7" name="Line 42">
          <a:extLst>
            <a:ext uri="{FF2B5EF4-FFF2-40B4-BE49-F238E27FC236}">
              <a16:creationId xmlns:a16="http://schemas.microsoft.com/office/drawing/2014/main" id="{1B091D5A-452F-4313-8889-1B9CCF5DCE0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58" name="Line 4">
          <a:extLst>
            <a:ext uri="{FF2B5EF4-FFF2-40B4-BE49-F238E27FC236}">
              <a16:creationId xmlns:a16="http://schemas.microsoft.com/office/drawing/2014/main" id="{26E5BCE0-4E78-4EF0-B58B-5FE2433788D9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59" name="Line 14">
          <a:extLst>
            <a:ext uri="{FF2B5EF4-FFF2-40B4-BE49-F238E27FC236}">
              <a16:creationId xmlns:a16="http://schemas.microsoft.com/office/drawing/2014/main" id="{E078566D-3717-44C1-947D-4E2244CDBE1A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60" name="Line 15">
          <a:extLst>
            <a:ext uri="{FF2B5EF4-FFF2-40B4-BE49-F238E27FC236}">
              <a16:creationId xmlns:a16="http://schemas.microsoft.com/office/drawing/2014/main" id="{4F4D0656-878F-4311-86B7-3EA9C0C3E35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61" name="Line 42">
          <a:extLst>
            <a:ext uri="{FF2B5EF4-FFF2-40B4-BE49-F238E27FC236}">
              <a16:creationId xmlns:a16="http://schemas.microsoft.com/office/drawing/2014/main" id="{15B34A57-62BD-4394-A385-22D0E04C6B7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62" name="Line 4">
          <a:extLst>
            <a:ext uri="{FF2B5EF4-FFF2-40B4-BE49-F238E27FC236}">
              <a16:creationId xmlns:a16="http://schemas.microsoft.com/office/drawing/2014/main" id="{2019F25E-D53D-4793-BEF3-569279E485C3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3" name="Line 14">
          <a:extLst>
            <a:ext uri="{FF2B5EF4-FFF2-40B4-BE49-F238E27FC236}">
              <a16:creationId xmlns:a16="http://schemas.microsoft.com/office/drawing/2014/main" id="{9CDF7728-8656-4EA6-876F-23A378C5B0D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4" name="Line 15">
          <a:extLst>
            <a:ext uri="{FF2B5EF4-FFF2-40B4-BE49-F238E27FC236}">
              <a16:creationId xmlns:a16="http://schemas.microsoft.com/office/drawing/2014/main" id="{E762E84C-97A2-4586-988C-8AC8849CE2A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5" name="Line 42">
          <a:extLst>
            <a:ext uri="{FF2B5EF4-FFF2-40B4-BE49-F238E27FC236}">
              <a16:creationId xmlns:a16="http://schemas.microsoft.com/office/drawing/2014/main" id="{8F244FBD-FE33-42E3-92EF-B3C174306FE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66" name="Line 4">
          <a:extLst>
            <a:ext uri="{FF2B5EF4-FFF2-40B4-BE49-F238E27FC236}">
              <a16:creationId xmlns:a16="http://schemas.microsoft.com/office/drawing/2014/main" id="{21789A4B-35AD-4EE5-BAC6-C2F50E2CE083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7" name="Line 14">
          <a:extLst>
            <a:ext uri="{FF2B5EF4-FFF2-40B4-BE49-F238E27FC236}">
              <a16:creationId xmlns:a16="http://schemas.microsoft.com/office/drawing/2014/main" id="{195A3F25-BB99-49BF-B850-C84361517EE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8" name="Line 15">
          <a:extLst>
            <a:ext uri="{FF2B5EF4-FFF2-40B4-BE49-F238E27FC236}">
              <a16:creationId xmlns:a16="http://schemas.microsoft.com/office/drawing/2014/main" id="{ABBFBE9F-D8CB-4873-9B3B-E2CC6A0EFF5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69" name="Line 42">
          <a:extLst>
            <a:ext uri="{FF2B5EF4-FFF2-40B4-BE49-F238E27FC236}">
              <a16:creationId xmlns:a16="http://schemas.microsoft.com/office/drawing/2014/main" id="{227C0E0E-85E1-495B-A2A1-765AA9E15C9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70" name="Line 4">
          <a:extLst>
            <a:ext uri="{FF2B5EF4-FFF2-40B4-BE49-F238E27FC236}">
              <a16:creationId xmlns:a16="http://schemas.microsoft.com/office/drawing/2014/main" id="{2E02ECD8-2244-42BF-B5A3-C1C21D16316E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1" name="Line 14">
          <a:extLst>
            <a:ext uri="{FF2B5EF4-FFF2-40B4-BE49-F238E27FC236}">
              <a16:creationId xmlns:a16="http://schemas.microsoft.com/office/drawing/2014/main" id="{755BFA5E-19CA-4B46-9A9C-59F107F4B45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2" name="Line 15">
          <a:extLst>
            <a:ext uri="{FF2B5EF4-FFF2-40B4-BE49-F238E27FC236}">
              <a16:creationId xmlns:a16="http://schemas.microsoft.com/office/drawing/2014/main" id="{40E4E465-BD49-40C4-8A06-0948D72B1C6B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3" name="Line 42">
          <a:extLst>
            <a:ext uri="{FF2B5EF4-FFF2-40B4-BE49-F238E27FC236}">
              <a16:creationId xmlns:a16="http://schemas.microsoft.com/office/drawing/2014/main" id="{AF6E4893-31B4-47FB-B606-91E06D55E9E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74" name="Line 4">
          <a:extLst>
            <a:ext uri="{FF2B5EF4-FFF2-40B4-BE49-F238E27FC236}">
              <a16:creationId xmlns:a16="http://schemas.microsoft.com/office/drawing/2014/main" id="{08624ED5-1DD4-4356-BC6F-A5509B136AE0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5" name="Line 14">
          <a:extLst>
            <a:ext uri="{FF2B5EF4-FFF2-40B4-BE49-F238E27FC236}">
              <a16:creationId xmlns:a16="http://schemas.microsoft.com/office/drawing/2014/main" id="{3FD07ED2-930F-41D8-A0F4-96DE053BC18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6" name="Line 15">
          <a:extLst>
            <a:ext uri="{FF2B5EF4-FFF2-40B4-BE49-F238E27FC236}">
              <a16:creationId xmlns:a16="http://schemas.microsoft.com/office/drawing/2014/main" id="{7E76E6F6-A03E-4BC8-A8AB-BF8D6347606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7" name="Line 42">
          <a:extLst>
            <a:ext uri="{FF2B5EF4-FFF2-40B4-BE49-F238E27FC236}">
              <a16:creationId xmlns:a16="http://schemas.microsoft.com/office/drawing/2014/main" id="{CDDC703C-E084-4A81-A6C6-D700DC78409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78" name="Line 4">
          <a:extLst>
            <a:ext uri="{FF2B5EF4-FFF2-40B4-BE49-F238E27FC236}">
              <a16:creationId xmlns:a16="http://schemas.microsoft.com/office/drawing/2014/main" id="{584A676D-EB1F-4A24-B756-535834CFB2B6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79" name="Line 14">
          <a:extLst>
            <a:ext uri="{FF2B5EF4-FFF2-40B4-BE49-F238E27FC236}">
              <a16:creationId xmlns:a16="http://schemas.microsoft.com/office/drawing/2014/main" id="{6ED8B7F8-9734-4ED1-B827-F091B0008D82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80" name="Line 15">
          <a:extLst>
            <a:ext uri="{FF2B5EF4-FFF2-40B4-BE49-F238E27FC236}">
              <a16:creationId xmlns:a16="http://schemas.microsoft.com/office/drawing/2014/main" id="{AE788BEB-13A3-4F2E-B930-0DB4B10F126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81" name="Line 42">
          <a:extLst>
            <a:ext uri="{FF2B5EF4-FFF2-40B4-BE49-F238E27FC236}">
              <a16:creationId xmlns:a16="http://schemas.microsoft.com/office/drawing/2014/main" id="{B4E46A56-B63C-4C99-88EB-339EC3F12B6A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82" name="Line 4">
          <a:extLst>
            <a:ext uri="{FF2B5EF4-FFF2-40B4-BE49-F238E27FC236}">
              <a16:creationId xmlns:a16="http://schemas.microsoft.com/office/drawing/2014/main" id="{F2C036C7-E2EF-48D1-9F72-62CC968754FF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83" name="Line 14">
          <a:extLst>
            <a:ext uri="{FF2B5EF4-FFF2-40B4-BE49-F238E27FC236}">
              <a16:creationId xmlns:a16="http://schemas.microsoft.com/office/drawing/2014/main" id="{8EEDF67C-CCA4-4D93-9855-865DFC4B35B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84" name="Line 15">
          <a:extLst>
            <a:ext uri="{FF2B5EF4-FFF2-40B4-BE49-F238E27FC236}">
              <a16:creationId xmlns:a16="http://schemas.microsoft.com/office/drawing/2014/main" id="{56741CB8-45B5-42E3-8BA1-5669358FAA0A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85" name="Line 42">
          <a:extLst>
            <a:ext uri="{FF2B5EF4-FFF2-40B4-BE49-F238E27FC236}">
              <a16:creationId xmlns:a16="http://schemas.microsoft.com/office/drawing/2014/main" id="{62481C50-3A21-4B2C-A48B-6DC593529AC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86" name="Line 4">
          <a:extLst>
            <a:ext uri="{FF2B5EF4-FFF2-40B4-BE49-F238E27FC236}">
              <a16:creationId xmlns:a16="http://schemas.microsoft.com/office/drawing/2014/main" id="{74D05BBE-FBFC-415D-9A1F-F88C3764F65F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87" name="Line 14">
          <a:extLst>
            <a:ext uri="{FF2B5EF4-FFF2-40B4-BE49-F238E27FC236}">
              <a16:creationId xmlns:a16="http://schemas.microsoft.com/office/drawing/2014/main" id="{09ABB678-5C8F-4148-8983-5FDC25CFCD44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88" name="Line 15">
          <a:extLst>
            <a:ext uri="{FF2B5EF4-FFF2-40B4-BE49-F238E27FC236}">
              <a16:creationId xmlns:a16="http://schemas.microsoft.com/office/drawing/2014/main" id="{A5420455-7989-48E3-8222-547C27562D7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89" name="Line 42">
          <a:extLst>
            <a:ext uri="{FF2B5EF4-FFF2-40B4-BE49-F238E27FC236}">
              <a16:creationId xmlns:a16="http://schemas.microsoft.com/office/drawing/2014/main" id="{CD82BCA9-4FA2-4DC6-B3B7-CC80C22E74F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90" name="Line 4">
          <a:extLst>
            <a:ext uri="{FF2B5EF4-FFF2-40B4-BE49-F238E27FC236}">
              <a16:creationId xmlns:a16="http://schemas.microsoft.com/office/drawing/2014/main" id="{10E194D5-DF68-42CD-99A8-EAA7F3B7953F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1" name="Line 14">
          <a:extLst>
            <a:ext uri="{FF2B5EF4-FFF2-40B4-BE49-F238E27FC236}">
              <a16:creationId xmlns:a16="http://schemas.microsoft.com/office/drawing/2014/main" id="{188120AF-60E0-4C68-BE75-09176559ED2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2" name="Line 15">
          <a:extLst>
            <a:ext uri="{FF2B5EF4-FFF2-40B4-BE49-F238E27FC236}">
              <a16:creationId xmlns:a16="http://schemas.microsoft.com/office/drawing/2014/main" id="{F5DA7A60-7B4D-42F5-BC5E-6EC0A793275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3" name="Line 42">
          <a:extLst>
            <a:ext uri="{FF2B5EF4-FFF2-40B4-BE49-F238E27FC236}">
              <a16:creationId xmlns:a16="http://schemas.microsoft.com/office/drawing/2014/main" id="{CA7C1D67-73ED-4DED-896B-C6ABB8EBA1C4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894" name="Line 4">
          <a:extLst>
            <a:ext uri="{FF2B5EF4-FFF2-40B4-BE49-F238E27FC236}">
              <a16:creationId xmlns:a16="http://schemas.microsoft.com/office/drawing/2014/main" id="{F6D45BB1-76A0-42FC-A38F-5D09D37BB41D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5" name="Line 14">
          <a:extLst>
            <a:ext uri="{FF2B5EF4-FFF2-40B4-BE49-F238E27FC236}">
              <a16:creationId xmlns:a16="http://schemas.microsoft.com/office/drawing/2014/main" id="{A6F1E3BD-E500-4AA7-8E82-061A44CF4422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6" name="Line 15">
          <a:extLst>
            <a:ext uri="{FF2B5EF4-FFF2-40B4-BE49-F238E27FC236}">
              <a16:creationId xmlns:a16="http://schemas.microsoft.com/office/drawing/2014/main" id="{AE0D241B-2027-408D-A83B-21901AFB67D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897" name="Line 42">
          <a:extLst>
            <a:ext uri="{FF2B5EF4-FFF2-40B4-BE49-F238E27FC236}">
              <a16:creationId xmlns:a16="http://schemas.microsoft.com/office/drawing/2014/main" id="{2B975018-E0F8-4EB6-AF2F-9D8C413B70B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898" name="Line 4">
          <a:extLst>
            <a:ext uri="{FF2B5EF4-FFF2-40B4-BE49-F238E27FC236}">
              <a16:creationId xmlns:a16="http://schemas.microsoft.com/office/drawing/2014/main" id="{F632AEBD-F705-4F45-BF35-11BCECEB63E2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899" name="Line 14">
          <a:extLst>
            <a:ext uri="{FF2B5EF4-FFF2-40B4-BE49-F238E27FC236}">
              <a16:creationId xmlns:a16="http://schemas.microsoft.com/office/drawing/2014/main" id="{8C4B3E24-52D7-44E3-BA7C-DF0CBC2C2B7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0" name="Line 15">
          <a:extLst>
            <a:ext uri="{FF2B5EF4-FFF2-40B4-BE49-F238E27FC236}">
              <a16:creationId xmlns:a16="http://schemas.microsoft.com/office/drawing/2014/main" id="{D6EFCB08-18A6-4436-B1B7-3579687E775B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1" name="Line 42">
          <a:extLst>
            <a:ext uri="{FF2B5EF4-FFF2-40B4-BE49-F238E27FC236}">
              <a16:creationId xmlns:a16="http://schemas.microsoft.com/office/drawing/2014/main" id="{77C69D1E-755A-46B1-89BB-C82AD815065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02" name="Line 4">
          <a:extLst>
            <a:ext uri="{FF2B5EF4-FFF2-40B4-BE49-F238E27FC236}">
              <a16:creationId xmlns:a16="http://schemas.microsoft.com/office/drawing/2014/main" id="{6264685E-53F9-42F1-A349-536740CC4DD8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3" name="Line 14">
          <a:extLst>
            <a:ext uri="{FF2B5EF4-FFF2-40B4-BE49-F238E27FC236}">
              <a16:creationId xmlns:a16="http://schemas.microsoft.com/office/drawing/2014/main" id="{EE05C8F9-9B04-4574-BDC2-C6ADC294859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4" name="Line 15">
          <a:extLst>
            <a:ext uri="{FF2B5EF4-FFF2-40B4-BE49-F238E27FC236}">
              <a16:creationId xmlns:a16="http://schemas.microsoft.com/office/drawing/2014/main" id="{5CA3BDCD-0C28-4886-815B-50F1ACF1BE1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5" name="Line 42">
          <a:extLst>
            <a:ext uri="{FF2B5EF4-FFF2-40B4-BE49-F238E27FC236}">
              <a16:creationId xmlns:a16="http://schemas.microsoft.com/office/drawing/2014/main" id="{8E2DA4F7-C24C-4025-865F-A77127C5F63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06" name="Line 4">
          <a:extLst>
            <a:ext uri="{FF2B5EF4-FFF2-40B4-BE49-F238E27FC236}">
              <a16:creationId xmlns:a16="http://schemas.microsoft.com/office/drawing/2014/main" id="{B3AF998C-2954-4684-90D0-615E2778D128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7" name="Line 14">
          <a:extLst>
            <a:ext uri="{FF2B5EF4-FFF2-40B4-BE49-F238E27FC236}">
              <a16:creationId xmlns:a16="http://schemas.microsoft.com/office/drawing/2014/main" id="{45544068-F9C0-4585-B5F9-D30B8165CB1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8" name="Line 15">
          <a:extLst>
            <a:ext uri="{FF2B5EF4-FFF2-40B4-BE49-F238E27FC236}">
              <a16:creationId xmlns:a16="http://schemas.microsoft.com/office/drawing/2014/main" id="{79A99577-A28C-435C-BB2C-E261D106234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09" name="Line 42">
          <a:extLst>
            <a:ext uri="{FF2B5EF4-FFF2-40B4-BE49-F238E27FC236}">
              <a16:creationId xmlns:a16="http://schemas.microsoft.com/office/drawing/2014/main" id="{67CBAD0A-822D-4AFD-943B-51EEB7B2E414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10" name="Line 4">
          <a:extLst>
            <a:ext uri="{FF2B5EF4-FFF2-40B4-BE49-F238E27FC236}">
              <a16:creationId xmlns:a16="http://schemas.microsoft.com/office/drawing/2014/main" id="{B903E476-457A-4CE1-BC30-C465C528481E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1" name="Line 14">
          <a:extLst>
            <a:ext uri="{FF2B5EF4-FFF2-40B4-BE49-F238E27FC236}">
              <a16:creationId xmlns:a16="http://schemas.microsoft.com/office/drawing/2014/main" id="{B2F01CCB-C088-49B6-B36A-138CDA7C961A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2" name="Line 15">
          <a:extLst>
            <a:ext uri="{FF2B5EF4-FFF2-40B4-BE49-F238E27FC236}">
              <a16:creationId xmlns:a16="http://schemas.microsoft.com/office/drawing/2014/main" id="{CCB17D37-7B6C-45A8-921B-6AB23327F051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3" name="Line 42">
          <a:extLst>
            <a:ext uri="{FF2B5EF4-FFF2-40B4-BE49-F238E27FC236}">
              <a16:creationId xmlns:a16="http://schemas.microsoft.com/office/drawing/2014/main" id="{624B7DA7-CB4E-4211-A908-36EC97A37CB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14" name="Line 4">
          <a:extLst>
            <a:ext uri="{FF2B5EF4-FFF2-40B4-BE49-F238E27FC236}">
              <a16:creationId xmlns:a16="http://schemas.microsoft.com/office/drawing/2014/main" id="{AF6FC498-58E3-4251-A4BD-C7FA412706BB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5" name="Line 14">
          <a:extLst>
            <a:ext uri="{FF2B5EF4-FFF2-40B4-BE49-F238E27FC236}">
              <a16:creationId xmlns:a16="http://schemas.microsoft.com/office/drawing/2014/main" id="{93B1A989-E639-4DE9-B76B-504B3B75279C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6" name="Line 15">
          <a:extLst>
            <a:ext uri="{FF2B5EF4-FFF2-40B4-BE49-F238E27FC236}">
              <a16:creationId xmlns:a16="http://schemas.microsoft.com/office/drawing/2014/main" id="{D31EAE6F-E542-4BE4-9319-EAB1C5A5E398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7" name="Line 42">
          <a:extLst>
            <a:ext uri="{FF2B5EF4-FFF2-40B4-BE49-F238E27FC236}">
              <a16:creationId xmlns:a16="http://schemas.microsoft.com/office/drawing/2014/main" id="{C8EAE9E1-DC82-414D-9035-1CD5B35224B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18" name="Line 4">
          <a:extLst>
            <a:ext uri="{FF2B5EF4-FFF2-40B4-BE49-F238E27FC236}">
              <a16:creationId xmlns:a16="http://schemas.microsoft.com/office/drawing/2014/main" id="{8D65352F-78A3-4025-A0CC-6F5B8BEF7C60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19" name="Line 14">
          <a:extLst>
            <a:ext uri="{FF2B5EF4-FFF2-40B4-BE49-F238E27FC236}">
              <a16:creationId xmlns:a16="http://schemas.microsoft.com/office/drawing/2014/main" id="{950CA973-022A-4220-BF4F-65E72E10BF6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20" name="Line 15">
          <a:extLst>
            <a:ext uri="{FF2B5EF4-FFF2-40B4-BE49-F238E27FC236}">
              <a16:creationId xmlns:a16="http://schemas.microsoft.com/office/drawing/2014/main" id="{D883A22E-82A3-4432-94DF-4703CAA8A02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21" name="Line 42">
          <a:extLst>
            <a:ext uri="{FF2B5EF4-FFF2-40B4-BE49-F238E27FC236}">
              <a16:creationId xmlns:a16="http://schemas.microsoft.com/office/drawing/2014/main" id="{8D04B4BE-8FF9-4477-A313-4A05956734F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922" name="Line 4">
          <a:extLst>
            <a:ext uri="{FF2B5EF4-FFF2-40B4-BE49-F238E27FC236}">
              <a16:creationId xmlns:a16="http://schemas.microsoft.com/office/drawing/2014/main" id="{3C7B8A9C-E941-4770-8026-2DDCBFEBD622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3" name="Line 14">
          <a:extLst>
            <a:ext uri="{FF2B5EF4-FFF2-40B4-BE49-F238E27FC236}">
              <a16:creationId xmlns:a16="http://schemas.microsoft.com/office/drawing/2014/main" id="{B5955AE8-F799-484C-8DC7-74E41ACF4DF4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4" name="Line 15">
          <a:extLst>
            <a:ext uri="{FF2B5EF4-FFF2-40B4-BE49-F238E27FC236}">
              <a16:creationId xmlns:a16="http://schemas.microsoft.com/office/drawing/2014/main" id="{DB04F166-922A-456F-8255-C51F7D15448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5" name="Line 42">
          <a:extLst>
            <a:ext uri="{FF2B5EF4-FFF2-40B4-BE49-F238E27FC236}">
              <a16:creationId xmlns:a16="http://schemas.microsoft.com/office/drawing/2014/main" id="{07B9A3AB-6420-44DA-A75F-F1BD028E229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926" name="Line 4">
          <a:extLst>
            <a:ext uri="{FF2B5EF4-FFF2-40B4-BE49-F238E27FC236}">
              <a16:creationId xmlns:a16="http://schemas.microsoft.com/office/drawing/2014/main" id="{DCAAECD2-294F-4AFC-B3F3-0B7154A1A0C6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7" name="Line 14">
          <a:extLst>
            <a:ext uri="{FF2B5EF4-FFF2-40B4-BE49-F238E27FC236}">
              <a16:creationId xmlns:a16="http://schemas.microsoft.com/office/drawing/2014/main" id="{3593FAF1-09A6-4EF0-A761-358DF358E49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8" name="Line 15">
          <a:extLst>
            <a:ext uri="{FF2B5EF4-FFF2-40B4-BE49-F238E27FC236}">
              <a16:creationId xmlns:a16="http://schemas.microsoft.com/office/drawing/2014/main" id="{4E7F2ABB-837D-4441-B94D-4C2646AD684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29" name="Line 42">
          <a:extLst>
            <a:ext uri="{FF2B5EF4-FFF2-40B4-BE49-F238E27FC236}">
              <a16:creationId xmlns:a16="http://schemas.microsoft.com/office/drawing/2014/main" id="{1469A48A-ED64-4543-B4CC-5603AA102F1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1917</xdr:row>
      <xdr:rowOff>0</xdr:rowOff>
    </xdr:from>
    <xdr:to>
      <xdr:col>18</xdr:col>
      <xdr:colOff>447675</xdr:colOff>
      <xdr:row>1918</xdr:row>
      <xdr:rowOff>0</xdr:rowOff>
    </xdr:to>
    <xdr:sp macro="" textlink="">
      <xdr:nvSpPr>
        <xdr:cNvPr id="1930" name="Line 4">
          <a:extLst>
            <a:ext uri="{FF2B5EF4-FFF2-40B4-BE49-F238E27FC236}">
              <a16:creationId xmlns:a16="http://schemas.microsoft.com/office/drawing/2014/main" id="{9C290E58-1F56-41D3-B9B8-640B9F5F7778}"/>
            </a:ext>
          </a:extLst>
        </xdr:cNvPr>
        <xdr:cNvSpPr>
          <a:spLocks noChangeShapeType="1"/>
        </xdr:cNvSpPr>
      </xdr:nvSpPr>
      <xdr:spPr bwMode="auto">
        <a:xfrm>
          <a:off x="7650956" y="412527750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31" name="Line 14">
          <a:extLst>
            <a:ext uri="{FF2B5EF4-FFF2-40B4-BE49-F238E27FC236}">
              <a16:creationId xmlns:a16="http://schemas.microsoft.com/office/drawing/2014/main" id="{5C7797CF-3B2E-4084-AFFD-D5CDDED7BFF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32" name="Line 15">
          <a:extLst>
            <a:ext uri="{FF2B5EF4-FFF2-40B4-BE49-F238E27FC236}">
              <a16:creationId xmlns:a16="http://schemas.microsoft.com/office/drawing/2014/main" id="{8235969E-91FB-4985-97AC-7EEE5AB7B3C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1917</xdr:row>
      <xdr:rowOff>0</xdr:rowOff>
    </xdr:from>
    <xdr:to>
      <xdr:col>18</xdr:col>
      <xdr:colOff>438150</xdr:colOff>
      <xdr:row>1918</xdr:row>
      <xdr:rowOff>0</xdr:rowOff>
    </xdr:to>
    <xdr:sp macro="" textlink="">
      <xdr:nvSpPr>
        <xdr:cNvPr id="1933" name="Line 42">
          <a:extLst>
            <a:ext uri="{FF2B5EF4-FFF2-40B4-BE49-F238E27FC236}">
              <a16:creationId xmlns:a16="http://schemas.microsoft.com/office/drawing/2014/main" id="{8DF1D2B2-7225-40B4-B8A8-D026BBD01367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527750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34" name="Line 4">
          <a:extLst>
            <a:ext uri="{FF2B5EF4-FFF2-40B4-BE49-F238E27FC236}">
              <a16:creationId xmlns:a16="http://schemas.microsoft.com/office/drawing/2014/main" id="{C42EB7D0-0AEA-4FBD-A621-796B23115F85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35" name="Line 14">
          <a:extLst>
            <a:ext uri="{FF2B5EF4-FFF2-40B4-BE49-F238E27FC236}">
              <a16:creationId xmlns:a16="http://schemas.microsoft.com/office/drawing/2014/main" id="{E32E53BF-A733-4D73-A906-EDDEF1984F7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36" name="Line 15">
          <a:extLst>
            <a:ext uri="{FF2B5EF4-FFF2-40B4-BE49-F238E27FC236}">
              <a16:creationId xmlns:a16="http://schemas.microsoft.com/office/drawing/2014/main" id="{95001BBA-8F9E-4F34-99D2-68E0177BFB5E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37" name="Line 42">
          <a:extLst>
            <a:ext uri="{FF2B5EF4-FFF2-40B4-BE49-F238E27FC236}">
              <a16:creationId xmlns:a16="http://schemas.microsoft.com/office/drawing/2014/main" id="{757160A2-4CAE-467B-B0E7-EBDFCDC8CE2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38" name="Line 4">
          <a:extLst>
            <a:ext uri="{FF2B5EF4-FFF2-40B4-BE49-F238E27FC236}">
              <a16:creationId xmlns:a16="http://schemas.microsoft.com/office/drawing/2014/main" id="{CE0CDA0A-04E3-4032-A680-AF698A51AFD5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39" name="Line 14">
          <a:extLst>
            <a:ext uri="{FF2B5EF4-FFF2-40B4-BE49-F238E27FC236}">
              <a16:creationId xmlns:a16="http://schemas.microsoft.com/office/drawing/2014/main" id="{D626CB3C-20DC-4BE4-94A2-5C781AE946DB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0" name="Line 15">
          <a:extLst>
            <a:ext uri="{FF2B5EF4-FFF2-40B4-BE49-F238E27FC236}">
              <a16:creationId xmlns:a16="http://schemas.microsoft.com/office/drawing/2014/main" id="{87C370D8-B252-4B05-8AD3-718E40B28D5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1" name="Line 42">
          <a:extLst>
            <a:ext uri="{FF2B5EF4-FFF2-40B4-BE49-F238E27FC236}">
              <a16:creationId xmlns:a16="http://schemas.microsoft.com/office/drawing/2014/main" id="{1B35FE09-FA76-4D3D-8E1A-AD3B1A11BDC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42" name="Line 4">
          <a:extLst>
            <a:ext uri="{FF2B5EF4-FFF2-40B4-BE49-F238E27FC236}">
              <a16:creationId xmlns:a16="http://schemas.microsoft.com/office/drawing/2014/main" id="{8E600E57-553E-4690-8A0D-F4850F2E789A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3" name="Line 14">
          <a:extLst>
            <a:ext uri="{FF2B5EF4-FFF2-40B4-BE49-F238E27FC236}">
              <a16:creationId xmlns:a16="http://schemas.microsoft.com/office/drawing/2014/main" id="{74FF4BE8-C440-464D-BD1C-6CCD0AFA8F7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4" name="Line 15">
          <a:extLst>
            <a:ext uri="{FF2B5EF4-FFF2-40B4-BE49-F238E27FC236}">
              <a16:creationId xmlns:a16="http://schemas.microsoft.com/office/drawing/2014/main" id="{4C0D3F5A-FD28-4A10-98A8-A5B214ED22AD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5" name="Line 42">
          <a:extLst>
            <a:ext uri="{FF2B5EF4-FFF2-40B4-BE49-F238E27FC236}">
              <a16:creationId xmlns:a16="http://schemas.microsoft.com/office/drawing/2014/main" id="{A7430F91-1399-48E9-B14A-16739A9B795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46" name="Line 4">
          <a:extLst>
            <a:ext uri="{FF2B5EF4-FFF2-40B4-BE49-F238E27FC236}">
              <a16:creationId xmlns:a16="http://schemas.microsoft.com/office/drawing/2014/main" id="{227772CC-58F7-46C6-9B0B-F28AECB8CB45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7" name="Line 14">
          <a:extLst>
            <a:ext uri="{FF2B5EF4-FFF2-40B4-BE49-F238E27FC236}">
              <a16:creationId xmlns:a16="http://schemas.microsoft.com/office/drawing/2014/main" id="{8BAE16A3-CC18-4F29-9424-3B6610F95D5F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8" name="Line 15">
          <a:extLst>
            <a:ext uri="{FF2B5EF4-FFF2-40B4-BE49-F238E27FC236}">
              <a16:creationId xmlns:a16="http://schemas.microsoft.com/office/drawing/2014/main" id="{98E8D0C2-B456-4A13-BC77-02F8C239493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49" name="Line 42">
          <a:extLst>
            <a:ext uri="{FF2B5EF4-FFF2-40B4-BE49-F238E27FC236}">
              <a16:creationId xmlns:a16="http://schemas.microsoft.com/office/drawing/2014/main" id="{8BFFE4E2-1E30-4985-9475-BA345D2E37F2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50" name="Line 4">
          <a:extLst>
            <a:ext uri="{FF2B5EF4-FFF2-40B4-BE49-F238E27FC236}">
              <a16:creationId xmlns:a16="http://schemas.microsoft.com/office/drawing/2014/main" id="{09D3EF96-7A15-4ADD-8F45-4D9F27FD8953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1" name="Line 14">
          <a:extLst>
            <a:ext uri="{FF2B5EF4-FFF2-40B4-BE49-F238E27FC236}">
              <a16:creationId xmlns:a16="http://schemas.microsoft.com/office/drawing/2014/main" id="{DEF504CA-7649-420A-A2E1-416DC1355EB6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2" name="Line 15">
          <a:extLst>
            <a:ext uri="{FF2B5EF4-FFF2-40B4-BE49-F238E27FC236}">
              <a16:creationId xmlns:a16="http://schemas.microsoft.com/office/drawing/2014/main" id="{43ECA3C0-33BD-4AAF-88B6-3912A43C0ED9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3" name="Line 42">
          <a:extLst>
            <a:ext uri="{FF2B5EF4-FFF2-40B4-BE49-F238E27FC236}">
              <a16:creationId xmlns:a16="http://schemas.microsoft.com/office/drawing/2014/main" id="{5D7CB538-8880-4405-BB53-23432A7D9A4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447675</xdr:colOff>
      <xdr:row>1919</xdr:row>
      <xdr:rowOff>0</xdr:rowOff>
    </xdr:from>
    <xdr:to>
      <xdr:col>18</xdr:col>
      <xdr:colOff>447675</xdr:colOff>
      <xdr:row>1920</xdr:row>
      <xdr:rowOff>0</xdr:rowOff>
    </xdr:to>
    <xdr:sp macro="" textlink="">
      <xdr:nvSpPr>
        <xdr:cNvPr id="1954" name="Line 4">
          <a:extLst>
            <a:ext uri="{FF2B5EF4-FFF2-40B4-BE49-F238E27FC236}">
              <a16:creationId xmlns:a16="http://schemas.microsoft.com/office/drawing/2014/main" id="{39472961-78D6-468C-A113-75BB8BC0EF7C}"/>
            </a:ext>
          </a:extLst>
        </xdr:cNvPr>
        <xdr:cNvSpPr>
          <a:spLocks noChangeShapeType="1"/>
        </xdr:cNvSpPr>
      </xdr:nvSpPr>
      <xdr:spPr bwMode="auto">
        <a:xfrm>
          <a:off x="7650956" y="412956375"/>
          <a:ext cx="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5" name="Line 14">
          <a:extLst>
            <a:ext uri="{FF2B5EF4-FFF2-40B4-BE49-F238E27FC236}">
              <a16:creationId xmlns:a16="http://schemas.microsoft.com/office/drawing/2014/main" id="{E0C10156-95ED-4364-8B4F-A46CBE934C30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6" name="Line 15">
          <a:extLst>
            <a:ext uri="{FF2B5EF4-FFF2-40B4-BE49-F238E27FC236}">
              <a16:creationId xmlns:a16="http://schemas.microsoft.com/office/drawing/2014/main" id="{80D88474-053A-459C-A839-69CF774A4A95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419100</xdr:colOff>
      <xdr:row>1919</xdr:row>
      <xdr:rowOff>0</xdr:rowOff>
    </xdr:from>
    <xdr:to>
      <xdr:col>18</xdr:col>
      <xdr:colOff>438150</xdr:colOff>
      <xdr:row>1920</xdr:row>
      <xdr:rowOff>0</xdr:rowOff>
    </xdr:to>
    <xdr:sp macro="" textlink="">
      <xdr:nvSpPr>
        <xdr:cNvPr id="1957" name="Line 42">
          <a:extLst>
            <a:ext uri="{FF2B5EF4-FFF2-40B4-BE49-F238E27FC236}">
              <a16:creationId xmlns:a16="http://schemas.microsoft.com/office/drawing/2014/main" id="{EEC1968B-50F1-485A-8A80-63F8649967A3}"/>
            </a:ext>
          </a:extLst>
        </xdr:cNvPr>
        <xdr:cNvSpPr>
          <a:spLocks noChangeShapeType="1"/>
        </xdr:cNvSpPr>
      </xdr:nvSpPr>
      <xdr:spPr bwMode="auto">
        <a:xfrm flipH="1" flipV="1">
          <a:off x="7622381" y="412956375"/>
          <a:ext cx="19050" cy="214313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CA44-AEB4-422B-A9F9-598FD035CEDF}">
  <dimension ref="A1:J25"/>
  <sheetViews>
    <sheetView tabSelected="1" workbookViewId="0">
      <selection activeCell="C15" sqref="C15"/>
    </sheetView>
  </sheetViews>
  <sheetFormatPr defaultRowHeight="16.5"/>
  <sheetData>
    <row r="1" spans="1:9" s="36" customFormat="1"/>
    <row r="2" spans="1:9" s="36" customFormat="1"/>
    <row r="3" spans="1:9" s="36" customFormat="1"/>
    <row r="4" spans="1:9" s="36" customFormat="1" ht="50.25">
      <c r="A4" s="143" t="s">
        <v>107</v>
      </c>
      <c r="B4" s="143"/>
      <c r="C4" s="143"/>
      <c r="D4" s="143"/>
      <c r="E4" s="143"/>
      <c r="F4" s="143"/>
      <c r="G4" s="143"/>
      <c r="H4" s="143"/>
      <c r="I4" s="143"/>
    </row>
    <row r="5" spans="1:9" s="36" customFormat="1"/>
    <row r="6" spans="1:9" s="36" customFormat="1"/>
    <row r="7" spans="1:9" s="36" customFormat="1" ht="79.150000000000006" customHeight="1">
      <c r="A7" s="144" t="s">
        <v>104</v>
      </c>
      <c r="B7" s="144"/>
      <c r="C7" s="144"/>
      <c r="D7" s="144"/>
      <c r="E7" s="144"/>
      <c r="F7" s="144"/>
      <c r="G7" s="144"/>
      <c r="H7" s="144"/>
      <c r="I7" s="144"/>
    </row>
    <row r="8" spans="1:9" s="36" customFormat="1"/>
    <row r="9" spans="1:9" s="36" customFormat="1"/>
    <row r="10" spans="1:9" s="36" customFormat="1"/>
    <row r="11" spans="1:9" s="36" customFormat="1"/>
    <row r="12" spans="1:9" s="36" customFormat="1" ht="111.75">
      <c r="A12" s="145" t="s">
        <v>103</v>
      </c>
      <c r="B12" s="145"/>
      <c r="C12" s="145"/>
      <c r="D12" s="145"/>
      <c r="E12" s="145"/>
      <c r="F12" s="145"/>
      <c r="G12" s="145"/>
      <c r="H12" s="145"/>
      <c r="I12" s="145"/>
    </row>
    <row r="13" spans="1:9" s="36" customFormat="1"/>
    <row r="14" spans="1:9" s="36" customFormat="1"/>
    <row r="15" spans="1:9" s="36" customFormat="1"/>
    <row r="16" spans="1:9" s="36" customFormat="1"/>
    <row r="17" spans="1:10" s="36" customFormat="1"/>
    <row r="18" spans="1:10" s="36" customFormat="1"/>
    <row r="19" spans="1:10" s="36" customFormat="1" ht="50.25">
      <c r="A19" s="143"/>
      <c r="B19" s="143"/>
      <c r="C19" s="143"/>
      <c r="D19" s="143"/>
      <c r="E19" s="143"/>
      <c r="F19" s="143"/>
      <c r="G19" s="143"/>
      <c r="H19" s="143"/>
      <c r="I19" s="143"/>
    </row>
    <row r="20" spans="1:10" s="36" customFormat="1"/>
    <row r="21" spans="1:10" s="36" customFormat="1"/>
    <row r="22" spans="1:10" s="36" customFormat="1"/>
    <row r="23" spans="1:10" s="36" customFormat="1"/>
    <row r="24" spans="1:10" s="36" customFormat="1" ht="35.25">
      <c r="A24" s="142" t="s">
        <v>105</v>
      </c>
      <c r="B24" s="142"/>
      <c r="C24" s="142"/>
      <c r="D24" s="142"/>
      <c r="E24" s="142"/>
      <c r="F24" s="142"/>
      <c r="G24" s="142"/>
      <c r="H24" s="142"/>
      <c r="I24" s="142"/>
      <c r="J24" s="142"/>
    </row>
    <row r="25" spans="1:10" s="36" customFormat="1" ht="35.25">
      <c r="A25" s="142" t="s">
        <v>106</v>
      </c>
      <c r="B25" s="142"/>
      <c r="C25" s="142"/>
      <c r="D25" s="142"/>
      <c r="E25" s="142"/>
      <c r="F25" s="142"/>
      <c r="G25" s="142"/>
      <c r="H25" s="142"/>
      <c r="I25" s="142"/>
      <c r="J25" s="142"/>
    </row>
  </sheetData>
  <mergeCells count="6">
    <mergeCell ref="A25:J25"/>
    <mergeCell ref="A4:I4"/>
    <mergeCell ref="A7:I7"/>
    <mergeCell ref="A12:I12"/>
    <mergeCell ref="A19:I19"/>
    <mergeCell ref="A24:J24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71"/>
  <sheetViews>
    <sheetView topLeftCell="A1918" zoomScale="80" zoomScaleNormal="80" workbookViewId="0">
      <selection activeCell="F1945" sqref="F1945:H1945"/>
    </sheetView>
  </sheetViews>
  <sheetFormatPr defaultRowHeight="16.5"/>
  <cols>
    <col min="1" max="1" width="3.75" customWidth="1"/>
    <col min="2" max="2" width="8.875" customWidth="1"/>
    <col min="3" max="3" width="7.875" customWidth="1"/>
    <col min="4" max="5" width="3.125" customWidth="1"/>
    <col min="6" max="6" width="5.375" customWidth="1"/>
    <col min="7" max="7" width="2.875" customWidth="1"/>
    <col min="8" max="8" width="5" customWidth="1"/>
    <col min="9" max="9" width="2.875" customWidth="1"/>
    <col min="10" max="10" width="6.625" customWidth="1"/>
    <col min="11" max="11" width="2.625" customWidth="1"/>
    <col min="12" max="12" width="8.375" customWidth="1"/>
    <col min="13" max="13" width="3.875" customWidth="1"/>
    <col min="14" max="14" width="9.75" customWidth="1"/>
    <col min="15" max="15" width="3.25" customWidth="1"/>
    <col min="16" max="16" width="7.75" customWidth="1"/>
    <col min="17" max="17" width="3.625" customWidth="1"/>
    <col min="18" max="18" width="5.125" hidden="1" customWidth="1"/>
    <col min="19" max="19" width="12.625" hidden="1" customWidth="1"/>
    <col min="20" max="20" width="14.25" hidden="1" customWidth="1"/>
    <col min="21" max="21" width="16.25" hidden="1" customWidth="1"/>
    <col min="22" max="22" width="14.375" hidden="1" customWidth="1"/>
  </cols>
  <sheetData>
    <row r="1" spans="1:21" ht="39" customHeight="1">
      <c r="B1" s="120" t="s">
        <v>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T1" s="20"/>
    </row>
    <row r="2" spans="1:21">
      <c r="B2" s="6" t="s">
        <v>1</v>
      </c>
      <c r="C2" s="121" t="s">
        <v>2</v>
      </c>
      <c r="D2" s="121"/>
      <c r="E2" s="1" t="s">
        <v>3</v>
      </c>
      <c r="F2" s="121" t="s">
        <v>4</v>
      </c>
      <c r="G2" s="121"/>
      <c r="H2" s="1" t="s">
        <v>3</v>
      </c>
      <c r="I2" s="1"/>
      <c r="J2" s="121" t="s">
        <v>5</v>
      </c>
      <c r="K2" s="121"/>
      <c r="L2" s="121"/>
      <c r="M2" s="122">
        <v>46227</v>
      </c>
      <c r="N2" s="122"/>
      <c r="O2" s="122"/>
      <c r="P2" s="123"/>
      <c r="Q2" s="123"/>
      <c r="T2" s="20"/>
    </row>
    <row r="3" spans="1:21" ht="16.5" customHeight="1">
      <c r="A3" s="96" t="s">
        <v>6</v>
      </c>
      <c r="B3" s="96"/>
      <c r="C3" s="124" t="s">
        <v>79</v>
      </c>
      <c r="D3" s="125"/>
      <c r="E3" s="125"/>
      <c r="F3" s="125"/>
      <c r="G3" s="125"/>
      <c r="H3" s="125"/>
      <c r="I3" s="126"/>
      <c r="J3" s="127" t="s">
        <v>7</v>
      </c>
      <c r="K3" s="128"/>
      <c r="L3" s="128"/>
      <c r="M3" s="129"/>
      <c r="N3" s="130" t="s">
        <v>78</v>
      </c>
      <c r="O3" s="130"/>
      <c r="P3" s="130"/>
      <c r="Q3" s="131"/>
      <c r="T3" s="20"/>
    </row>
    <row r="4" spans="1:21" ht="16.5" customHeight="1">
      <c r="A4" s="96" t="s">
        <v>8</v>
      </c>
      <c r="B4" s="96"/>
      <c r="C4" s="4">
        <v>30</v>
      </c>
      <c r="D4" s="3" t="s">
        <v>9</v>
      </c>
      <c r="E4" s="127" t="s">
        <v>10</v>
      </c>
      <c r="F4" s="129"/>
      <c r="G4" s="127">
        <v>1</v>
      </c>
      <c r="H4" s="128"/>
      <c r="I4" s="3" t="s">
        <v>9</v>
      </c>
      <c r="J4" s="96" t="s">
        <v>11</v>
      </c>
      <c r="K4" s="96"/>
      <c r="L4" s="5">
        <f>C4-G4</f>
        <v>29</v>
      </c>
      <c r="M4" s="2" t="s">
        <v>9</v>
      </c>
      <c r="N4" s="96" t="s">
        <v>12</v>
      </c>
      <c r="O4" s="96"/>
      <c r="P4" s="2"/>
      <c r="Q4" s="3" t="s">
        <v>9</v>
      </c>
      <c r="T4" s="20"/>
    </row>
    <row r="5" spans="1:21">
      <c r="A5" s="96" t="s">
        <v>13</v>
      </c>
      <c r="B5" s="96"/>
      <c r="C5" s="132">
        <v>46227</v>
      </c>
      <c r="D5" s="132"/>
      <c r="E5" s="132"/>
      <c r="F5" s="132"/>
      <c r="G5" s="132"/>
      <c r="H5" s="132"/>
      <c r="I5" s="132"/>
      <c r="J5" s="127" t="s">
        <v>14</v>
      </c>
      <c r="K5" s="128"/>
      <c r="L5" s="128"/>
      <c r="M5" s="129"/>
      <c r="N5" s="133">
        <v>46256</v>
      </c>
      <c r="O5" s="134"/>
      <c r="P5" s="134"/>
      <c r="Q5" s="135"/>
      <c r="T5" s="20"/>
    </row>
    <row r="6" spans="1:21">
      <c r="A6" s="96" t="s">
        <v>15</v>
      </c>
      <c r="B6" s="96"/>
      <c r="C6" s="97">
        <v>1</v>
      </c>
      <c r="D6" s="98"/>
      <c r="E6" s="98"/>
      <c r="F6" s="98"/>
      <c r="G6" s="98"/>
      <c r="H6" s="99" t="s">
        <v>16</v>
      </c>
      <c r="I6" s="100"/>
      <c r="J6" s="101" t="s">
        <v>17</v>
      </c>
      <c r="K6" s="101"/>
      <c r="L6" s="101"/>
      <c r="M6" s="101"/>
      <c r="N6" s="102">
        <f>U29</f>
        <v>1.279646760575652E-2</v>
      </c>
      <c r="O6" s="102"/>
      <c r="P6" s="102"/>
      <c r="Q6" s="102"/>
      <c r="T6" s="20"/>
    </row>
    <row r="7" spans="1:21">
      <c r="A7" s="103" t="s">
        <v>18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T7" s="20"/>
    </row>
    <row r="8" spans="1:21">
      <c r="A8" s="7"/>
      <c r="B8" s="106" t="s">
        <v>19</v>
      </c>
      <c r="C8" s="107"/>
      <c r="D8" s="107"/>
      <c r="E8" s="107"/>
      <c r="F8" s="107"/>
      <c r="G8" s="108"/>
      <c r="H8" s="8" t="s">
        <v>20</v>
      </c>
      <c r="I8" s="109" t="s">
        <v>21</v>
      </c>
      <c r="J8" s="110"/>
      <c r="K8" s="111"/>
      <c r="L8" s="109" t="s">
        <v>28</v>
      </c>
      <c r="M8" s="111"/>
      <c r="N8" s="106" t="s">
        <v>22</v>
      </c>
      <c r="O8" s="112"/>
      <c r="P8" s="113" t="s">
        <v>23</v>
      </c>
      <c r="Q8" s="113"/>
      <c r="S8" s="18" t="s">
        <v>22</v>
      </c>
      <c r="T8" s="19" t="s">
        <v>64</v>
      </c>
      <c r="U8" s="13" t="s">
        <v>27</v>
      </c>
    </row>
    <row r="9" spans="1:21">
      <c r="A9" s="17" t="s">
        <v>65</v>
      </c>
      <c r="B9" s="114" t="s">
        <v>66</v>
      </c>
      <c r="C9" s="115"/>
      <c r="D9" s="115"/>
      <c r="E9" s="115"/>
      <c r="F9" s="115"/>
      <c r="G9" s="116"/>
      <c r="H9" s="17"/>
      <c r="I9" s="117"/>
      <c r="J9" s="118"/>
      <c r="K9" s="119"/>
      <c r="L9" s="77"/>
      <c r="M9" s="78"/>
      <c r="N9" s="77"/>
      <c r="O9" s="78"/>
      <c r="P9" s="93"/>
      <c r="Q9" s="93"/>
      <c r="S9" s="16"/>
      <c r="T9" s="16"/>
      <c r="U9" s="16" t="s">
        <v>26</v>
      </c>
    </row>
    <row r="10" spans="1:21" ht="16.5" customHeight="1">
      <c r="A10" s="17">
        <v>1</v>
      </c>
      <c r="B10" s="81" t="s">
        <v>80</v>
      </c>
      <c r="C10" s="82"/>
      <c r="D10" s="82"/>
      <c r="E10" s="82"/>
      <c r="F10" s="82"/>
      <c r="G10" s="83"/>
      <c r="H10" s="29" t="s">
        <v>67</v>
      </c>
      <c r="I10" s="84">
        <v>18</v>
      </c>
      <c r="J10" s="85"/>
      <c r="K10" s="86"/>
      <c r="L10" s="138"/>
      <c r="M10" s="139"/>
      <c r="N10" s="91"/>
      <c r="O10" s="92"/>
      <c r="P10" s="93"/>
      <c r="Q10" s="93"/>
      <c r="S10" s="12"/>
      <c r="T10" s="26">
        <v>18000</v>
      </c>
      <c r="U10" s="12">
        <f>S10*T10</f>
        <v>0</v>
      </c>
    </row>
    <row r="11" spans="1:21" ht="32.1" customHeight="1">
      <c r="A11" s="17">
        <v>2</v>
      </c>
      <c r="B11" s="81" t="s">
        <v>81</v>
      </c>
      <c r="C11" s="82" t="s">
        <v>81</v>
      </c>
      <c r="D11" s="82" t="s">
        <v>81</v>
      </c>
      <c r="E11" s="82" t="s">
        <v>81</v>
      </c>
      <c r="F11" s="82" t="s">
        <v>81</v>
      </c>
      <c r="G11" s="83" t="s">
        <v>81</v>
      </c>
      <c r="H11" s="29" t="s">
        <v>97</v>
      </c>
      <c r="I11" s="84">
        <v>166</v>
      </c>
      <c r="J11" s="85"/>
      <c r="K11" s="86"/>
      <c r="L11" s="138"/>
      <c r="M11" s="139"/>
      <c r="N11" s="91"/>
      <c r="O11" s="92"/>
      <c r="P11" s="93"/>
      <c r="Q11" s="93"/>
      <c r="S11" s="12"/>
      <c r="T11" s="26">
        <v>750</v>
      </c>
      <c r="U11" s="12">
        <f t="shared" ref="U11:U21" si="0">S11*T11</f>
        <v>0</v>
      </c>
    </row>
    <row r="12" spans="1:21">
      <c r="A12" s="17">
        <v>3</v>
      </c>
      <c r="B12" s="81" t="s">
        <v>82</v>
      </c>
      <c r="C12" s="82" t="s">
        <v>82</v>
      </c>
      <c r="D12" s="82" t="s">
        <v>82</v>
      </c>
      <c r="E12" s="82" t="s">
        <v>82</v>
      </c>
      <c r="F12" s="82" t="s">
        <v>82</v>
      </c>
      <c r="G12" s="83" t="s">
        <v>82</v>
      </c>
      <c r="H12" s="29" t="s">
        <v>97</v>
      </c>
      <c r="I12" s="84">
        <v>540</v>
      </c>
      <c r="J12" s="85">
        <v>540</v>
      </c>
      <c r="K12" s="86">
        <v>540</v>
      </c>
      <c r="L12" s="138"/>
      <c r="M12" s="139"/>
      <c r="N12" s="91"/>
      <c r="O12" s="92"/>
      <c r="P12" s="93"/>
      <c r="Q12" s="93"/>
      <c r="S12" s="12"/>
      <c r="T12" s="26">
        <v>340</v>
      </c>
      <c r="U12" s="12">
        <f t="shared" si="0"/>
        <v>0</v>
      </c>
    </row>
    <row r="13" spans="1:21">
      <c r="A13" s="17">
        <v>4</v>
      </c>
      <c r="B13" s="81" t="s">
        <v>83</v>
      </c>
      <c r="C13" s="82" t="s">
        <v>83</v>
      </c>
      <c r="D13" s="82" t="s">
        <v>83</v>
      </c>
      <c r="E13" s="82" t="s">
        <v>83</v>
      </c>
      <c r="F13" s="82" t="s">
        <v>83</v>
      </c>
      <c r="G13" s="83" t="s">
        <v>83</v>
      </c>
      <c r="H13" s="29" t="s">
        <v>67</v>
      </c>
      <c r="I13" s="84">
        <v>20</v>
      </c>
      <c r="J13" s="85">
        <v>20</v>
      </c>
      <c r="K13" s="86">
        <v>20</v>
      </c>
      <c r="L13" s="138"/>
      <c r="M13" s="139"/>
      <c r="N13" s="91"/>
      <c r="O13" s="92"/>
      <c r="P13" s="93"/>
      <c r="Q13" s="93"/>
      <c r="S13" s="12"/>
      <c r="T13" s="26">
        <v>1250</v>
      </c>
      <c r="U13" s="12">
        <f t="shared" si="0"/>
        <v>0</v>
      </c>
    </row>
    <row r="14" spans="1:21" ht="32.1" customHeight="1">
      <c r="A14" s="17">
        <v>5</v>
      </c>
      <c r="B14" s="81" t="s">
        <v>84</v>
      </c>
      <c r="C14" s="82" t="s">
        <v>84</v>
      </c>
      <c r="D14" s="82" t="s">
        <v>84</v>
      </c>
      <c r="E14" s="82" t="s">
        <v>84</v>
      </c>
      <c r="F14" s="82" t="s">
        <v>84</v>
      </c>
      <c r="G14" s="83" t="s">
        <v>84</v>
      </c>
      <c r="H14" s="29" t="s">
        <v>97</v>
      </c>
      <c r="I14" s="84">
        <v>28</v>
      </c>
      <c r="J14" s="85">
        <v>28</v>
      </c>
      <c r="K14" s="86">
        <v>28</v>
      </c>
      <c r="L14" s="138"/>
      <c r="M14" s="139"/>
      <c r="N14" s="91"/>
      <c r="O14" s="92"/>
      <c r="P14" s="93"/>
      <c r="Q14" s="93"/>
      <c r="S14" s="12"/>
      <c r="T14" s="26">
        <v>1800</v>
      </c>
      <c r="U14" s="12">
        <f t="shared" si="0"/>
        <v>0</v>
      </c>
    </row>
    <row r="15" spans="1:21">
      <c r="A15" s="17">
        <v>6</v>
      </c>
      <c r="B15" s="81" t="s">
        <v>85</v>
      </c>
      <c r="C15" s="82" t="s">
        <v>85</v>
      </c>
      <c r="D15" s="82" t="s">
        <v>85</v>
      </c>
      <c r="E15" s="82" t="s">
        <v>85</v>
      </c>
      <c r="F15" s="82" t="s">
        <v>85</v>
      </c>
      <c r="G15" s="83" t="s">
        <v>85</v>
      </c>
      <c r="H15" s="29" t="s">
        <v>97</v>
      </c>
      <c r="I15" s="84">
        <v>14</v>
      </c>
      <c r="J15" s="85">
        <v>14</v>
      </c>
      <c r="K15" s="86">
        <v>14</v>
      </c>
      <c r="L15" s="10"/>
      <c r="M15" s="11"/>
      <c r="N15" s="91"/>
      <c r="O15" s="92"/>
      <c r="P15" s="79"/>
      <c r="Q15" s="80"/>
      <c r="S15" s="12"/>
      <c r="T15" s="26">
        <v>4000</v>
      </c>
      <c r="U15" s="12">
        <f t="shared" si="0"/>
        <v>0</v>
      </c>
    </row>
    <row r="16" spans="1:21">
      <c r="A16" s="17">
        <v>7</v>
      </c>
      <c r="B16" s="81" t="s">
        <v>86</v>
      </c>
      <c r="C16" s="82" t="s">
        <v>86</v>
      </c>
      <c r="D16" s="82" t="s">
        <v>86</v>
      </c>
      <c r="E16" s="82" t="s">
        <v>86</v>
      </c>
      <c r="F16" s="82" t="s">
        <v>86</v>
      </c>
      <c r="G16" s="83" t="s">
        <v>86</v>
      </c>
      <c r="H16" s="29" t="s">
        <v>97</v>
      </c>
      <c r="I16" s="84">
        <v>30</v>
      </c>
      <c r="J16" s="85">
        <v>30</v>
      </c>
      <c r="K16" s="86">
        <v>30</v>
      </c>
      <c r="L16" s="138"/>
      <c r="M16" s="139"/>
      <c r="N16" s="91"/>
      <c r="O16" s="92"/>
      <c r="P16" s="93"/>
      <c r="Q16" s="93"/>
      <c r="S16" s="12"/>
      <c r="T16" s="26">
        <v>4000</v>
      </c>
      <c r="U16" s="12">
        <f t="shared" si="0"/>
        <v>0</v>
      </c>
    </row>
    <row r="17" spans="1:22">
      <c r="A17" s="17">
        <v>8</v>
      </c>
      <c r="B17" s="81" t="s">
        <v>87</v>
      </c>
      <c r="C17" s="82" t="s">
        <v>87</v>
      </c>
      <c r="D17" s="82" t="s">
        <v>87</v>
      </c>
      <c r="E17" s="82" t="s">
        <v>87</v>
      </c>
      <c r="F17" s="82" t="s">
        <v>87</v>
      </c>
      <c r="G17" s="83" t="s">
        <v>87</v>
      </c>
      <c r="H17" s="30" t="s">
        <v>25</v>
      </c>
      <c r="I17" s="84">
        <v>1</v>
      </c>
      <c r="J17" s="85">
        <v>1</v>
      </c>
      <c r="K17" s="86">
        <v>1</v>
      </c>
      <c r="L17" s="140"/>
      <c r="M17" s="141"/>
      <c r="N17" s="140"/>
      <c r="O17" s="141"/>
      <c r="P17" s="93"/>
      <c r="Q17" s="93"/>
      <c r="S17" s="16"/>
      <c r="T17" s="26">
        <v>31000</v>
      </c>
      <c r="U17" s="12">
        <f t="shared" si="0"/>
        <v>0</v>
      </c>
    </row>
    <row r="18" spans="1:22">
      <c r="A18" s="17">
        <v>9</v>
      </c>
      <c r="B18" s="81" t="s">
        <v>88</v>
      </c>
      <c r="C18" s="82" t="s">
        <v>88</v>
      </c>
      <c r="D18" s="82" t="s">
        <v>88</v>
      </c>
      <c r="E18" s="82" t="s">
        <v>88</v>
      </c>
      <c r="F18" s="82" t="s">
        <v>88</v>
      </c>
      <c r="G18" s="83" t="s">
        <v>88</v>
      </c>
      <c r="H18" s="30" t="s">
        <v>25</v>
      </c>
      <c r="I18" s="84">
        <v>1</v>
      </c>
      <c r="J18" s="85">
        <v>1</v>
      </c>
      <c r="K18" s="86">
        <v>1</v>
      </c>
      <c r="L18" s="138"/>
      <c r="M18" s="139"/>
      <c r="N18" s="91"/>
      <c r="O18" s="92"/>
      <c r="P18" s="93"/>
      <c r="Q18" s="93"/>
      <c r="S18" s="12"/>
      <c r="T18" s="26">
        <v>30121</v>
      </c>
      <c r="U18" s="12">
        <f t="shared" si="0"/>
        <v>0</v>
      </c>
    </row>
    <row r="19" spans="1:22">
      <c r="A19" s="17">
        <v>10</v>
      </c>
      <c r="B19" s="81" t="s">
        <v>89</v>
      </c>
      <c r="C19" s="82"/>
      <c r="D19" s="82"/>
      <c r="E19" s="82"/>
      <c r="F19" s="82"/>
      <c r="G19" s="83"/>
      <c r="H19" s="30" t="s">
        <v>98</v>
      </c>
      <c r="I19" s="84">
        <v>3</v>
      </c>
      <c r="J19" s="85"/>
      <c r="K19" s="86"/>
      <c r="L19" s="10"/>
      <c r="M19" s="11"/>
      <c r="N19" s="91"/>
      <c r="O19" s="92"/>
      <c r="P19" s="91"/>
      <c r="Q19" s="92"/>
      <c r="S19" s="12"/>
      <c r="T19" s="26">
        <v>14500</v>
      </c>
      <c r="U19" s="12">
        <f t="shared" si="0"/>
        <v>0</v>
      </c>
    </row>
    <row r="20" spans="1:22">
      <c r="A20" s="17">
        <v>11</v>
      </c>
      <c r="B20" s="81" t="s">
        <v>90</v>
      </c>
      <c r="C20" s="82"/>
      <c r="D20" s="82"/>
      <c r="E20" s="82"/>
      <c r="F20" s="82"/>
      <c r="G20" s="83"/>
      <c r="H20" s="29" t="s">
        <v>67</v>
      </c>
      <c r="I20" s="84">
        <v>6</v>
      </c>
      <c r="J20" s="85"/>
      <c r="K20" s="86"/>
      <c r="L20" s="10"/>
      <c r="M20" s="11"/>
      <c r="N20" s="91"/>
      <c r="O20" s="92"/>
      <c r="P20" s="91"/>
      <c r="Q20" s="92"/>
      <c r="S20" s="12"/>
      <c r="T20" s="26">
        <v>3500</v>
      </c>
      <c r="U20" s="12">
        <f t="shared" si="0"/>
        <v>0</v>
      </c>
    </row>
    <row r="21" spans="1:22" ht="16.5" customHeight="1">
      <c r="A21" s="17">
        <v>12</v>
      </c>
      <c r="B21" s="81" t="s">
        <v>91</v>
      </c>
      <c r="C21" s="82" t="s">
        <v>89</v>
      </c>
      <c r="D21" s="82" t="s">
        <v>89</v>
      </c>
      <c r="E21" s="82" t="s">
        <v>89</v>
      </c>
      <c r="F21" s="82" t="s">
        <v>89</v>
      </c>
      <c r="G21" s="83" t="s">
        <v>89</v>
      </c>
      <c r="H21" s="29" t="s">
        <v>67</v>
      </c>
      <c r="I21" s="84">
        <v>10</v>
      </c>
      <c r="J21" s="85">
        <v>10</v>
      </c>
      <c r="K21" s="86">
        <v>10</v>
      </c>
      <c r="L21" s="138"/>
      <c r="M21" s="139"/>
      <c r="N21" s="91"/>
      <c r="O21" s="92"/>
      <c r="P21" s="93"/>
      <c r="Q21" s="93"/>
      <c r="S21" s="12"/>
      <c r="T21" s="26">
        <v>3000</v>
      </c>
      <c r="U21" s="12">
        <f t="shared" si="0"/>
        <v>0</v>
      </c>
      <c r="V21" s="22">
        <f>SUM(U10:U21)</f>
        <v>0</v>
      </c>
    </row>
    <row r="22" spans="1:22">
      <c r="A22" s="17" t="s">
        <v>76</v>
      </c>
      <c r="B22" s="71" t="s">
        <v>92</v>
      </c>
      <c r="C22" s="72"/>
      <c r="D22" s="72"/>
      <c r="E22" s="72"/>
      <c r="F22" s="72"/>
      <c r="G22" s="73"/>
      <c r="H22" s="30" t="s">
        <v>24</v>
      </c>
      <c r="I22" s="84">
        <v>1</v>
      </c>
      <c r="J22" s="85">
        <v>10</v>
      </c>
      <c r="K22" s="86">
        <v>10</v>
      </c>
      <c r="L22" s="136">
        <v>1</v>
      </c>
      <c r="M22" s="137"/>
      <c r="N22" s="77">
        <f>S22</f>
        <v>1</v>
      </c>
      <c r="O22" s="78"/>
      <c r="P22" s="79"/>
      <c r="Q22" s="80"/>
      <c r="S22" s="12">
        <v>1</v>
      </c>
      <c r="T22" s="25">
        <v>10391</v>
      </c>
      <c r="U22" s="12">
        <f>S22*T22</f>
        <v>10391</v>
      </c>
      <c r="V22" s="27"/>
    </row>
    <row r="23" spans="1:22">
      <c r="A23" s="23" t="s">
        <v>68</v>
      </c>
      <c r="B23" s="71" t="s">
        <v>93</v>
      </c>
      <c r="C23" s="72"/>
      <c r="D23" s="72"/>
      <c r="E23" s="72"/>
      <c r="F23" s="72"/>
      <c r="G23" s="73"/>
      <c r="H23" s="30" t="s">
        <v>24</v>
      </c>
      <c r="I23" s="74">
        <v>1</v>
      </c>
      <c r="J23" s="75"/>
      <c r="K23" s="76"/>
      <c r="L23" s="77"/>
      <c r="M23" s="78"/>
      <c r="N23" s="77">
        <f>S23</f>
        <v>0</v>
      </c>
      <c r="O23" s="78"/>
      <c r="P23" s="77"/>
      <c r="Q23" s="78"/>
      <c r="S23" s="21">
        <f>V21*0.01/T23</f>
        <v>0</v>
      </c>
      <c r="T23" s="25">
        <v>10391</v>
      </c>
      <c r="U23" s="12">
        <f t="shared" ref="U23:U24" si="1">S23*T23</f>
        <v>0</v>
      </c>
    </row>
    <row r="24" spans="1:22">
      <c r="A24" s="23" t="s">
        <v>69</v>
      </c>
      <c r="B24" s="58" t="s">
        <v>94</v>
      </c>
      <c r="C24" s="59" t="s">
        <v>70</v>
      </c>
      <c r="D24" s="59" t="s">
        <v>70</v>
      </c>
      <c r="E24" s="59" t="s">
        <v>70</v>
      </c>
      <c r="F24" s="59" t="s">
        <v>70</v>
      </c>
      <c r="G24" s="60" t="s">
        <v>70</v>
      </c>
      <c r="H24" s="30" t="s">
        <v>24</v>
      </c>
      <c r="I24" s="74">
        <v>1</v>
      </c>
      <c r="J24" s="75"/>
      <c r="K24" s="76"/>
      <c r="L24" s="77"/>
      <c r="M24" s="78"/>
      <c r="N24" s="77">
        <f>S24</f>
        <v>0</v>
      </c>
      <c r="O24" s="78"/>
      <c r="P24" s="77"/>
      <c r="Q24" s="78"/>
      <c r="S24" s="21">
        <f>V21*0.07/T24</f>
        <v>0</v>
      </c>
      <c r="T24" s="25">
        <v>72739</v>
      </c>
      <c r="U24" s="12">
        <f t="shared" si="1"/>
        <v>0</v>
      </c>
    </row>
    <row r="25" spans="1:22">
      <c r="A25" s="23" t="s">
        <v>71</v>
      </c>
      <c r="B25" s="58" t="s">
        <v>95</v>
      </c>
      <c r="C25" s="59" t="s">
        <v>72</v>
      </c>
      <c r="D25" s="59" t="s">
        <v>72</v>
      </c>
      <c r="E25" s="59" t="s">
        <v>72</v>
      </c>
      <c r="F25" s="59" t="s">
        <v>72</v>
      </c>
      <c r="G25" s="60" t="s">
        <v>72</v>
      </c>
      <c r="H25" s="30" t="s">
        <v>24</v>
      </c>
      <c r="I25" s="74">
        <v>1</v>
      </c>
      <c r="J25" s="75"/>
      <c r="K25" s="76"/>
      <c r="L25" s="77">
        <v>1</v>
      </c>
      <c r="M25" s="78"/>
      <c r="N25" s="77">
        <f>S25</f>
        <v>1</v>
      </c>
      <c r="O25" s="78"/>
      <c r="P25" s="77"/>
      <c r="Q25" s="78"/>
      <c r="S25" s="21">
        <v>1</v>
      </c>
      <c r="T25" s="25">
        <v>4156</v>
      </c>
      <c r="U25" s="12">
        <f>S25*T25</f>
        <v>4156</v>
      </c>
    </row>
    <row r="26" spans="1:22">
      <c r="A26" s="23" t="s">
        <v>73</v>
      </c>
      <c r="B26" s="58" t="s">
        <v>96</v>
      </c>
      <c r="C26" s="59" t="s">
        <v>74</v>
      </c>
      <c r="D26" s="59" t="s">
        <v>74</v>
      </c>
      <c r="E26" s="59" t="s">
        <v>74</v>
      </c>
      <c r="F26" s="59" t="s">
        <v>74</v>
      </c>
      <c r="G26" s="60" t="s">
        <v>74</v>
      </c>
      <c r="H26" s="30" t="s">
        <v>24</v>
      </c>
      <c r="I26" s="74">
        <v>1</v>
      </c>
      <c r="J26" s="75"/>
      <c r="K26" s="76"/>
      <c r="L26" s="77">
        <v>0.01</v>
      </c>
      <c r="M26" s="78"/>
      <c r="N26" s="77">
        <f>S26</f>
        <v>1.2796446164672766E-2</v>
      </c>
      <c r="O26" s="78"/>
      <c r="P26" s="79"/>
      <c r="Q26" s="80"/>
      <c r="S26" s="21">
        <f>(V21+U22+U23+U24+U25)*0.05/T26</f>
        <v>1.2796446164672766E-2</v>
      </c>
      <c r="T26" s="25">
        <v>56840</v>
      </c>
      <c r="U26" s="12">
        <f>S26*T26</f>
        <v>727.35</v>
      </c>
    </row>
    <row r="27" spans="1:22">
      <c r="A27" s="23"/>
      <c r="B27" s="58"/>
      <c r="C27" s="59"/>
      <c r="D27" s="59"/>
      <c r="E27" s="59"/>
      <c r="F27" s="59"/>
      <c r="G27" s="60"/>
      <c r="H27" s="24"/>
      <c r="I27" s="58"/>
      <c r="J27" s="59"/>
      <c r="K27" s="59"/>
      <c r="L27" s="58"/>
      <c r="M27" s="59"/>
      <c r="N27" s="58"/>
      <c r="O27" s="59"/>
      <c r="P27" s="58"/>
      <c r="Q27" s="60"/>
      <c r="S27" s="21"/>
      <c r="T27" s="25"/>
      <c r="U27" s="28">
        <f>V21+U22+U23+U24+U25+U26</f>
        <v>15274.35</v>
      </c>
    </row>
    <row r="28" spans="1:22">
      <c r="A28" s="23"/>
      <c r="B28" s="58"/>
      <c r="C28" s="59"/>
      <c r="D28" s="59"/>
      <c r="E28" s="59"/>
      <c r="F28" s="59"/>
      <c r="G28" s="60"/>
      <c r="H28" s="23"/>
      <c r="I28" s="58"/>
      <c r="J28" s="59"/>
      <c r="K28" s="59"/>
      <c r="L28" s="58"/>
      <c r="M28" s="59"/>
      <c r="N28" s="58"/>
      <c r="O28" s="59"/>
      <c r="P28" s="58"/>
      <c r="Q28" s="60"/>
      <c r="S28" s="21"/>
      <c r="T28" s="16"/>
      <c r="U28" s="14">
        <v>1193638</v>
      </c>
    </row>
    <row r="29" spans="1:22">
      <c r="A29" s="9"/>
      <c r="B29" s="58"/>
      <c r="C29" s="59"/>
      <c r="D29" s="59"/>
      <c r="E29" s="59"/>
      <c r="F29" s="59"/>
      <c r="G29" s="60"/>
      <c r="H29" s="9"/>
      <c r="I29" s="58"/>
      <c r="J29" s="59"/>
      <c r="K29" s="59"/>
      <c r="L29" s="58"/>
      <c r="M29" s="59"/>
      <c r="N29" s="58"/>
      <c r="O29" s="59"/>
      <c r="P29" s="58"/>
      <c r="Q29" s="60"/>
      <c r="S29" s="21"/>
      <c r="T29" s="16"/>
      <c r="U29" s="15">
        <f>U27/U28</f>
        <v>1.279646760575652E-2</v>
      </c>
    </row>
    <row r="30" spans="1:22">
      <c r="A30" s="9"/>
      <c r="B30" s="58"/>
      <c r="C30" s="59"/>
      <c r="D30" s="59"/>
      <c r="E30" s="59"/>
      <c r="F30" s="59"/>
      <c r="G30" s="60"/>
      <c r="H30" s="9"/>
      <c r="I30" s="58"/>
      <c r="J30" s="59"/>
      <c r="K30" s="59"/>
      <c r="L30" s="58"/>
      <c r="M30" s="59"/>
      <c r="N30" s="58"/>
      <c r="O30" s="59"/>
      <c r="P30" s="58"/>
      <c r="Q30" s="60"/>
      <c r="S30" s="21"/>
      <c r="T30" s="16"/>
      <c r="U30" s="12"/>
    </row>
    <row r="31" spans="1:22">
      <c r="A31" s="9"/>
      <c r="B31" s="58"/>
      <c r="C31" s="59"/>
      <c r="D31" s="59"/>
      <c r="E31" s="59"/>
      <c r="F31" s="59"/>
      <c r="G31" s="60"/>
      <c r="H31" s="9"/>
      <c r="I31" s="58"/>
      <c r="J31" s="59"/>
      <c r="K31" s="59"/>
      <c r="L31" s="58"/>
      <c r="M31" s="59"/>
      <c r="N31" s="58"/>
      <c r="O31" s="59"/>
      <c r="P31" s="58"/>
      <c r="Q31" s="60"/>
      <c r="S31" s="21"/>
      <c r="T31" s="16"/>
      <c r="U31" s="12"/>
    </row>
    <row r="32" spans="1:22">
      <c r="A32" s="9"/>
      <c r="B32" s="58"/>
      <c r="C32" s="59"/>
      <c r="D32" s="59"/>
      <c r="E32" s="59"/>
      <c r="F32" s="59"/>
      <c r="G32" s="60"/>
      <c r="H32" s="9"/>
      <c r="I32" s="58"/>
      <c r="J32" s="59"/>
      <c r="K32" s="59"/>
      <c r="L32" s="58"/>
      <c r="M32" s="59"/>
      <c r="N32" s="58"/>
      <c r="O32" s="59"/>
      <c r="P32" s="58"/>
      <c r="Q32" s="60"/>
      <c r="S32" s="21"/>
      <c r="T32" s="16"/>
      <c r="U32" s="12"/>
    </row>
    <row r="33" spans="1:21">
      <c r="A33" s="9"/>
      <c r="B33" s="58"/>
      <c r="C33" s="59"/>
      <c r="D33" s="59"/>
      <c r="E33" s="59"/>
      <c r="F33" s="59"/>
      <c r="G33" s="60"/>
      <c r="H33" s="9"/>
      <c r="I33" s="58"/>
      <c r="J33" s="59"/>
      <c r="K33" s="59"/>
      <c r="L33" s="58"/>
      <c r="M33" s="59"/>
      <c r="N33" s="58"/>
      <c r="O33" s="59"/>
      <c r="P33" s="58"/>
      <c r="Q33" s="60"/>
      <c r="S33" s="21"/>
      <c r="T33" s="16"/>
      <c r="U33" s="12"/>
    </row>
    <row r="34" spans="1:21">
      <c r="A34" s="7"/>
      <c r="B34" s="61"/>
      <c r="C34" s="62"/>
      <c r="D34" s="62"/>
      <c r="E34" s="62"/>
      <c r="F34" s="62"/>
      <c r="G34" s="63"/>
      <c r="H34" s="9"/>
      <c r="I34" s="64"/>
      <c r="J34" s="65"/>
      <c r="K34" s="66"/>
      <c r="L34" s="67"/>
      <c r="M34" s="68"/>
      <c r="N34" s="67"/>
      <c r="O34" s="68"/>
      <c r="P34" s="69"/>
      <c r="Q34" s="70"/>
      <c r="S34" s="21"/>
      <c r="T34" s="16"/>
    </row>
    <row r="35" spans="1:21">
      <c r="A35" s="44" t="s">
        <v>29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T35" s="20"/>
    </row>
    <row r="36" spans="1:21">
      <c r="A36" s="44" t="s">
        <v>30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T36" s="20"/>
    </row>
    <row r="37" spans="1:21">
      <c r="A37" s="44" t="s">
        <v>31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T37" s="20"/>
    </row>
    <row r="38" spans="1:21">
      <c r="A38" s="44" t="s">
        <v>32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T38" s="20"/>
    </row>
    <row r="39" spans="1:21">
      <c r="A39" s="54" t="s">
        <v>33</v>
      </c>
      <c r="B39" s="54"/>
      <c r="C39" s="54"/>
      <c r="D39" s="54"/>
      <c r="E39" s="54"/>
      <c r="F39" s="54"/>
      <c r="G39" s="54"/>
      <c r="H39" s="54" t="s">
        <v>20</v>
      </c>
      <c r="I39" s="54"/>
      <c r="J39" s="54"/>
      <c r="K39" s="54" t="s">
        <v>34</v>
      </c>
      <c r="L39" s="54"/>
      <c r="M39" s="54" t="s">
        <v>35</v>
      </c>
      <c r="N39" s="54"/>
      <c r="O39" s="54" t="s">
        <v>36</v>
      </c>
      <c r="P39" s="54"/>
      <c r="Q39" s="54"/>
      <c r="T39" s="20"/>
    </row>
    <row r="40" spans="1:21">
      <c r="A40" s="55"/>
      <c r="B40" s="56"/>
      <c r="C40" s="56"/>
      <c r="D40" s="56"/>
      <c r="E40" s="56"/>
      <c r="F40" s="56"/>
      <c r="G40" s="57"/>
      <c r="H40" s="55"/>
      <c r="I40" s="56"/>
      <c r="J40" s="57"/>
      <c r="K40" s="55"/>
      <c r="L40" s="56"/>
      <c r="M40" s="55"/>
      <c r="N40" s="56"/>
      <c r="O40" s="55"/>
      <c r="P40" s="56"/>
      <c r="Q40" s="57"/>
      <c r="T40" s="20"/>
    </row>
    <row r="41" spans="1:21">
      <c r="A41" s="55"/>
      <c r="B41" s="56"/>
      <c r="C41" s="56"/>
      <c r="D41" s="56"/>
      <c r="E41" s="56"/>
      <c r="F41" s="56"/>
      <c r="G41" s="57"/>
      <c r="H41" s="55"/>
      <c r="I41" s="56"/>
      <c r="J41" s="57"/>
      <c r="K41" s="55"/>
      <c r="L41" s="56"/>
      <c r="M41" s="55"/>
      <c r="N41" s="56"/>
      <c r="O41" s="55"/>
      <c r="P41" s="56"/>
      <c r="Q41" s="57"/>
      <c r="T41" s="20"/>
    </row>
    <row r="42" spans="1:21">
      <c r="A42" s="53"/>
      <c r="B42" s="53"/>
      <c r="C42" s="53"/>
      <c r="D42" s="53"/>
      <c r="E42" s="53"/>
      <c r="F42" s="53"/>
      <c r="G42" s="53"/>
      <c r="H42" s="46"/>
      <c r="I42" s="46"/>
      <c r="J42" s="46"/>
      <c r="K42" s="46"/>
      <c r="L42" s="46"/>
      <c r="M42" s="46"/>
      <c r="N42" s="46"/>
      <c r="O42" s="46"/>
      <c r="P42" s="46"/>
      <c r="Q42" s="46"/>
      <c r="T42" s="20"/>
    </row>
    <row r="43" spans="1:21">
      <c r="A43" s="53"/>
      <c r="B43" s="53"/>
      <c r="C43" s="53"/>
      <c r="D43" s="53"/>
      <c r="E43" s="53"/>
      <c r="F43" s="53"/>
      <c r="G43" s="53"/>
      <c r="H43" s="46"/>
      <c r="I43" s="46"/>
      <c r="J43" s="46"/>
      <c r="K43" s="46"/>
      <c r="L43" s="46"/>
      <c r="M43" s="46"/>
      <c r="N43" s="46"/>
      <c r="O43" s="46"/>
      <c r="P43" s="46"/>
      <c r="Q43" s="46"/>
      <c r="T43" s="20"/>
    </row>
    <row r="44" spans="1:21">
      <c r="A44" s="44" t="s">
        <v>37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T44" s="20"/>
    </row>
    <row r="45" spans="1:21">
      <c r="A45" s="46" t="s">
        <v>38</v>
      </c>
      <c r="B45" s="46"/>
      <c r="C45" s="47" t="s">
        <v>39</v>
      </c>
      <c r="D45" s="48"/>
      <c r="E45" s="48"/>
      <c r="F45" s="47" t="s">
        <v>40</v>
      </c>
      <c r="G45" s="48"/>
      <c r="H45" s="49"/>
      <c r="I45" s="46" t="s">
        <v>41</v>
      </c>
      <c r="J45" s="46"/>
      <c r="K45" s="46"/>
      <c r="L45" s="46" t="s">
        <v>35</v>
      </c>
      <c r="M45" s="46"/>
      <c r="N45" s="46"/>
      <c r="O45" s="46" t="s">
        <v>36</v>
      </c>
      <c r="P45" s="46"/>
      <c r="Q45" s="46"/>
      <c r="T45" s="20"/>
    </row>
    <row r="46" spans="1:21">
      <c r="A46" s="47" t="s">
        <v>42</v>
      </c>
      <c r="B46" s="49"/>
      <c r="C46" s="47">
        <v>1</v>
      </c>
      <c r="D46" s="48"/>
      <c r="E46" s="49"/>
      <c r="F46" s="47">
        <v>1</v>
      </c>
      <c r="G46" s="48"/>
      <c r="H46" s="49"/>
      <c r="I46" s="47"/>
      <c r="J46" s="48"/>
      <c r="K46" s="49"/>
      <c r="L46" s="47"/>
      <c r="M46" s="48"/>
      <c r="N46" s="49"/>
      <c r="O46" s="47"/>
      <c r="P46" s="48"/>
      <c r="Q46" s="49"/>
      <c r="T46" s="20"/>
    </row>
    <row r="47" spans="1:21">
      <c r="A47" s="47" t="s">
        <v>100</v>
      </c>
      <c r="B47" s="49"/>
      <c r="C47" s="47"/>
      <c r="D47" s="48"/>
      <c r="E47" s="49"/>
      <c r="F47" s="47"/>
      <c r="G47" s="48"/>
      <c r="H47" s="49"/>
      <c r="I47" s="47"/>
      <c r="J47" s="48"/>
      <c r="K47" s="49"/>
      <c r="L47" s="47"/>
      <c r="M47" s="48"/>
      <c r="N47" s="49"/>
      <c r="O47" s="47"/>
      <c r="P47" s="48"/>
      <c r="Q47" s="49"/>
      <c r="T47" s="20"/>
    </row>
    <row r="48" spans="1:21">
      <c r="A48" s="47"/>
      <c r="B48" s="49"/>
      <c r="C48" s="47"/>
      <c r="D48" s="48"/>
      <c r="E48" s="49"/>
      <c r="F48" s="47"/>
      <c r="G48" s="48"/>
      <c r="H48" s="49"/>
      <c r="I48" s="47"/>
      <c r="J48" s="48"/>
      <c r="K48" s="49"/>
      <c r="L48" s="47"/>
      <c r="M48" s="48"/>
      <c r="N48" s="49"/>
      <c r="O48" s="47"/>
      <c r="P48" s="48"/>
      <c r="Q48" s="49"/>
      <c r="T48" s="20"/>
    </row>
    <row r="49" spans="1:20">
      <c r="A49" s="46"/>
      <c r="B49" s="46"/>
      <c r="C49" s="47"/>
      <c r="D49" s="48"/>
      <c r="E49" s="49"/>
      <c r="F49" s="47"/>
      <c r="G49" s="48"/>
      <c r="H49" s="49"/>
      <c r="I49" s="47"/>
      <c r="J49" s="48"/>
      <c r="K49" s="49"/>
      <c r="L49" s="47"/>
      <c r="M49" s="48"/>
      <c r="N49" s="49"/>
      <c r="O49" s="47"/>
      <c r="P49" s="48"/>
      <c r="Q49" s="49"/>
      <c r="T49" s="20"/>
    </row>
    <row r="50" spans="1:20">
      <c r="A50" s="46"/>
      <c r="B50" s="46"/>
      <c r="C50" s="47"/>
      <c r="D50" s="48"/>
      <c r="E50" s="49"/>
      <c r="F50" s="47"/>
      <c r="G50" s="48"/>
      <c r="H50" s="49"/>
      <c r="I50" s="47"/>
      <c r="J50" s="48"/>
      <c r="K50" s="49"/>
      <c r="L50" s="47"/>
      <c r="M50" s="48"/>
      <c r="N50" s="49"/>
      <c r="O50" s="47"/>
      <c r="P50" s="48"/>
      <c r="Q50" s="49"/>
      <c r="T50" s="20"/>
    </row>
    <row r="51" spans="1:20">
      <c r="A51" s="50" t="s">
        <v>43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2"/>
      <c r="T51" s="20"/>
    </row>
    <row r="52" spans="1:20">
      <c r="A52" s="38" t="s">
        <v>44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40"/>
      <c r="T52" s="20"/>
    </row>
    <row r="53" spans="1:20">
      <c r="A53" s="41" t="s">
        <v>45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3"/>
      <c r="T53" s="20"/>
    </row>
    <row r="54" spans="1:20">
      <c r="A54" s="50" t="s">
        <v>46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2"/>
      <c r="T54" s="20"/>
    </row>
    <row r="55" spans="1:20">
      <c r="A55" s="38" t="s">
        <v>47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0"/>
      <c r="T55" s="20"/>
    </row>
    <row r="56" spans="1:20">
      <c r="A56" s="38" t="s">
        <v>48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40"/>
      <c r="T56" s="20"/>
    </row>
    <row r="57" spans="1:20">
      <c r="A57" s="38" t="s">
        <v>49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40"/>
      <c r="T57" s="20"/>
    </row>
    <row r="58" spans="1:20">
      <c r="A58" s="38" t="s">
        <v>50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40"/>
      <c r="T58" s="20"/>
    </row>
    <row r="59" spans="1:20">
      <c r="A59" s="38" t="s">
        <v>51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40"/>
      <c r="T59" s="20"/>
    </row>
    <row r="60" spans="1:20">
      <c r="A60" s="41" t="s">
        <v>52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3"/>
      <c r="T60" s="20"/>
    </row>
    <row r="61" spans="1:20">
      <c r="A61" s="44" t="s">
        <v>53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T61" s="20"/>
    </row>
    <row r="62" spans="1:20">
      <c r="A62" s="44" t="s">
        <v>54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T62" s="20"/>
    </row>
    <row r="63" spans="1:20">
      <c r="A63" s="44" t="s">
        <v>77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T63" s="20"/>
    </row>
    <row r="64" spans="1:20">
      <c r="A64" s="44" t="s">
        <v>55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T64" s="20"/>
    </row>
    <row r="65" spans="1:20">
      <c r="A65" s="45" t="s">
        <v>56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T65" s="20"/>
    </row>
    <row r="66" spans="1:20">
      <c r="A66" s="37" t="s">
        <v>57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T66" s="20"/>
    </row>
    <row r="67" spans="1:20">
      <c r="A67" s="37" t="s">
        <v>58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T67" s="20"/>
    </row>
    <row r="68" spans="1:20">
      <c r="A68" s="37" t="s">
        <v>59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T68" s="20"/>
    </row>
    <row r="69" spans="1:20">
      <c r="A69" s="37" t="s">
        <v>60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T69" s="20"/>
    </row>
    <row r="70" spans="1:20">
      <c r="A70" s="37" t="s">
        <v>61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T70" s="20"/>
    </row>
    <row r="71" spans="1:20">
      <c r="A71" s="37" t="s">
        <v>62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T71" s="20"/>
    </row>
    <row r="72" spans="1:20">
      <c r="A72" s="37" t="s">
        <v>63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T72" s="20"/>
    </row>
    <row r="73" spans="1:20">
      <c r="A73" s="37" t="s">
        <v>75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T73" s="20"/>
    </row>
    <row r="74" spans="1:20" ht="39" customHeight="1">
      <c r="B74" s="120" t="s">
        <v>0</v>
      </c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T74" s="20"/>
    </row>
    <row r="75" spans="1:20">
      <c r="B75" s="6" t="s">
        <v>1</v>
      </c>
      <c r="C75" s="121" t="s">
        <v>2</v>
      </c>
      <c r="D75" s="121"/>
      <c r="E75" s="1" t="s">
        <v>3</v>
      </c>
      <c r="F75" s="121" t="s">
        <v>4</v>
      </c>
      <c r="G75" s="121"/>
      <c r="H75" s="1" t="s">
        <v>3</v>
      </c>
      <c r="I75" s="1"/>
      <c r="J75" s="121" t="s">
        <v>5</v>
      </c>
      <c r="K75" s="121"/>
      <c r="L75" s="121"/>
      <c r="M75" s="122">
        <f>M2+1</f>
        <v>46228</v>
      </c>
      <c r="N75" s="122"/>
      <c r="O75" s="122"/>
      <c r="P75" s="123"/>
      <c r="Q75" s="123"/>
      <c r="T75" s="20"/>
    </row>
    <row r="76" spans="1:20" ht="16.5" customHeight="1">
      <c r="A76" s="96" t="s">
        <v>6</v>
      </c>
      <c r="B76" s="96"/>
      <c r="C76" s="124" t="s">
        <v>79</v>
      </c>
      <c r="D76" s="125"/>
      <c r="E76" s="125"/>
      <c r="F76" s="125"/>
      <c r="G76" s="125"/>
      <c r="H76" s="125"/>
      <c r="I76" s="126"/>
      <c r="J76" s="127" t="s">
        <v>7</v>
      </c>
      <c r="K76" s="128"/>
      <c r="L76" s="128"/>
      <c r="M76" s="129"/>
      <c r="N76" s="130" t="s">
        <v>78</v>
      </c>
      <c r="O76" s="130"/>
      <c r="P76" s="130"/>
      <c r="Q76" s="131"/>
      <c r="T76" s="20"/>
    </row>
    <row r="77" spans="1:20">
      <c r="A77" s="96" t="s">
        <v>8</v>
      </c>
      <c r="B77" s="96"/>
      <c r="C77" s="4">
        <v>30</v>
      </c>
      <c r="D77" s="3" t="s">
        <v>9</v>
      </c>
      <c r="E77" s="127" t="s">
        <v>10</v>
      </c>
      <c r="F77" s="129"/>
      <c r="G77" s="127">
        <f>G4+1</f>
        <v>2</v>
      </c>
      <c r="H77" s="128"/>
      <c r="I77" s="3" t="s">
        <v>9</v>
      </c>
      <c r="J77" s="96" t="s">
        <v>11</v>
      </c>
      <c r="K77" s="96"/>
      <c r="L77" s="5">
        <f>C77-G77</f>
        <v>28</v>
      </c>
      <c r="M77" s="2" t="s">
        <v>9</v>
      </c>
      <c r="N77" s="96" t="s">
        <v>12</v>
      </c>
      <c r="O77" s="96"/>
      <c r="P77" s="2"/>
      <c r="Q77" s="3" t="s">
        <v>9</v>
      </c>
      <c r="T77" s="20"/>
    </row>
    <row r="78" spans="1:20">
      <c r="A78" s="96" t="s">
        <v>13</v>
      </c>
      <c r="B78" s="96"/>
      <c r="C78" s="132">
        <v>46227</v>
      </c>
      <c r="D78" s="132"/>
      <c r="E78" s="132"/>
      <c r="F78" s="132"/>
      <c r="G78" s="132"/>
      <c r="H78" s="132"/>
      <c r="I78" s="132"/>
      <c r="J78" s="127" t="s">
        <v>14</v>
      </c>
      <c r="K78" s="128"/>
      <c r="L78" s="128"/>
      <c r="M78" s="129"/>
      <c r="N78" s="133">
        <v>46256</v>
      </c>
      <c r="O78" s="134"/>
      <c r="P78" s="134"/>
      <c r="Q78" s="135"/>
      <c r="T78" s="20"/>
    </row>
    <row r="79" spans="1:20">
      <c r="A79" s="96" t="s">
        <v>15</v>
      </c>
      <c r="B79" s="96"/>
      <c r="C79" s="97">
        <v>10</v>
      </c>
      <c r="D79" s="98"/>
      <c r="E79" s="98"/>
      <c r="F79" s="98"/>
      <c r="G79" s="98"/>
      <c r="H79" s="99" t="s">
        <v>16</v>
      </c>
      <c r="I79" s="100"/>
      <c r="J79" s="101" t="s">
        <v>17</v>
      </c>
      <c r="K79" s="101"/>
      <c r="L79" s="101"/>
      <c r="M79" s="101"/>
      <c r="N79" s="102">
        <f>U102</f>
        <v>0.13060102811740243</v>
      </c>
      <c r="O79" s="102"/>
      <c r="P79" s="102"/>
      <c r="Q79" s="102"/>
      <c r="T79" s="20"/>
    </row>
    <row r="80" spans="1:20">
      <c r="A80" s="103" t="s">
        <v>18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5"/>
      <c r="T80" s="20"/>
    </row>
    <row r="81" spans="1:22">
      <c r="A81" s="7"/>
      <c r="B81" s="106" t="s">
        <v>19</v>
      </c>
      <c r="C81" s="107"/>
      <c r="D81" s="107"/>
      <c r="E81" s="107"/>
      <c r="F81" s="107"/>
      <c r="G81" s="108"/>
      <c r="H81" s="8" t="s">
        <v>20</v>
      </c>
      <c r="I81" s="109" t="s">
        <v>21</v>
      </c>
      <c r="J81" s="110"/>
      <c r="K81" s="111"/>
      <c r="L81" s="109" t="s">
        <v>28</v>
      </c>
      <c r="M81" s="111"/>
      <c r="N81" s="106" t="s">
        <v>22</v>
      </c>
      <c r="O81" s="112"/>
      <c r="P81" s="113" t="s">
        <v>23</v>
      </c>
      <c r="Q81" s="113"/>
      <c r="S81" s="18" t="s">
        <v>22</v>
      </c>
      <c r="T81" s="19" t="s">
        <v>64</v>
      </c>
      <c r="U81" s="13" t="s">
        <v>27</v>
      </c>
    </row>
    <row r="82" spans="1:22">
      <c r="A82" s="17" t="s">
        <v>65</v>
      </c>
      <c r="B82" s="114" t="s">
        <v>66</v>
      </c>
      <c r="C82" s="115"/>
      <c r="D82" s="115"/>
      <c r="E82" s="115"/>
      <c r="F82" s="115"/>
      <c r="G82" s="116"/>
      <c r="H82" s="17"/>
      <c r="I82" s="117"/>
      <c r="J82" s="118"/>
      <c r="K82" s="119"/>
      <c r="L82" s="77"/>
      <c r="M82" s="78"/>
      <c r="N82" s="77"/>
      <c r="O82" s="78"/>
      <c r="P82" s="93"/>
      <c r="Q82" s="93"/>
      <c r="S82" s="16"/>
      <c r="T82" s="16"/>
      <c r="U82" s="16" t="s">
        <v>26</v>
      </c>
    </row>
    <row r="83" spans="1:22" ht="16.5" customHeight="1">
      <c r="A83" s="17">
        <v>1</v>
      </c>
      <c r="B83" s="81" t="s">
        <v>80</v>
      </c>
      <c r="C83" s="82"/>
      <c r="D83" s="82"/>
      <c r="E83" s="82"/>
      <c r="F83" s="82"/>
      <c r="G83" s="83"/>
      <c r="H83" s="29" t="s">
        <v>67</v>
      </c>
      <c r="I83" s="84">
        <v>18</v>
      </c>
      <c r="J83" s="85"/>
      <c r="K83" s="86"/>
      <c r="L83" s="87"/>
      <c r="M83" s="88"/>
      <c r="N83" s="89"/>
      <c r="O83" s="90"/>
      <c r="P83" s="93"/>
      <c r="Q83" s="93"/>
      <c r="S83" s="12"/>
      <c r="T83" s="26">
        <v>18000</v>
      </c>
      <c r="U83" s="12">
        <f>S83*T83</f>
        <v>0</v>
      </c>
    </row>
    <row r="84" spans="1:22" ht="32.1" customHeight="1">
      <c r="A84" s="17">
        <v>2</v>
      </c>
      <c r="B84" s="81" t="s">
        <v>81</v>
      </c>
      <c r="C84" s="82" t="s">
        <v>81</v>
      </c>
      <c r="D84" s="82" t="s">
        <v>81</v>
      </c>
      <c r="E84" s="82" t="s">
        <v>81</v>
      </c>
      <c r="F84" s="82" t="s">
        <v>81</v>
      </c>
      <c r="G84" s="83" t="s">
        <v>81</v>
      </c>
      <c r="H84" s="29" t="s">
        <v>97</v>
      </c>
      <c r="I84" s="84">
        <v>166</v>
      </c>
      <c r="J84" s="85"/>
      <c r="K84" s="86"/>
      <c r="L84" s="87"/>
      <c r="M84" s="88"/>
      <c r="N84" s="89"/>
      <c r="O84" s="90"/>
      <c r="P84" s="93"/>
      <c r="Q84" s="93"/>
      <c r="S84" s="12"/>
      <c r="T84" s="26">
        <v>750</v>
      </c>
      <c r="U84" s="12">
        <f t="shared" ref="U84:U94" si="2">S84*T84</f>
        <v>0</v>
      </c>
    </row>
    <row r="85" spans="1:22" ht="16.5" customHeight="1">
      <c r="A85" s="17">
        <v>3</v>
      </c>
      <c r="B85" s="81" t="s">
        <v>82</v>
      </c>
      <c r="C85" s="82" t="s">
        <v>82</v>
      </c>
      <c r="D85" s="82" t="s">
        <v>82</v>
      </c>
      <c r="E85" s="82" t="s">
        <v>82</v>
      </c>
      <c r="F85" s="82" t="s">
        <v>82</v>
      </c>
      <c r="G85" s="83" t="s">
        <v>82</v>
      </c>
      <c r="H85" s="29" t="s">
        <v>97</v>
      </c>
      <c r="I85" s="84">
        <v>540</v>
      </c>
      <c r="J85" s="85">
        <v>540</v>
      </c>
      <c r="K85" s="86">
        <v>540</v>
      </c>
      <c r="L85" s="87"/>
      <c r="M85" s="88"/>
      <c r="N85" s="89"/>
      <c r="O85" s="90"/>
      <c r="P85" s="93"/>
      <c r="Q85" s="93"/>
      <c r="S85" s="12"/>
      <c r="T85" s="26">
        <v>340</v>
      </c>
      <c r="U85" s="12">
        <f t="shared" si="2"/>
        <v>0</v>
      </c>
    </row>
    <row r="86" spans="1:22" ht="16.5" customHeight="1">
      <c r="A86" s="17">
        <v>4</v>
      </c>
      <c r="B86" s="81" t="s">
        <v>83</v>
      </c>
      <c r="C86" s="82" t="s">
        <v>83</v>
      </c>
      <c r="D86" s="82" t="s">
        <v>83</v>
      </c>
      <c r="E86" s="82" t="s">
        <v>83</v>
      </c>
      <c r="F86" s="82" t="s">
        <v>83</v>
      </c>
      <c r="G86" s="83" t="s">
        <v>83</v>
      </c>
      <c r="H86" s="29" t="s">
        <v>67</v>
      </c>
      <c r="I86" s="84">
        <v>20</v>
      </c>
      <c r="J86" s="85">
        <v>20</v>
      </c>
      <c r="K86" s="86">
        <v>20</v>
      </c>
      <c r="L86" s="87"/>
      <c r="M86" s="88"/>
      <c r="N86" s="89"/>
      <c r="O86" s="90"/>
      <c r="P86" s="93"/>
      <c r="Q86" s="93"/>
      <c r="S86" s="12"/>
      <c r="T86" s="26">
        <v>1250</v>
      </c>
      <c r="U86" s="12">
        <f t="shared" si="2"/>
        <v>0</v>
      </c>
    </row>
    <row r="87" spans="1:22" ht="32.1" customHeight="1">
      <c r="A87" s="17">
        <v>5</v>
      </c>
      <c r="B87" s="81" t="s">
        <v>84</v>
      </c>
      <c r="C87" s="82" t="s">
        <v>84</v>
      </c>
      <c r="D87" s="82" t="s">
        <v>84</v>
      </c>
      <c r="E87" s="82" t="s">
        <v>84</v>
      </c>
      <c r="F87" s="82" t="s">
        <v>84</v>
      </c>
      <c r="G87" s="83" t="s">
        <v>84</v>
      </c>
      <c r="H87" s="29" t="s">
        <v>97</v>
      </c>
      <c r="I87" s="84">
        <v>28</v>
      </c>
      <c r="J87" s="85">
        <v>28</v>
      </c>
      <c r="K87" s="86">
        <v>28</v>
      </c>
      <c r="L87" s="87">
        <v>20</v>
      </c>
      <c r="M87" s="88"/>
      <c r="N87" s="89">
        <v>20</v>
      </c>
      <c r="O87" s="90"/>
      <c r="P87" s="93"/>
      <c r="Q87" s="93"/>
      <c r="S87" s="12">
        <v>20</v>
      </c>
      <c r="T87" s="26">
        <v>1800</v>
      </c>
      <c r="U87" s="12">
        <f t="shared" si="2"/>
        <v>36000</v>
      </c>
    </row>
    <row r="88" spans="1:22" ht="16.5" customHeight="1">
      <c r="A88" s="17">
        <v>6</v>
      </c>
      <c r="B88" s="81" t="s">
        <v>85</v>
      </c>
      <c r="C88" s="82" t="s">
        <v>85</v>
      </c>
      <c r="D88" s="82" t="s">
        <v>85</v>
      </c>
      <c r="E88" s="82" t="s">
        <v>85</v>
      </c>
      <c r="F88" s="82" t="s">
        <v>85</v>
      </c>
      <c r="G88" s="83" t="s">
        <v>85</v>
      </c>
      <c r="H88" s="29" t="s">
        <v>97</v>
      </c>
      <c r="I88" s="84">
        <v>14</v>
      </c>
      <c r="J88" s="85">
        <v>14</v>
      </c>
      <c r="K88" s="86">
        <v>14</v>
      </c>
      <c r="L88" s="87">
        <v>7</v>
      </c>
      <c r="M88" s="88"/>
      <c r="N88" s="89">
        <v>7</v>
      </c>
      <c r="O88" s="90"/>
      <c r="P88" s="79"/>
      <c r="Q88" s="80"/>
      <c r="S88" s="12">
        <v>7</v>
      </c>
      <c r="T88" s="26">
        <v>4000</v>
      </c>
      <c r="U88" s="12">
        <f t="shared" si="2"/>
        <v>28000</v>
      </c>
    </row>
    <row r="89" spans="1:22" ht="16.5" customHeight="1">
      <c r="A89" s="17">
        <v>7</v>
      </c>
      <c r="B89" s="81" t="s">
        <v>86</v>
      </c>
      <c r="C89" s="82" t="s">
        <v>86</v>
      </c>
      <c r="D89" s="82" t="s">
        <v>86</v>
      </c>
      <c r="E89" s="82" t="s">
        <v>86</v>
      </c>
      <c r="F89" s="82" t="s">
        <v>86</v>
      </c>
      <c r="G89" s="83" t="s">
        <v>86</v>
      </c>
      <c r="H89" s="29" t="s">
        <v>97</v>
      </c>
      <c r="I89" s="84">
        <v>30</v>
      </c>
      <c r="J89" s="85">
        <v>30</v>
      </c>
      <c r="K89" s="86">
        <v>30</v>
      </c>
      <c r="L89" s="87">
        <v>15</v>
      </c>
      <c r="M89" s="88"/>
      <c r="N89" s="89">
        <v>15</v>
      </c>
      <c r="O89" s="90"/>
      <c r="P89" s="93"/>
      <c r="Q89" s="93"/>
      <c r="S89" s="12">
        <v>15</v>
      </c>
      <c r="T89" s="26">
        <v>4000</v>
      </c>
      <c r="U89" s="12">
        <f t="shared" si="2"/>
        <v>60000</v>
      </c>
    </row>
    <row r="90" spans="1:22" ht="16.5" customHeight="1">
      <c r="A90" s="17">
        <v>8</v>
      </c>
      <c r="B90" s="81" t="s">
        <v>87</v>
      </c>
      <c r="C90" s="82" t="s">
        <v>87</v>
      </c>
      <c r="D90" s="82" t="s">
        <v>87</v>
      </c>
      <c r="E90" s="82" t="s">
        <v>87</v>
      </c>
      <c r="F90" s="82" t="s">
        <v>87</v>
      </c>
      <c r="G90" s="83" t="s">
        <v>87</v>
      </c>
      <c r="H90" s="30" t="s">
        <v>25</v>
      </c>
      <c r="I90" s="84">
        <v>1</v>
      </c>
      <c r="J90" s="85">
        <v>1</v>
      </c>
      <c r="K90" s="86">
        <v>1</v>
      </c>
      <c r="L90" s="94"/>
      <c r="M90" s="95"/>
      <c r="N90" s="94"/>
      <c r="O90" s="95"/>
      <c r="P90" s="93"/>
      <c r="Q90" s="93"/>
      <c r="S90" s="16"/>
      <c r="T90" s="26">
        <v>31000</v>
      </c>
      <c r="U90" s="12">
        <f t="shared" si="2"/>
        <v>0</v>
      </c>
    </row>
    <row r="91" spans="1:22" ht="16.5" customHeight="1">
      <c r="A91" s="17">
        <v>9</v>
      </c>
      <c r="B91" s="81" t="s">
        <v>88</v>
      </c>
      <c r="C91" s="82" t="s">
        <v>88</v>
      </c>
      <c r="D91" s="82" t="s">
        <v>88</v>
      </c>
      <c r="E91" s="82" t="s">
        <v>88</v>
      </c>
      <c r="F91" s="82" t="s">
        <v>88</v>
      </c>
      <c r="G91" s="83" t="s">
        <v>88</v>
      </c>
      <c r="H91" s="30" t="s">
        <v>25</v>
      </c>
      <c r="I91" s="84">
        <v>1</v>
      </c>
      <c r="J91" s="85">
        <v>1</v>
      </c>
      <c r="K91" s="86">
        <v>1</v>
      </c>
      <c r="L91" s="87"/>
      <c r="M91" s="88"/>
      <c r="N91" s="89"/>
      <c r="O91" s="90"/>
      <c r="P91" s="93"/>
      <c r="Q91" s="93"/>
      <c r="S91" s="12"/>
      <c r="T91" s="26">
        <v>30121</v>
      </c>
      <c r="U91" s="12">
        <f t="shared" si="2"/>
        <v>0</v>
      </c>
    </row>
    <row r="92" spans="1:22" ht="16.5" customHeight="1">
      <c r="A92" s="17">
        <v>10</v>
      </c>
      <c r="B92" s="81" t="s">
        <v>89</v>
      </c>
      <c r="C92" s="82"/>
      <c r="D92" s="82"/>
      <c r="E92" s="82"/>
      <c r="F92" s="82"/>
      <c r="G92" s="83"/>
      <c r="H92" s="30" t="s">
        <v>98</v>
      </c>
      <c r="I92" s="84">
        <v>3</v>
      </c>
      <c r="J92" s="85"/>
      <c r="K92" s="86"/>
      <c r="L92" s="31"/>
      <c r="M92" s="32"/>
      <c r="N92" s="89"/>
      <c r="O92" s="90"/>
      <c r="P92" s="91"/>
      <c r="Q92" s="92"/>
      <c r="S92" s="12"/>
      <c r="T92" s="26">
        <v>14500</v>
      </c>
      <c r="U92" s="12">
        <f t="shared" si="2"/>
        <v>0</v>
      </c>
    </row>
    <row r="93" spans="1:22" ht="16.5" customHeight="1">
      <c r="A93" s="17">
        <v>11</v>
      </c>
      <c r="B93" s="81" t="s">
        <v>90</v>
      </c>
      <c r="C93" s="82"/>
      <c r="D93" s="82"/>
      <c r="E93" s="82"/>
      <c r="F93" s="82"/>
      <c r="G93" s="83"/>
      <c r="H93" s="29" t="s">
        <v>67</v>
      </c>
      <c r="I93" s="84">
        <v>6</v>
      </c>
      <c r="J93" s="85"/>
      <c r="K93" s="86"/>
      <c r="L93" s="31"/>
      <c r="M93" s="32"/>
      <c r="N93" s="89"/>
      <c r="O93" s="90"/>
      <c r="P93" s="91"/>
      <c r="Q93" s="92"/>
      <c r="S93" s="12"/>
      <c r="T93" s="26">
        <v>3500</v>
      </c>
      <c r="U93" s="12">
        <f t="shared" si="2"/>
        <v>0</v>
      </c>
    </row>
    <row r="94" spans="1:22" ht="16.5" customHeight="1">
      <c r="A94" s="17">
        <v>12</v>
      </c>
      <c r="B94" s="81" t="s">
        <v>91</v>
      </c>
      <c r="C94" s="82" t="s">
        <v>89</v>
      </c>
      <c r="D94" s="82" t="s">
        <v>89</v>
      </c>
      <c r="E94" s="82" t="s">
        <v>89</v>
      </c>
      <c r="F94" s="82" t="s">
        <v>89</v>
      </c>
      <c r="G94" s="83" t="s">
        <v>89</v>
      </c>
      <c r="H94" s="29" t="s">
        <v>67</v>
      </c>
      <c r="I94" s="84">
        <v>10</v>
      </c>
      <c r="J94" s="85">
        <v>10</v>
      </c>
      <c r="K94" s="86">
        <v>10</v>
      </c>
      <c r="L94" s="87"/>
      <c r="M94" s="88"/>
      <c r="N94" s="89"/>
      <c r="O94" s="90"/>
      <c r="P94" s="93"/>
      <c r="Q94" s="93"/>
      <c r="S94" s="12"/>
      <c r="T94" s="26">
        <v>3000</v>
      </c>
      <c r="U94" s="12">
        <f t="shared" si="2"/>
        <v>0</v>
      </c>
      <c r="V94" s="22">
        <f>SUM(U83:U94)</f>
        <v>124000</v>
      </c>
    </row>
    <row r="95" spans="1:22">
      <c r="A95" s="17" t="s">
        <v>76</v>
      </c>
      <c r="B95" s="71" t="s">
        <v>92</v>
      </c>
      <c r="C95" s="72"/>
      <c r="D95" s="72"/>
      <c r="E95" s="72"/>
      <c r="F95" s="72"/>
      <c r="G95" s="73"/>
      <c r="H95" s="30" t="s">
        <v>24</v>
      </c>
      <c r="I95" s="84">
        <v>1</v>
      </c>
      <c r="J95" s="85">
        <v>10</v>
      </c>
      <c r="K95" s="86">
        <v>10</v>
      </c>
      <c r="L95" s="136"/>
      <c r="M95" s="137"/>
      <c r="N95" s="77">
        <f>S95</f>
        <v>1</v>
      </c>
      <c r="O95" s="78"/>
      <c r="P95" s="79"/>
      <c r="Q95" s="80"/>
      <c r="S95" s="12">
        <v>1</v>
      </c>
      <c r="T95" s="25">
        <v>10391</v>
      </c>
      <c r="U95" s="12">
        <f>S95*T95</f>
        <v>10391</v>
      </c>
      <c r="V95" s="27"/>
    </row>
    <row r="96" spans="1:22">
      <c r="A96" s="23" t="s">
        <v>68</v>
      </c>
      <c r="B96" s="71" t="s">
        <v>93</v>
      </c>
      <c r="C96" s="72"/>
      <c r="D96" s="72"/>
      <c r="E96" s="72"/>
      <c r="F96" s="72"/>
      <c r="G96" s="73"/>
      <c r="H96" s="30" t="s">
        <v>24</v>
      </c>
      <c r="I96" s="74">
        <v>1</v>
      </c>
      <c r="J96" s="75"/>
      <c r="K96" s="76"/>
      <c r="L96" s="77">
        <f>N96-N23</f>
        <v>0.11933403907227408</v>
      </c>
      <c r="M96" s="78"/>
      <c r="N96" s="77">
        <f>S96</f>
        <v>0.11933403907227408</v>
      </c>
      <c r="O96" s="78"/>
      <c r="P96" s="77"/>
      <c r="Q96" s="78"/>
      <c r="S96" s="21">
        <f>V94*0.01/T96</f>
        <v>0.11933403907227408</v>
      </c>
      <c r="T96" s="25">
        <v>10391</v>
      </c>
      <c r="U96" s="12">
        <f t="shared" ref="U96:U97" si="3">S96*T96</f>
        <v>1240</v>
      </c>
    </row>
    <row r="97" spans="1:21">
      <c r="A97" s="23" t="s">
        <v>69</v>
      </c>
      <c r="B97" s="58" t="s">
        <v>94</v>
      </c>
      <c r="C97" s="59" t="s">
        <v>70</v>
      </c>
      <c r="D97" s="59" t="s">
        <v>70</v>
      </c>
      <c r="E97" s="59" t="s">
        <v>70</v>
      </c>
      <c r="F97" s="59" t="s">
        <v>70</v>
      </c>
      <c r="G97" s="60" t="s">
        <v>70</v>
      </c>
      <c r="H97" s="30" t="s">
        <v>24</v>
      </c>
      <c r="I97" s="74">
        <v>1</v>
      </c>
      <c r="J97" s="75"/>
      <c r="K97" s="76"/>
      <c r="L97" s="77">
        <f>N97-N24</f>
        <v>0.11933075791528616</v>
      </c>
      <c r="M97" s="78"/>
      <c r="N97" s="77">
        <f>S97</f>
        <v>0.11933075791528616</v>
      </c>
      <c r="O97" s="78"/>
      <c r="P97" s="77"/>
      <c r="Q97" s="78"/>
      <c r="S97" s="21">
        <f>V94*0.07/T97</f>
        <v>0.11933075791528616</v>
      </c>
      <c r="T97" s="25">
        <v>72739</v>
      </c>
      <c r="U97" s="12">
        <f t="shared" si="3"/>
        <v>8680</v>
      </c>
    </row>
    <row r="98" spans="1:21">
      <c r="A98" s="23" t="s">
        <v>71</v>
      </c>
      <c r="B98" s="58" t="s">
        <v>95</v>
      </c>
      <c r="C98" s="59" t="s">
        <v>72</v>
      </c>
      <c r="D98" s="59" t="s">
        <v>72</v>
      </c>
      <c r="E98" s="59" t="s">
        <v>72</v>
      </c>
      <c r="F98" s="59" t="s">
        <v>72</v>
      </c>
      <c r="G98" s="60" t="s">
        <v>72</v>
      </c>
      <c r="H98" s="30" t="s">
        <v>24</v>
      </c>
      <c r="I98" s="74">
        <v>1</v>
      </c>
      <c r="J98" s="75"/>
      <c r="K98" s="76"/>
      <c r="L98" s="77"/>
      <c r="M98" s="78"/>
      <c r="N98" s="77">
        <f>S98</f>
        <v>1</v>
      </c>
      <c r="O98" s="78"/>
      <c r="P98" s="77"/>
      <c r="Q98" s="78"/>
      <c r="S98" s="21">
        <v>1</v>
      </c>
      <c r="T98" s="25">
        <v>4156</v>
      </c>
      <c r="U98" s="12">
        <f>S98*T98</f>
        <v>4156</v>
      </c>
    </row>
    <row r="99" spans="1:21">
      <c r="A99" s="23" t="s">
        <v>73</v>
      </c>
      <c r="B99" s="58" t="s">
        <v>96</v>
      </c>
      <c r="C99" s="59" t="s">
        <v>74</v>
      </c>
      <c r="D99" s="59" t="s">
        <v>74</v>
      </c>
      <c r="E99" s="59" t="s">
        <v>74</v>
      </c>
      <c r="F99" s="59" t="s">
        <v>74</v>
      </c>
      <c r="G99" s="60" t="s">
        <v>74</v>
      </c>
      <c r="H99" s="30" t="s">
        <v>24</v>
      </c>
      <c r="I99" s="74">
        <v>1</v>
      </c>
      <c r="J99" s="75"/>
      <c r="K99" s="76"/>
      <c r="L99" s="77">
        <f>N99-N26</f>
        <v>0.11780436312456016</v>
      </c>
      <c r="M99" s="78"/>
      <c r="N99" s="77">
        <f>S99</f>
        <v>0.13060080928923293</v>
      </c>
      <c r="O99" s="78"/>
      <c r="P99" s="79"/>
      <c r="Q99" s="80"/>
      <c r="S99" s="21">
        <f>(V94+U95+U96+U97+U98)*0.05/T99</f>
        <v>0.13060080928923293</v>
      </c>
      <c r="T99" s="25">
        <v>56840</v>
      </c>
      <c r="U99" s="12">
        <f>S99*T99</f>
        <v>7423.3499999999995</v>
      </c>
    </row>
    <row r="100" spans="1:21">
      <c r="A100" s="23"/>
      <c r="B100" s="58"/>
      <c r="C100" s="59"/>
      <c r="D100" s="59"/>
      <c r="E100" s="59"/>
      <c r="F100" s="59"/>
      <c r="G100" s="60"/>
      <c r="H100" s="24"/>
      <c r="I100" s="58"/>
      <c r="J100" s="59"/>
      <c r="K100" s="59"/>
      <c r="L100" s="58"/>
      <c r="M100" s="59"/>
      <c r="N100" s="58"/>
      <c r="O100" s="59"/>
      <c r="P100" s="58"/>
      <c r="Q100" s="60"/>
      <c r="S100" s="21"/>
      <c r="T100" s="25"/>
      <c r="U100" s="28">
        <f>V94+U95+U96+U97+U98+U99</f>
        <v>155890.35</v>
      </c>
    </row>
    <row r="101" spans="1:21">
      <c r="A101" s="23"/>
      <c r="B101" s="58"/>
      <c r="C101" s="59"/>
      <c r="D101" s="59"/>
      <c r="E101" s="59"/>
      <c r="F101" s="59"/>
      <c r="G101" s="60"/>
      <c r="H101" s="23"/>
      <c r="I101" s="58"/>
      <c r="J101" s="59"/>
      <c r="K101" s="59"/>
      <c r="L101" s="58"/>
      <c r="M101" s="59"/>
      <c r="N101" s="58"/>
      <c r="O101" s="59"/>
      <c r="P101" s="58"/>
      <c r="Q101" s="60"/>
      <c r="S101" s="21"/>
      <c r="T101" s="16"/>
      <c r="U101" s="14">
        <v>1193638</v>
      </c>
    </row>
    <row r="102" spans="1:21">
      <c r="A102" s="9"/>
      <c r="B102" s="58"/>
      <c r="C102" s="59"/>
      <c r="D102" s="59"/>
      <c r="E102" s="59"/>
      <c r="F102" s="59"/>
      <c r="G102" s="60"/>
      <c r="H102" s="9"/>
      <c r="I102" s="58"/>
      <c r="J102" s="59"/>
      <c r="K102" s="59"/>
      <c r="L102" s="58"/>
      <c r="M102" s="59"/>
      <c r="N102" s="58"/>
      <c r="O102" s="59"/>
      <c r="P102" s="58"/>
      <c r="Q102" s="60"/>
      <c r="S102" s="21"/>
      <c r="T102" s="16"/>
      <c r="U102" s="15">
        <f>U100/U101</f>
        <v>0.13060102811740243</v>
      </c>
    </row>
    <row r="103" spans="1:21">
      <c r="A103" s="9"/>
      <c r="B103" s="58"/>
      <c r="C103" s="59"/>
      <c r="D103" s="59"/>
      <c r="E103" s="59"/>
      <c r="F103" s="59"/>
      <c r="G103" s="60"/>
      <c r="H103" s="9"/>
      <c r="I103" s="58"/>
      <c r="J103" s="59"/>
      <c r="K103" s="59"/>
      <c r="L103" s="58"/>
      <c r="M103" s="59"/>
      <c r="N103" s="58"/>
      <c r="O103" s="59"/>
      <c r="P103" s="58"/>
      <c r="Q103" s="60"/>
      <c r="S103" s="21"/>
      <c r="T103" s="16"/>
      <c r="U103" s="12"/>
    </row>
    <row r="104" spans="1:21">
      <c r="A104" s="9"/>
      <c r="B104" s="58"/>
      <c r="C104" s="59"/>
      <c r="D104" s="59"/>
      <c r="E104" s="59"/>
      <c r="F104" s="59"/>
      <c r="G104" s="60"/>
      <c r="H104" s="9"/>
      <c r="I104" s="58"/>
      <c r="J104" s="59"/>
      <c r="K104" s="59"/>
      <c r="L104" s="58"/>
      <c r="M104" s="59"/>
      <c r="N104" s="58"/>
      <c r="O104" s="59"/>
      <c r="P104" s="58"/>
      <c r="Q104" s="60"/>
      <c r="S104" s="21"/>
      <c r="T104" s="16"/>
      <c r="U104" s="12"/>
    </row>
    <row r="105" spans="1:21">
      <c r="A105" s="9"/>
      <c r="B105" s="58"/>
      <c r="C105" s="59"/>
      <c r="D105" s="59"/>
      <c r="E105" s="59"/>
      <c r="F105" s="59"/>
      <c r="G105" s="60"/>
      <c r="H105" s="9"/>
      <c r="I105" s="58"/>
      <c r="J105" s="59"/>
      <c r="K105" s="59"/>
      <c r="L105" s="58"/>
      <c r="M105" s="59"/>
      <c r="N105" s="58"/>
      <c r="O105" s="59"/>
      <c r="P105" s="58"/>
      <c r="Q105" s="60"/>
      <c r="S105" s="21"/>
      <c r="T105" s="16"/>
      <c r="U105" s="12"/>
    </row>
    <row r="106" spans="1:21">
      <c r="A106" s="9"/>
      <c r="B106" s="58"/>
      <c r="C106" s="59"/>
      <c r="D106" s="59"/>
      <c r="E106" s="59"/>
      <c r="F106" s="59"/>
      <c r="G106" s="60"/>
      <c r="H106" s="9"/>
      <c r="I106" s="58"/>
      <c r="J106" s="59"/>
      <c r="K106" s="59"/>
      <c r="L106" s="58"/>
      <c r="M106" s="59"/>
      <c r="N106" s="58"/>
      <c r="O106" s="59"/>
      <c r="P106" s="58"/>
      <c r="Q106" s="60"/>
      <c r="S106" s="21"/>
      <c r="T106" s="16"/>
      <c r="U106" s="12"/>
    </row>
    <row r="107" spans="1:21">
      <c r="A107" s="7"/>
      <c r="B107" s="61"/>
      <c r="C107" s="62"/>
      <c r="D107" s="62"/>
      <c r="E107" s="62"/>
      <c r="F107" s="62"/>
      <c r="G107" s="63"/>
      <c r="H107" s="9"/>
      <c r="I107" s="64"/>
      <c r="J107" s="65"/>
      <c r="K107" s="66"/>
      <c r="L107" s="67"/>
      <c r="M107" s="68"/>
      <c r="N107" s="67"/>
      <c r="O107" s="68"/>
      <c r="P107" s="69"/>
      <c r="Q107" s="70"/>
      <c r="S107" s="21"/>
      <c r="T107" s="16"/>
    </row>
    <row r="108" spans="1:21">
      <c r="A108" s="44" t="s">
        <v>29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T108" s="20"/>
    </row>
    <row r="109" spans="1:21">
      <c r="A109" s="44" t="s">
        <v>30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T109" s="20"/>
    </row>
    <row r="110" spans="1:21">
      <c r="A110" s="44" t="s">
        <v>31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T110" s="20"/>
    </row>
    <row r="111" spans="1:21">
      <c r="A111" s="44" t="s">
        <v>32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T111" s="20"/>
    </row>
    <row r="112" spans="1:21">
      <c r="A112" s="54" t="s">
        <v>33</v>
      </c>
      <c r="B112" s="54"/>
      <c r="C112" s="54"/>
      <c r="D112" s="54"/>
      <c r="E112" s="54"/>
      <c r="F112" s="54"/>
      <c r="G112" s="54"/>
      <c r="H112" s="54" t="s">
        <v>20</v>
      </c>
      <c r="I112" s="54"/>
      <c r="J112" s="54"/>
      <c r="K112" s="54" t="s">
        <v>34</v>
      </c>
      <c r="L112" s="54"/>
      <c r="M112" s="54" t="s">
        <v>35</v>
      </c>
      <c r="N112" s="54"/>
      <c r="O112" s="54" t="s">
        <v>36</v>
      </c>
      <c r="P112" s="54"/>
      <c r="Q112" s="54"/>
      <c r="T112" s="20"/>
    </row>
    <row r="113" spans="1:20">
      <c r="A113" s="55"/>
      <c r="B113" s="56"/>
      <c r="C113" s="56"/>
      <c r="D113" s="56"/>
      <c r="E113" s="56"/>
      <c r="F113" s="56"/>
      <c r="G113" s="57"/>
      <c r="H113" s="55"/>
      <c r="I113" s="56"/>
      <c r="J113" s="57"/>
      <c r="K113" s="55"/>
      <c r="L113" s="56"/>
      <c r="M113" s="55"/>
      <c r="N113" s="56"/>
      <c r="O113" s="55"/>
      <c r="P113" s="56"/>
      <c r="Q113" s="57"/>
      <c r="T113" s="20"/>
    </row>
    <row r="114" spans="1:20">
      <c r="A114" s="55"/>
      <c r="B114" s="56"/>
      <c r="C114" s="56"/>
      <c r="D114" s="56"/>
      <c r="E114" s="56"/>
      <c r="F114" s="56"/>
      <c r="G114" s="57"/>
      <c r="H114" s="55"/>
      <c r="I114" s="56"/>
      <c r="J114" s="57"/>
      <c r="K114" s="55"/>
      <c r="L114" s="56"/>
      <c r="M114" s="55"/>
      <c r="N114" s="56"/>
      <c r="O114" s="55"/>
      <c r="P114" s="56"/>
      <c r="Q114" s="57"/>
      <c r="T114" s="20"/>
    </row>
    <row r="115" spans="1:20">
      <c r="A115" s="53"/>
      <c r="B115" s="53"/>
      <c r="C115" s="53"/>
      <c r="D115" s="53"/>
      <c r="E115" s="53"/>
      <c r="F115" s="53"/>
      <c r="G115" s="53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T115" s="20"/>
    </row>
    <row r="116" spans="1:20">
      <c r="A116" s="53"/>
      <c r="B116" s="53"/>
      <c r="C116" s="53"/>
      <c r="D116" s="53"/>
      <c r="E116" s="53"/>
      <c r="F116" s="53"/>
      <c r="G116" s="53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T116" s="20"/>
    </row>
    <row r="117" spans="1:20">
      <c r="A117" s="44" t="s">
        <v>37</v>
      </c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T117" s="20"/>
    </row>
    <row r="118" spans="1:20">
      <c r="A118" s="46" t="s">
        <v>38</v>
      </c>
      <c r="B118" s="46"/>
      <c r="C118" s="47" t="s">
        <v>39</v>
      </c>
      <c r="D118" s="48"/>
      <c r="E118" s="48"/>
      <c r="F118" s="47" t="s">
        <v>40</v>
      </c>
      <c r="G118" s="48"/>
      <c r="H118" s="49"/>
      <c r="I118" s="46" t="s">
        <v>41</v>
      </c>
      <c r="J118" s="46"/>
      <c r="K118" s="46"/>
      <c r="L118" s="46" t="s">
        <v>35</v>
      </c>
      <c r="M118" s="46"/>
      <c r="N118" s="46"/>
      <c r="O118" s="46" t="s">
        <v>36</v>
      </c>
      <c r="P118" s="46"/>
      <c r="Q118" s="46"/>
      <c r="T118" s="20"/>
    </row>
    <row r="119" spans="1:20">
      <c r="A119" s="47" t="s">
        <v>42</v>
      </c>
      <c r="B119" s="49"/>
      <c r="C119" s="47">
        <v>4</v>
      </c>
      <c r="D119" s="48"/>
      <c r="E119" s="49"/>
      <c r="F119" s="47">
        <f>F46+C119</f>
        <v>5</v>
      </c>
      <c r="G119" s="48"/>
      <c r="H119" s="49"/>
      <c r="I119" s="47"/>
      <c r="J119" s="48"/>
      <c r="K119" s="49"/>
      <c r="L119" s="47"/>
      <c r="M119" s="48"/>
      <c r="N119" s="49"/>
      <c r="O119" s="47"/>
      <c r="P119" s="48"/>
      <c r="Q119" s="49"/>
      <c r="T119" s="20"/>
    </row>
    <row r="120" spans="1:20">
      <c r="A120" s="47" t="s">
        <v>100</v>
      </c>
      <c r="B120" s="49"/>
      <c r="C120" s="47">
        <v>2</v>
      </c>
      <c r="D120" s="48"/>
      <c r="E120" s="49"/>
      <c r="F120" s="47">
        <f>F47+C120</f>
        <v>2</v>
      </c>
      <c r="G120" s="48"/>
      <c r="H120" s="49"/>
      <c r="I120" s="47"/>
      <c r="J120" s="48"/>
      <c r="K120" s="49"/>
      <c r="L120" s="47"/>
      <c r="M120" s="48"/>
      <c r="N120" s="49"/>
      <c r="O120" s="47"/>
      <c r="P120" s="48"/>
      <c r="Q120" s="49"/>
      <c r="T120" s="20"/>
    </row>
    <row r="121" spans="1:20">
      <c r="A121" s="47"/>
      <c r="B121" s="49"/>
      <c r="C121" s="47"/>
      <c r="D121" s="48"/>
      <c r="E121" s="49"/>
      <c r="F121" s="47"/>
      <c r="G121" s="48"/>
      <c r="H121" s="49"/>
      <c r="I121" s="47"/>
      <c r="J121" s="48"/>
      <c r="K121" s="49"/>
      <c r="L121" s="47"/>
      <c r="M121" s="48"/>
      <c r="N121" s="49"/>
      <c r="O121" s="47"/>
      <c r="P121" s="48"/>
      <c r="Q121" s="49"/>
      <c r="T121" s="20"/>
    </row>
    <row r="122" spans="1:20">
      <c r="A122" s="46"/>
      <c r="B122" s="46"/>
      <c r="C122" s="47"/>
      <c r="D122" s="48"/>
      <c r="E122" s="49"/>
      <c r="F122" s="47"/>
      <c r="G122" s="48"/>
      <c r="H122" s="49"/>
      <c r="I122" s="47"/>
      <c r="J122" s="48"/>
      <c r="K122" s="49"/>
      <c r="L122" s="47"/>
      <c r="M122" s="48"/>
      <c r="N122" s="49"/>
      <c r="O122" s="47"/>
      <c r="P122" s="48"/>
      <c r="Q122" s="49"/>
      <c r="T122" s="20"/>
    </row>
    <row r="123" spans="1:20">
      <c r="A123" s="46"/>
      <c r="B123" s="46"/>
      <c r="C123" s="47"/>
      <c r="D123" s="48"/>
      <c r="E123" s="49"/>
      <c r="F123" s="47"/>
      <c r="G123" s="48"/>
      <c r="H123" s="49"/>
      <c r="I123" s="47"/>
      <c r="J123" s="48"/>
      <c r="K123" s="49"/>
      <c r="L123" s="47"/>
      <c r="M123" s="48"/>
      <c r="N123" s="49"/>
      <c r="O123" s="47"/>
      <c r="P123" s="48"/>
      <c r="Q123" s="49"/>
      <c r="T123" s="20"/>
    </row>
    <row r="124" spans="1:20">
      <c r="A124" s="50" t="s">
        <v>43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2"/>
      <c r="T124" s="20"/>
    </row>
    <row r="125" spans="1:20">
      <c r="A125" s="38" t="s">
        <v>44</v>
      </c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  <c r="T125" s="20"/>
    </row>
    <row r="126" spans="1:20">
      <c r="A126" s="41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3"/>
      <c r="T126" s="20"/>
    </row>
    <row r="127" spans="1:20">
      <c r="A127" s="50" t="s">
        <v>46</v>
      </c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2"/>
      <c r="T127" s="20"/>
    </row>
    <row r="128" spans="1:20">
      <c r="A128" s="38" t="s">
        <v>47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  <c r="T128" s="20"/>
    </row>
    <row r="129" spans="1:20">
      <c r="A129" s="38" t="s">
        <v>48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40"/>
      <c r="T129" s="20"/>
    </row>
    <row r="130" spans="1:20">
      <c r="A130" s="38" t="s">
        <v>49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40"/>
      <c r="T130" s="20"/>
    </row>
    <row r="131" spans="1:20">
      <c r="A131" s="38" t="s">
        <v>50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40"/>
      <c r="T131" s="20"/>
    </row>
    <row r="132" spans="1:20">
      <c r="A132" s="38" t="s">
        <v>51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40"/>
      <c r="T132" s="20"/>
    </row>
    <row r="133" spans="1:20">
      <c r="A133" s="41" t="s">
        <v>52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3"/>
      <c r="T133" s="20"/>
    </row>
    <row r="134" spans="1:20">
      <c r="A134" s="44" t="s">
        <v>53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T134" s="20"/>
    </row>
    <row r="135" spans="1:20">
      <c r="A135" s="44" t="s">
        <v>54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T135" s="20"/>
    </row>
    <row r="136" spans="1:20">
      <c r="A136" s="44" t="s">
        <v>99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T136" s="20"/>
    </row>
    <row r="137" spans="1:20">
      <c r="A137" s="44" t="s">
        <v>55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T137" s="20"/>
    </row>
    <row r="138" spans="1:20">
      <c r="A138" s="45" t="s">
        <v>56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T138" s="20"/>
    </row>
    <row r="139" spans="1:20">
      <c r="A139" s="37" t="s">
        <v>57</v>
      </c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T139" s="20"/>
    </row>
    <row r="140" spans="1:20">
      <c r="A140" s="37" t="s">
        <v>58</v>
      </c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T140" s="20"/>
    </row>
    <row r="141" spans="1:20">
      <c r="A141" s="37" t="s">
        <v>59</v>
      </c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T141" s="20"/>
    </row>
    <row r="142" spans="1:20">
      <c r="A142" s="37" t="s">
        <v>60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T142" s="20"/>
    </row>
    <row r="143" spans="1:20">
      <c r="A143" s="37" t="s">
        <v>61</v>
      </c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T143" s="20"/>
    </row>
    <row r="144" spans="1:20">
      <c r="A144" s="37" t="s">
        <v>62</v>
      </c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T144" s="20"/>
    </row>
    <row r="145" spans="1:21">
      <c r="A145" s="37" t="s">
        <v>63</v>
      </c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T145" s="20"/>
    </row>
    <row r="146" spans="1:21">
      <c r="A146" s="37" t="s">
        <v>75</v>
      </c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T146" s="20"/>
    </row>
    <row r="147" spans="1:21" ht="39" customHeight="1">
      <c r="B147" s="120" t="s">
        <v>0</v>
      </c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T147" s="20"/>
    </row>
    <row r="148" spans="1:21">
      <c r="B148" s="6" t="s">
        <v>1</v>
      </c>
      <c r="C148" s="121" t="s">
        <v>2</v>
      </c>
      <c r="D148" s="121"/>
      <c r="E148" s="1" t="s">
        <v>3</v>
      </c>
      <c r="F148" s="121" t="s">
        <v>4</v>
      </c>
      <c r="G148" s="121"/>
      <c r="H148" s="1" t="s">
        <v>3</v>
      </c>
      <c r="I148" s="1"/>
      <c r="J148" s="121" t="s">
        <v>5</v>
      </c>
      <c r="K148" s="121"/>
      <c r="L148" s="121"/>
      <c r="M148" s="122">
        <f>M75+1</f>
        <v>46229</v>
      </c>
      <c r="N148" s="122"/>
      <c r="O148" s="122"/>
      <c r="P148" s="123"/>
      <c r="Q148" s="123"/>
      <c r="T148" s="20"/>
    </row>
    <row r="149" spans="1:21">
      <c r="A149" s="96" t="s">
        <v>6</v>
      </c>
      <c r="B149" s="96"/>
      <c r="C149" s="124" t="s">
        <v>79</v>
      </c>
      <c r="D149" s="125"/>
      <c r="E149" s="125"/>
      <c r="F149" s="125"/>
      <c r="G149" s="125"/>
      <c r="H149" s="125"/>
      <c r="I149" s="126"/>
      <c r="J149" s="127" t="s">
        <v>7</v>
      </c>
      <c r="K149" s="128"/>
      <c r="L149" s="128"/>
      <c r="M149" s="129"/>
      <c r="N149" s="130" t="s">
        <v>78</v>
      </c>
      <c r="O149" s="130"/>
      <c r="P149" s="130"/>
      <c r="Q149" s="131"/>
      <c r="T149" s="20"/>
    </row>
    <row r="150" spans="1:21">
      <c r="A150" s="96" t="s">
        <v>8</v>
      </c>
      <c r="B150" s="96"/>
      <c r="C150" s="4">
        <v>30</v>
      </c>
      <c r="D150" s="3" t="s">
        <v>9</v>
      </c>
      <c r="E150" s="127" t="s">
        <v>10</v>
      </c>
      <c r="F150" s="129"/>
      <c r="G150" s="127">
        <f>G77+1</f>
        <v>3</v>
      </c>
      <c r="H150" s="128"/>
      <c r="I150" s="3" t="s">
        <v>9</v>
      </c>
      <c r="J150" s="96" t="s">
        <v>11</v>
      </c>
      <c r="K150" s="96"/>
      <c r="L150" s="5">
        <f>C150-G150</f>
        <v>27</v>
      </c>
      <c r="M150" s="2" t="s">
        <v>9</v>
      </c>
      <c r="N150" s="96" t="s">
        <v>12</v>
      </c>
      <c r="O150" s="96"/>
      <c r="P150" s="2"/>
      <c r="Q150" s="3" t="s">
        <v>9</v>
      </c>
      <c r="T150" s="20"/>
    </row>
    <row r="151" spans="1:21">
      <c r="A151" s="96" t="s">
        <v>13</v>
      </c>
      <c r="B151" s="96"/>
      <c r="C151" s="132">
        <v>46227</v>
      </c>
      <c r="D151" s="132"/>
      <c r="E151" s="132"/>
      <c r="F151" s="132"/>
      <c r="G151" s="132"/>
      <c r="H151" s="132"/>
      <c r="I151" s="132"/>
      <c r="J151" s="127" t="s">
        <v>14</v>
      </c>
      <c r="K151" s="128"/>
      <c r="L151" s="128"/>
      <c r="M151" s="129"/>
      <c r="N151" s="133">
        <v>46256</v>
      </c>
      <c r="O151" s="134"/>
      <c r="P151" s="134"/>
      <c r="Q151" s="135"/>
      <c r="T151" s="20"/>
    </row>
    <row r="152" spans="1:21">
      <c r="A152" s="96" t="s">
        <v>15</v>
      </c>
      <c r="B152" s="96"/>
      <c r="C152" s="97"/>
      <c r="D152" s="98"/>
      <c r="E152" s="98"/>
      <c r="F152" s="98"/>
      <c r="G152" s="98"/>
      <c r="H152" s="99" t="s">
        <v>16</v>
      </c>
      <c r="I152" s="100"/>
      <c r="J152" s="101" t="s">
        <v>17</v>
      </c>
      <c r="K152" s="101"/>
      <c r="L152" s="101"/>
      <c r="M152" s="101"/>
      <c r="N152" s="102">
        <f>U175</f>
        <v>0.13060102811740243</v>
      </c>
      <c r="O152" s="102"/>
      <c r="P152" s="102"/>
      <c r="Q152" s="102"/>
      <c r="T152" s="20"/>
    </row>
    <row r="153" spans="1:21">
      <c r="A153" s="103" t="s">
        <v>18</v>
      </c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5"/>
      <c r="T153" s="20"/>
    </row>
    <row r="154" spans="1:21">
      <c r="A154" s="7"/>
      <c r="B154" s="106" t="s">
        <v>19</v>
      </c>
      <c r="C154" s="107"/>
      <c r="D154" s="107"/>
      <c r="E154" s="107"/>
      <c r="F154" s="107"/>
      <c r="G154" s="108"/>
      <c r="H154" s="8" t="s">
        <v>20</v>
      </c>
      <c r="I154" s="109" t="s">
        <v>21</v>
      </c>
      <c r="J154" s="110"/>
      <c r="K154" s="111"/>
      <c r="L154" s="109" t="s">
        <v>28</v>
      </c>
      <c r="M154" s="111"/>
      <c r="N154" s="106" t="s">
        <v>22</v>
      </c>
      <c r="O154" s="112"/>
      <c r="P154" s="113" t="s">
        <v>23</v>
      </c>
      <c r="Q154" s="113"/>
      <c r="S154" s="18" t="s">
        <v>22</v>
      </c>
      <c r="T154" s="19" t="s">
        <v>64</v>
      </c>
      <c r="U154" s="13" t="s">
        <v>27</v>
      </c>
    </row>
    <row r="155" spans="1:21">
      <c r="A155" s="17" t="s">
        <v>65</v>
      </c>
      <c r="B155" s="114" t="s">
        <v>66</v>
      </c>
      <c r="C155" s="115"/>
      <c r="D155" s="115"/>
      <c r="E155" s="115"/>
      <c r="F155" s="115"/>
      <c r="G155" s="116"/>
      <c r="H155" s="17"/>
      <c r="I155" s="117"/>
      <c r="J155" s="118"/>
      <c r="K155" s="119"/>
      <c r="L155" s="77"/>
      <c r="M155" s="78"/>
      <c r="N155" s="77"/>
      <c r="O155" s="78"/>
      <c r="P155" s="93"/>
      <c r="Q155" s="93"/>
      <c r="S155" s="16"/>
      <c r="T155" s="16"/>
      <c r="U155" s="16" t="s">
        <v>26</v>
      </c>
    </row>
    <row r="156" spans="1:21">
      <c r="A156" s="17">
        <v>1</v>
      </c>
      <c r="B156" s="81" t="s">
        <v>80</v>
      </c>
      <c r="C156" s="82"/>
      <c r="D156" s="82"/>
      <c r="E156" s="82"/>
      <c r="F156" s="82"/>
      <c r="G156" s="83"/>
      <c r="H156" s="29" t="s">
        <v>67</v>
      </c>
      <c r="I156" s="84">
        <v>18</v>
      </c>
      <c r="J156" s="85"/>
      <c r="K156" s="86"/>
      <c r="L156" s="87"/>
      <c r="M156" s="88"/>
      <c r="N156" s="89"/>
      <c r="O156" s="90"/>
      <c r="P156" s="93"/>
      <c r="Q156" s="93"/>
      <c r="S156" s="12"/>
      <c r="T156" s="26">
        <v>18000</v>
      </c>
      <c r="U156" s="12">
        <f>S156*T156</f>
        <v>0</v>
      </c>
    </row>
    <row r="157" spans="1:21" ht="32.1" customHeight="1">
      <c r="A157" s="17">
        <v>2</v>
      </c>
      <c r="B157" s="81" t="s">
        <v>81</v>
      </c>
      <c r="C157" s="82" t="s">
        <v>81</v>
      </c>
      <c r="D157" s="82" t="s">
        <v>81</v>
      </c>
      <c r="E157" s="82" t="s">
        <v>81</v>
      </c>
      <c r="F157" s="82" t="s">
        <v>81</v>
      </c>
      <c r="G157" s="83" t="s">
        <v>81</v>
      </c>
      <c r="H157" s="29" t="s">
        <v>97</v>
      </c>
      <c r="I157" s="84">
        <v>166</v>
      </c>
      <c r="J157" s="85"/>
      <c r="K157" s="86"/>
      <c r="L157" s="87"/>
      <c r="M157" s="88"/>
      <c r="N157" s="89"/>
      <c r="O157" s="90"/>
      <c r="P157" s="93"/>
      <c r="Q157" s="93"/>
      <c r="S157" s="12"/>
      <c r="T157" s="26">
        <v>750</v>
      </c>
      <c r="U157" s="12">
        <f t="shared" ref="U157:U167" si="4">S157*T157</f>
        <v>0</v>
      </c>
    </row>
    <row r="158" spans="1:21">
      <c r="A158" s="17">
        <v>3</v>
      </c>
      <c r="B158" s="81" t="s">
        <v>82</v>
      </c>
      <c r="C158" s="82" t="s">
        <v>82</v>
      </c>
      <c r="D158" s="82" t="s">
        <v>82</v>
      </c>
      <c r="E158" s="82" t="s">
        <v>82</v>
      </c>
      <c r="F158" s="82" t="s">
        <v>82</v>
      </c>
      <c r="G158" s="83" t="s">
        <v>82</v>
      </c>
      <c r="H158" s="29" t="s">
        <v>97</v>
      </c>
      <c r="I158" s="84">
        <v>540</v>
      </c>
      <c r="J158" s="85">
        <v>540</v>
      </c>
      <c r="K158" s="86">
        <v>540</v>
      </c>
      <c r="L158" s="87"/>
      <c r="M158" s="88"/>
      <c r="N158" s="89"/>
      <c r="O158" s="90"/>
      <c r="P158" s="93"/>
      <c r="Q158" s="93"/>
      <c r="S158" s="12"/>
      <c r="T158" s="26">
        <v>340</v>
      </c>
      <c r="U158" s="12">
        <f t="shared" si="4"/>
        <v>0</v>
      </c>
    </row>
    <row r="159" spans="1:21">
      <c r="A159" s="17">
        <v>4</v>
      </c>
      <c r="B159" s="81" t="s">
        <v>83</v>
      </c>
      <c r="C159" s="82" t="s">
        <v>83</v>
      </c>
      <c r="D159" s="82" t="s">
        <v>83</v>
      </c>
      <c r="E159" s="82" t="s">
        <v>83</v>
      </c>
      <c r="F159" s="82" t="s">
        <v>83</v>
      </c>
      <c r="G159" s="83" t="s">
        <v>83</v>
      </c>
      <c r="H159" s="29" t="s">
        <v>67</v>
      </c>
      <c r="I159" s="84">
        <v>20</v>
      </c>
      <c r="J159" s="85">
        <v>20</v>
      </c>
      <c r="K159" s="86">
        <v>20</v>
      </c>
      <c r="L159" s="87"/>
      <c r="M159" s="88"/>
      <c r="N159" s="89"/>
      <c r="O159" s="90"/>
      <c r="P159" s="93"/>
      <c r="Q159" s="93"/>
      <c r="S159" s="12"/>
      <c r="T159" s="26">
        <v>1250</v>
      </c>
      <c r="U159" s="12">
        <f t="shared" si="4"/>
        <v>0</v>
      </c>
    </row>
    <row r="160" spans="1:21" ht="32.1" customHeight="1">
      <c r="A160" s="17">
        <v>5</v>
      </c>
      <c r="B160" s="81" t="s">
        <v>84</v>
      </c>
      <c r="C160" s="82" t="s">
        <v>84</v>
      </c>
      <c r="D160" s="82" t="s">
        <v>84</v>
      </c>
      <c r="E160" s="82" t="s">
        <v>84</v>
      </c>
      <c r="F160" s="82" t="s">
        <v>84</v>
      </c>
      <c r="G160" s="83" t="s">
        <v>84</v>
      </c>
      <c r="H160" s="29" t="s">
        <v>97</v>
      </c>
      <c r="I160" s="84">
        <v>28</v>
      </c>
      <c r="J160" s="85">
        <v>28</v>
      </c>
      <c r="K160" s="86">
        <v>28</v>
      </c>
      <c r="L160" s="87"/>
      <c r="M160" s="88"/>
      <c r="N160" s="89">
        <v>20</v>
      </c>
      <c r="O160" s="90"/>
      <c r="P160" s="93"/>
      <c r="Q160" s="93"/>
      <c r="S160" s="12">
        <v>20</v>
      </c>
      <c r="T160" s="26">
        <v>1800</v>
      </c>
      <c r="U160" s="12">
        <f t="shared" si="4"/>
        <v>36000</v>
      </c>
    </row>
    <row r="161" spans="1:22">
      <c r="A161" s="17">
        <v>6</v>
      </c>
      <c r="B161" s="81" t="s">
        <v>85</v>
      </c>
      <c r="C161" s="82" t="s">
        <v>85</v>
      </c>
      <c r="D161" s="82" t="s">
        <v>85</v>
      </c>
      <c r="E161" s="82" t="s">
        <v>85</v>
      </c>
      <c r="F161" s="82" t="s">
        <v>85</v>
      </c>
      <c r="G161" s="83" t="s">
        <v>85</v>
      </c>
      <c r="H161" s="29" t="s">
        <v>97</v>
      </c>
      <c r="I161" s="84">
        <v>14</v>
      </c>
      <c r="J161" s="85">
        <v>14</v>
      </c>
      <c r="K161" s="86">
        <v>14</v>
      </c>
      <c r="L161" s="87"/>
      <c r="M161" s="88"/>
      <c r="N161" s="89">
        <v>7</v>
      </c>
      <c r="O161" s="90"/>
      <c r="P161" s="79"/>
      <c r="Q161" s="80"/>
      <c r="S161" s="12">
        <v>7</v>
      </c>
      <c r="T161" s="26">
        <v>4000</v>
      </c>
      <c r="U161" s="12">
        <f t="shared" si="4"/>
        <v>28000</v>
      </c>
    </row>
    <row r="162" spans="1:22">
      <c r="A162" s="17">
        <v>7</v>
      </c>
      <c r="B162" s="81" t="s">
        <v>86</v>
      </c>
      <c r="C162" s="82" t="s">
        <v>86</v>
      </c>
      <c r="D162" s="82" t="s">
        <v>86</v>
      </c>
      <c r="E162" s="82" t="s">
        <v>86</v>
      </c>
      <c r="F162" s="82" t="s">
        <v>86</v>
      </c>
      <c r="G162" s="83" t="s">
        <v>86</v>
      </c>
      <c r="H162" s="29" t="s">
        <v>97</v>
      </c>
      <c r="I162" s="84">
        <v>30</v>
      </c>
      <c r="J162" s="85">
        <v>30</v>
      </c>
      <c r="K162" s="86">
        <v>30</v>
      </c>
      <c r="L162" s="87"/>
      <c r="M162" s="88"/>
      <c r="N162" s="89">
        <v>15</v>
      </c>
      <c r="O162" s="90"/>
      <c r="P162" s="93"/>
      <c r="Q162" s="93"/>
      <c r="S162" s="12">
        <v>15</v>
      </c>
      <c r="T162" s="26">
        <v>4000</v>
      </c>
      <c r="U162" s="12">
        <f t="shared" si="4"/>
        <v>60000</v>
      </c>
    </row>
    <row r="163" spans="1:22">
      <c r="A163" s="17">
        <v>8</v>
      </c>
      <c r="B163" s="81" t="s">
        <v>87</v>
      </c>
      <c r="C163" s="82" t="s">
        <v>87</v>
      </c>
      <c r="D163" s="82" t="s">
        <v>87</v>
      </c>
      <c r="E163" s="82" t="s">
        <v>87</v>
      </c>
      <c r="F163" s="82" t="s">
        <v>87</v>
      </c>
      <c r="G163" s="83" t="s">
        <v>87</v>
      </c>
      <c r="H163" s="30" t="s">
        <v>25</v>
      </c>
      <c r="I163" s="84">
        <v>1</v>
      </c>
      <c r="J163" s="85">
        <v>1</v>
      </c>
      <c r="K163" s="86">
        <v>1</v>
      </c>
      <c r="L163" s="94"/>
      <c r="M163" s="95"/>
      <c r="N163" s="94"/>
      <c r="O163" s="95"/>
      <c r="P163" s="93"/>
      <c r="Q163" s="93"/>
      <c r="S163" s="16"/>
      <c r="T163" s="26">
        <v>31000</v>
      </c>
      <c r="U163" s="12">
        <f t="shared" si="4"/>
        <v>0</v>
      </c>
    </row>
    <row r="164" spans="1:22">
      <c r="A164" s="17">
        <v>9</v>
      </c>
      <c r="B164" s="81" t="s">
        <v>88</v>
      </c>
      <c r="C164" s="82" t="s">
        <v>88</v>
      </c>
      <c r="D164" s="82" t="s">
        <v>88</v>
      </c>
      <c r="E164" s="82" t="s">
        <v>88</v>
      </c>
      <c r="F164" s="82" t="s">
        <v>88</v>
      </c>
      <c r="G164" s="83" t="s">
        <v>88</v>
      </c>
      <c r="H164" s="30" t="s">
        <v>25</v>
      </c>
      <c r="I164" s="84">
        <v>1</v>
      </c>
      <c r="J164" s="85">
        <v>1</v>
      </c>
      <c r="K164" s="86">
        <v>1</v>
      </c>
      <c r="L164" s="87"/>
      <c r="M164" s="88"/>
      <c r="N164" s="89"/>
      <c r="O164" s="90"/>
      <c r="P164" s="93"/>
      <c r="Q164" s="93"/>
      <c r="S164" s="12"/>
      <c r="T164" s="26">
        <v>30121</v>
      </c>
      <c r="U164" s="12">
        <f t="shared" si="4"/>
        <v>0</v>
      </c>
    </row>
    <row r="165" spans="1:22">
      <c r="A165" s="17">
        <v>10</v>
      </c>
      <c r="B165" s="81" t="s">
        <v>89</v>
      </c>
      <c r="C165" s="82"/>
      <c r="D165" s="82"/>
      <c r="E165" s="82"/>
      <c r="F165" s="82"/>
      <c r="G165" s="83"/>
      <c r="H165" s="30" t="s">
        <v>98</v>
      </c>
      <c r="I165" s="84">
        <v>3</v>
      </c>
      <c r="J165" s="85"/>
      <c r="K165" s="86"/>
      <c r="L165" s="31"/>
      <c r="M165" s="32"/>
      <c r="N165" s="89"/>
      <c r="O165" s="90"/>
      <c r="P165" s="91"/>
      <c r="Q165" s="92"/>
      <c r="S165" s="12"/>
      <c r="T165" s="26">
        <v>14500</v>
      </c>
      <c r="U165" s="12">
        <f t="shared" si="4"/>
        <v>0</v>
      </c>
    </row>
    <row r="166" spans="1:22">
      <c r="A166" s="17">
        <v>11</v>
      </c>
      <c r="B166" s="81" t="s">
        <v>90</v>
      </c>
      <c r="C166" s="82"/>
      <c r="D166" s="82"/>
      <c r="E166" s="82"/>
      <c r="F166" s="82"/>
      <c r="G166" s="83"/>
      <c r="H166" s="29" t="s">
        <v>67</v>
      </c>
      <c r="I166" s="84">
        <v>6</v>
      </c>
      <c r="J166" s="85"/>
      <c r="K166" s="86"/>
      <c r="L166" s="31"/>
      <c r="M166" s="32"/>
      <c r="N166" s="89"/>
      <c r="O166" s="90"/>
      <c r="P166" s="91"/>
      <c r="Q166" s="92"/>
      <c r="S166" s="12"/>
      <c r="T166" s="26">
        <v>3500</v>
      </c>
      <c r="U166" s="12">
        <f t="shared" si="4"/>
        <v>0</v>
      </c>
    </row>
    <row r="167" spans="1:22">
      <c r="A167" s="17">
        <v>12</v>
      </c>
      <c r="B167" s="81" t="s">
        <v>91</v>
      </c>
      <c r="C167" s="82" t="s">
        <v>89</v>
      </c>
      <c r="D167" s="82" t="s">
        <v>89</v>
      </c>
      <c r="E167" s="82" t="s">
        <v>89</v>
      </c>
      <c r="F167" s="82" t="s">
        <v>89</v>
      </c>
      <c r="G167" s="83" t="s">
        <v>89</v>
      </c>
      <c r="H167" s="29" t="s">
        <v>67</v>
      </c>
      <c r="I167" s="84">
        <v>10</v>
      </c>
      <c r="J167" s="85">
        <v>10</v>
      </c>
      <c r="K167" s="86">
        <v>10</v>
      </c>
      <c r="L167" s="87"/>
      <c r="M167" s="88"/>
      <c r="N167" s="89"/>
      <c r="O167" s="90"/>
      <c r="P167" s="93"/>
      <c r="Q167" s="93"/>
      <c r="S167" s="12"/>
      <c r="T167" s="26">
        <v>3000</v>
      </c>
      <c r="U167" s="12">
        <f t="shared" si="4"/>
        <v>0</v>
      </c>
      <c r="V167" s="22">
        <f>SUM(U156:U167)</f>
        <v>124000</v>
      </c>
    </row>
    <row r="168" spans="1:22">
      <c r="A168" s="17" t="s">
        <v>76</v>
      </c>
      <c r="B168" s="71" t="s">
        <v>92</v>
      </c>
      <c r="C168" s="72"/>
      <c r="D168" s="72"/>
      <c r="E168" s="72"/>
      <c r="F168" s="72"/>
      <c r="G168" s="73"/>
      <c r="H168" s="30" t="s">
        <v>24</v>
      </c>
      <c r="I168" s="84">
        <v>1</v>
      </c>
      <c r="J168" s="85">
        <v>10</v>
      </c>
      <c r="K168" s="86">
        <v>10</v>
      </c>
      <c r="L168" s="136"/>
      <c r="M168" s="137"/>
      <c r="N168" s="77">
        <v>1</v>
      </c>
      <c r="O168" s="78"/>
      <c r="P168" s="79"/>
      <c r="Q168" s="80"/>
      <c r="S168" s="12">
        <v>1</v>
      </c>
      <c r="T168" s="25">
        <v>10391</v>
      </c>
      <c r="U168" s="12">
        <f>S168*T168</f>
        <v>10391</v>
      </c>
      <c r="V168" s="27"/>
    </row>
    <row r="169" spans="1:22">
      <c r="A169" s="23" t="s">
        <v>68</v>
      </c>
      <c r="B169" s="71" t="s">
        <v>93</v>
      </c>
      <c r="C169" s="72"/>
      <c r="D169" s="72"/>
      <c r="E169" s="72"/>
      <c r="F169" s="72"/>
      <c r="G169" s="73"/>
      <c r="H169" s="30" t="s">
        <v>24</v>
      </c>
      <c r="I169" s="74">
        <v>1</v>
      </c>
      <c r="J169" s="75"/>
      <c r="K169" s="76"/>
      <c r="L169" s="77">
        <f>N169-N96</f>
        <v>0</v>
      </c>
      <c r="M169" s="78"/>
      <c r="N169" s="77">
        <f>S169</f>
        <v>0.11933403907227408</v>
      </c>
      <c r="O169" s="78"/>
      <c r="P169" s="77"/>
      <c r="Q169" s="78"/>
      <c r="S169" s="21">
        <f>V167*0.01/T169</f>
        <v>0.11933403907227408</v>
      </c>
      <c r="T169" s="25">
        <v>10391</v>
      </c>
      <c r="U169" s="12">
        <f t="shared" ref="U169:U170" si="5">S169*T169</f>
        <v>1240</v>
      </c>
    </row>
    <row r="170" spans="1:22">
      <c r="A170" s="23" t="s">
        <v>69</v>
      </c>
      <c r="B170" s="58" t="s">
        <v>94</v>
      </c>
      <c r="C170" s="59" t="s">
        <v>70</v>
      </c>
      <c r="D170" s="59" t="s">
        <v>70</v>
      </c>
      <c r="E170" s="59" t="s">
        <v>70</v>
      </c>
      <c r="F170" s="59" t="s">
        <v>70</v>
      </c>
      <c r="G170" s="60" t="s">
        <v>70</v>
      </c>
      <c r="H170" s="30" t="s">
        <v>24</v>
      </c>
      <c r="I170" s="74">
        <v>1</v>
      </c>
      <c r="J170" s="75"/>
      <c r="K170" s="76"/>
      <c r="L170" s="77">
        <f>N170-N97</f>
        <v>0</v>
      </c>
      <c r="M170" s="78"/>
      <c r="N170" s="77">
        <f>S170</f>
        <v>0.11933075791528616</v>
      </c>
      <c r="O170" s="78"/>
      <c r="P170" s="77"/>
      <c r="Q170" s="78"/>
      <c r="S170" s="21">
        <f>V167*0.07/T170</f>
        <v>0.11933075791528616</v>
      </c>
      <c r="T170" s="25">
        <v>72739</v>
      </c>
      <c r="U170" s="12">
        <f t="shared" si="5"/>
        <v>8680</v>
      </c>
    </row>
    <row r="171" spans="1:22">
      <c r="A171" s="23" t="s">
        <v>71</v>
      </c>
      <c r="B171" s="58" t="s">
        <v>95</v>
      </c>
      <c r="C171" s="59" t="s">
        <v>72</v>
      </c>
      <c r="D171" s="59" t="s">
        <v>72</v>
      </c>
      <c r="E171" s="59" t="s">
        <v>72</v>
      </c>
      <c r="F171" s="59" t="s">
        <v>72</v>
      </c>
      <c r="G171" s="60" t="s">
        <v>72</v>
      </c>
      <c r="H171" s="30" t="s">
        <v>24</v>
      </c>
      <c r="I171" s="74">
        <v>1</v>
      </c>
      <c r="J171" s="75"/>
      <c r="K171" s="76"/>
      <c r="L171" s="77"/>
      <c r="M171" s="78"/>
      <c r="N171" s="77">
        <f>S171</f>
        <v>1</v>
      </c>
      <c r="O171" s="78"/>
      <c r="P171" s="77"/>
      <c r="Q171" s="78"/>
      <c r="S171" s="21">
        <v>1</v>
      </c>
      <c r="T171" s="25">
        <v>4156</v>
      </c>
      <c r="U171" s="12">
        <f>S171*T171</f>
        <v>4156</v>
      </c>
    </row>
    <row r="172" spans="1:22">
      <c r="A172" s="23" t="s">
        <v>73</v>
      </c>
      <c r="B172" s="58" t="s">
        <v>96</v>
      </c>
      <c r="C172" s="59" t="s">
        <v>74</v>
      </c>
      <c r="D172" s="59" t="s">
        <v>74</v>
      </c>
      <c r="E172" s="59" t="s">
        <v>74</v>
      </c>
      <c r="F172" s="59" t="s">
        <v>74</v>
      </c>
      <c r="G172" s="60" t="s">
        <v>74</v>
      </c>
      <c r="H172" s="30" t="s">
        <v>24</v>
      </c>
      <c r="I172" s="74">
        <v>1</v>
      </c>
      <c r="J172" s="75"/>
      <c r="K172" s="76"/>
      <c r="L172" s="77">
        <f>N172-N99</f>
        <v>0</v>
      </c>
      <c r="M172" s="78"/>
      <c r="N172" s="77">
        <f>S172</f>
        <v>0.13060080928923293</v>
      </c>
      <c r="O172" s="78"/>
      <c r="P172" s="79"/>
      <c r="Q172" s="80"/>
      <c r="S172" s="21">
        <f>(V167+U168+U169+U170+U171)*0.05/T172</f>
        <v>0.13060080928923293</v>
      </c>
      <c r="T172" s="25">
        <v>56840</v>
      </c>
      <c r="U172" s="12">
        <f>S172*T172</f>
        <v>7423.3499999999995</v>
      </c>
    </row>
    <row r="173" spans="1:22">
      <c r="A173" s="23"/>
      <c r="B173" s="58"/>
      <c r="C173" s="59"/>
      <c r="D173" s="59"/>
      <c r="E173" s="59"/>
      <c r="F173" s="59"/>
      <c r="G173" s="60"/>
      <c r="H173" s="24"/>
      <c r="I173" s="58"/>
      <c r="J173" s="59"/>
      <c r="K173" s="59"/>
      <c r="L173" s="58"/>
      <c r="M173" s="59"/>
      <c r="N173" s="58"/>
      <c r="O173" s="59"/>
      <c r="P173" s="58"/>
      <c r="Q173" s="60"/>
      <c r="S173" s="21"/>
      <c r="T173" s="25"/>
      <c r="U173" s="28">
        <f>V167+U168+U169+U170+U171+U172</f>
        <v>155890.35</v>
      </c>
    </row>
    <row r="174" spans="1:22">
      <c r="A174" s="23"/>
      <c r="B174" s="58"/>
      <c r="C174" s="59"/>
      <c r="D174" s="59"/>
      <c r="E174" s="59"/>
      <c r="F174" s="59"/>
      <c r="G174" s="60"/>
      <c r="H174" s="23"/>
      <c r="I174" s="58"/>
      <c r="J174" s="59"/>
      <c r="K174" s="59"/>
      <c r="L174" s="58"/>
      <c r="M174" s="59"/>
      <c r="N174" s="58"/>
      <c r="O174" s="59"/>
      <c r="P174" s="58"/>
      <c r="Q174" s="60"/>
      <c r="S174" s="21"/>
      <c r="T174" s="16"/>
      <c r="U174" s="14">
        <v>1193638</v>
      </c>
    </row>
    <row r="175" spans="1:22">
      <c r="A175" s="9"/>
      <c r="B175" s="58"/>
      <c r="C175" s="59"/>
      <c r="D175" s="59"/>
      <c r="E175" s="59"/>
      <c r="F175" s="59"/>
      <c r="G175" s="60"/>
      <c r="H175" s="9"/>
      <c r="I175" s="58"/>
      <c r="J175" s="59"/>
      <c r="K175" s="59"/>
      <c r="L175" s="58"/>
      <c r="M175" s="59"/>
      <c r="N175" s="58"/>
      <c r="O175" s="59"/>
      <c r="P175" s="58"/>
      <c r="Q175" s="60"/>
      <c r="S175" s="21"/>
      <c r="T175" s="16"/>
      <c r="U175" s="15">
        <f>U173/U174</f>
        <v>0.13060102811740243</v>
      </c>
    </row>
    <row r="176" spans="1:22">
      <c r="A176" s="9"/>
      <c r="B176" s="58"/>
      <c r="C176" s="59"/>
      <c r="D176" s="59"/>
      <c r="E176" s="59"/>
      <c r="F176" s="59"/>
      <c r="G176" s="60"/>
      <c r="H176" s="9"/>
      <c r="I176" s="58"/>
      <c r="J176" s="59"/>
      <c r="K176" s="59"/>
      <c r="L176" s="58"/>
      <c r="M176" s="59"/>
      <c r="N176" s="58"/>
      <c r="O176" s="59"/>
      <c r="P176" s="58"/>
      <c r="Q176" s="60"/>
      <c r="S176" s="21"/>
      <c r="T176" s="16"/>
      <c r="U176" s="12"/>
    </row>
    <row r="177" spans="1:21">
      <c r="A177" s="9"/>
      <c r="B177" s="58"/>
      <c r="C177" s="59"/>
      <c r="D177" s="59"/>
      <c r="E177" s="59"/>
      <c r="F177" s="59"/>
      <c r="G177" s="60"/>
      <c r="H177" s="9"/>
      <c r="I177" s="58"/>
      <c r="J177" s="59"/>
      <c r="K177" s="59"/>
      <c r="L177" s="58"/>
      <c r="M177" s="59"/>
      <c r="N177" s="58"/>
      <c r="O177" s="59"/>
      <c r="P177" s="58"/>
      <c r="Q177" s="60"/>
      <c r="S177" s="21"/>
      <c r="T177" s="16"/>
      <c r="U177" s="12"/>
    </row>
    <row r="178" spans="1:21">
      <c r="A178" s="9"/>
      <c r="B178" s="58"/>
      <c r="C178" s="59"/>
      <c r="D178" s="59"/>
      <c r="E178" s="59"/>
      <c r="F178" s="59"/>
      <c r="G178" s="60"/>
      <c r="H178" s="9"/>
      <c r="I178" s="58"/>
      <c r="J178" s="59"/>
      <c r="K178" s="59"/>
      <c r="L178" s="58"/>
      <c r="M178" s="59"/>
      <c r="N178" s="58"/>
      <c r="O178" s="59"/>
      <c r="P178" s="58"/>
      <c r="Q178" s="60"/>
      <c r="S178" s="21"/>
      <c r="T178" s="16"/>
      <c r="U178" s="12"/>
    </row>
    <row r="179" spans="1:21">
      <c r="A179" s="9"/>
      <c r="B179" s="58"/>
      <c r="C179" s="59"/>
      <c r="D179" s="59"/>
      <c r="E179" s="59"/>
      <c r="F179" s="59"/>
      <c r="G179" s="60"/>
      <c r="H179" s="9"/>
      <c r="I179" s="58"/>
      <c r="J179" s="59"/>
      <c r="K179" s="59"/>
      <c r="L179" s="58"/>
      <c r="M179" s="59"/>
      <c r="N179" s="58"/>
      <c r="O179" s="59"/>
      <c r="P179" s="58"/>
      <c r="Q179" s="60"/>
      <c r="S179" s="21"/>
      <c r="T179" s="16"/>
      <c r="U179" s="12"/>
    </row>
    <row r="180" spans="1:21">
      <c r="A180" s="7"/>
      <c r="B180" s="61"/>
      <c r="C180" s="62"/>
      <c r="D180" s="62"/>
      <c r="E180" s="62"/>
      <c r="F180" s="62"/>
      <c r="G180" s="63"/>
      <c r="H180" s="9"/>
      <c r="I180" s="64"/>
      <c r="J180" s="65"/>
      <c r="K180" s="66"/>
      <c r="L180" s="67"/>
      <c r="M180" s="68"/>
      <c r="N180" s="67"/>
      <c r="O180" s="68"/>
      <c r="P180" s="69"/>
      <c r="Q180" s="70"/>
      <c r="S180" s="21"/>
      <c r="T180" s="16"/>
    </row>
    <row r="181" spans="1:21">
      <c r="A181" s="44" t="s">
        <v>29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T181" s="20"/>
    </row>
    <row r="182" spans="1:21">
      <c r="A182" s="44" t="s">
        <v>30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T182" s="20"/>
    </row>
    <row r="183" spans="1:21">
      <c r="A183" s="44" t="s">
        <v>31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T183" s="20"/>
    </row>
    <row r="184" spans="1:21">
      <c r="A184" s="44" t="s">
        <v>32</v>
      </c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T184" s="20"/>
    </row>
    <row r="185" spans="1:21">
      <c r="A185" s="54" t="s">
        <v>33</v>
      </c>
      <c r="B185" s="54"/>
      <c r="C185" s="54"/>
      <c r="D185" s="54"/>
      <c r="E185" s="54"/>
      <c r="F185" s="54"/>
      <c r="G185" s="54"/>
      <c r="H185" s="54" t="s">
        <v>20</v>
      </c>
      <c r="I185" s="54"/>
      <c r="J185" s="54"/>
      <c r="K185" s="54" t="s">
        <v>34</v>
      </c>
      <c r="L185" s="54"/>
      <c r="M185" s="54" t="s">
        <v>35</v>
      </c>
      <c r="N185" s="54"/>
      <c r="O185" s="54" t="s">
        <v>36</v>
      </c>
      <c r="P185" s="54"/>
      <c r="Q185" s="54"/>
      <c r="T185" s="20"/>
    </row>
    <row r="186" spans="1:21">
      <c r="A186" s="55"/>
      <c r="B186" s="56"/>
      <c r="C186" s="56"/>
      <c r="D186" s="56"/>
      <c r="E186" s="56"/>
      <c r="F186" s="56"/>
      <c r="G186" s="57"/>
      <c r="H186" s="55"/>
      <c r="I186" s="56"/>
      <c r="J186" s="57"/>
      <c r="K186" s="55"/>
      <c r="L186" s="56"/>
      <c r="M186" s="55"/>
      <c r="N186" s="56"/>
      <c r="O186" s="55"/>
      <c r="P186" s="56"/>
      <c r="Q186" s="57"/>
      <c r="T186" s="20"/>
    </row>
    <row r="187" spans="1:21">
      <c r="A187" s="55"/>
      <c r="B187" s="56"/>
      <c r="C187" s="56"/>
      <c r="D187" s="56"/>
      <c r="E187" s="56"/>
      <c r="F187" s="56"/>
      <c r="G187" s="57"/>
      <c r="H187" s="55"/>
      <c r="I187" s="56"/>
      <c r="J187" s="57"/>
      <c r="K187" s="55"/>
      <c r="L187" s="56"/>
      <c r="M187" s="55"/>
      <c r="N187" s="56"/>
      <c r="O187" s="55"/>
      <c r="P187" s="56"/>
      <c r="Q187" s="57"/>
      <c r="T187" s="20"/>
    </row>
    <row r="188" spans="1:21">
      <c r="A188" s="53"/>
      <c r="B188" s="53"/>
      <c r="C188" s="53"/>
      <c r="D188" s="53"/>
      <c r="E188" s="53"/>
      <c r="F188" s="53"/>
      <c r="G188" s="53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T188" s="20"/>
    </row>
    <row r="189" spans="1:21">
      <c r="A189" s="53"/>
      <c r="B189" s="53"/>
      <c r="C189" s="53"/>
      <c r="D189" s="53"/>
      <c r="E189" s="53"/>
      <c r="F189" s="53"/>
      <c r="G189" s="53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T189" s="20"/>
    </row>
    <row r="190" spans="1:21">
      <c r="A190" s="44" t="s">
        <v>37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T190" s="20"/>
    </row>
    <row r="191" spans="1:21">
      <c r="A191" s="46" t="s">
        <v>38</v>
      </c>
      <c r="B191" s="46"/>
      <c r="C191" s="47" t="s">
        <v>39</v>
      </c>
      <c r="D191" s="48"/>
      <c r="E191" s="48"/>
      <c r="F191" s="47" t="s">
        <v>40</v>
      </c>
      <c r="G191" s="48"/>
      <c r="H191" s="49"/>
      <c r="I191" s="46" t="s">
        <v>41</v>
      </c>
      <c r="J191" s="46"/>
      <c r="K191" s="46"/>
      <c r="L191" s="46" t="s">
        <v>35</v>
      </c>
      <c r="M191" s="46"/>
      <c r="N191" s="46"/>
      <c r="O191" s="46" t="s">
        <v>36</v>
      </c>
      <c r="P191" s="46"/>
      <c r="Q191" s="46"/>
      <c r="T191" s="20"/>
    </row>
    <row r="192" spans="1:21">
      <c r="A192" s="47" t="s">
        <v>42</v>
      </c>
      <c r="B192" s="49"/>
      <c r="C192" s="47"/>
      <c r="D192" s="48"/>
      <c r="E192" s="49"/>
      <c r="F192" s="47">
        <f>F119+C192</f>
        <v>5</v>
      </c>
      <c r="G192" s="48"/>
      <c r="H192" s="49"/>
      <c r="I192" s="47"/>
      <c r="J192" s="48"/>
      <c r="K192" s="49"/>
      <c r="L192" s="47"/>
      <c r="M192" s="48"/>
      <c r="N192" s="49"/>
      <c r="O192" s="47"/>
      <c r="P192" s="48"/>
      <c r="Q192" s="49"/>
      <c r="T192" s="20"/>
    </row>
    <row r="193" spans="1:20">
      <c r="A193" s="47" t="s">
        <v>100</v>
      </c>
      <c r="B193" s="49"/>
      <c r="C193" s="47"/>
      <c r="D193" s="48"/>
      <c r="E193" s="49"/>
      <c r="F193" s="47">
        <f>F120+C193</f>
        <v>2</v>
      </c>
      <c r="G193" s="48"/>
      <c r="H193" s="49"/>
      <c r="I193" s="47"/>
      <c r="J193" s="48"/>
      <c r="K193" s="49"/>
      <c r="L193" s="47"/>
      <c r="M193" s="48"/>
      <c r="N193" s="49"/>
      <c r="O193" s="47"/>
      <c r="P193" s="48"/>
      <c r="Q193" s="49"/>
      <c r="T193" s="20"/>
    </row>
    <row r="194" spans="1:20">
      <c r="A194" s="47"/>
      <c r="B194" s="49"/>
      <c r="C194" s="47"/>
      <c r="D194" s="48"/>
      <c r="E194" s="49"/>
      <c r="F194" s="47"/>
      <c r="G194" s="48"/>
      <c r="H194" s="49"/>
      <c r="I194" s="47"/>
      <c r="J194" s="48"/>
      <c r="K194" s="49"/>
      <c r="L194" s="47"/>
      <c r="M194" s="48"/>
      <c r="N194" s="49"/>
      <c r="O194" s="47"/>
      <c r="P194" s="48"/>
      <c r="Q194" s="49"/>
      <c r="T194" s="20"/>
    </row>
    <row r="195" spans="1:20">
      <c r="A195" s="46"/>
      <c r="B195" s="46"/>
      <c r="C195" s="47"/>
      <c r="D195" s="48"/>
      <c r="E195" s="49"/>
      <c r="F195" s="47"/>
      <c r="G195" s="48"/>
      <c r="H195" s="49"/>
      <c r="I195" s="47"/>
      <c r="J195" s="48"/>
      <c r="K195" s="49"/>
      <c r="L195" s="47"/>
      <c r="M195" s="48"/>
      <c r="N195" s="49"/>
      <c r="O195" s="47"/>
      <c r="P195" s="48"/>
      <c r="Q195" s="49"/>
      <c r="T195" s="20"/>
    </row>
    <row r="196" spans="1:20">
      <c r="A196" s="46"/>
      <c r="B196" s="46"/>
      <c r="C196" s="47"/>
      <c r="D196" s="48"/>
      <c r="E196" s="49"/>
      <c r="F196" s="47"/>
      <c r="G196" s="48"/>
      <c r="H196" s="49"/>
      <c r="I196" s="47"/>
      <c r="J196" s="48"/>
      <c r="K196" s="49"/>
      <c r="L196" s="47"/>
      <c r="M196" s="48"/>
      <c r="N196" s="49"/>
      <c r="O196" s="47"/>
      <c r="P196" s="48"/>
      <c r="Q196" s="49"/>
      <c r="T196" s="20"/>
    </row>
    <row r="197" spans="1:20">
      <c r="A197" s="50" t="s">
        <v>43</v>
      </c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2"/>
      <c r="T197" s="20"/>
    </row>
    <row r="198" spans="1:20">
      <c r="A198" s="38" t="s">
        <v>44</v>
      </c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40"/>
      <c r="T198" s="20"/>
    </row>
    <row r="199" spans="1:20">
      <c r="A199" s="41" t="s">
        <v>45</v>
      </c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3"/>
      <c r="T199" s="20"/>
    </row>
    <row r="200" spans="1:20">
      <c r="A200" s="50" t="s">
        <v>46</v>
      </c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2"/>
      <c r="T200" s="20"/>
    </row>
    <row r="201" spans="1:20">
      <c r="A201" s="38" t="s">
        <v>47</v>
      </c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40"/>
      <c r="T201" s="20"/>
    </row>
    <row r="202" spans="1:20">
      <c r="A202" s="38" t="s">
        <v>48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40"/>
      <c r="T202" s="20"/>
    </row>
    <row r="203" spans="1:20">
      <c r="A203" s="38" t="s">
        <v>49</v>
      </c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40"/>
      <c r="T203" s="20"/>
    </row>
    <row r="204" spans="1:20">
      <c r="A204" s="38" t="s">
        <v>50</v>
      </c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40"/>
      <c r="T204" s="20"/>
    </row>
    <row r="205" spans="1:20">
      <c r="A205" s="38" t="s">
        <v>51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40"/>
      <c r="T205" s="20"/>
    </row>
    <row r="206" spans="1:20">
      <c r="A206" s="41" t="s">
        <v>52</v>
      </c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3"/>
      <c r="T206" s="20"/>
    </row>
    <row r="207" spans="1:20">
      <c r="A207" s="44" t="s">
        <v>53</v>
      </c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T207" s="20"/>
    </row>
    <row r="208" spans="1:20">
      <c r="A208" s="44" t="s">
        <v>54</v>
      </c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T208" s="20"/>
    </row>
    <row r="209" spans="1:20">
      <c r="A209" s="44" t="s">
        <v>101</v>
      </c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T209" s="20"/>
    </row>
    <row r="210" spans="1:20">
      <c r="A210" s="44" t="s">
        <v>55</v>
      </c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T210" s="20"/>
    </row>
    <row r="211" spans="1:20">
      <c r="A211" s="45" t="s">
        <v>56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T211" s="20"/>
    </row>
    <row r="212" spans="1:20">
      <c r="A212" s="37" t="s">
        <v>57</v>
      </c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T212" s="20"/>
    </row>
    <row r="213" spans="1:20">
      <c r="A213" s="37" t="s">
        <v>58</v>
      </c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T213" s="20"/>
    </row>
    <row r="214" spans="1:20">
      <c r="A214" s="37" t="s">
        <v>59</v>
      </c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T214" s="20"/>
    </row>
    <row r="215" spans="1:20">
      <c r="A215" s="37" t="s">
        <v>60</v>
      </c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T215" s="20"/>
    </row>
    <row r="216" spans="1:20">
      <c r="A216" s="37" t="s">
        <v>61</v>
      </c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T216" s="20"/>
    </row>
    <row r="217" spans="1:20">
      <c r="A217" s="37" t="s">
        <v>62</v>
      </c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T217" s="20"/>
    </row>
    <row r="218" spans="1:20">
      <c r="A218" s="37" t="s">
        <v>63</v>
      </c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T218" s="20"/>
    </row>
    <row r="219" spans="1:20">
      <c r="A219" s="37" t="s">
        <v>75</v>
      </c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T219" s="20"/>
    </row>
    <row r="220" spans="1:20" ht="39" customHeight="1">
      <c r="B220" s="120" t="s">
        <v>0</v>
      </c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T220" s="20"/>
    </row>
    <row r="221" spans="1:20">
      <c r="B221" s="6" t="s">
        <v>1</v>
      </c>
      <c r="C221" s="121" t="s">
        <v>2</v>
      </c>
      <c r="D221" s="121"/>
      <c r="E221" s="1" t="s">
        <v>3</v>
      </c>
      <c r="F221" s="121" t="s">
        <v>4</v>
      </c>
      <c r="G221" s="121"/>
      <c r="H221" s="1" t="s">
        <v>3</v>
      </c>
      <c r="I221" s="1"/>
      <c r="J221" s="121" t="s">
        <v>5</v>
      </c>
      <c r="K221" s="121"/>
      <c r="L221" s="121"/>
      <c r="M221" s="122">
        <f>M148+1</f>
        <v>46230</v>
      </c>
      <c r="N221" s="122"/>
      <c r="O221" s="122"/>
      <c r="P221" s="123"/>
      <c r="Q221" s="123"/>
      <c r="T221" s="20"/>
    </row>
    <row r="222" spans="1:20">
      <c r="A222" s="96" t="s">
        <v>6</v>
      </c>
      <c r="B222" s="96"/>
      <c r="C222" s="124" t="s">
        <v>79</v>
      </c>
      <c r="D222" s="125"/>
      <c r="E222" s="125"/>
      <c r="F222" s="125"/>
      <c r="G222" s="125"/>
      <c r="H222" s="125"/>
      <c r="I222" s="126"/>
      <c r="J222" s="127" t="s">
        <v>7</v>
      </c>
      <c r="K222" s="128"/>
      <c r="L222" s="128"/>
      <c r="M222" s="129"/>
      <c r="N222" s="130" t="s">
        <v>78</v>
      </c>
      <c r="O222" s="130"/>
      <c r="P222" s="130"/>
      <c r="Q222" s="131"/>
      <c r="T222" s="20"/>
    </row>
    <row r="223" spans="1:20">
      <c r="A223" s="96" t="s">
        <v>8</v>
      </c>
      <c r="B223" s="96"/>
      <c r="C223" s="4">
        <v>30</v>
      </c>
      <c r="D223" s="3" t="s">
        <v>9</v>
      </c>
      <c r="E223" s="127" t="s">
        <v>10</v>
      </c>
      <c r="F223" s="129"/>
      <c r="G223" s="127">
        <f>G150+1</f>
        <v>4</v>
      </c>
      <c r="H223" s="128"/>
      <c r="I223" s="3" t="s">
        <v>9</v>
      </c>
      <c r="J223" s="96" t="s">
        <v>11</v>
      </c>
      <c r="K223" s="96"/>
      <c r="L223" s="5">
        <f>C223-G223</f>
        <v>26</v>
      </c>
      <c r="M223" s="2" t="s">
        <v>9</v>
      </c>
      <c r="N223" s="96" t="s">
        <v>12</v>
      </c>
      <c r="O223" s="96"/>
      <c r="P223" s="2"/>
      <c r="Q223" s="3" t="s">
        <v>9</v>
      </c>
      <c r="T223" s="20"/>
    </row>
    <row r="224" spans="1:20">
      <c r="A224" s="96" t="s">
        <v>13</v>
      </c>
      <c r="B224" s="96"/>
      <c r="C224" s="132">
        <v>46227</v>
      </c>
      <c r="D224" s="132"/>
      <c r="E224" s="132"/>
      <c r="F224" s="132"/>
      <c r="G224" s="132"/>
      <c r="H224" s="132"/>
      <c r="I224" s="132"/>
      <c r="J224" s="127" t="s">
        <v>14</v>
      </c>
      <c r="K224" s="128"/>
      <c r="L224" s="128"/>
      <c r="M224" s="129"/>
      <c r="N224" s="133">
        <v>46256</v>
      </c>
      <c r="O224" s="134"/>
      <c r="P224" s="134"/>
      <c r="Q224" s="135"/>
      <c r="T224" s="20"/>
    </row>
    <row r="225" spans="1:22">
      <c r="A225" s="96" t="s">
        <v>15</v>
      </c>
      <c r="B225" s="96"/>
      <c r="C225" s="97"/>
      <c r="D225" s="98"/>
      <c r="E225" s="98"/>
      <c r="F225" s="98"/>
      <c r="G225" s="98"/>
      <c r="H225" s="99" t="s">
        <v>16</v>
      </c>
      <c r="I225" s="100"/>
      <c r="J225" s="101" t="s">
        <v>17</v>
      </c>
      <c r="K225" s="101"/>
      <c r="L225" s="101"/>
      <c r="M225" s="101"/>
      <c r="N225" s="102">
        <f>U248</f>
        <v>0.13060102811740243</v>
      </c>
      <c r="O225" s="102"/>
      <c r="P225" s="102"/>
      <c r="Q225" s="102"/>
      <c r="T225" s="20"/>
    </row>
    <row r="226" spans="1:22">
      <c r="A226" s="103" t="s">
        <v>18</v>
      </c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5"/>
      <c r="T226" s="20"/>
    </row>
    <row r="227" spans="1:22">
      <c r="A227" s="7"/>
      <c r="B227" s="106" t="s">
        <v>19</v>
      </c>
      <c r="C227" s="107"/>
      <c r="D227" s="107"/>
      <c r="E227" s="107"/>
      <c r="F227" s="107"/>
      <c r="G227" s="108"/>
      <c r="H227" s="8" t="s">
        <v>20</v>
      </c>
      <c r="I227" s="109" t="s">
        <v>21</v>
      </c>
      <c r="J227" s="110"/>
      <c r="K227" s="111"/>
      <c r="L227" s="109" t="s">
        <v>28</v>
      </c>
      <c r="M227" s="111"/>
      <c r="N227" s="106" t="s">
        <v>22</v>
      </c>
      <c r="O227" s="112"/>
      <c r="P227" s="113" t="s">
        <v>23</v>
      </c>
      <c r="Q227" s="113"/>
      <c r="S227" s="18" t="s">
        <v>22</v>
      </c>
      <c r="T227" s="19" t="s">
        <v>64</v>
      </c>
      <c r="U227" s="13" t="s">
        <v>27</v>
      </c>
    </row>
    <row r="228" spans="1:22">
      <c r="A228" s="17" t="s">
        <v>65</v>
      </c>
      <c r="B228" s="114" t="s">
        <v>66</v>
      </c>
      <c r="C228" s="115"/>
      <c r="D228" s="115"/>
      <c r="E228" s="115"/>
      <c r="F228" s="115"/>
      <c r="G228" s="116"/>
      <c r="H228" s="17"/>
      <c r="I228" s="117"/>
      <c r="J228" s="118"/>
      <c r="K228" s="119"/>
      <c r="L228" s="77"/>
      <c r="M228" s="78"/>
      <c r="N228" s="77"/>
      <c r="O228" s="78"/>
      <c r="P228" s="93"/>
      <c r="Q228" s="93"/>
      <c r="S228" s="16"/>
      <c r="T228" s="16"/>
      <c r="U228" s="16" t="s">
        <v>26</v>
      </c>
    </row>
    <row r="229" spans="1:22">
      <c r="A229" s="17">
        <v>1</v>
      </c>
      <c r="B229" s="81" t="s">
        <v>80</v>
      </c>
      <c r="C229" s="82"/>
      <c r="D229" s="82"/>
      <c r="E229" s="82"/>
      <c r="F229" s="82"/>
      <c r="G229" s="83"/>
      <c r="H229" s="29" t="s">
        <v>67</v>
      </c>
      <c r="I229" s="84">
        <v>18</v>
      </c>
      <c r="J229" s="85"/>
      <c r="K229" s="86"/>
      <c r="L229" s="87"/>
      <c r="M229" s="88"/>
      <c r="N229" s="89"/>
      <c r="O229" s="90"/>
      <c r="P229" s="93"/>
      <c r="Q229" s="93"/>
      <c r="S229" s="12"/>
      <c r="T229" s="26">
        <v>18000</v>
      </c>
      <c r="U229" s="12">
        <f>S229*T229</f>
        <v>0</v>
      </c>
    </row>
    <row r="230" spans="1:22" ht="32.1" customHeight="1">
      <c r="A230" s="17">
        <v>2</v>
      </c>
      <c r="B230" s="81" t="s">
        <v>81</v>
      </c>
      <c r="C230" s="82" t="s">
        <v>81</v>
      </c>
      <c r="D230" s="82" t="s">
        <v>81</v>
      </c>
      <c r="E230" s="82" t="s">
        <v>81</v>
      </c>
      <c r="F230" s="82" t="s">
        <v>81</v>
      </c>
      <c r="G230" s="83" t="s">
        <v>81</v>
      </c>
      <c r="H230" s="29" t="s">
        <v>97</v>
      </c>
      <c r="I230" s="84">
        <v>166</v>
      </c>
      <c r="J230" s="85"/>
      <c r="K230" s="86"/>
      <c r="L230" s="87"/>
      <c r="M230" s="88"/>
      <c r="N230" s="89"/>
      <c r="O230" s="90"/>
      <c r="P230" s="93"/>
      <c r="Q230" s="93"/>
      <c r="S230" s="12"/>
      <c r="T230" s="26">
        <v>750</v>
      </c>
      <c r="U230" s="12">
        <f t="shared" ref="U230:U240" si="6">S230*T230</f>
        <v>0</v>
      </c>
    </row>
    <row r="231" spans="1:22">
      <c r="A231" s="17">
        <v>3</v>
      </c>
      <c r="B231" s="81" t="s">
        <v>82</v>
      </c>
      <c r="C231" s="82" t="s">
        <v>82</v>
      </c>
      <c r="D231" s="82" t="s">
        <v>82</v>
      </c>
      <c r="E231" s="82" t="s">
        <v>82</v>
      </c>
      <c r="F231" s="82" t="s">
        <v>82</v>
      </c>
      <c r="G231" s="83" t="s">
        <v>82</v>
      </c>
      <c r="H231" s="29" t="s">
        <v>97</v>
      </c>
      <c r="I231" s="84">
        <v>540</v>
      </c>
      <c r="J231" s="85">
        <v>540</v>
      </c>
      <c r="K231" s="86">
        <v>540</v>
      </c>
      <c r="L231" s="87"/>
      <c r="M231" s="88"/>
      <c r="N231" s="89"/>
      <c r="O231" s="90"/>
      <c r="P231" s="93"/>
      <c r="Q231" s="93"/>
      <c r="S231" s="12"/>
      <c r="T231" s="26">
        <v>340</v>
      </c>
      <c r="U231" s="12">
        <f t="shared" si="6"/>
        <v>0</v>
      </c>
    </row>
    <row r="232" spans="1:22">
      <c r="A232" s="17">
        <v>4</v>
      </c>
      <c r="B232" s="81" t="s">
        <v>83</v>
      </c>
      <c r="C232" s="82" t="s">
        <v>83</v>
      </c>
      <c r="D232" s="82" t="s">
        <v>83</v>
      </c>
      <c r="E232" s="82" t="s">
        <v>83</v>
      </c>
      <c r="F232" s="82" t="s">
        <v>83</v>
      </c>
      <c r="G232" s="83" t="s">
        <v>83</v>
      </c>
      <c r="H232" s="29" t="s">
        <v>67</v>
      </c>
      <c r="I232" s="84">
        <v>20</v>
      </c>
      <c r="J232" s="85">
        <v>20</v>
      </c>
      <c r="K232" s="86">
        <v>20</v>
      </c>
      <c r="L232" s="87"/>
      <c r="M232" s="88"/>
      <c r="N232" s="89"/>
      <c r="O232" s="90"/>
      <c r="P232" s="93"/>
      <c r="Q232" s="93"/>
      <c r="S232" s="12"/>
      <c r="T232" s="26">
        <v>1250</v>
      </c>
      <c r="U232" s="12">
        <f t="shared" si="6"/>
        <v>0</v>
      </c>
    </row>
    <row r="233" spans="1:22" ht="32.1" customHeight="1">
      <c r="A233" s="17">
        <v>5</v>
      </c>
      <c r="B233" s="81" t="s">
        <v>84</v>
      </c>
      <c r="C233" s="82" t="s">
        <v>84</v>
      </c>
      <c r="D233" s="82" t="s">
        <v>84</v>
      </c>
      <c r="E233" s="82" t="s">
        <v>84</v>
      </c>
      <c r="F233" s="82" t="s">
        <v>84</v>
      </c>
      <c r="G233" s="83" t="s">
        <v>84</v>
      </c>
      <c r="H233" s="29" t="s">
        <v>97</v>
      </c>
      <c r="I233" s="84">
        <v>28</v>
      </c>
      <c r="J233" s="85">
        <v>28</v>
      </c>
      <c r="K233" s="86">
        <v>28</v>
      </c>
      <c r="L233" s="87"/>
      <c r="M233" s="88"/>
      <c r="N233" s="89">
        <v>20</v>
      </c>
      <c r="O233" s="90"/>
      <c r="P233" s="93"/>
      <c r="Q233" s="93"/>
      <c r="S233" s="12">
        <v>20</v>
      </c>
      <c r="T233" s="26">
        <v>1800</v>
      </c>
      <c r="U233" s="12">
        <f t="shared" si="6"/>
        <v>36000</v>
      </c>
    </row>
    <row r="234" spans="1:22">
      <c r="A234" s="17">
        <v>6</v>
      </c>
      <c r="B234" s="81" t="s">
        <v>85</v>
      </c>
      <c r="C234" s="82" t="s">
        <v>85</v>
      </c>
      <c r="D234" s="82" t="s">
        <v>85</v>
      </c>
      <c r="E234" s="82" t="s">
        <v>85</v>
      </c>
      <c r="F234" s="82" t="s">
        <v>85</v>
      </c>
      <c r="G234" s="83" t="s">
        <v>85</v>
      </c>
      <c r="H234" s="29" t="s">
        <v>97</v>
      </c>
      <c r="I234" s="84">
        <v>14</v>
      </c>
      <c r="J234" s="85">
        <v>14</v>
      </c>
      <c r="K234" s="86">
        <v>14</v>
      </c>
      <c r="L234" s="87"/>
      <c r="M234" s="88"/>
      <c r="N234" s="89">
        <v>7</v>
      </c>
      <c r="O234" s="90"/>
      <c r="P234" s="79"/>
      <c r="Q234" s="80"/>
      <c r="S234" s="12">
        <v>7</v>
      </c>
      <c r="T234" s="26">
        <v>4000</v>
      </c>
      <c r="U234" s="12">
        <f t="shared" si="6"/>
        <v>28000</v>
      </c>
    </row>
    <row r="235" spans="1:22">
      <c r="A235" s="17">
        <v>7</v>
      </c>
      <c r="B235" s="81" t="s">
        <v>86</v>
      </c>
      <c r="C235" s="82" t="s">
        <v>86</v>
      </c>
      <c r="D235" s="82" t="s">
        <v>86</v>
      </c>
      <c r="E235" s="82" t="s">
        <v>86</v>
      </c>
      <c r="F235" s="82" t="s">
        <v>86</v>
      </c>
      <c r="G235" s="83" t="s">
        <v>86</v>
      </c>
      <c r="H235" s="29" t="s">
        <v>97</v>
      </c>
      <c r="I235" s="84">
        <v>30</v>
      </c>
      <c r="J235" s="85">
        <v>30</v>
      </c>
      <c r="K235" s="86">
        <v>30</v>
      </c>
      <c r="L235" s="87"/>
      <c r="M235" s="88"/>
      <c r="N235" s="89">
        <v>15</v>
      </c>
      <c r="O235" s="90"/>
      <c r="P235" s="93"/>
      <c r="Q235" s="93"/>
      <c r="S235" s="12">
        <v>15</v>
      </c>
      <c r="T235" s="26">
        <v>4000</v>
      </c>
      <c r="U235" s="12">
        <f t="shared" si="6"/>
        <v>60000</v>
      </c>
    </row>
    <row r="236" spans="1:22">
      <c r="A236" s="17">
        <v>8</v>
      </c>
      <c r="B236" s="81" t="s">
        <v>87</v>
      </c>
      <c r="C236" s="82" t="s">
        <v>87</v>
      </c>
      <c r="D236" s="82" t="s">
        <v>87</v>
      </c>
      <c r="E236" s="82" t="s">
        <v>87</v>
      </c>
      <c r="F236" s="82" t="s">
        <v>87</v>
      </c>
      <c r="G236" s="83" t="s">
        <v>87</v>
      </c>
      <c r="H236" s="30" t="s">
        <v>25</v>
      </c>
      <c r="I236" s="84">
        <v>1</v>
      </c>
      <c r="J236" s="85">
        <v>1</v>
      </c>
      <c r="K236" s="86">
        <v>1</v>
      </c>
      <c r="L236" s="94"/>
      <c r="M236" s="95"/>
      <c r="N236" s="94"/>
      <c r="O236" s="95"/>
      <c r="P236" s="93"/>
      <c r="Q236" s="93"/>
      <c r="S236" s="16"/>
      <c r="T236" s="26">
        <v>31000</v>
      </c>
      <c r="U236" s="12">
        <f t="shared" si="6"/>
        <v>0</v>
      </c>
    </row>
    <row r="237" spans="1:22">
      <c r="A237" s="17">
        <v>9</v>
      </c>
      <c r="B237" s="81" t="s">
        <v>88</v>
      </c>
      <c r="C237" s="82" t="s">
        <v>88</v>
      </c>
      <c r="D237" s="82" t="s">
        <v>88</v>
      </c>
      <c r="E237" s="82" t="s">
        <v>88</v>
      </c>
      <c r="F237" s="82" t="s">
        <v>88</v>
      </c>
      <c r="G237" s="83" t="s">
        <v>88</v>
      </c>
      <c r="H237" s="30" t="s">
        <v>25</v>
      </c>
      <c r="I237" s="84">
        <v>1</v>
      </c>
      <c r="J237" s="85">
        <v>1</v>
      </c>
      <c r="K237" s="86">
        <v>1</v>
      </c>
      <c r="L237" s="87"/>
      <c r="M237" s="88"/>
      <c r="N237" s="89"/>
      <c r="O237" s="90"/>
      <c r="P237" s="93"/>
      <c r="Q237" s="93"/>
      <c r="S237" s="12"/>
      <c r="T237" s="26">
        <v>30121</v>
      </c>
      <c r="U237" s="12">
        <f t="shared" si="6"/>
        <v>0</v>
      </c>
    </row>
    <row r="238" spans="1:22">
      <c r="A238" s="17">
        <v>10</v>
      </c>
      <c r="B238" s="81" t="s">
        <v>89</v>
      </c>
      <c r="C238" s="82"/>
      <c r="D238" s="82"/>
      <c r="E238" s="82"/>
      <c r="F238" s="82"/>
      <c r="G238" s="83"/>
      <c r="H238" s="30" t="s">
        <v>98</v>
      </c>
      <c r="I238" s="84">
        <v>3</v>
      </c>
      <c r="J238" s="85"/>
      <c r="K238" s="86"/>
      <c r="L238" s="31"/>
      <c r="M238" s="32"/>
      <c r="N238" s="89"/>
      <c r="O238" s="90"/>
      <c r="P238" s="91"/>
      <c r="Q238" s="92"/>
      <c r="S238" s="12"/>
      <c r="T238" s="26">
        <v>14500</v>
      </c>
      <c r="U238" s="12">
        <f t="shared" si="6"/>
        <v>0</v>
      </c>
    </row>
    <row r="239" spans="1:22">
      <c r="A239" s="17">
        <v>11</v>
      </c>
      <c r="B239" s="81" t="s">
        <v>90</v>
      </c>
      <c r="C239" s="82"/>
      <c r="D239" s="82"/>
      <c r="E239" s="82"/>
      <c r="F239" s="82"/>
      <c r="G239" s="83"/>
      <c r="H239" s="29" t="s">
        <v>67</v>
      </c>
      <c r="I239" s="84">
        <v>6</v>
      </c>
      <c r="J239" s="85"/>
      <c r="K239" s="86"/>
      <c r="L239" s="31"/>
      <c r="M239" s="32"/>
      <c r="N239" s="89"/>
      <c r="O239" s="90"/>
      <c r="P239" s="91"/>
      <c r="Q239" s="92"/>
      <c r="S239" s="12"/>
      <c r="T239" s="26">
        <v>3500</v>
      </c>
      <c r="U239" s="12">
        <f t="shared" si="6"/>
        <v>0</v>
      </c>
    </row>
    <row r="240" spans="1:22">
      <c r="A240" s="17">
        <v>12</v>
      </c>
      <c r="B240" s="81" t="s">
        <v>91</v>
      </c>
      <c r="C240" s="82" t="s">
        <v>89</v>
      </c>
      <c r="D240" s="82" t="s">
        <v>89</v>
      </c>
      <c r="E240" s="82" t="s">
        <v>89</v>
      </c>
      <c r="F240" s="82" t="s">
        <v>89</v>
      </c>
      <c r="G240" s="83" t="s">
        <v>89</v>
      </c>
      <c r="H240" s="29" t="s">
        <v>67</v>
      </c>
      <c r="I240" s="84">
        <v>10</v>
      </c>
      <c r="J240" s="85">
        <v>10</v>
      </c>
      <c r="K240" s="86">
        <v>10</v>
      </c>
      <c r="L240" s="87"/>
      <c r="M240" s="88"/>
      <c r="N240" s="89"/>
      <c r="O240" s="90"/>
      <c r="P240" s="93"/>
      <c r="Q240" s="93"/>
      <c r="S240" s="12"/>
      <c r="T240" s="26">
        <v>3000</v>
      </c>
      <c r="U240" s="12">
        <f t="shared" si="6"/>
        <v>0</v>
      </c>
      <c r="V240" s="22">
        <f>SUM(U229:U240)</f>
        <v>124000</v>
      </c>
    </row>
    <row r="241" spans="1:22">
      <c r="A241" s="17" t="s">
        <v>76</v>
      </c>
      <c r="B241" s="71" t="s">
        <v>92</v>
      </c>
      <c r="C241" s="72"/>
      <c r="D241" s="72"/>
      <c r="E241" s="72"/>
      <c r="F241" s="72"/>
      <c r="G241" s="73"/>
      <c r="H241" s="30" t="s">
        <v>24</v>
      </c>
      <c r="I241" s="84">
        <v>1</v>
      </c>
      <c r="J241" s="85">
        <v>10</v>
      </c>
      <c r="K241" s="86">
        <v>10</v>
      </c>
      <c r="L241" s="136"/>
      <c r="M241" s="137"/>
      <c r="N241" s="77">
        <v>1</v>
      </c>
      <c r="O241" s="78"/>
      <c r="P241" s="79"/>
      <c r="Q241" s="80"/>
      <c r="S241" s="12">
        <v>1</v>
      </c>
      <c r="T241" s="25">
        <v>10391</v>
      </c>
      <c r="U241" s="12">
        <f>S241*T241</f>
        <v>10391</v>
      </c>
      <c r="V241" s="27"/>
    </row>
    <row r="242" spans="1:22">
      <c r="A242" s="23" t="s">
        <v>68</v>
      </c>
      <c r="B242" s="71" t="s">
        <v>93</v>
      </c>
      <c r="C242" s="72"/>
      <c r="D242" s="72"/>
      <c r="E242" s="72"/>
      <c r="F242" s="72"/>
      <c r="G242" s="73"/>
      <c r="H242" s="30" t="s">
        <v>24</v>
      </c>
      <c r="I242" s="74">
        <v>1</v>
      </c>
      <c r="J242" s="75"/>
      <c r="K242" s="76"/>
      <c r="L242" s="77">
        <f>N242-N169</f>
        <v>0</v>
      </c>
      <c r="M242" s="78"/>
      <c r="N242" s="77">
        <f>S242</f>
        <v>0.11933403907227408</v>
      </c>
      <c r="O242" s="78"/>
      <c r="P242" s="77"/>
      <c r="Q242" s="78"/>
      <c r="S242" s="21">
        <f>V240*0.01/T242</f>
        <v>0.11933403907227408</v>
      </c>
      <c r="T242" s="25">
        <v>10391</v>
      </c>
      <c r="U242" s="12">
        <f t="shared" ref="U242:U243" si="7">S242*T242</f>
        <v>1240</v>
      </c>
    </row>
    <row r="243" spans="1:22">
      <c r="A243" s="23" t="s">
        <v>69</v>
      </c>
      <c r="B243" s="58" t="s">
        <v>94</v>
      </c>
      <c r="C243" s="59" t="s">
        <v>70</v>
      </c>
      <c r="D243" s="59" t="s">
        <v>70</v>
      </c>
      <c r="E243" s="59" t="s">
        <v>70</v>
      </c>
      <c r="F243" s="59" t="s">
        <v>70</v>
      </c>
      <c r="G243" s="60" t="s">
        <v>70</v>
      </c>
      <c r="H243" s="30" t="s">
        <v>24</v>
      </c>
      <c r="I243" s="74">
        <v>1</v>
      </c>
      <c r="J243" s="75"/>
      <c r="K243" s="76"/>
      <c r="L243" s="77">
        <f>N243-N170</f>
        <v>0</v>
      </c>
      <c r="M243" s="78"/>
      <c r="N243" s="77">
        <f>S243</f>
        <v>0.11933075791528616</v>
      </c>
      <c r="O243" s="78"/>
      <c r="P243" s="77"/>
      <c r="Q243" s="78"/>
      <c r="S243" s="21">
        <f>V240*0.07/T243</f>
        <v>0.11933075791528616</v>
      </c>
      <c r="T243" s="25">
        <v>72739</v>
      </c>
      <c r="U243" s="12">
        <f t="shared" si="7"/>
        <v>8680</v>
      </c>
    </row>
    <row r="244" spans="1:22">
      <c r="A244" s="23" t="s">
        <v>71</v>
      </c>
      <c r="B244" s="58" t="s">
        <v>95</v>
      </c>
      <c r="C244" s="59" t="s">
        <v>72</v>
      </c>
      <c r="D244" s="59" t="s">
        <v>72</v>
      </c>
      <c r="E244" s="59" t="s">
        <v>72</v>
      </c>
      <c r="F244" s="59" t="s">
        <v>72</v>
      </c>
      <c r="G244" s="60" t="s">
        <v>72</v>
      </c>
      <c r="H244" s="30" t="s">
        <v>24</v>
      </c>
      <c r="I244" s="74">
        <v>1</v>
      </c>
      <c r="J244" s="75"/>
      <c r="K244" s="76"/>
      <c r="L244" s="77"/>
      <c r="M244" s="78"/>
      <c r="N244" s="77">
        <f>S244</f>
        <v>1</v>
      </c>
      <c r="O244" s="78"/>
      <c r="P244" s="77"/>
      <c r="Q244" s="78"/>
      <c r="S244" s="21">
        <v>1</v>
      </c>
      <c r="T244" s="25">
        <v>4156</v>
      </c>
      <c r="U244" s="12">
        <f>S244*T244</f>
        <v>4156</v>
      </c>
    </row>
    <row r="245" spans="1:22">
      <c r="A245" s="23" t="s">
        <v>73</v>
      </c>
      <c r="B245" s="58" t="s">
        <v>96</v>
      </c>
      <c r="C245" s="59" t="s">
        <v>74</v>
      </c>
      <c r="D245" s="59" t="s">
        <v>74</v>
      </c>
      <c r="E245" s="59" t="s">
        <v>74</v>
      </c>
      <c r="F245" s="59" t="s">
        <v>74</v>
      </c>
      <c r="G245" s="60" t="s">
        <v>74</v>
      </c>
      <c r="H245" s="30" t="s">
        <v>24</v>
      </c>
      <c r="I245" s="74">
        <v>1</v>
      </c>
      <c r="J245" s="75"/>
      <c r="K245" s="76"/>
      <c r="L245" s="77">
        <f>N245-N172</f>
        <v>0</v>
      </c>
      <c r="M245" s="78"/>
      <c r="N245" s="77">
        <f>S245</f>
        <v>0.13060080928923293</v>
      </c>
      <c r="O245" s="78"/>
      <c r="P245" s="79"/>
      <c r="Q245" s="80"/>
      <c r="S245" s="21">
        <f>(V240+U241+U242+U243+U244)*0.05/T245</f>
        <v>0.13060080928923293</v>
      </c>
      <c r="T245" s="25">
        <v>56840</v>
      </c>
      <c r="U245" s="12">
        <f>S245*T245</f>
        <v>7423.3499999999995</v>
      </c>
    </row>
    <row r="246" spans="1:22">
      <c r="A246" s="23"/>
      <c r="B246" s="58"/>
      <c r="C246" s="59"/>
      <c r="D246" s="59"/>
      <c r="E246" s="59"/>
      <c r="F246" s="59"/>
      <c r="G246" s="60"/>
      <c r="H246" s="24"/>
      <c r="I246" s="58"/>
      <c r="J246" s="59"/>
      <c r="K246" s="59"/>
      <c r="L246" s="58"/>
      <c r="M246" s="59"/>
      <c r="N246" s="58"/>
      <c r="O246" s="59"/>
      <c r="P246" s="58"/>
      <c r="Q246" s="60"/>
      <c r="S246" s="21"/>
      <c r="T246" s="25"/>
      <c r="U246" s="28">
        <f>V240+U241+U242+U243+U244+U245</f>
        <v>155890.35</v>
      </c>
    </row>
    <row r="247" spans="1:22">
      <c r="A247" s="23"/>
      <c r="B247" s="58"/>
      <c r="C247" s="59"/>
      <c r="D247" s="59"/>
      <c r="E247" s="59"/>
      <c r="F247" s="59"/>
      <c r="G247" s="60"/>
      <c r="H247" s="23"/>
      <c r="I247" s="58"/>
      <c r="J247" s="59"/>
      <c r="K247" s="59"/>
      <c r="L247" s="58"/>
      <c r="M247" s="59"/>
      <c r="N247" s="58"/>
      <c r="O247" s="59"/>
      <c r="P247" s="58"/>
      <c r="Q247" s="60"/>
      <c r="S247" s="21"/>
      <c r="T247" s="16"/>
      <c r="U247" s="14">
        <v>1193638</v>
      </c>
    </row>
    <row r="248" spans="1:22">
      <c r="A248" s="9"/>
      <c r="B248" s="58"/>
      <c r="C248" s="59"/>
      <c r="D248" s="59"/>
      <c r="E248" s="59"/>
      <c r="F248" s="59"/>
      <c r="G248" s="60"/>
      <c r="H248" s="9"/>
      <c r="I248" s="58"/>
      <c r="J248" s="59"/>
      <c r="K248" s="59"/>
      <c r="L248" s="58"/>
      <c r="M248" s="59"/>
      <c r="N248" s="58"/>
      <c r="O248" s="59"/>
      <c r="P248" s="58"/>
      <c r="Q248" s="60"/>
      <c r="S248" s="21"/>
      <c r="T248" s="16"/>
      <c r="U248" s="15">
        <f>U246/U247</f>
        <v>0.13060102811740243</v>
      </c>
    </row>
    <row r="249" spans="1:22">
      <c r="A249" s="9"/>
      <c r="B249" s="58"/>
      <c r="C249" s="59"/>
      <c r="D249" s="59"/>
      <c r="E249" s="59"/>
      <c r="F249" s="59"/>
      <c r="G249" s="60"/>
      <c r="H249" s="9"/>
      <c r="I249" s="58"/>
      <c r="J249" s="59"/>
      <c r="K249" s="59"/>
      <c r="L249" s="58"/>
      <c r="M249" s="59"/>
      <c r="N249" s="58"/>
      <c r="O249" s="59"/>
      <c r="P249" s="58"/>
      <c r="Q249" s="60"/>
      <c r="S249" s="21"/>
      <c r="T249" s="16"/>
      <c r="U249" s="12"/>
    </row>
    <row r="250" spans="1:22">
      <c r="A250" s="9"/>
      <c r="B250" s="58"/>
      <c r="C250" s="59"/>
      <c r="D250" s="59"/>
      <c r="E250" s="59"/>
      <c r="F250" s="59"/>
      <c r="G250" s="60"/>
      <c r="H250" s="9"/>
      <c r="I250" s="58"/>
      <c r="J250" s="59"/>
      <c r="K250" s="59"/>
      <c r="L250" s="58"/>
      <c r="M250" s="59"/>
      <c r="N250" s="58"/>
      <c r="O250" s="59"/>
      <c r="P250" s="58"/>
      <c r="Q250" s="60"/>
      <c r="S250" s="21"/>
      <c r="T250" s="16"/>
      <c r="U250" s="12"/>
    </row>
    <row r="251" spans="1:22">
      <c r="A251" s="9"/>
      <c r="B251" s="58"/>
      <c r="C251" s="59"/>
      <c r="D251" s="59"/>
      <c r="E251" s="59"/>
      <c r="F251" s="59"/>
      <c r="G251" s="60"/>
      <c r="H251" s="9"/>
      <c r="I251" s="58"/>
      <c r="J251" s="59"/>
      <c r="K251" s="59"/>
      <c r="L251" s="58"/>
      <c r="M251" s="59"/>
      <c r="N251" s="58"/>
      <c r="O251" s="59"/>
      <c r="P251" s="58"/>
      <c r="Q251" s="60"/>
      <c r="S251" s="21"/>
      <c r="T251" s="16"/>
      <c r="U251" s="12"/>
    </row>
    <row r="252" spans="1:22">
      <c r="A252" s="9"/>
      <c r="B252" s="58"/>
      <c r="C252" s="59"/>
      <c r="D252" s="59"/>
      <c r="E252" s="59"/>
      <c r="F252" s="59"/>
      <c r="G252" s="60"/>
      <c r="H252" s="9"/>
      <c r="I252" s="58"/>
      <c r="J252" s="59"/>
      <c r="K252" s="59"/>
      <c r="L252" s="58"/>
      <c r="M252" s="59"/>
      <c r="N252" s="58"/>
      <c r="O252" s="59"/>
      <c r="P252" s="58"/>
      <c r="Q252" s="60"/>
      <c r="S252" s="21"/>
      <c r="T252" s="16"/>
      <c r="U252" s="12"/>
    </row>
    <row r="253" spans="1:22">
      <c r="A253" s="7"/>
      <c r="B253" s="61"/>
      <c r="C253" s="62"/>
      <c r="D253" s="62"/>
      <c r="E253" s="62"/>
      <c r="F253" s="62"/>
      <c r="G253" s="63"/>
      <c r="H253" s="9"/>
      <c r="I253" s="64"/>
      <c r="J253" s="65"/>
      <c r="K253" s="66"/>
      <c r="L253" s="67"/>
      <c r="M253" s="68"/>
      <c r="N253" s="67"/>
      <c r="O253" s="68"/>
      <c r="P253" s="69"/>
      <c r="Q253" s="70"/>
      <c r="S253" s="21"/>
      <c r="T253" s="16"/>
    </row>
    <row r="254" spans="1:22">
      <c r="A254" s="44" t="s">
        <v>29</v>
      </c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T254" s="20"/>
    </row>
    <row r="255" spans="1:22">
      <c r="A255" s="44" t="s">
        <v>30</v>
      </c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T255" s="20"/>
    </row>
    <row r="256" spans="1:22">
      <c r="A256" s="44" t="s">
        <v>31</v>
      </c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T256" s="20"/>
    </row>
    <row r="257" spans="1:20">
      <c r="A257" s="44" t="s">
        <v>32</v>
      </c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T257" s="20"/>
    </row>
    <row r="258" spans="1:20">
      <c r="A258" s="54" t="s">
        <v>33</v>
      </c>
      <c r="B258" s="54"/>
      <c r="C258" s="54"/>
      <c r="D258" s="54"/>
      <c r="E258" s="54"/>
      <c r="F258" s="54"/>
      <c r="G258" s="54"/>
      <c r="H258" s="54" t="s">
        <v>20</v>
      </c>
      <c r="I258" s="54"/>
      <c r="J258" s="54"/>
      <c r="K258" s="54" t="s">
        <v>34</v>
      </c>
      <c r="L258" s="54"/>
      <c r="M258" s="54" t="s">
        <v>35</v>
      </c>
      <c r="N258" s="54"/>
      <c r="O258" s="54" t="s">
        <v>36</v>
      </c>
      <c r="P258" s="54"/>
      <c r="Q258" s="54"/>
      <c r="T258" s="20"/>
    </row>
    <row r="259" spans="1:20">
      <c r="A259" s="55"/>
      <c r="B259" s="56"/>
      <c r="C259" s="56"/>
      <c r="D259" s="56"/>
      <c r="E259" s="56"/>
      <c r="F259" s="56"/>
      <c r="G259" s="57"/>
      <c r="H259" s="55"/>
      <c r="I259" s="56"/>
      <c r="J259" s="57"/>
      <c r="K259" s="55"/>
      <c r="L259" s="56"/>
      <c r="M259" s="55"/>
      <c r="N259" s="56"/>
      <c r="O259" s="55"/>
      <c r="P259" s="56"/>
      <c r="Q259" s="57"/>
      <c r="T259" s="20"/>
    </row>
    <row r="260" spans="1:20">
      <c r="A260" s="55"/>
      <c r="B260" s="56"/>
      <c r="C260" s="56"/>
      <c r="D260" s="56"/>
      <c r="E260" s="56"/>
      <c r="F260" s="56"/>
      <c r="G260" s="57"/>
      <c r="H260" s="55"/>
      <c r="I260" s="56"/>
      <c r="J260" s="57"/>
      <c r="K260" s="55"/>
      <c r="L260" s="56"/>
      <c r="M260" s="55"/>
      <c r="N260" s="56"/>
      <c r="O260" s="55"/>
      <c r="P260" s="56"/>
      <c r="Q260" s="57"/>
      <c r="T260" s="20"/>
    </row>
    <row r="261" spans="1:20">
      <c r="A261" s="53"/>
      <c r="B261" s="53"/>
      <c r="C261" s="53"/>
      <c r="D261" s="53"/>
      <c r="E261" s="53"/>
      <c r="F261" s="53"/>
      <c r="G261" s="53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T261" s="20"/>
    </row>
    <row r="262" spans="1:20">
      <c r="A262" s="53"/>
      <c r="B262" s="53"/>
      <c r="C262" s="53"/>
      <c r="D262" s="53"/>
      <c r="E262" s="53"/>
      <c r="F262" s="53"/>
      <c r="G262" s="53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T262" s="20"/>
    </row>
    <row r="263" spans="1:20">
      <c r="A263" s="44" t="s">
        <v>37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T263" s="20"/>
    </row>
    <row r="264" spans="1:20">
      <c r="A264" s="46" t="s">
        <v>38</v>
      </c>
      <c r="B264" s="46"/>
      <c r="C264" s="47" t="s">
        <v>39</v>
      </c>
      <c r="D264" s="48"/>
      <c r="E264" s="48"/>
      <c r="F264" s="47" t="s">
        <v>40</v>
      </c>
      <c r="G264" s="48"/>
      <c r="H264" s="49"/>
      <c r="I264" s="46" t="s">
        <v>41</v>
      </c>
      <c r="J264" s="46"/>
      <c r="K264" s="46"/>
      <c r="L264" s="46" t="s">
        <v>35</v>
      </c>
      <c r="M264" s="46"/>
      <c r="N264" s="46"/>
      <c r="O264" s="46" t="s">
        <v>36</v>
      </c>
      <c r="P264" s="46"/>
      <c r="Q264" s="46"/>
      <c r="T264" s="20"/>
    </row>
    <row r="265" spans="1:20">
      <c r="A265" s="47" t="s">
        <v>42</v>
      </c>
      <c r="B265" s="49"/>
      <c r="C265" s="47"/>
      <c r="D265" s="48"/>
      <c r="E265" s="49"/>
      <c r="F265" s="47">
        <f>F192+C265</f>
        <v>5</v>
      </c>
      <c r="G265" s="48"/>
      <c r="H265" s="49"/>
      <c r="I265" s="47"/>
      <c r="J265" s="48"/>
      <c r="K265" s="49"/>
      <c r="L265" s="47"/>
      <c r="M265" s="48"/>
      <c r="N265" s="49"/>
      <c r="O265" s="47"/>
      <c r="P265" s="48"/>
      <c r="Q265" s="49"/>
      <c r="T265" s="20"/>
    </row>
    <row r="266" spans="1:20">
      <c r="A266" s="47" t="s">
        <v>100</v>
      </c>
      <c r="B266" s="49"/>
      <c r="C266" s="47"/>
      <c r="D266" s="48"/>
      <c r="E266" s="49"/>
      <c r="F266" s="47">
        <f>F193+C266</f>
        <v>2</v>
      </c>
      <c r="G266" s="48"/>
      <c r="H266" s="49"/>
      <c r="I266" s="47"/>
      <c r="J266" s="48"/>
      <c r="K266" s="49"/>
      <c r="L266" s="47"/>
      <c r="M266" s="48"/>
      <c r="N266" s="49"/>
      <c r="O266" s="47"/>
      <c r="P266" s="48"/>
      <c r="Q266" s="49"/>
      <c r="T266" s="20"/>
    </row>
    <row r="267" spans="1:20">
      <c r="A267" s="47"/>
      <c r="B267" s="49"/>
      <c r="C267" s="47"/>
      <c r="D267" s="48"/>
      <c r="E267" s="49"/>
      <c r="F267" s="47"/>
      <c r="G267" s="48"/>
      <c r="H267" s="49"/>
      <c r="I267" s="47"/>
      <c r="J267" s="48"/>
      <c r="K267" s="49"/>
      <c r="L267" s="47"/>
      <c r="M267" s="48"/>
      <c r="N267" s="49"/>
      <c r="O267" s="47"/>
      <c r="P267" s="48"/>
      <c r="Q267" s="49"/>
      <c r="T267" s="20"/>
    </row>
    <row r="268" spans="1:20">
      <c r="A268" s="46"/>
      <c r="B268" s="46"/>
      <c r="C268" s="47"/>
      <c r="D268" s="48"/>
      <c r="E268" s="49"/>
      <c r="F268" s="47"/>
      <c r="G268" s="48"/>
      <c r="H268" s="49"/>
      <c r="I268" s="47"/>
      <c r="J268" s="48"/>
      <c r="K268" s="49"/>
      <c r="L268" s="47"/>
      <c r="M268" s="48"/>
      <c r="N268" s="49"/>
      <c r="O268" s="47"/>
      <c r="P268" s="48"/>
      <c r="Q268" s="49"/>
      <c r="T268" s="20"/>
    </row>
    <row r="269" spans="1:20">
      <c r="A269" s="46"/>
      <c r="B269" s="46"/>
      <c r="C269" s="47"/>
      <c r="D269" s="48"/>
      <c r="E269" s="49"/>
      <c r="F269" s="47"/>
      <c r="G269" s="48"/>
      <c r="H269" s="49"/>
      <c r="I269" s="47"/>
      <c r="J269" s="48"/>
      <c r="K269" s="49"/>
      <c r="L269" s="47"/>
      <c r="M269" s="48"/>
      <c r="N269" s="49"/>
      <c r="O269" s="47"/>
      <c r="P269" s="48"/>
      <c r="Q269" s="49"/>
      <c r="T269" s="20"/>
    </row>
    <row r="270" spans="1:20">
      <c r="A270" s="50" t="s">
        <v>43</v>
      </c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2"/>
      <c r="T270" s="20"/>
    </row>
    <row r="271" spans="1:20">
      <c r="A271" s="38" t="s">
        <v>44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40"/>
      <c r="T271" s="20"/>
    </row>
    <row r="272" spans="1:20">
      <c r="A272" s="41" t="s">
        <v>45</v>
      </c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3"/>
      <c r="T272" s="20"/>
    </row>
    <row r="273" spans="1:20">
      <c r="A273" s="50" t="s">
        <v>46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2"/>
      <c r="T273" s="20"/>
    </row>
    <row r="274" spans="1:20">
      <c r="A274" s="38" t="s">
        <v>47</v>
      </c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40"/>
      <c r="T274" s="20"/>
    </row>
    <row r="275" spans="1:20">
      <c r="A275" s="38" t="s">
        <v>48</v>
      </c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40"/>
      <c r="T275" s="20"/>
    </row>
    <row r="276" spans="1:20">
      <c r="A276" s="38" t="s">
        <v>49</v>
      </c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40"/>
      <c r="T276" s="20"/>
    </row>
    <row r="277" spans="1:20">
      <c r="A277" s="38" t="s">
        <v>50</v>
      </c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40"/>
      <c r="T277" s="20"/>
    </row>
    <row r="278" spans="1:20">
      <c r="A278" s="38" t="s">
        <v>51</v>
      </c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40"/>
      <c r="T278" s="20"/>
    </row>
    <row r="279" spans="1:20">
      <c r="A279" s="41" t="s">
        <v>52</v>
      </c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3"/>
      <c r="T279" s="20"/>
    </row>
    <row r="280" spans="1:20">
      <c r="A280" s="44" t="s">
        <v>53</v>
      </c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T280" s="20"/>
    </row>
    <row r="281" spans="1:20">
      <c r="A281" s="44" t="s">
        <v>54</v>
      </c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T281" s="20"/>
    </row>
    <row r="282" spans="1:20">
      <c r="A282" s="44" t="s">
        <v>101</v>
      </c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T282" s="20"/>
    </row>
    <row r="283" spans="1:20">
      <c r="A283" s="44" t="s">
        <v>55</v>
      </c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T283" s="20"/>
    </row>
    <row r="284" spans="1:20">
      <c r="A284" s="45" t="s">
        <v>56</v>
      </c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T284" s="20"/>
    </row>
    <row r="285" spans="1:20">
      <c r="A285" s="37" t="s">
        <v>57</v>
      </c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T285" s="20"/>
    </row>
    <row r="286" spans="1:20">
      <c r="A286" s="37" t="s">
        <v>58</v>
      </c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T286" s="20"/>
    </row>
    <row r="287" spans="1:20">
      <c r="A287" s="37" t="s">
        <v>59</v>
      </c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T287" s="20"/>
    </row>
    <row r="288" spans="1:20">
      <c r="A288" s="37" t="s">
        <v>60</v>
      </c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T288" s="20"/>
    </row>
    <row r="289" spans="1:21">
      <c r="A289" s="37" t="s">
        <v>61</v>
      </c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T289" s="20"/>
    </row>
    <row r="290" spans="1:21">
      <c r="A290" s="37" t="s">
        <v>62</v>
      </c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T290" s="20"/>
    </row>
    <row r="291" spans="1:21">
      <c r="A291" s="37" t="s">
        <v>63</v>
      </c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T291" s="20"/>
    </row>
    <row r="292" spans="1:21">
      <c r="A292" s="37" t="s">
        <v>75</v>
      </c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T292" s="20"/>
    </row>
    <row r="293" spans="1:21" ht="39" customHeight="1">
      <c r="B293" s="120" t="s">
        <v>0</v>
      </c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T293" s="20"/>
    </row>
    <row r="294" spans="1:21">
      <c r="B294" s="6" t="s">
        <v>1</v>
      </c>
      <c r="C294" s="121" t="s">
        <v>2</v>
      </c>
      <c r="D294" s="121"/>
      <c r="E294" s="1" t="s">
        <v>3</v>
      </c>
      <c r="F294" s="121" t="s">
        <v>4</v>
      </c>
      <c r="G294" s="121"/>
      <c r="H294" s="1" t="s">
        <v>3</v>
      </c>
      <c r="I294" s="1"/>
      <c r="J294" s="121" t="s">
        <v>5</v>
      </c>
      <c r="K294" s="121"/>
      <c r="L294" s="121"/>
      <c r="M294" s="122">
        <f>M221+1</f>
        <v>46231</v>
      </c>
      <c r="N294" s="122"/>
      <c r="O294" s="122"/>
      <c r="P294" s="123"/>
      <c r="Q294" s="123"/>
      <c r="T294" s="20"/>
    </row>
    <row r="295" spans="1:21">
      <c r="A295" s="96" t="s">
        <v>6</v>
      </c>
      <c r="B295" s="96"/>
      <c r="C295" s="124" t="s">
        <v>79</v>
      </c>
      <c r="D295" s="125"/>
      <c r="E295" s="125"/>
      <c r="F295" s="125"/>
      <c r="G295" s="125"/>
      <c r="H295" s="125"/>
      <c r="I295" s="126"/>
      <c r="J295" s="127" t="s">
        <v>7</v>
      </c>
      <c r="K295" s="128"/>
      <c r="L295" s="128"/>
      <c r="M295" s="129"/>
      <c r="N295" s="130" t="s">
        <v>78</v>
      </c>
      <c r="O295" s="130"/>
      <c r="P295" s="130"/>
      <c r="Q295" s="131"/>
      <c r="T295" s="20"/>
    </row>
    <row r="296" spans="1:21">
      <c r="A296" s="96" t="s">
        <v>8</v>
      </c>
      <c r="B296" s="96"/>
      <c r="C296" s="4">
        <v>30</v>
      </c>
      <c r="D296" s="3" t="s">
        <v>9</v>
      </c>
      <c r="E296" s="127" t="s">
        <v>10</v>
      </c>
      <c r="F296" s="129"/>
      <c r="G296" s="127">
        <f>G223+1</f>
        <v>5</v>
      </c>
      <c r="H296" s="128"/>
      <c r="I296" s="3" t="s">
        <v>9</v>
      </c>
      <c r="J296" s="96" t="s">
        <v>11</v>
      </c>
      <c r="K296" s="96"/>
      <c r="L296" s="5">
        <f>C296-G296</f>
        <v>25</v>
      </c>
      <c r="M296" s="2" t="s">
        <v>9</v>
      </c>
      <c r="N296" s="96" t="s">
        <v>12</v>
      </c>
      <c r="O296" s="96"/>
      <c r="P296" s="2"/>
      <c r="Q296" s="3" t="s">
        <v>9</v>
      </c>
      <c r="T296" s="20"/>
    </row>
    <row r="297" spans="1:21">
      <c r="A297" s="96" t="s">
        <v>13</v>
      </c>
      <c r="B297" s="96"/>
      <c r="C297" s="132">
        <v>46227</v>
      </c>
      <c r="D297" s="132"/>
      <c r="E297" s="132"/>
      <c r="F297" s="132"/>
      <c r="G297" s="132"/>
      <c r="H297" s="132"/>
      <c r="I297" s="132"/>
      <c r="J297" s="127" t="s">
        <v>14</v>
      </c>
      <c r="K297" s="128"/>
      <c r="L297" s="128"/>
      <c r="M297" s="129"/>
      <c r="N297" s="133">
        <v>46256</v>
      </c>
      <c r="O297" s="134"/>
      <c r="P297" s="134"/>
      <c r="Q297" s="135"/>
      <c r="T297" s="20"/>
    </row>
    <row r="298" spans="1:21">
      <c r="A298" s="96" t="s">
        <v>15</v>
      </c>
      <c r="B298" s="96"/>
      <c r="C298" s="97">
        <v>13</v>
      </c>
      <c r="D298" s="98"/>
      <c r="E298" s="98"/>
      <c r="F298" s="98"/>
      <c r="G298" s="98"/>
      <c r="H298" s="99" t="s">
        <v>16</v>
      </c>
      <c r="I298" s="100"/>
      <c r="J298" s="101" t="s">
        <v>17</v>
      </c>
      <c r="K298" s="101"/>
      <c r="L298" s="101"/>
      <c r="M298" s="101"/>
      <c r="N298" s="102">
        <f>U321</f>
        <v>0.14428155772520648</v>
      </c>
      <c r="O298" s="102"/>
      <c r="P298" s="102"/>
      <c r="Q298" s="102"/>
      <c r="T298" s="20"/>
    </row>
    <row r="299" spans="1:21">
      <c r="A299" s="103" t="s">
        <v>18</v>
      </c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5"/>
      <c r="T299" s="20"/>
    </row>
    <row r="300" spans="1:21">
      <c r="A300" s="7"/>
      <c r="B300" s="106" t="s">
        <v>19</v>
      </c>
      <c r="C300" s="107"/>
      <c r="D300" s="107"/>
      <c r="E300" s="107"/>
      <c r="F300" s="107"/>
      <c r="G300" s="108"/>
      <c r="H300" s="8" t="s">
        <v>20</v>
      </c>
      <c r="I300" s="109" t="s">
        <v>21</v>
      </c>
      <c r="J300" s="110"/>
      <c r="K300" s="111"/>
      <c r="L300" s="109" t="s">
        <v>28</v>
      </c>
      <c r="M300" s="111"/>
      <c r="N300" s="106" t="s">
        <v>22</v>
      </c>
      <c r="O300" s="112"/>
      <c r="P300" s="113" t="s">
        <v>23</v>
      </c>
      <c r="Q300" s="113"/>
      <c r="S300" s="18" t="s">
        <v>22</v>
      </c>
      <c r="T300" s="19" t="s">
        <v>64</v>
      </c>
      <c r="U300" s="13" t="s">
        <v>27</v>
      </c>
    </row>
    <row r="301" spans="1:21">
      <c r="A301" s="17" t="s">
        <v>65</v>
      </c>
      <c r="B301" s="114" t="s">
        <v>66</v>
      </c>
      <c r="C301" s="115"/>
      <c r="D301" s="115"/>
      <c r="E301" s="115"/>
      <c r="F301" s="115"/>
      <c r="G301" s="116"/>
      <c r="H301" s="17"/>
      <c r="I301" s="117"/>
      <c r="J301" s="118"/>
      <c r="K301" s="119"/>
      <c r="L301" s="77"/>
      <c r="M301" s="78"/>
      <c r="N301" s="77"/>
      <c r="O301" s="78"/>
      <c r="P301" s="93"/>
      <c r="Q301" s="93"/>
      <c r="S301" s="16"/>
      <c r="T301" s="16"/>
      <c r="U301" s="16" t="s">
        <v>26</v>
      </c>
    </row>
    <row r="302" spans="1:21">
      <c r="A302" s="17">
        <v>1</v>
      </c>
      <c r="B302" s="81" t="s">
        <v>80</v>
      </c>
      <c r="C302" s="82"/>
      <c r="D302" s="82"/>
      <c r="E302" s="82"/>
      <c r="F302" s="82"/>
      <c r="G302" s="83"/>
      <c r="H302" s="29" t="s">
        <v>67</v>
      </c>
      <c r="I302" s="84">
        <v>18</v>
      </c>
      <c r="J302" s="85"/>
      <c r="K302" s="86"/>
      <c r="L302" s="87"/>
      <c r="M302" s="88"/>
      <c r="N302" s="89"/>
      <c r="O302" s="90"/>
      <c r="P302" s="93"/>
      <c r="Q302" s="93"/>
      <c r="S302" s="12"/>
      <c r="T302" s="26">
        <v>18000</v>
      </c>
      <c r="U302" s="12">
        <f>S302*T302</f>
        <v>0</v>
      </c>
    </row>
    <row r="303" spans="1:21" ht="32.1" customHeight="1">
      <c r="A303" s="17">
        <v>2</v>
      </c>
      <c r="B303" s="81" t="s">
        <v>81</v>
      </c>
      <c r="C303" s="82" t="s">
        <v>81</v>
      </c>
      <c r="D303" s="82" t="s">
        <v>81</v>
      </c>
      <c r="E303" s="82" t="s">
        <v>81</v>
      </c>
      <c r="F303" s="82" t="s">
        <v>81</v>
      </c>
      <c r="G303" s="83" t="s">
        <v>81</v>
      </c>
      <c r="H303" s="29" t="s">
        <v>97</v>
      </c>
      <c r="I303" s="84">
        <v>166</v>
      </c>
      <c r="J303" s="85"/>
      <c r="K303" s="86"/>
      <c r="L303" s="87"/>
      <c r="M303" s="88"/>
      <c r="N303" s="89"/>
      <c r="O303" s="90"/>
      <c r="P303" s="93"/>
      <c r="Q303" s="93"/>
      <c r="S303" s="12"/>
      <c r="T303" s="26">
        <v>750</v>
      </c>
      <c r="U303" s="12">
        <f t="shared" ref="U303:U313" si="8">S303*T303</f>
        <v>0</v>
      </c>
    </row>
    <row r="304" spans="1:21">
      <c r="A304" s="17">
        <v>3</v>
      </c>
      <c r="B304" s="81" t="s">
        <v>82</v>
      </c>
      <c r="C304" s="82" t="s">
        <v>82</v>
      </c>
      <c r="D304" s="82" t="s">
        <v>82</v>
      </c>
      <c r="E304" s="82" t="s">
        <v>82</v>
      </c>
      <c r="F304" s="82" t="s">
        <v>82</v>
      </c>
      <c r="G304" s="83" t="s">
        <v>82</v>
      </c>
      <c r="H304" s="29" t="s">
        <v>97</v>
      </c>
      <c r="I304" s="84">
        <v>540</v>
      </c>
      <c r="J304" s="85">
        <v>540</v>
      </c>
      <c r="K304" s="86">
        <v>540</v>
      </c>
      <c r="L304" s="87"/>
      <c r="M304" s="88"/>
      <c r="N304" s="89"/>
      <c r="O304" s="90"/>
      <c r="P304" s="93"/>
      <c r="Q304" s="93"/>
      <c r="S304" s="12"/>
      <c r="T304" s="26">
        <v>340</v>
      </c>
      <c r="U304" s="12">
        <f t="shared" si="8"/>
        <v>0</v>
      </c>
    </row>
    <row r="305" spans="1:22">
      <c r="A305" s="17">
        <v>4</v>
      </c>
      <c r="B305" s="81" t="s">
        <v>83</v>
      </c>
      <c r="C305" s="82" t="s">
        <v>83</v>
      </c>
      <c r="D305" s="82" t="s">
        <v>83</v>
      </c>
      <c r="E305" s="82" t="s">
        <v>83</v>
      </c>
      <c r="F305" s="82" t="s">
        <v>83</v>
      </c>
      <c r="G305" s="83" t="s">
        <v>83</v>
      </c>
      <c r="H305" s="29" t="s">
        <v>67</v>
      </c>
      <c r="I305" s="84">
        <v>20</v>
      </c>
      <c r="J305" s="85">
        <v>20</v>
      </c>
      <c r="K305" s="86">
        <v>20</v>
      </c>
      <c r="L305" s="87"/>
      <c r="M305" s="88"/>
      <c r="N305" s="89"/>
      <c r="O305" s="90"/>
      <c r="P305" s="93"/>
      <c r="Q305" s="93"/>
      <c r="S305" s="12"/>
      <c r="T305" s="26">
        <v>1250</v>
      </c>
      <c r="U305" s="12">
        <f t="shared" si="8"/>
        <v>0</v>
      </c>
    </row>
    <row r="306" spans="1:22" ht="32.1" customHeight="1">
      <c r="A306" s="17">
        <v>5</v>
      </c>
      <c r="B306" s="81" t="s">
        <v>84</v>
      </c>
      <c r="C306" s="82" t="s">
        <v>84</v>
      </c>
      <c r="D306" s="82" t="s">
        <v>84</v>
      </c>
      <c r="E306" s="82" t="s">
        <v>84</v>
      </c>
      <c r="F306" s="82" t="s">
        <v>84</v>
      </c>
      <c r="G306" s="83" t="s">
        <v>84</v>
      </c>
      <c r="H306" s="29" t="s">
        <v>97</v>
      </c>
      <c r="I306" s="84">
        <v>28</v>
      </c>
      <c r="J306" s="85">
        <v>28</v>
      </c>
      <c r="K306" s="86">
        <v>28</v>
      </c>
      <c r="L306" s="87">
        <v>8</v>
      </c>
      <c r="M306" s="88"/>
      <c r="N306" s="89">
        <v>28</v>
      </c>
      <c r="O306" s="90"/>
      <c r="P306" s="93"/>
      <c r="Q306" s="93"/>
      <c r="S306" s="12">
        <v>28</v>
      </c>
      <c r="T306" s="26">
        <v>1800</v>
      </c>
      <c r="U306" s="12">
        <f t="shared" si="8"/>
        <v>50400</v>
      </c>
    </row>
    <row r="307" spans="1:22">
      <c r="A307" s="17">
        <v>6</v>
      </c>
      <c r="B307" s="81" t="s">
        <v>85</v>
      </c>
      <c r="C307" s="82" t="s">
        <v>85</v>
      </c>
      <c r="D307" s="82" t="s">
        <v>85</v>
      </c>
      <c r="E307" s="82" t="s">
        <v>85</v>
      </c>
      <c r="F307" s="82" t="s">
        <v>85</v>
      </c>
      <c r="G307" s="83" t="s">
        <v>85</v>
      </c>
      <c r="H307" s="29" t="s">
        <v>97</v>
      </c>
      <c r="I307" s="84">
        <v>14</v>
      </c>
      <c r="J307" s="85">
        <v>14</v>
      </c>
      <c r="K307" s="86">
        <v>14</v>
      </c>
      <c r="L307" s="87"/>
      <c r="M307" s="88"/>
      <c r="N307" s="89">
        <v>7</v>
      </c>
      <c r="O307" s="90"/>
      <c r="P307" s="79"/>
      <c r="Q307" s="80"/>
      <c r="S307" s="12">
        <v>7</v>
      </c>
      <c r="T307" s="26">
        <v>4000</v>
      </c>
      <c r="U307" s="12">
        <f t="shared" si="8"/>
        <v>28000</v>
      </c>
    </row>
    <row r="308" spans="1:22">
      <c r="A308" s="17">
        <v>7</v>
      </c>
      <c r="B308" s="81" t="s">
        <v>86</v>
      </c>
      <c r="C308" s="82" t="s">
        <v>86</v>
      </c>
      <c r="D308" s="82" t="s">
        <v>86</v>
      </c>
      <c r="E308" s="82" t="s">
        <v>86</v>
      </c>
      <c r="F308" s="82" t="s">
        <v>86</v>
      </c>
      <c r="G308" s="83" t="s">
        <v>86</v>
      </c>
      <c r="H308" s="29" t="s">
        <v>97</v>
      </c>
      <c r="I308" s="84">
        <v>30</v>
      </c>
      <c r="J308" s="85">
        <v>30</v>
      </c>
      <c r="K308" s="86">
        <v>30</v>
      </c>
      <c r="L308" s="87"/>
      <c r="M308" s="88"/>
      <c r="N308" s="89">
        <v>15</v>
      </c>
      <c r="O308" s="90"/>
      <c r="P308" s="93"/>
      <c r="Q308" s="93"/>
      <c r="S308" s="12">
        <v>15</v>
      </c>
      <c r="T308" s="26">
        <v>4000</v>
      </c>
      <c r="U308" s="12">
        <f t="shared" si="8"/>
        <v>60000</v>
      </c>
    </row>
    <row r="309" spans="1:22">
      <c r="A309" s="17">
        <v>8</v>
      </c>
      <c r="B309" s="81" t="s">
        <v>87</v>
      </c>
      <c r="C309" s="82" t="s">
        <v>87</v>
      </c>
      <c r="D309" s="82" t="s">
        <v>87</v>
      </c>
      <c r="E309" s="82" t="s">
        <v>87</v>
      </c>
      <c r="F309" s="82" t="s">
        <v>87</v>
      </c>
      <c r="G309" s="83" t="s">
        <v>87</v>
      </c>
      <c r="H309" s="30" t="s">
        <v>25</v>
      </c>
      <c r="I309" s="84">
        <v>1</v>
      </c>
      <c r="J309" s="85">
        <v>1</v>
      </c>
      <c r="K309" s="86">
        <v>1</v>
      </c>
      <c r="L309" s="94"/>
      <c r="M309" s="95"/>
      <c r="N309" s="94"/>
      <c r="O309" s="95"/>
      <c r="P309" s="93"/>
      <c r="Q309" s="93"/>
      <c r="S309" s="16"/>
      <c r="T309" s="26">
        <v>31000</v>
      </c>
      <c r="U309" s="12">
        <f t="shared" si="8"/>
        <v>0</v>
      </c>
    </row>
    <row r="310" spans="1:22">
      <c r="A310" s="17">
        <v>9</v>
      </c>
      <c r="B310" s="81" t="s">
        <v>88</v>
      </c>
      <c r="C310" s="82" t="s">
        <v>88</v>
      </c>
      <c r="D310" s="82" t="s">
        <v>88</v>
      </c>
      <c r="E310" s="82" t="s">
        <v>88</v>
      </c>
      <c r="F310" s="82" t="s">
        <v>88</v>
      </c>
      <c r="G310" s="83" t="s">
        <v>88</v>
      </c>
      <c r="H310" s="30" t="s">
        <v>25</v>
      </c>
      <c r="I310" s="84">
        <v>1</v>
      </c>
      <c r="J310" s="85">
        <v>1</v>
      </c>
      <c r="K310" s="86">
        <v>1</v>
      </c>
      <c r="L310" s="87"/>
      <c r="M310" s="88"/>
      <c r="N310" s="89"/>
      <c r="O310" s="90"/>
      <c r="P310" s="93"/>
      <c r="Q310" s="93"/>
      <c r="S310" s="12"/>
      <c r="T310" s="26">
        <v>30121</v>
      </c>
      <c r="U310" s="12">
        <f t="shared" si="8"/>
        <v>0</v>
      </c>
    </row>
    <row r="311" spans="1:22">
      <c r="A311" s="17">
        <v>10</v>
      </c>
      <c r="B311" s="81" t="s">
        <v>89</v>
      </c>
      <c r="C311" s="82"/>
      <c r="D311" s="82"/>
      <c r="E311" s="82"/>
      <c r="F311" s="82"/>
      <c r="G311" s="83"/>
      <c r="H311" s="30" t="s">
        <v>98</v>
      </c>
      <c r="I311" s="84">
        <v>3</v>
      </c>
      <c r="J311" s="85"/>
      <c r="K311" s="86"/>
      <c r="L311" s="31"/>
      <c r="M311" s="32"/>
      <c r="N311" s="89"/>
      <c r="O311" s="90"/>
      <c r="P311" s="91"/>
      <c r="Q311" s="92"/>
      <c r="S311" s="12"/>
      <c r="T311" s="26">
        <v>14500</v>
      </c>
      <c r="U311" s="12">
        <f t="shared" si="8"/>
        <v>0</v>
      </c>
    </row>
    <row r="312" spans="1:22">
      <c r="A312" s="17">
        <v>11</v>
      </c>
      <c r="B312" s="81" t="s">
        <v>90</v>
      </c>
      <c r="C312" s="82"/>
      <c r="D312" s="82"/>
      <c r="E312" s="82"/>
      <c r="F312" s="82"/>
      <c r="G312" s="83"/>
      <c r="H312" s="29" t="s">
        <v>67</v>
      </c>
      <c r="I312" s="84">
        <v>6</v>
      </c>
      <c r="J312" s="85"/>
      <c r="K312" s="86"/>
      <c r="L312" s="31"/>
      <c r="M312" s="32"/>
      <c r="N312" s="89"/>
      <c r="O312" s="90"/>
      <c r="P312" s="91"/>
      <c r="Q312" s="92"/>
      <c r="S312" s="12"/>
      <c r="T312" s="26">
        <v>3500</v>
      </c>
      <c r="U312" s="12">
        <f t="shared" si="8"/>
        <v>0</v>
      </c>
    </row>
    <row r="313" spans="1:22">
      <c r="A313" s="17">
        <v>12</v>
      </c>
      <c r="B313" s="81" t="s">
        <v>91</v>
      </c>
      <c r="C313" s="82" t="s">
        <v>89</v>
      </c>
      <c r="D313" s="82" t="s">
        <v>89</v>
      </c>
      <c r="E313" s="82" t="s">
        <v>89</v>
      </c>
      <c r="F313" s="82" t="s">
        <v>89</v>
      </c>
      <c r="G313" s="83" t="s">
        <v>89</v>
      </c>
      <c r="H313" s="29" t="s">
        <v>67</v>
      </c>
      <c r="I313" s="84">
        <v>10</v>
      </c>
      <c r="J313" s="85">
        <v>10</v>
      </c>
      <c r="K313" s="86">
        <v>10</v>
      </c>
      <c r="L313" s="87"/>
      <c r="M313" s="88"/>
      <c r="N313" s="89"/>
      <c r="O313" s="90"/>
      <c r="P313" s="93"/>
      <c r="Q313" s="93"/>
      <c r="S313" s="12"/>
      <c r="T313" s="26">
        <v>3000</v>
      </c>
      <c r="U313" s="12">
        <f t="shared" si="8"/>
        <v>0</v>
      </c>
      <c r="V313" s="22">
        <f>SUM(U302:U313)</f>
        <v>138400</v>
      </c>
    </row>
    <row r="314" spans="1:22">
      <c r="A314" s="17" t="s">
        <v>76</v>
      </c>
      <c r="B314" s="71" t="s">
        <v>92</v>
      </c>
      <c r="C314" s="72"/>
      <c r="D314" s="72"/>
      <c r="E314" s="72"/>
      <c r="F314" s="72"/>
      <c r="G314" s="73"/>
      <c r="H314" s="30" t="s">
        <v>24</v>
      </c>
      <c r="I314" s="84">
        <v>1</v>
      </c>
      <c r="J314" s="85">
        <v>10</v>
      </c>
      <c r="K314" s="86">
        <v>10</v>
      </c>
      <c r="L314" s="136"/>
      <c r="M314" s="137"/>
      <c r="N314" s="77">
        <v>1</v>
      </c>
      <c r="O314" s="78"/>
      <c r="P314" s="79"/>
      <c r="Q314" s="80"/>
      <c r="S314" s="12">
        <v>1</v>
      </c>
      <c r="T314" s="25">
        <v>10391</v>
      </c>
      <c r="U314" s="12">
        <f>S314*T314</f>
        <v>10391</v>
      </c>
      <c r="V314" s="27"/>
    </row>
    <row r="315" spans="1:22">
      <c r="A315" s="23" t="s">
        <v>68</v>
      </c>
      <c r="B315" s="71" t="s">
        <v>93</v>
      </c>
      <c r="C315" s="72"/>
      <c r="D315" s="72"/>
      <c r="E315" s="72"/>
      <c r="F315" s="72"/>
      <c r="G315" s="73"/>
      <c r="H315" s="30" t="s">
        <v>24</v>
      </c>
      <c r="I315" s="74">
        <v>1</v>
      </c>
      <c r="J315" s="75"/>
      <c r="K315" s="76"/>
      <c r="L315" s="77">
        <f>N315-N242</f>
        <v>1.3858146472909255E-2</v>
      </c>
      <c r="M315" s="78"/>
      <c r="N315" s="77">
        <f>S315</f>
        <v>0.13319218554518333</v>
      </c>
      <c r="O315" s="78"/>
      <c r="P315" s="77"/>
      <c r="Q315" s="78"/>
      <c r="S315" s="21">
        <f>V313*0.01/T315</f>
        <v>0.13319218554518333</v>
      </c>
      <c r="T315" s="25">
        <v>10391</v>
      </c>
      <c r="U315" s="12">
        <f t="shared" ref="U315:U316" si="9">S315*T315</f>
        <v>1384</v>
      </c>
    </row>
    <row r="316" spans="1:22">
      <c r="A316" s="23" t="s">
        <v>69</v>
      </c>
      <c r="B316" s="58" t="s">
        <v>94</v>
      </c>
      <c r="C316" s="59" t="s">
        <v>70</v>
      </c>
      <c r="D316" s="59" t="s">
        <v>70</v>
      </c>
      <c r="E316" s="59" t="s">
        <v>70</v>
      </c>
      <c r="F316" s="59" t="s">
        <v>70</v>
      </c>
      <c r="G316" s="60" t="s">
        <v>70</v>
      </c>
      <c r="H316" s="30" t="s">
        <v>24</v>
      </c>
      <c r="I316" s="74">
        <v>1</v>
      </c>
      <c r="J316" s="75"/>
      <c r="K316" s="76"/>
      <c r="L316" s="77">
        <f>N316-N243</f>
        <v>1.3857765435323577E-2</v>
      </c>
      <c r="M316" s="78"/>
      <c r="N316" s="77">
        <f>S316</f>
        <v>0.13318852335060974</v>
      </c>
      <c r="O316" s="78"/>
      <c r="P316" s="77"/>
      <c r="Q316" s="78"/>
      <c r="S316" s="21">
        <f>V313*0.07/T316</f>
        <v>0.13318852335060974</v>
      </c>
      <c r="T316" s="25">
        <v>72739</v>
      </c>
      <c r="U316" s="12">
        <f t="shared" si="9"/>
        <v>9688.0000000000018</v>
      </c>
    </row>
    <row r="317" spans="1:22">
      <c r="A317" s="23" t="s">
        <v>71</v>
      </c>
      <c r="B317" s="58" t="s">
        <v>95</v>
      </c>
      <c r="C317" s="59" t="s">
        <v>72</v>
      </c>
      <c r="D317" s="59" t="s">
        <v>72</v>
      </c>
      <c r="E317" s="59" t="s">
        <v>72</v>
      </c>
      <c r="F317" s="59" t="s">
        <v>72</v>
      </c>
      <c r="G317" s="60" t="s">
        <v>72</v>
      </c>
      <c r="H317" s="30" t="s">
        <v>24</v>
      </c>
      <c r="I317" s="74">
        <v>1</v>
      </c>
      <c r="J317" s="75"/>
      <c r="K317" s="76"/>
      <c r="L317" s="77"/>
      <c r="M317" s="78"/>
      <c r="N317" s="77">
        <f>S317</f>
        <v>1</v>
      </c>
      <c r="O317" s="78"/>
      <c r="P317" s="77"/>
      <c r="Q317" s="78"/>
      <c r="S317" s="21">
        <v>1</v>
      </c>
      <c r="T317" s="25">
        <v>4156</v>
      </c>
      <c r="U317" s="12">
        <f>S317*T317</f>
        <v>4156</v>
      </c>
    </row>
    <row r="318" spans="1:22">
      <c r="A318" s="23" t="s">
        <v>73</v>
      </c>
      <c r="B318" s="58" t="s">
        <v>96</v>
      </c>
      <c r="C318" s="59" t="s">
        <v>74</v>
      </c>
      <c r="D318" s="59" t="s">
        <v>74</v>
      </c>
      <c r="E318" s="59" t="s">
        <v>74</v>
      </c>
      <c r="F318" s="59" t="s">
        <v>74</v>
      </c>
      <c r="G318" s="60" t="s">
        <v>74</v>
      </c>
      <c r="H318" s="30" t="s">
        <v>24</v>
      </c>
      <c r="I318" s="74">
        <v>1</v>
      </c>
      <c r="J318" s="75"/>
      <c r="K318" s="76"/>
      <c r="L318" s="77">
        <f>N318-N245</f>
        <v>1.3680506685432803E-2</v>
      </c>
      <c r="M318" s="78"/>
      <c r="N318" s="77">
        <f>S318</f>
        <v>0.14428131597466573</v>
      </c>
      <c r="O318" s="78"/>
      <c r="P318" s="79"/>
      <c r="Q318" s="80"/>
      <c r="S318" s="21">
        <f>(V313+U314+U315+U316+U317)*0.05/T318</f>
        <v>0.14428131597466573</v>
      </c>
      <c r="T318" s="25">
        <v>56840</v>
      </c>
      <c r="U318" s="12">
        <f>S318*T318</f>
        <v>8200.9500000000007</v>
      </c>
    </row>
    <row r="319" spans="1:22">
      <c r="A319" s="23"/>
      <c r="B319" s="58"/>
      <c r="C319" s="59"/>
      <c r="D319" s="59"/>
      <c r="E319" s="59"/>
      <c r="F319" s="59"/>
      <c r="G319" s="60"/>
      <c r="H319" s="24"/>
      <c r="I319" s="58"/>
      <c r="J319" s="59"/>
      <c r="K319" s="59"/>
      <c r="L319" s="58"/>
      <c r="M319" s="59"/>
      <c r="N319" s="58"/>
      <c r="O319" s="59"/>
      <c r="P319" s="58"/>
      <c r="Q319" s="60"/>
      <c r="S319" s="21"/>
      <c r="T319" s="25"/>
      <c r="U319" s="28">
        <f>V313+U314+U315+U316+U317+U318</f>
        <v>172219.95</v>
      </c>
    </row>
    <row r="320" spans="1:22">
      <c r="A320" s="23"/>
      <c r="B320" s="58"/>
      <c r="C320" s="59"/>
      <c r="D320" s="59"/>
      <c r="E320" s="59"/>
      <c r="F320" s="59"/>
      <c r="G320" s="60"/>
      <c r="H320" s="23"/>
      <c r="I320" s="58"/>
      <c r="J320" s="59"/>
      <c r="K320" s="59"/>
      <c r="L320" s="58"/>
      <c r="M320" s="59"/>
      <c r="N320" s="58"/>
      <c r="O320" s="59"/>
      <c r="P320" s="58"/>
      <c r="Q320" s="60"/>
      <c r="S320" s="21"/>
      <c r="T320" s="16"/>
      <c r="U320" s="14">
        <v>1193638</v>
      </c>
    </row>
    <row r="321" spans="1:21">
      <c r="A321" s="9"/>
      <c r="B321" s="58"/>
      <c r="C321" s="59"/>
      <c r="D321" s="59"/>
      <c r="E321" s="59"/>
      <c r="F321" s="59"/>
      <c r="G321" s="60"/>
      <c r="H321" s="9"/>
      <c r="I321" s="58"/>
      <c r="J321" s="59"/>
      <c r="K321" s="59"/>
      <c r="L321" s="58"/>
      <c r="M321" s="59"/>
      <c r="N321" s="58"/>
      <c r="O321" s="59"/>
      <c r="P321" s="58"/>
      <c r="Q321" s="60"/>
      <c r="S321" s="21"/>
      <c r="T321" s="16"/>
      <c r="U321" s="15">
        <f>U319/U320</f>
        <v>0.14428155772520648</v>
      </c>
    </row>
    <row r="322" spans="1:21">
      <c r="A322" s="9"/>
      <c r="B322" s="58"/>
      <c r="C322" s="59"/>
      <c r="D322" s="59"/>
      <c r="E322" s="59"/>
      <c r="F322" s="59"/>
      <c r="G322" s="60"/>
      <c r="H322" s="9"/>
      <c r="I322" s="58"/>
      <c r="J322" s="59"/>
      <c r="K322" s="59"/>
      <c r="L322" s="58"/>
      <c r="M322" s="59"/>
      <c r="N322" s="58"/>
      <c r="O322" s="59"/>
      <c r="P322" s="58"/>
      <c r="Q322" s="60"/>
      <c r="S322" s="21"/>
      <c r="T322" s="16"/>
      <c r="U322" s="12"/>
    </row>
    <row r="323" spans="1:21">
      <c r="A323" s="9"/>
      <c r="B323" s="58"/>
      <c r="C323" s="59"/>
      <c r="D323" s="59"/>
      <c r="E323" s="59"/>
      <c r="F323" s="59"/>
      <c r="G323" s="60"/>
      <c r="H323" s="9"/>
      <c r="I323" s="58"/>
      <c r="J323" s="59"/>
      <c r="K323" s="59"/>
      <c r="L323" s="58"/>
      <c r="M323" s="59"/>
      <c r="N323" s="58"/>
      <c r="O323" s="59"/>
      <c r="P323" s="58"/>
      <c r="Q323" s="60"/>
      <c r="S323" s="21"/>
      <c r="T323" s="16"/>
      <c r="U323" s="12"/>
    </row>
    <row r="324" spans="1:21">
      <c r="A324" s="9"/>
      <c r="B324" s="58"/>
      <c r="C324" s="59"/>
      <c r="D324" s="59"/>
      <c r="E324" s="59"/>
      <c r="F324" s="59"/>
      <c r="G324" s="60"/>
      <c r="H324" s="9"/>
      <c r="I324" s="58"/>
      <c r="J324" s="59"/>
      <c r="K324" s="59"/>
      <c r="L324" s="58"/>
      <c r="M324" s="59"/>
      <c r="N324" s="58"/>
      <c r="O324" s="59"/>
      <c r="P324" s="58"/>
      <c r="Q324" s="60"/>
      <c r="S324" s="21"/>
      <c r="T324" s="16"/>
      <c r="U324" s="12"/>
    </row>
    <row r="325" spans="1:21">
      <c r="A325" s="9"/>
      <c r="B325" s="58"/>
      <c r="C325" s="59"/>
      <c r="D325" s="59"/>
      <c r="E325" s="59"/>
      <c r="F325" s="59"/>
      <c r="G325" s="60"/>
      <c r="H325" s="9"/>
      <c r="I325" s="58"/>
      <c r="J325" s="59"/>
      <c r="K325" s="59"/>
      <c r="L325" s="58"/>
      <c r="M325" s="59"/>
      <c r="N325" s="58"/>
      <c r="O325" s="59"/>
      <c r="P325" s="58"/>
      <c r="Q325" s="60"/>
      <c r="S325" s="21"/>
      <c r="T325" s="16"/>
      <c r="U325" s="12"/>
    </row>
    <row r="326" spans="1:21">
      <c r="A326" s="7"/>
      <c r="B326" s="61"/>
      <c r="C326" s="62"/>
      <c r="D326" s="62"/>
      <c r="E326" s="62"/>
      <c r="F326" s="62"/>
      <c r="G326" s="63"/>
      <c r="H326" s="9"/>
      <c r="I326" s="64"/>
      <c r="J326" s="65"/>
      <c r="K326" s="66"/>
      <c r="L326" s="67"/>
      <c r="M326" s="68"/>
      <c r="N326" s="67"/>
      <c r="O326" s="68"/>
      <c r="P326" s="69"/>
      <c r="Q326" s="70"/>
      <c r="S326" s="21"/>
      <c r="T326" s="16"/>
    </row>
    <row r="327" spans="1:21">
      <c r="A327" s="44" t="s">
        <v>29</v>
      </c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T327" s="20"/>
    </row>
    <row r="328" spans="1:21">
      <c r="A328" s="44" t="s">
        <v>30</v>
      </c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T328" s="20"/>
    </row>
    <row r="329" spans="1:21">
      <c r="A329" s="44" t="s">
        <v>31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T329" s="20"/>
    </row>
    <row r="330" spans="1:21">
      <c r="A330" s="44" t="s">
        <v>32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T330" s="20"/>
    </row>
    <row r="331" spans="1:21">
      <c r="A331" s="54" t="s">
        <v>33</v>
      </c>
      <c r="B331" s="54"/>
      <c r="C331" s="54"/>
      <c r="D331" s="54"/>
      <c r="E331" s="54"/>
      <c r="F331" s="54"/>
      <c r="G331" s="54"/>
      <c r="H331" s="54" t="s">
        <v>20</v>
      </c>
      <c r="I331" s="54"/>
      <c r="J331" s="54"/>
      <c r="K331" s="54" t="s">
        <v>34</v>
      </c>
      <c r="L331" s="54"/>
      <c r="M331" s="54" t="s">
        <v>35</v>
      </c>
      <c r="N331" s="54"/>
      <c r="O331" s="54" t="s">
        <v>36</v>
      </c>
      <c r="P331" s="54"/>
      <c r="Q331" s="54"/>
      <c r="T331" s="20"/>
    </row>
    <row r="332" spans="1:21">
      <c r="A332" s="55"/>
      <c r="B332" s="56"/>
      <c r="C332" s="56"/>
      <c r="D332" s="56"/>
      <c r="E332" s="56"/>
      <c r="F332" s="56"/>
      <c r="G332" s="57"/>
      <c r="H332" s="55"/>
      <c r="I332" s="56"/>
      <c r="J332" s="57"/>
      <c r="K332" s="55"/>
      <c r="L332" s="56"/>
      <c r="M332" s="55"/>
      <c r="N332" s="56"/>
      <c r="O332" s="55"/>
      <c r="P332" s="56"/>
      <c r="Q332" s="57"/>
      <c r="T332" s="20"/>
    </row>
    <row r="333" spans="1:21">
      <c r="A333" s="55"/>
      <c r="B333" s="56"/>
      <c r="C333" s="56"/>
      <c r="D333" s="56"/>
      <c r="E333" s="56"/>
      <c r="F333" s="56"/>
      <c r="G333" s="57"/>
      <c r="H333" s="55"/>
      <c r="I333" s="56"/>
      <c r="J333" s="57"/>
      <c r="K333" s="55"/>
      <c r="L333" s="56"/>
      <c r="M333" s="55"/>
      <c r="N333" s="56"/>
      <c r="O333" s="55"/>
      <c r="P333" s="56"/>
      <c r="Q333" s="57"/>
      <c r="T333" s="20"/>
    </row>
    <row r="334" spans="1:21">
      <c r="A334" s="53"/>
      <c r="B334" s="53"/>
      <c r="C334" s="53"/>
      <c r="D334" s="53"/>
      <c r="E334" s="53"/>
      <c r="F334" s="53"/>
      <c r="G334" s="53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T334" s="20"/>
    </row>
    <row r="335" spans="1:21">
      <c r="A335" s="53"/>
      <c r="B335" s="53"/>
      <c r="C335" s="53"/>
      <c r="D335" s="53"/>
      <c r="E335" s="53"/>
      <c r="F335" s="53"/>
      <c r="G335" s="53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T335" s="20"/>
    </row>
    <row r="336" spans="1:21">
      <c r="A336" s="44" t="s">
        <v>37</v>
      </c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T336" s="20"/>
    </row>
    <row r="337" spans="1:20">
      <c r="A337" s="46" t="s">
        <v>38</v>
      </c>
      <c r="B337" s="46"/>
      <c r="C337" s="47" t="s">
        <v>39</v>
      </c>
      <c r="D337" s="48"/>
      <c r="E337" s="48"/>
      <c r="F337" s="47" t="s">
        <v>40</v>
      </c>
      <c r="G337" s="48"/>
      <c r="H337" s="49"/>
      <c r="I337" s="46" t="s">
        <v>41</v>
      </c>
      <c r="J337" s="46"/>
      <c r="K337" s="46"/>
      <c r="L337" s="46" t="s">
        <v>35</v>
      </c>
      <c r="M337" s="46"/>
      <c r="N337" s="46"/>
      <c r="O337" s="46" t="s">
        <v>36</v>
      </c>
      <c r="P337" s="46"/>
      <c r="Q337" s="46"/>
      <c r="T337" s="20"/>
    </row>
    <row r="338" spans="1:20">
      <c r="A338" s="47" t="s">
        <v>42</v>
      </c>
      <c r="B338" s="49"/>
      <c r="C338" s="47">
        <v>2</v>
      </c>
      <c r="D338" s="48"/>
      <c r="E338" s="49"/>
      <c r="F338" s="47">
        <f>F265+C338</f>
        <v>7</v>
      </c>
      <c r="G338" s="48"/>
      <c r="H338" s="49"/>
      <c r="I338" s="47"/>
      <c r="J338" s="48"/>
      <c r="K338" s="49"/>
      <c r="L338" s="47"/>
      <c r="M338" s="48"/>
      <c r="N338" s="49"/>
      <c r="O338" s="47"/>
      <c r="P338" s="48"/>
      <c r="Q338" s="49"/>
      <c r="T338" s="20"/>
    </row>
    <row r="339" spans="1:20">
      <c r="A339" s="47" t="s">
        <v>100</v>
      </c>
      <c r="B339" s="49"/>
      <c r="C339" s="47"/>
      <c r="D339" s="48"/>
      <c r="E339" s="49"/>
      <c r="F339" s="47">
        <f>F266+C339</f>
        <v>2</v>
      </c>
      <c r="G339" s="48"/>
      <c r="H339" s="49"/>
      <c r="I339" s="47"/>
      <c r="J339" s="48"/>
      <c r="K339" s="49"/>
      <c r="L339" s="47"/>
      <c r="M339" s="48"/>
      <c r="N339" s="49"/>
      <c r="O339" s="47"/>
      <c r="P339" s="48"/>
      <c r="Q339" s="49"/>
      <c r="T339" s="20"/>
    </row>
    <row r="340" spans="1:20">
      <c r="A340" s="47"/>
      <c r="B340" s="49"/>
      <c r="C340" s="47"/>
      <c r="D340" s="48"/>
      <c r="E340" s="49"/>
      <c r="F340" s="47"/>
      <c r="G340" s="48"/>
      <c r="H340" s="49"/>
      <c r="I340" s="47"/>
      <c r="J340" s="48"/>
      <c r="K340" s="49"/>
      <c r="L340" s="47"/>
      <c r="M340" s="48"/>
      <c r="N340" s="49"/>
      <c r="O340" s="47"/>
      <c r="P340" s="48"/>
      <c r="Q340" s="49"/>
      <c r="T340" s="20"/>
    </row>
    <row r="341" spans="1:20">
      <c r="A341" s="46"/>
      <c r="B341" s="46"/>
      <c r="C341" s="47"/>
      <c r="D341" s="48"/>
      <c r="E341" s="49"/>
      <c r="F341" s="47"/>
      <c r="G341" s="48"/>
      <c r="H341" s="49"/>
      <c r="I341" s="47"/>
      <c r="J341" s="48"/>
      <c r="K341" s="49"/>
      <c r="L341" s="47"/>
      <c r="M341" s="48"/>
      <c r="N341" s="49"/>
      <c r="O341" s="47"/>
      <c r="P341" s="48"/>
      <c r="Q341" s="49"/>
      <c r="T341" s="20"/>
    </row>
    <row r="342" spans="1:20">
      <c r="A342" s="46"/>
      <c r="B342" s="46"/>
      <c r="C342" s="47"/>
      <c r="D342" s="48"/>
      <c r="E342" s="49"/>
      <c r="F342" s="47"/>
      <c r="G342" s="48"/>
      <c r="H342" s="49"/>
      <c r="I342" s="47"/>
      <c r="J342" s="48"/>
      <c r="K342" s="49"/>
      <c r="L342" s="47"/>
      <c r="M342" s="48"/>
      <c r="N342" s="49"/>
      <c r="O342" s="47"/>
      <c r="P342" s="48"/>
      <c r="Q342" s="49"/>
      <c r="T342" s="20"/>
    </row>
    <row r="343" spans="1:20">
      <c r="A343" s="50" t="s">
        <v>43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2"/>
      <c r="T343" s="20"/>
    </row>
    <row r="344" spans="1:20">
      <c r="A344" s="38" t="s">
        <v>44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40"/>
      <c r="T344" s="20"/>
    </row>
    <row r="345" spans="1:20">
      <c r="A345" s="41" t="s">
        <v>45</v>
      </c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3"/>
      <c r="T345" s="20"/>
    </row>
    <row r="346" spans="1:20">
      <c r="A346" s="50" t="s">
        <v>46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2"/>
      <c r="T346" s="20"/>
    </row>
    <row r="347" spans="1:20">
      <c r="A347" s="38" t="s">
        <v>47</v>
      </c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40"/>
      <c r="T347" s="20"/>
    </row>
    <row r="348" spans="1:20">
      <c r="A348" s="38" t="s">
        <v>48</v>
      </c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40"/>
      <c r="T348" s="20"/>
    </row>
    <row r="349" spans="1:20">
      <c r="A349" s="38" t="s">
        <v>49</v>
      </c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40"/>
      <c r="T349" s="20"/>
    </row>
    <row r="350" spans="1:20">
      <c r="A350" s="38" t="s">
        <v>50</v>
      </c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40"/>
      <c r="T350" s="20"/>
    </row>
    <row r="351" spans="1:20">
      <c r="A351" s="38" t="s">
        <v>51</v>
      </c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40"/>
      <c r="T351" s="20"/>
    </row>
    <row r="352" spans="1:20">
      <c r="A352" s="41" t="s">
        <v>52</v>
      </c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3"/>
      <c r="T352" s="20"/>
    </row>
    <row r="353" spans="1:20">
      <c r="A353" s="44" t="s">
        <v>53</v>
      </c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T353" s="20"/>
    </row>
    <row r="354" spans="1:20">
      <c r="A354" s="44" t="s">
        <v>54</v>
      </c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T354" s="20"/>
    </row>
    <row r="355" spans="1:20">
      <c r="A355" s="44" t="s">
        <v>99</v>
      </c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T355" s="20"/>
    </row>
    <row r="356" spans="1:20">
      <c r="A356" s="44" t="s">
        <v>55</v>
      </c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T356" s="20"/>
    </row>
    <row r="357" spans="1:20">
      <c r="A357" s="45" t="s">
        <v>56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T357" s="20"/>
    </row>
    <row r="358" spans="1:20">
      <c r="A358" s="37" t="s">
        <v>57</v>
      </c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T358" s="20"/>
    </row>
    <row r="359" spans="1:20">
      <c r="A359" s="37" t="s">
        <v>58</v>
      </c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T359" s="20"/>
    </row>
    <row r="360" spans="1:20">
      <c r="A360" s="37" t="s">
        <v>59</v>
      </c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T360" s="20"/>
    </row>
    <row r="361" spans="1:20">
      <c r="A361" s="37" t="s">
        <v>60</v>
      </c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T361" s="20"/>
    </row>
    <row r="362" spans="1:20">
      <c r="A362" s="37" t="s">
        <v>61</v>
      </c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T362" s="20"/>
    </row>
    <row r="363" spans="1:20">
      <c r="A363" s="37" t="s">
        <v>62</v>
      </c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T363" s="20"/>
    </row>
    <row r="364" spans="1:20">
      <c r="A364" s="37" t="s">
        <v>63</v>
      </c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T364" s="20"/>
    </row>
    <row r="365" spans="1:20">
      <c r="A365" s="37" t="s">
        <v>75</v>
      </c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T365" s="20"/>
    </row>
    <row r="366" spans="1:20" ht="39" customHeight="1">
      <c r="B366" s="120" t="s">
        <v>0</v>
      </c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T366" s="20"/>
    </row>
    <row r="367" spans="1:20">
      <c r="B367" s="6" t="s">
        <v>1</v>
      </c>
      <c r="C367" s="121" t="s">
        <v>2</v>
      </c>
      <c r="D367" s="121"/>
      <c r="E367" s="1" t="s">
        <v>3</v>
      </c>
      <c r="F367" s="121" t="s">
        <v>4</v>
      </c>
      <c r="G367" s="121"/>
      <c r="H367" s="1" t="s">
        <v>3</v>
      </c>
      <c r="I367" s="1"/>
      <c r="J367" s="121" t="s">
        <v>5</v>
      </c>
      <c r="K367" s="121"/>
      <c r="L367" s="121"/>
      <c r="M367" s="122">
        <f>M294+1</f>
        <v>46232</v>
      </c>
      <c r="N367" s="122"/>
      <c r="O367" s="122"/>
      <c r="P367" s="123"/>
      <c r="Q367" s="123"/>
      <c r="T367" s="20"/>
    </row>
    <row r="368" spans="1:20" ht="16.5" customHeight="1">
      <c r="A368" s="96" t="s">
        <v>6</v>
      </c>
      <c r="B368" s="96"/>
      <c r="C368" s="124" t="s">
        <v>79</v>
      </c>
      <c r="D368" s="125"/>
      <c r="E368" s="125"/>
      <c r="F368" s="125"/>
      <c r="G368" s="125"/>
      <c r="H368" s="125"/>
      <c r="I368" s="126"/>
      <c r="J368" s="127" t="s">
        <v>7</v>
      </c>
      <c r="K368" s="128"/>
      <c r="L368" s="128"/>
      <c r="M368" s="129"/>
      <c r="N368" s="130" t="s">
        <v>78</v>
      </c>
      <c r="O368" s="130"/>
      <c r="P368" s="130"/>
      <c r="Q368" s="131"/>
      <c r="T368" s="20"/>
    </row>
    <row r="369" spans="1:21">
      <c r="A369" s="96" t="s">
        <v>8</v>
      </c>
      <c r="B369" s="96"/>
      <c r="C369" s="4">
        <v>30</v>
      </c>
      <c r="D369" s="3" t="s">
        <v>9</v>
      </c>
      <c r="E369" s="127" t="s">
        <v>10</v>
      </c>
      <c r="F369" s="129"/>
      <c r="G369" s="127">
        <f>G296+1</f>
        <v>6</v>
      </c>
      <c r="H369" s="128"/>
      <c r="I369" s="3" t="s">
        <v>9</v>
      </c>
      <c r="J369" s="96" t="s">
        <v>11</v>
      </c>
      <c r="K369" s="96"/>
      <c r="L369" s="5">
        <f>C369-G369</f>
        <v>24</v>
      </c>
      <c r="M369" s="2" t="s">
        <v>9</v>
      </c>
      <c r="N369" s="96" t="s">
        <v>12</v>
      </c>
      <c r="O369" s="96"/>
      <c r="P369" s="2"/>
      <c r="Q369" s="3" t="s">
        <v>9</v>
      </c>
      <c r="T369" s="20"/>
    </row>
    <row r="370" spans="1:21">
      <c r="A370" s="96" t="s">
        <v>13</v>
      </c>
      <c r="B370" s="96"/>
      <c r="C370" s="132">
        <v>46227</v>
      </c>
      <c r="D370" s="132"/>
      <c r="E370" s="132"/>
      <c r="F370" s="132"/>
      <c r="G370" s="132"/>
      <c r="H370" s="132"/>
      <c r="I370" s="132"/>
      <c r="J370" s="127" t="s">
        <v>14</v>
      </c>
      <c r="K370" s="128"/>
      <c r="L370" s="128"/>
      <c r="M370" s="129"/>
      <c r="N370" s="133">
        <v>46256</v>
      </c>
      <c r="O370" s="134"/>
      <c r="P370" s="134"/>
      <c r="Q370" s="135"/>
      <c r="T370" s="20"/>
    </row>
    <row r="371" spans="1:21">
      <c r="A371" s="96" t="s">
        <v>15</v>
      </c>
      <c r="B371" s="96"/>
      <c r="C371" s="97">
        <v>28</v>
      </c>
      <c r="D371" s="98"/>
      <c r="E371" s="98"/>
      <c r="F371" s="98"/>
      <c r="G371" s="98"/>
      <c r="H371" s="99" t="s">
        <v>16</v>
      </c>
      <c r="I371" s="100"/>
      <c r="J371" s="101" t="s">
        <v>17</v>
      </c>
      <c r="K371" s="101"/>
      <c r="L371" s="101"/>
      <c r="M371" s="101"/>
      <c r="N371" s="102">
        <f>U394</f>
        <v>0.30540779532823181</v>
      </c>
      <c r="O371" s="102"/>
      <c r="P371" s="102"/>
      <c r="Q371" s="102"/>
      <c r="T371" s="20"/>
    </row>
    <row r="372" spans="1:21">
      <c r="A372" s="103" t="s">
        <v>18</v>
      </c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5"/>
      <c r="T372" s="20"/>
    </row>
    <row r="373" spans="1:21">
      <c r="A373" s="7"/>
      <c r="B373" s="106" t="s">
        <v>19</v>
      </c>
      <c r="C373" s="107"/>
      <c r="D373" s="107"/>
      <c r="E373" s="107"/>
      <c r="F373" s="107"/>
      <c r="G373" s="108"/>
      <c r="H373" s="8" t="s">
        <v>20</v>
      </c>
      <c r="I373" s="109" t="s">
        <v>21</v>
      </c>
      <c r="J373" s="110"/>
      <c r="K373" s="111"/>
      <c r="L373" s="109" t="s">
        <v>28</v>
      </c>
      <c r="M373" s="111"/>
      <c r="N373" s="106" t="s">
        <v>22</v>
      </c>
      <c r="O373" s="112"/>
      <c r="P373" s="113" t="s">
        <v>23</v>
      </c>
      <c r="Q373" s="113"/>
      <c r="S373" s="18" t="s">
        <v>22</v>
      </c>
      <c r="T373" s="19" t="s">
        <v>64</v>
      </c>
      <c r="U373" s="13" t="s">
        <v>27</v>
      </c>
    </row>
    <row r="374" spans="1:21">
      <c r="A374" s="17" t="s">
        <v>65</v>
      </c>
      <c r="B374" s="114" t="s">
        <v>66</v>
      </c>
      <c r="C374" s="115"/>
      <c r="D374" s="115"/>
      <c r="E374" s="115"/>
      <c r="F374" s="115"/>
      <c r="G374" s="116"/>
      <c r="H374" s="17"/>
      <c r="I374" s="117"/>
      <c r="J374" s="118"/>
      <c r="K374" s="119"/>
      <c r="L374" s="77"/>
      <c r="M374" s="78"/>
      <c r="N374" s="77"/>
      <c r="O374" s="78"/>
      <c r="P374" s="93"/>
      <c r="Q374" s="93"/>
      <c r="S374" s="16"/>
      <c r="T374" s="16"/>
      <c r="U374" s="16" t="s">
        <v>26</v>
      </c>
    </row>
    <row r="375" spans="1:21" ht="16.5" customHeight="1">
      <c r="A375" s="17">
        <v>1</v>
      </c>
      <c r="B375" s="81" t="s">
        <v>80</v>
      </c>
      <c r="C375" s="82"/>
      <c r="D375" s="82"/>
      <c r="E375" s="82"/>
      <c r="F375" s="82"/>
      <c r="G375" s="83"/>
      <c r="H375" s="29" t="s">
        <v>67</v>
      </c>
      <c r="I375" s="84">
        <v>18</v>
      </c>
      <c r="J375" s="85"/>
      <c r="K375" s="86"/>
      <c r="L375" s="87"/>
      <c r="M375" s="88"/>
      <c r="N375" s="89"/>
      <c r="O375" s="90"/>
      <c r="P375" s="93"/>
      <c r="Q375" s="93"/>
      <c r="S375" s="12"/>
      <c r="T375" s="26">
        <v>18000</v>
      </c>
      <c r="U375" s="12">
        <f>S375*T375</f>
        <v>0</v>
      </c>
    </row>
    <row r="376" spans="1:21" ht="32.1" customHeight="1">
      <c r="A376" s="17">
        <v>2</v>
      </c>
      <c r="B376" s="81" t="s">
        <v>81</v>
      </c>
      <c r="C376" s="82" t="s">
        <v>81</v>
      </c>
      <c r="D376" s="82" t="s">
        <v>81</v>
      </c>
      <c r="E376" s="82" t="s">
        <v>81</v>
      </c>
      <c r="F376" s="82" t="s">
        <v>81</v>
      </c>
      <c r="G376" s="83" t="s">
        <v>81</v>
      </c>
      <c r="H376" s="29" t="s">
        <v>97</v>
      </c>
      <c r="I376" s="84">
        <v>166</v>
      </c>
      <c r="J376" s="85"/>
      <c r="K376" s="86"/>
      <c r="L376" s="87"/>
      <c r="M376" s="88"/>
      <c r="N376" s="89"/>
      <c r="O376" s="90"/>
      <c r="P376" s="93"/>
      <c r="Q376" s="93"/>
      <c r="S376" s="12"/>
      <c r="T376" s="26">
        <v>750</v>
      </c>
      <c r="U376" s="12">
        <f t="shared" ref="U376:U386" si="10">S376*T376</f>
        <v>0</v>
      </c>
    </row>
    <row r="377" spans="1:21" ht="16.5" customHeight="1">
      <c r="A377" s="17">
        <v>3</v>
      </c>
      <c r="B377" s="81" t="s">
        <v>82</v>
      </c>
      <c r="C377" s="82" t="s">
        <v>82</v>
      </c>
      <c r="D377" s="82" t="s">
        <v>82</v>
      </c>
      <c r="E377" s="82" t="s">
        <v>82</v>
      </c>
      <c r="F377" s="82" t="s">
        <v>82</v>
      </c>
      <c r="G377" s="83" t="s">
        <v>82</v>
      </c>
      <c r="H377" s="29" t="s">
        <v>97</v>
      </c>
      <c r="I377" s="84">
        <v>540</v>
      </c>
      <c r="J377" s="85">
        <v>540</v>
      </c>
      <c r="K377" s="86">
        <v>540</v>
      </c>
      <c r="L377" s="87">
        <v>240</v>
      </c>
      <c r="M377" s="88"/>
      <c r="N377" s="89">
        <v>240</v>
      </c>
      <c r="O377" s="90"/>
      <c r="P377" s="93"/>
      <c r="Q377" s="93"/>
      <c r="S377" s="12">
        <v>240</v>
      </c>
      <c r="T377" s="26">
        <v>340</v>
      </c>
      <c r="U377" s="12">
        <f t="shared" si="10"/>
        <v>81600</v>
      </c>
    </row>
    <row r="378" spans="1:21" ht="16.5" customHeight="1">
      <c r="A378" s="17">
        <v>4</v>
      </c>
      <c r="B378" s="81" t="s">
        <v>83</v>
      </c>
      <c r="C378" s="82" t="s">
        <v>83</v>
      </c>
      <c r="D378" s="82" t="s">
        <v>83</v>
      </c>
      <c r="E378" s="82" t="s">
        <v>83</v>
      </c>
      <c r="F378" s="82" t="s">
        <v>83</v>
      </c>
      <c r="G378" s="83" t="s">
        <v>83</v>
      </c>
      <c r="H378" s="29" t="s">
        <v>67</v>
      </c>
      <c r="I378" s="84">
        <v>20</v>
      </c>
      <c r="J378" s="85">
        <v>20</v>
      </c>
      <c r="K378" s="86">
        <v>20</v>
      </c>
      <c r="L378" s="87"/>
      <c r="M378" s="88"/>
      <c r="N378" s="89"/>
      <c r="O378" s="90"/>
      <c r="P378" s="93"/>
      <c r="Q378" s="93"/>
      <c r="S378" s="12"/>
      <c r="T378" s="26">
        <v>1250</v>
      </c>
      <c r="U378" s="12">
        <f t="shared" si="10"/>
        <v>0</v>
      </c>
    </row>
    <row r="379" spans="1:21" ht="32.1" customHeight="1">
      <c r="A379" s="17">
        <v>5</v>
      </c>
      <c r="B379" s="81" t="s">
        <v>84</v>
      </c>
      <c r="C379" s="82" t="s">
        <v>84</v>
      </c>
      <c r="D379" s="82" t="s">
        <v>84</v>
      </c>
      <c r="E379" s="82" t="s">
        <v>84</v>
      </c>
      <c r="F379" s="82" t="s">
        <v>84</v>
      </c>
      <c r="G379" s="83" t="s">
        <v>84</v>
      </c>
      <c r="H379" s="29" t="s">
        <v>97</v>
      </c>
      <c r="I379" s="84">
        <v>28</v>
      </c>
      <c r="J379" s="85">
        <v>28</v>
      </c>
      <c r="K379" s="86">
        <v>28</v>
      </c>
      <c r="L379" s="87"/>
      <c r="M379" s="88"/>
      <c r="N379" s="89">
        <v>28</v>
      </c>
      <c r="O379" s="90"/>
      <c r="P379" s="93"/>
      <c r="Q379" s="93"/>
      <c r="S379" s="12">
        <v>28</v>
      </c>
      <c r="T379" s="26">
        <v>1800</v>
      </c>
      <c r="U379" s="12">
        <f t="shared" si="10"/>
        <v>50400</v>
      </c>
    </row>
    <row r="380" spans="1:21" ht="16.5" customHeight="1">
      <c r="A380" s="17">
        <v>6</v>
      </c>
      <c r="B380" s="81" t="s">
        <v>85</v>
      </c>
      <c r="C380" s="82" t="s">
        <v>85</v>
      </c>
      <c r="D380" s="82" t="s">
        <v>85</v>
      </c>
      <c r="E380" s="82" t="s">
        <v>85</v>
      </c>
      <c r="F380" s="82" t="s">
        <v>85</v>
      </c>
      <c r="G380" s="83" t="s">
        <v>85</v>
      </c>
      <c r="H380" s="29" t="s">
        <v>97</v>
      </c>
      <c r="I380" s="84">
        <v>14</v>
      </c>
      <c r="J380" s="85">
        <v>14</v>
      </c>
      <c r="K380" s="86">
        <v>14</v>
      </c>
      <c r="L380" s="87">
        <v>7</v>
      </c>
      <c r="M380" s="88"/>
      <c r="N380" s="89">
        <v>14</v>
      </c>
      <c r="O380" s="90"/>
      <c r="P380" s="79"/>
      <c r="Q380" s="80"/>
      <c r="S380" s="12">
        <v>14</v>
      </c>
      <c r="T380" s="26">
        <v>4000</v>
      </c>
      <c r="U380" s="12">
        <f t="shared" si="10"/>
        <v>56000</v>
      </c>
    </row>
    <row r="381" spans="1:21" ht="16.5" customHeight="1">
      <c r="A381" s="17">
        <v>7</v>
      </c>
      <c r="B381" s="81" t="s">
        <v>86</v>
      </c>
      <c r="C381" s="82" t="s">
        <v>86</v>
      </c>
      <c r="D381" s="82" t="s">
        <v>86</v>
      </c>
      <c r="E381" s="82" t="s">
        <v>86</v>
      </c>
      <c r="F381" s="82" t="s">
        <v>86</v>
      </c>
      <c r="G381" s="83" t="s">
        <v>86</v>
      </c>
      <c r="H381" s="29" t="s">
        <v>97</v>
      </c>
      <c r="I381" s="84">
        <v>30</v>
      </c>
      <c r="J381" s="85">
        <v>30</v>
      </c>
      <c r="K381" s="86">
        <v>30</v>
      </c>
      <c r="L381" s="87">
        <v>15</v>
      </c>
      <c r="M381" s="88"/>
      <c r="N381" s="89">
        <v>30</v>
      </c>
      <c r="O381" s="90"/>
      <c r="P381" s="93"/>
      <c r="Q381" s="93"/>
      <c r="S381" s="12">
        <v>30</v>
      </c>
      <c r="T381" s="26">
        <v>4000</v>
      </c>
      <c r="U381" s="12">
        <f t="shared" si="10"/>
        <v>120000</v>
      </c>
    </row>
    <row r="382" spans="1:21" ht="16.5" customHeight="1">
      <c r="A382" s="17">
        <v>8</v>
      </c>
      <c r="B382" s="81" t="s">
        <v>87</v>
      </c>
      <c r="C382" s="82" t="s">
        <v>87</v>
      </c>
      <c r="D382" s="82" t="s">
        <v>87</v>
      </c>
      <c r="E382" s="82" t="s">
        <v>87</v>
      </c>
      <c r="F382" s="82" t="s">
        <v>87</v>
      </c>
      <c r="G382" s="83" t="s">
        <v>87</v>
      </c>
      <c r="H382" s="30" t="s">
        <v>25</v>
      </c>
      <c r="I382" s="84">
        <v>1</v>
      </c>
      <c r="J382" s="85">
        <v>1</v>
      </c>
      <c r="K382" s="86">
        <v>1</v>
      </c>
      <c r="L382" s="94"/>
      <c r="M382" s="95"/>
      <c r="N382" s="94"/>
      <c r="O382" s="95"/>
      <c r="P382" s="93"/>
      <c r="Q382" s="93"/>
      <c r="S382" s="16"/>
      <c r="T382" s="26">
        <v>31000</v>
      </c>
      <c r="U382" s="12">
        <f t="shared" si="10"/>
        <v>0</v>
      </c>
    </row>
    <row r="383" spans="1:21" ht="16.5" customHeight="1">
      <c r="A383" s="17">
        <v>9</v>
      </c>
      <c r="B383" s="81" t="s">
        <v>88</v>
      </c>
      <c r="C383" s="82" t="s">
        <v>88</v>
      </c>
      <c r="D383" s="82" t="s">
        <v>88</v>
      </c>
      <c r="E383" s="82" t="s">
        <v>88</v>
      </c>
      <c r="F383" s="82" t="s">
        <v>88</v>
      </c>
      <c r="G383" s="83" t="s">
        <v>88</v>
      </c>
      <c r="H383" s="30" t="s">
        <v>25</v>
      </c>
      <c r="I383" s="84">
        <v>1</v>
      </c>
      <c r="J383" s="85">
        <v>1</v>
      </c>
      <c r="K383" s="86">
        <v>1</v>
      </c>
      <c r="L383" s="87"/>
      <c r="M383" s="88"/>
      <c r="N383" s="89"/>
      <c r="O383" s="90"/>
      <c r="P383" s="93"/>
      <c r="Q383" s="93"/>
      <c r="S383" s="12"/>
      <c r="T383" s="26">
        <v>30121</v>
      </c>
      <c r="U383" s="12">
        <f t="shared" si="10"/>
        <v>0</v>
      </c>
    </row>
    <row r="384" spans="1:21" ht="16.5" customHeight="1">
      <c r="A384" s="17">
        <v>10</v>
      </c>
      <c r="B384" s="81" t="s">
        <v>89</v>
      </c>
      <c r="C384" s="82"/>
      <c r="D384" s="82"/>
      <c r="E384" s="82"/>
      <c r="F384" s="82"/>
      <c r="G384" s="83"/>
      <c r="H384" s="30" t="s">
        <v>98</v>
      </c>
      <c r="I384" s="84">
        <v>3</v>
      </c>
      <c r="J384" s="85"/>
      <c r="K384" s="86"/>
      <c r="L384" s="31"/>
      <c r="M384" s="32"/>
      <c r="N384" s="89"/>
      <c r="O384" s="90"/>
      <c r="P384" s="91"/>
      <c r="Q384" s="92"/>
      <c r="S384" s="12"/>
      <c r="T384" s="26">
        <v>14500</v>
      </c>
      <c r="U384" s="12">
        <f t="shared" si="10"/>
        <v>0</v>
      </c>
    </row>
    <row r="385" spans="1:22" ht="16.5" customHeight="1">
      <c r="A385" s="17">
        <v>11</v>
      </c>
      <c r="B385" s="81" t="s">
        <v>90</v>
      </c>
      <c r="C385" s="82"/>
      <c r="D385" s="82"/>
      <c r="E385" s="82"/>
      <c r="F385" s="82"/>
      <c r="G385" s="83"/>
      <c r="H385" s="29" t="s">
        <v>67</v>
      </c>
      <c r="I385" s="84">
        <v>6</v>
      </c>
      <c r="J385" s="85"/>
      <c r="K385" s="86"/>
      <c r="L385" s="31"/>
      <c r="M385" s="32"/>
      <c r="N385" s="89"/>
      <c r="O385" s="90"/>
      <c r="P385" s="91"/>
      <c r="Q385" s="92"/>
      <c r="S385" s="12"/>
      <c r="T385" s="26">
        <v>3500</v>
      </c>
      <c r="U385" s="12">
        <f t="shared" si="10"/>
        <v>0</v>
      </c>
    </row>
    <row r="386" spans="1:22" ht="16.5" customHeight="1">
      <c r="A386" s="17">
        <v>12</v>
      </c>
      <c r="B386" s="81" t="s">
        <v>91</v>
      </c>
      <c r="C386" s="82" t="s">
        <v>89</v>
      </c>
      <c r="D386" s="82" t="s">
        <v>89</v>
      </c>
      <c r="E386" s="82" t="s">
        <v>89</v>
      </c>
      <c r="F386" s="82" t="s">
        <v>89</v>
      </c>
      <c r="G386" s="83" t="s">
        <v>89</v>
      </c>
      <c r="H386" s="29" t="s">
        <v>67</v>
      </c>
      <c r="I386" s="84">
        <v>10</v>
      </c>
      <c r="J386" s="85">
        <v>10</v>
      </c>
      <c r="K386" s="86">
        <v>10</v>
      </c>
      <c r="L386" s="87"/>
      <c r="M386" s="88"/>
      <c r="N386" s="89"/>
      <c r="O386" s="90"/>
      <c r="P386" s="93"/>
      <c r="Q386" s="93"/>
      <c r="S386" s="12"/>
      <c r="T386" s="26">
        <v>3000</v>
      </c>
      <c r="U386" s="12">
        <f t="shared" si="10"/>
        <v>0</v>
      </c>
      <c r="V386" s="22">
        <f>SUM(U375:U386)</f>
        <v>308000</v>
      </c>
    </row>
    <row r="387" spans="1:22">
      <c r="A387" s="17" t="s">
        <v>76</v>
      </c>
      <c r="B387" s="71" t="s">
        <v>92</v>
      </c>
      <c r="C387" s="72"/>
      <c r="D387" s="72"/>
      <c r="E387" s="72"/>
      <c r="F387" s="72"/>
      <c r="G387" s="73"/>
      <c r="H387" s="30" t="s">
        <v>24</v>
      </c>
      <c r="I387" s="84">
        <v>1</v>
      </c>
      <c r="J387" s="85">
        <v>10</v>
      </c>
      <c r="K387" s="86">
        <v>10</v>
      </c>
      <c r="L387" s="77"/>
      <c r="M387" s="78"/>
      <c r="N387" s="77">
        <v>1</v>
      </c>
      <c r="O387" s="78"/>
      <c r="P387" s="79"/>
      <c r="Q387" s="80"/>
      <c r="S387" s="12">
        <v>1</v>
      </c>
      <c r="T387" s="25">
        <v>10391</v>
      </c>
      <c r="U387" s="12">
        <f>S387*T387</f>
        <v>10391</v>
      </c>
      <c r="V387" s="27"/>
    </row>
    <row r="388" spans="1:22">
      <c r="A388" s="23" t="s">
        <v>68</v>
      </c>
      <c r="B388" s="71" t="s">
        <v>93</v>
      </c>
      <c r="C388" s="72"/>
      <c r="D388" s="72"/>
      <c r="E388" s="72"/>
      <c r="F388" s="72"/>
      <c r="G388" s="73"/>
      <c r="H388" s="30" t="s">
        <v>24</v>
      </c>
      <c r="I388" s="74">
        <v>1</v>
      </c>
      <c r="J388" s="75"/>
      <c r="K388" s="76"/>
      <c r="L388" s="77">
        <f>N388-N315</f>
        <v>0.16321816956982002</v>
      </c>
      <c r="M388" s="78"/>
      <c r="N388" s="77">
        <f>S388</f>
        <v>0.29641035511500335</v>
      </c>
      <c r="O388" s="78"/>
      <c r="P388" s="77"/>
      <c r="Q388" s="78"/>
      <c r="S388" s="21">
        <f>V386*0.01/T388</f>
        <v>0.29641035511500335</v>
      </c>
      <c r="T388" s="25">
        <v>10391</v>
      </c>
      <c r="U388" s="12">
        <f t="shared" ref="U388:U389" si="11">S388*T388</f>
        <v>3080</v>
      </c>
    </row>
    <row r="389" spans="1:22">
      <c r="A389" s="23" t="s">
        <v>69</v>
      </c>
      <c r="B389" s="58" t="s">
        <v>94</v>
      </c>
      <c r="C389" s="59" t="s">
        <v>70</v>
      </c>
      <c r="D389" s="59" t="s">
        <v>70</v>
      </c>
      <c r="E389" s="59" t="s">
        <v>70</v>
      </c>
      <c r="F389" s="59" t="s">
        <v>70</v>
      </c>
      <c r="G389" s="60" t="s">
        <v>70</v>
      </c>
      <c r="H389" s="30" t="s">
        <v>24</v>
      </c>
      <c r="I389" s="74">
        <v>1</v>
      </c>
      <c r="J389" s="75"/>
      <c r="K389" s="76"/>
      <c r="L389" s="77">
        <f>N389-N316</f>
        <v>0.16321368179381077</v>
      </c>
      <c r="M389" s="78"/>
      <c r="N389" s="77">
        <f>S389</f>
        <v>0.29640220514442051</v>
      </c>
      <c r="O389" s="78"/>
      <c r="P389" s="77"/>
      <c r="Q389" s="78"/>
      <c r="S389" s="21">
        <f>V386*0.07/T389</f>
        <v>0.29640220514442051</v>
      </c>
      <c r="T389" s="25">
        <v>72739</v>
      </c>
      <c r="U389" s="12">
        <f t="shared" si="11"/>
        <v>21560.000000000004</v>
      </c>
    </row>
    <row r="390" spans="1:22">
      <c r="A390" s="23" t="s">
        <v>71</v>
      </c>
      <c r="B390" s="58" t="s">
        <v>95</v>
      </c>
      <c r="C390" s="59" t="s">
        <v>72</v>
      </c>
      <c r="D390" s="59" t="s">
        <v>72</v>
      </c>
      <c r="E390" s="59" t="s">
        <v>72</v>
      </c>
      <c r="F390" s="59" t="s">
        <v>72</v>
      </c>
      <c r="G390" s="60" t="s">
        <v>72</v>
      </c>
      <c r="H390" s="30" t="s">
        <v>24</v>
      </c>
      <c r="I390" s="74">
        <v>1</v>
      </c>
      <c r="J390" s="75"/>
      <c r="K390" s="76"/>
      <c r="L390" s="77"/>
      <c r="M390" s="78"/>
      <c r="N390" s="77">
        <f>S390</f>
        <v>1</v>
      </c>
      <c r="O390" s="78"/>
      <c r="P390" s="77"/>
      <c r="Q390" s="78"/>
      <c r="S390" s="21">
        <v>1</v>
      </c>
      <c r="T390" s="25">
        <v>4156</v>
      </c>
      <c r="U390" s="12">
        <f>S390*T390</f>
        <v>4156</v>
      </c>
    </row>
    <row r="391" spans="1:22">
      <c r="A391" s="23" t="s">
        <v>73</v>
      </c>
      <c r="B391" s="58" t="s">
        <v>96</v>
      </c>
      <c r="C391" s="59" t="s">
        <v>74</v>
      </c>
      <c r="D391" s="59" t="s">
        <v>74</v>
      </c>
      <c r="E391" s="59" t="s">
        <v>74</v>
      </c>
      <c r="F391" s="59" t="s">
        <v>74</v>
      </c>
      <c r="G391" s="60" t="s">
        <v>74</v>
      </c>
      <c r="H391" s="30" t="s">
        <v>24</v>
      </c>
      <c r="I391" s="74">
        <v>1</v>
      </c>
      <c r="J391" s="75"/>
      <c r="K391" s="76"/>
      <c r="L391" s="77">
        <f>N391-N318</f>
        <v>0.1601259676284307</v>
      </c>
      <c r="M391" s="78"/>
      <c r="N391" s="77">
        <f>S391-0.001</f>
        <v>0.30440728360309643</v>
      </c>
      <c r="O391" s="78"/>
      <c r="P391" s="79"/>
      <c r="Q391" s="80"/>
      <c r="S391" s="21">
        <f>(V386+U387+U388+U389+U390)*0.05/T391</f>
        <v>0.30540728360309644</v>
      </c>
      <c r="T391" s="25">
        <v>56840</v>
      </c>
      <c r="U391" s="12">
        <f>S391*T391</f>
        <v>17359.350000000002</v>
      </c>
    </row>
    <row r="392" spans="1:22">
      <c r="A392" s="23"/>
      <c r="B392" s="58"/>
      <c r="C392" s="59"/>
      <c r="D392" s="59"/>
      <c r="E392" s="59"/>
      <c r="F392" s="59"/>
      <c r="G392" s="60"/>
      <c r="H392" s="24"/>
      <c r="I392" s="58"/>
      <c r="J392" s="59"/>
      <c r="K392" s="59"/>
      <c r="L392" s="58"/>
      <c r="M392" s="59"/>
      <c r="N392" s="58"/>
      <c r="O392" s="59"/>
      <c r="P392" s="58"/>
      <c r="Q392" s="60"/>
      <c r="S392" s="21"/>
      <c r="T392" s="25"/>
      <c r="U392" s="28">
        <f>V386+U387+U388+U389+U390+U391</f>
        <v>364546.35</v>
      </c>
    </row>
    <row r="393" spans="1:22">
      <c r="A393" s="23"/>
      <c r="B393" s="58"/>
      <c r="C393" s="59"/>
      <c r="D393" s="59"/>
      <c r="E393" s="59"/>
      <c r="F393" s="59"/>
      <c r="G393" s="60"/>
      <c r="H393" s="23"/>
      <c r="I393" s="58"/>
      <c r="J393" s="59"/>
      <c r="K393" s="59"/>
      <c r="L393" s="58"/>
      <c r="M393" s="59"/>
      <c r="N393" s="58"/>
      <c r="O393" s="59"/>
      <c r="P393" s="58"/>
      <c r="Q393" s="60"/>
      <c r="S393" s="21"/>
      <c r="T393" s="16"/>
      <c r="U393" s="14">
        <v>1193638</v>
      </c>
    </row>
    <row r="394" spans="1:22">
      <c r="A394" s="9"/>
      <c r="B394" s="58"/>
      <c r="C394" s="59"/>
      <c r="D394" s="59"/>
      <c r="E394" s="59"/>
      <c r="F394" s="59"/>
      <c r="G394" s="60"/>
      <c r="H394" s="9"/>
      <c r="I394" s="58"/>
      <c r="J394" s="59"/>
      <c r="K394" s="59"/>
      <c r="L394" s="58"/>
      <c r="M394" s="59"/>
      <c r="N394" s="58"/>
      <c r="O394" s="59"/>
      <c r="P394" s="58"/>
      <c r="Q394" s="60"/>
      <c r="S394" s="21"/>
      <c r="T394" s="16"/>
      <c r="U394" s="15">
        <f>U392/U393</f>
        <v>0.30540779532823181</v>
      </c>
    </row>
    <row r="395" spans="1:22">
      <c r="A395" s="9"/>
      <c r="B395" s="58"/>
      <c r="C395" s="59"/>
      <c r="D395" s="59"/>
      <c r="E395" s="59"/>
      <c r="F395" s="59"/>
      <c r="G395" s="60"/>
      <c r="H395" s="9"/>
      <c r="I395" s="58"/>
      <c r="J395" s="59"/>
      <c r="K395" s="59"/>
      <c r="L395" s="58"/>
      <c r="M395" s="59"/>
      <c r="N395" s="58"/>
      <c r="O395" s="59"/>
      <c r="P395" s="58"/>
      <c r="Q395" s="60"/>
      <c r="S395" s="21"/>
      <c r="T395" s="16"/>
      <c r="U395" s="12"/>
    </row>
    <row r="396" spans="1:22">
      <c r="A396" s="9"/>
      <c r="B396" s="58"/>
      <c r="C396" s="59"/>
      <c r="D396" s="59"/>
      <c r="E396" s="59"/>
      <c r="F396" s="59"/>
      <c r="G396" s="60"/>
      <c r="H396" s="9"/>
      <c r="I396" s="58"/>
      <c r="J396" s="59"/>
      <c r="K396" s="59"/>
      <c r="L396" s="58"/>
      <c r="M396" s="59"/>
      <c r="N396" s="58"/>
      <c r="O396" s="59"/>
      <c r="P396" s="58"/>
      <c r="Q396" s="60"/>
      <c r="S396" s="21"/>
      <c r="T396" s="16"/>
      <c r="U396" s="12"/>
    </row>
    <row r="397" spans="1:22">
      <c r="A397" s="9"/>
      <c r="B397" s="58"/>
      <c r="C397" s="59"/>
      <c r="D397" s="59"/>
      <c r="E397" s="59"/>
      <c r="F397" s="59"/>
      <c r="G397" s="60"/>
      <c r="H397" s="9"/>
      <c r="I397" s="58"/>
      <c r="J397" s="59"/>
      <c r="K397" s="59"/>
      <c r="L397" s="58"/>
      <c r="M397" s="59"/>
      <c r="N397" s="58"/>
      <c r="O397" s="59"/>
      <c r="P397" s="58"/>
      <c r="Q397" s="60"/>
      <c r="S397" s="21"/>
      <c r="T397" s="16"/>
      <c r="U397" s="12"/>
    </row>
    <row r="398" spans="1:22">
      <c r="A398" s="9"/>
      <c r="B398" s="58"/>
      <c r="C398" s="59"/>
      <c r="D398" s="59"/>
      <c r="E398" s="59"/>
      <c r="F398" s="59"/>
      <c r="G398" s="60"/>
      <c r="H398" s="9"/>
      <c r="I398" s="58"/>
      <c r="J398" s="59"/>
      <c r="K398" s="59"/>
      <c r="L398" s="58"/>
      <c r="M398" s="59"/>
      <c r="N398" s="58"/>
      <c r="O398" s="59"/>
      <c r="P398" s="58"/>
      <c r="Q398" s="60"/>
      <c r="S398" s="21"/>
      <c r="T398" s="16"/>
      <c r="U398" s="12"/>
    </row>
    <row r="399" spans="1:22">
      <c r="A399" s="7"/>
      <c r="B399" s="61"/>
      <c r="C399" s="62"/>
      <c r="D399" s="62"/>
      <c r="E399" s="62"/>
      <c r="F399" s="62"/>
      <c r="G399" s="63"/>
      <c r="H399" s="9"/>
      <c r="I399" s="64"/>
      <c r="J399" s="65"/>
      <c r="K399" s="66"/>
      <c r="L399" s="67"/>
      <c r="M399" s="68"/>
      <c r="N399" s="67"/>
      <c r="O399" s="68"/>
      <c r="P399" s="69"/>
      <c r="Q399" s="70"/>
      <c r="S399" s="21"/>
      <c r="T399" s="16"/>
    </row>
    <row r="400" spans="1:22">
      <c r="A400" s="44" t="s">
        <v>29</v>
      </c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T400" s="20"/>
    </row>
    <row r="401" spans="1:20">
      <c r="A401" s="44" t="s">
        <v>30</v>
      </c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T401" s="20"/>
    </row>
    <row r="402" spans="1:20">
      <c r="A402" s="44" t="s">
        <v>31</v>
      </c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T402" s="20"/>
    </row>
    <row r="403" spans="1:20">
      <c r="A403" s="44" t="s">
        <v>32</v>
      </c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T403" s="20"/>
    </row>
    <row r="404" spans="1:20">
      <c r="A404" s="54" t="s">
        <v>33</v>
      </c>
      <c r="B404" s="54"/>
      <c r="C404" s="54"/>
      <c r="D404" s="54"/>
      <c r="E404" s="54"/>
      <c r="F404" s="54"/>
      <c r="G404" s="54"/>
      <c r="H404" s="54" t="s">
        <v>20</v>
      </c>
      <c r="I404" s="54"/>
      <c r="J404" s="54"/>
      <c r="K404" s="54" t="s">
        <v>34</v>
      </c>
      <c r="L404" s="54"/>
      <c r="M404" s="54" t="s">
        <v>35</v>
      </c>
      <c r="N404" s="54"/>
      <c r="O404" s="54" t="s">
        <v>36</v>
      </c>
      <c r="P404" s="54"/>
      <c r="Q404" s="54"/>
      <c r="T404" s="20"/>
    </row>
    <row r="405" spans="1:20">
      <c r="A405" s="55"/>
      <c r="B405" s="56"/>
      <c r="C405" s="56"/>
      <c r="D405" s="56"/>
      <c r="E405" s="56"/>
      <c r="F405" s="56"/>
      <c r="G405" s="57"/>
      <c r="H405" s="55"/>
      <c r="I405" s="56"/>
      <c r="J405" s="57"/>
      <c r="K405" s="55"/>
      <c r="L405" s="56"/>
      <c r="M405" s="55"/>
      <c r="N405" s="56"/>
      <c r="O405" s="55"/>
      <c r="P405" s="56"/>
      <c r="Q405" s="57"/>
      <c r="T405" s="20"/>
    </row>
    <row r="406" spans="1:20">
      <c r="A406" s="55"/>
      <c r="B406" s="56"/>
      <c r="C406" s="56"/>
      <c r="D406" s="56"/>
      <c r="E406" s="56"/>
      <c r="F406" s="56"/>
      <c r="G406" s="57"/>
      <c r="H406" s="55"/>
      <c r="I406" s="56"/>
      <c r="J406" s="57"/>
      <c r="K406" s="55"/>
      <c r="L406" s="56"/>
      <c r="M406" s="55"/>
      <c r="N406" s="56"/>
      <c r="O406" s="55"/>
      <c r="P406" s="56"/>
      <c r="Q406" s="57"/>
      <c r="T406" s="20"/>
    </row>
    <row r="407" spans="1:20">
      <c r="A407" s="53"/>
      <c r="B407" s="53"/>
      <c r="C407" s="53"/>
      <c r="D407" s="53"/>
      <c r="E407" s="53"/>
      <c r="F407" s="53"/>
      <c r="G407" s="53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T407" s="20"/>
    </row>
    <row r="408" spans="1:20">
      <c r="A408" s="53"/>
      <c r="B408" s="53"/>
      <c r="C408" s="53"/>
      <c r="D408" s="53"/>
      <c r="E408" s="53"/>
      <c r="F408" s="53"/>
      <c r="G408" s="53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T408" s="20"/>
    </row>
    <row r="409" spans="1:20">
      <c r="A409" s="44" t="s">
        <v>37</v>
      </c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T409" s="20"/>
    </row>
    <row r="410" spans="1:20">
      <c r="A410" s="46" t="s">
        <v>38</v>
      </c>
      <c r="B410" s="46"/>
      <c r="C410" s="47" t="s">
        <v>39</v>
      </c>
      <c r="D410" s="48"/>
      <c r="E410" s="48"/>
      <c r="F410" s="47" t="s">
        <v>40</v>
      </c>
      <c r="G410" s="48"/>
      <c r="H410" s="49"/>
      <c r="I410" s="46" t="s">
        <v>41</v>
      </c>
      <c r="J410" s="46"/>
      <c r="K410" s="46"/>
      <c r="L410" s="46" t="s">
        <v>35</v>
      </c>
      <c r="M410" s="46"/>
      <c r="N410" s="46"/>
      <c r="O410" s="46" t="s">
        <v>36</v>
      </c>
      <c r="P410" s="46"/>
      <c r="Q410" s="46"/>
      <c r="T410" s="20"/>
    </row>
    <row r="411" spans="1:20">
      <c r="A411" s="47" t="s">
        <v>42</v>
      </c>
      <c r="B411" s="49"/>
      <c r="C411" s="47">
        <v>7</v>
      </c>
      <c r="D411" s="48"/>
      <c r="E411" s="49"/>
      <c r="F411" s="47">
        <f>F338+C411</f>
        <v>14</v>
      </c>
      <c r="G411" s="48"/>
      <c r="H411" s="49"/>
      <c r="I411" s="47"/>
      <c r="J411" s="48"/>
      <c r="K411" s="49"/>
      <c r="L411" s="47"/>
      <c r="M411" s="48"/>
      <c r="N411" s="49"/>
      <c r="O411" s="47"/>
      <c r="P411" s="48"/>
      <c r="Q411" s="49"/>
      <c r="T411" s="20"/>
    </row>
    <row r="412" spans="1:20">
      <c r="A412" s="47" t="s">
        <v>100</v>
      </c>
      <c r="B412" s="49"/>
      <c r="C412" s="47"/>
      <c r="D412" s="48"/>
      <c r="E412" s="49"/>
      <c r="F412" s="47">
        <f>F339+C412</f>
        <v>2</v>
      </c>
      <c r="G412" s="48"/>
      <c r="H412" s="49"/>
      <c r="I412" s="47"/>
      <c r="J412" s="48"/>
      <c r="K412" s="49"/>
      <c r="L412" s="47"/>
      <c r="M412" s="48"/>
      <c r="N412" s="49"/>
      <c r="O412" s="47"/>
      <c r="P412" s="48"/>
      <c r="Q412" s="49"/>
      <c r="T412" s="20"/>
    </row>
    <row r="413" spans="1:20">
      <c r="A413" s="47"/>
      <c r="B413" s="49"/>
      <c r="C413" s="47"/>
      <c r="D413" s="48"/>
      <c r="E413" s="49"/>
      <c r="F413" s="47"/>
      <c r="G413" s="48"/>
      <c r="H413" s="49"/>
      <c r="I413" s="47"/>
      <c r="J413" s="48"/>
      <c r="K413" s="49"/>
      <c r="L413" s="47"/>
      <c r="M413" s="48"/>
      <c r="N413" s="49"/>
      <c r="O413" s="47"/>
      <c r="P413" s="48"/>
      <c r="Q413" s="49"/>
      <c r="T413" s="20"/>
    </row>
    <row r="414" spans="1:20">
      <c r="A414" s="46"/>
      <c r="B414" s="46"/>
      <c r="C414" s="47"/>
      <c r="D414" s="48"/>
      <c r="E414" s="49"/>
      <c r="F414" s="47"/>
      <c r="G414" s="48"/>
      <c r="H414" s="49"/>
      <c r="I414" s="47"/>
      <c r="J414" s="48"/>
      <c r="K414" s="49"/>
      <c r="L414" s="47"/>
      <c r="M414" s="48"/>
      <c r="N414" s="49"/>
      <c r="O414" s="47"/>
      <c r="P414" s="48"/>
      <c r="Q414" s="49"/>
      <c r="T414" s="20"/>
    </row>
    <row r="415" spans="1:20">
      <c r="A415" s="46"/>
      <c r="B415" s="46"/>
      <c r="C415" s="47"/>
      <c r="D415" s="48"/>
      <c r="E415" s="49"/>
      <c r="F415" s="47"/>
      <c r="G415" s="48"/>
      <c r="H415" s="49"/>
      <c r="I415" s="47"/>
      <c r="J415" s="48"/>
      <c r="K415" s="49"/>
      <c r="L415" s="47"/>
      <c r="M415" s="48"/>
      <c r="N415" s="49"/>
      <c r="O415" s="47"/>
      <c r="P415" s="48"/>
      <c r="Q415" s="49"/>
      <c r="T415" s="20"/>
    </row>
    <row r="416" spans="1:20">
      <c r="A416" s="50" t="s">
        <v>43</v>
      </c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2"/>
      <c r="T416" s="20"/>
    </row>
    <row r="417" spans="1:20">
      <c r="A417" s="38" t="s">
        <v>44</v>
      </c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40"/>
      <c r="T417" s="20"/>
    </row>
    <row r="418" spans="1:20">
      <c r="A418" s="41" t="s">
        <v>45</v>
      </c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3"/>
      <c r="T418" s="20"/>
    </row>
    <row r="419" spans="1:20">
      <c r="A419" s="50" t="s">
        <v>46</v>
      </c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2"/>
      <c r="T419" s="20"/>
    </row>
    <row r="420" spans="1:20">
      <c r="A420" s="38" t="s">
        <v>47</v>
      </c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40"/>
      <c r="T420" s="20"/>
    </row>
    <row r="421" spans="1:20">
      <c r="A421" s="38" t="s">
        <v>48</v>
      </c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40"/>
      <c r="T421" s="20"/>
    </row>
    <row r="422" spans="1:20">
      <c r="A422" s="38" t="s">
        <v>49</v>
      </c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40"/>
      <c r="T422" s="20"/>
    </row>
    <row r="423" spans="1:20">
      <c r="A423" s="38" t="s">
        <v>50</v>
      </c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40"/>
      <c r="T423" s="20"/>
    </row>
    <row r="424" spans="1:20">
      <c r="A424" s="38" t="s">
        <v>51</v>
      </c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40"/>
      <c r="T424" s="20"/>
    </row>
    <row r="425" spans="1:20">
      <c r="A425" s="41" t="s">
        <v>52</v>
      </c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3"/>
      <c r="T425" s="20"/>
    </row>
    <row r="426" spans="1:20">
      <c r="A426" s="44" t="s">
        <v>53</v>
      </c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T426" s="20"/>
    </row>
    <row r="427" spans="1:20">
      <c r="A427" s="44" t="s">
        <v>54</v>
      </c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T427" s="20"/>
    </row>
    <row r="428" spans="1:20">
      <c r="A428" s="44" t="s">
        <v>99</v>
      </c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T428" s="20"/>
    </row>
    <row r="429" spans="1:20">
      <c r="A429" s="44" t="s">
        <v>55</v>
      </c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T429" s="20"/>
    </row>
    <row r="430" spans="1:20">
      <c r="A430" s="45" t="s">
        <v>56</v>
      </c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T430" s="20"/>
    </row>
    <row r="431" spans="1:20">
      <c r="A431" s="37" t="s">
        <v>57</v>
      </c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T431" s="20"/>
    </row>
    <row r="432" spans="1:20">
      <c r="A432" s="37" t="s">
        <v>58</v>
      </c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T432" s="20"/>
    </row>
    <row r="433" spans="1:21">
      <c r="A433" s="37" t="s">
        <v>59</v>
      </c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T433" s="20"/>
    </row>
    <row r="434" spans="1:21">
      <c r="A434" s="37" t="s">
        <v>60</v>
      </c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T434" s="20"/>
    </row>
    <row r="435" spans="1:21">
      <c r="A435" s="37" t="s">
        <v>61</v>
      </c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T435" s="20"/>
    </row>
    <row r="436" spans="1:21">
      <c r="A436" s="37" t="s">
        <v>62</v>
      </c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T436" s="20"/>
    </row>
    <row r="437" spans="1:21">
      <c r="A437" s="37" t="s">
        <v>63</v>
      </c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T437" s="20"/>
    </row>
    <row r="438" spans="1:21">
      <c r="A438" s="37" t="s">
        <v>75</v>
      </c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T438" s="20"/>
    </row>
    <row r="439" spans="1:21" ht="39" customHeight="1">
      <c r="B439" s="120" t="s">
        <v>0</v>
      </c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T439" s="20"/>
    </row>
    <row r="440" spans="1:21">
      <c r="B440" s="6" t="s">
        <v>1</v>
      </c>
      <c r="C440" s="121" t="s">
        <v>2</v>
      </c>
      <c r="D440" s="121"/>
      <c r="E440" s="1" t="s">
        <v>3</v>
      </c>
      <c r="F440" s="121" t="s">
        <v>4</v>
      </c>
      <c r="G440" s="121"/>
      <c r="H440" s="1" t="s">
        <v>3</v>
      </c>
      <c r="I440" s="1"/>
      <c r="J440" s="121" t="s">
        <v>5</v>
      </c>
      <c r="K440" s="121"/>
      <c r="L440" s="121"/>
      <c r="M440" s="122">
        <f>M367+1</f>
        <v>46233</v>
      </c>
      <c r="N440" s="122"/>
      <c r="O440" s="122"/>
      <c r="P440" s="123"/>
      <c r="Q440" s="123"/>
      <c r="T440" s="20"/>
    </row>
    <row r="441" spans="1:21">
      <c r="A441" s="96" t="s">
        <v>6</v>
      </c>
      <c r="B441" s="96"/>
      <c r="C441" s="124" t="s">
        <v>79</v>
      </c>
      <c r="D441" s="125"/>
      <c r="E441" s="125"/>
      <c r="F441" s="125"/>
      <c r="G441" s="125"/>
      <c r="H441" s="125"/>
      <c r="I441" s="126"/>
      <c r="J441" s="127" t="s">
        <v>7</v>
      </c>
      <c r="K441" s="128"/>
      <c r="L441" s="128"/>
      <c r="M441" s="129"/>
      <c r="N441" s="130" t="s">
        <v>78</v>
      </c>
      <c r="O441" s="130"/>
      <c r="P441" s="130"/>
      <c r="Q441" s="131"/>
      <c r="T441" s="20"/>
    </row>
    <row r="442" spans="1:21">
      <c r="A442" s="96" t="s">
        <v>8</v>
      </c>
      <c r="B442" s="96"/>
      <c r="C442" s="4">
        <v>30</v>
      </c>
      <c r="D442" s="3" t="s">
        <v>9</v>
      </c>
      <c r="E442" s="127" t="s">
        <v>10</v>
      </c>
      <c r="F442" s="129"/>
      <c r="G442" s="127">
        <f>G369+1</f>
        <v>7</v>
      </c>
      <c r="H442" s="128"/>
      <c r="I442" s="3" t="s">
        <v>9</v>
      </c>
      <c r="J442" s="96" t="s">
        <v>11</v>
      </c>
      <c r="K442" s="96"/>
      <c r="L442" s="5">
        <f>C442-G442</f>
        <v>23</v>
      </c>
      <c r="M442" s="2" t="s">
        <v>9</v>
      </c>
      <c r="N442" s="96" t="s">
        <v>12</v>
      </c>
      <c r="O442" s="96"/>
      <c r="P442" s="2"/>
      <c r="Q442" s="3" t="s">
        <v>9</v>
      </c>
      <c r="T442" s="20"/>
    </row>
    <row r="443" spans="1:21">
      <c r="A443" s="96" t="s">
        <v>13</v>
      </c>
      <c r="B443" s="96"/>
      <c r="C443" s="132">
        <v>46227</v>
      </c>
      <c r="D443" s="132"/>
      <c r="E443" s="132"/>
      <c r="F443" s="132"/>
      <c r="G443" s="132"/>
      <c r="H443" s="132"/>
      <c r="I443" s="132"/>
      <c r="J443" s="127" t="s">
        <v>14</v>
      </c>
      <c r="K443" s="128"/>
      <c r="L443" s="128"/>
      <c r="M443" s="129"/>
      <c r="N443" s="133">
        <v>46256</v>
      </c>
      <c r="O443" s="134"/>
      <c r="P443" s="134"/>
      <c r="Q443" s="135"/>
      <c r="T443" s="20"/>
    </row>
    <row r="444" spans="1:21">
      <c r="A444" s="96" t="s">
        <v>15</v>
      </c>
      <c r="B444" s="96"/>
      <c r="C444" s="97">
        <v>38</v>
      </c>
      <c r="D444" s="98"/>
      <c r="E444" s="98"/>
      <c r="F444" s="98"/>
      <c r="G444" s="98"/>
      <c r="H444" s="99" t="s">
        <v>16</v>
      </c>
      <c r="I444" s="100"/>
      <c r="J444" s="101" t="s">
        <v>17</v>
      </c>
      <c r="K444" s="101"/>
      <c r="L444" s="101"/>
      <c r="M444" s="101"/>
      <c r="N444" s="102">
        <f>U467</f>
        <v>0.40231154671684377</v>
      </c>
      <c r="O444" s="102"/>
      <c r="P444" s="102"/>
      <c r="Q444" s="102"/>
      <c r="T444" s="20"/>
    </row>
    <row r="445" spans="1:21">
      <c r="A445" s="103" t="s">
        <v>18</v>
      </c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5"/>
      <c r="T445" s="20"/>
    </row>
    <row r="446" spans="1:21">
      <c r="A446" s="7"/>
      <c r="B446" s="106" t="s">
        <v>19</v>
      </c>
      <c r="C446" s="107"/>
      <c r="D446" s="107"/>
      <c r="E446" s="107"/>
      <c r="F446" s="107"/>
      <c r="G446" s="108"/>
      <c r="H446" s="8" t="s">
        <v>20</v>
      </c>
      <c r="I446" s="109" t="s">
        <v>21</v>
      </c>
      <c r="J446" s="110"/>
      <c r="K446" s="111"/>
      <c r="L446" s="109" t="s">
        <v>28</v>
      </c>
      <c r="M446" s="111"/>
      <c r="N446" s="106" t="s">
        <v>22</v>
      </c>
      <c r="O446" s="112"/>
      <c r="P446" s="113" t="s">
        <v>23</v>
      </c>
      <c r="Q446" s="113"/>
      <c r="S446" s="18" t="s">
        <v>22</v>
      </c>
      <c r="T446" s="19" t="s">
        <v>64</v>
      </c>
      <c r="U446" s="13" t="s">
        <v>27</v>
      </c>
    </row>
    <row r="447" spans="1:21">
      <c r="A447" s="17" t="s">
        <v>65</v>
      </c>
      <c r="B447" s="114" t="s">
        <v>66</v>
      </c>
      <c r="C447" s="115"/>
      <c r="D447" s="115"/>
      <c r="E447" s="115"/>
      <c r="F447" s="115"/>
      <c r="G447" s="116"/>
      <c r="H447" s="17"/>
      <c r="I447" s="117"/>
      <c r="J447" s="118"/>
      <c r="K447" s="119"/>
      <c r="L447" s="77"/>
      <c r="M447" s="78"/>
      <c r="N447" s="77"/>
      <c r="O447" s="78"/>
      <c r="P447" s="93"/>
      <c r="Q447" s="93"/>
      <c r="S447" s="16"/>
      <c r="T447" s="16"/>
      <c r="U447" s="16" t="s">
        <v>26</v>
      </c>
    </row>
    <row r="448" spans="1:21">
      <c r="A448" s="17">
        <v>1</v>
      </c>
      <c r="B448" s="81" t="s">
        <v>80</v>
      </c>
      <c r="C448" s="82"/>
      <c r="D448" s="82"/>
      <c r="E448" s="82"/>
      <c r="F448" s="82"/>
      <c r="G448" s="83"/>
      <c r="H448" s="29" t="s">
        <v>67</v>
      </c>
      <c r="I448" s="84">
        <v>18</v>
      </c>
      <c r="J448" s="85"/>
      <c r="K448" s="86"/>
      <c r="L448" s="87"/>
      <c r="M448" s="88"/>
      <c r="N448" s="89"/>
      <c r="O448" s="90"/>
      <c r="P448" s="93"/>
      <c r="Q448" s="93"/>
      <c r="S448" s="12"/>
      <c r="T448" s="26">
        <v>18000</v>
      </c>
      <c r="U448" s="12">
        <f>S448*T448</f>
        <v>0</v>
      </c>
    </row>
    <row r="449" spans="1:22" ht="32.1" customHeight="1">
      <c r="A449" s="17">
        <v>2</v>
      </c>
      <c r="B449" s="81" t="s">
        <v>81</v>
      </c>
      <c r="C449" s="82" t="s">
        <v>81</v>
      </c>
      <c r="D449" s="82" t="s">
        <v>81</v>
      </c>
      <c r="E449" s="82" t="s">
        <v>81</v>
      </c>
      <c r="F449" s="82" t="s">
        <v>81</v>
      </c>
      <c r="G449" s="83" t="s">
        <v>81</v>
      </c>
      <c r="H449" s="29" t="s">
        <v>97</v>
      </c>
      <c r="I449" s="84">
        <v>166</v>
      </c>
      <c r="J449" s="85"/>
      <c r="K449" s="86"/>
      <c r="L449" s="87"/>
      <c r="M449" s="88"/>
      <c r="N449" s="89"/>
      <c r="O449" s="90"/>
      <c r="P449" s="93"/>
      <c r="Q449" s="93"/>
      <c r="S449" s="12"/>
      <c r="T449" s="26">
        <v>750</v>
      </c>
      <c r="U449" s="12">
        <f t="shared" ref="U449:U459" si="12">S449*T449</f>
        <v>0</v>
      </c>
    </row>
    <row r="450" spans="1:22">
      <c r="A450" s="17">
        <v>3</v>
      </c>
      <c r="B450" s="81" t="s">
        <v>82</v>
      </c>
      <c r="C450" s="82" t="s">
        <v>82</v>
      </c>
      <c r="D450" s="82" t="s">
        <v>82</v>
      </c>
      <c r="E450" s="82" t="s">
        <v>82</v>
      </c>
      <c r="F450" s="82" t="s">
        <v>82</v>
      </c>
      <c r="G450" s="83" t="s">
        <v>82</v>
      </c>
      <c r="H450" s="29" t="s">
        <v>97</v>
      </c>
      <c r="I450" s="84">
        <v>540</v>
      </c>
      <c r="J450" s="85">
        <v>540</v>
      </c>
      <c r="K450" s="86">
        <v>540</v>
      </c>
      <c r="L450" s="87">
        <v>300</v>
      </c>
      <c r="M450" s="88"/>
      <c r="N450" s="89">
        <v>540</v>
      </c>
      <c r="O450" s="90"/>
      <c r="P450" s="93"/>
      <c r="Q450" s="93"/>
      <c r="S450" s="12">
        <v>540</v>
      </c>
      <c r="T450" s="26">
        <v>340</v>
      </c>
      <c r="U450" s="12">
        <f t="shared" si="12"/>
        <v>183600</v>
      </c>
    </row>
    <row r="451" spans="1:22">
      <c r="A451" s="17">
        <v>4</v>
      </c>
      <c r="B451" s="81" t="s">
        <v>83</v>
      </c>
      <c r="C451" s="82" t="s">
        <v>83</v>
      </c>
      <c r="D451" s="82" t="s">
        <v>83</v>
      </c>
      <c r="E451" s="82" t="s">
        <v>83</v>
      </c>
      <c r="F451" s="82" t="s">
        <v>83</v>
      </c>
      <c r="G451" s="83" t="s">
        <v>83</v>
      </c>
      <c r="H451" s="29" t="s">
        <v>67</v>
      </c>
      <c r="I451" s="84">
        <v>20</v>
      </c>
      <c r="J451" s="85">
        <v>20</v>
      </c>
      <c r="K451" s="86">
        <v>20</v>
      </c>
      <c r="L451" s="87"/>
      <c r="M451" s="88"/>
      <c r="N451" s="89"/>
      <c r="O451" s="90"/>
      <c r="P451" s="93"/>
      <c r="Q451" s="93"/>
      <c r="S451" s="12"/>
      <c r="T451" s="26">
        <v>1250</v>
      </c>
      <c r="U451" s="12">
        <f t="shared" si="12"/>
        <v>0</v>
      </c>
    </row>
    <row r="452" spans="1:22" ht="32.1" customHeight="1">
      <c r="A452" s="17">
        <v>5</v>
      </c>
      <c r="B452" s="81" t="s">
        <v>84</v>
      </c>
      <c r="C452" s="82" t="s">
        <v>84</v>
      </c>
      <c r="D452" s="82" t="s">
        <v>84</v>
      </c>
      <c r="E452" s="82" t="s">
        <v>84</v>
      </c>
      <c r="F452" s="82" t="s">
        <v>84</v>
      </c>
      <c r="G452" s="83" t="s">
        <v>84</v>
      </c>
      <c r="H452" s="29" t="s">
        <v>97</v>
      </c>
      <c r="I452" s="84">
        <v>28</v>
      </c>
      <c r="J452" s="85">
        <v>28</v>
      </c>
      <c r="K452" s="86">
        <v>28</v>
      </c>
      <c r="L452" s="87"/>
      <c r="M452" s="88"/>
      <c r="N452" s="89">
        <v>28</v>
      </c>
      <c r="O452" s="90"/>
      <c r="P452" s="93"/>
      <c r="Q452" s="93"/>
      <c r="S452" s="12">
        <v>28</v>
      </c>
      <c r="T452" s="26">
        <v>1800</v>
      </c>
      <c r="U452" s="12">
        <f t="shared" si="12"/>
        <v>50400</v>
      </c>
    </row>
    <row r="453" spans="1:22">
      <c r="A453" s="17">
        <v>6</v>
      </c>
      <c r="B453" s="81" t="s">
        <v>85</v>
      </c>
      <c r="C453" s="82" t="s">
        <v>85</v>
      </c>
      <c r="D453" s="82" t="s">
        <v>85</v>
      </c>
      <c r="E453" s="82" t="s">
        <v>85</v>
      </c>
      <c r="F453" s="82" t="s">
        <v>85</v>
      </c>
      <c r="G453" s="83" t="s">
        <v>85</v>
      </c>
      <c r="H453" s="29" t="s">
        <v>97</v>
      </c>
      <c r="I453" s="84">
        <v>14</v>
      </c>
      <c r="J453" s="85">
        <v>14</v>
      </c>
      <c r="K453" s="86">
        <v>14</v>
      </c>
      <c r="L453" s="87"/>
      <c r="M453" s="88"/>
      <c r="N453" s="89">
        <v>14</v>
      </c>
      <c r="O453" s="90"/>
      <c r="P453" s="79"/>
      <c r="Q453" s="80"/>
      <c r="S453" s="12">
        <v>14</v>
      </c>
      <c r="T453" s="26">
        <v>4000</v>
      </c>
      <c r="U453" s="12">
        <f t="shared" si="12"/>
        <v>56000</v>
      </c>
    </row>
    <row r="454" spans="1:22">
      <c r="A454" s="17">
        <v>7</v>
      </c>
      <c r="B454" s="81" t="s">
        <v>86</v>
      </c>
      <c r="C454" s="82" t="s">
        <v>86</v>
      </c>
      <c r="D454" s="82" t="s">
        <v>86</v>
      </c>
      <c r="E454" s="82" t="s">
        <v>86</v>
      </c>
      <c r="F454" s="82" t="s">
        <v>86</v>
      </c>
      <c r="G454" s="83" t="s">
        <v>86</v>
      </c>
      <c r="H454" s="29" t="s">
        <v>97</v>
      </c>
      <c r="I454" s="84">
        <v>30</v>
      </c>
      <c r="J454" s="85">
        <v>30</v>
      </c>
      <c r="K454" s="86">
        <v>30</v>
      </c>
      <c r="L454" s="87"/>
      <c r="M454" s="88"/>
      <c r="N454" s="89">
        <v>30</v>
      </c>
      <c r="O454" s="90"/>
      <c r="P454" s="93"/>
      <c r="Q454" s="93"/>
      <c r="S454" s="12">
        <v>30</v>
      </c>
      <c r="T454" s="26">
        <v>4000</v>
      </c>
      <c r="U454" s="12">
        <f t="shared" si="12"/>
        <v>120000</v>
      </c>
    </row>
    <row r="455" spans="1:22">
      <c r="A455" s="17">
        <v>8</v>
      </c>
      <c r="B455" s="81" t="s">
        <v>87</v>
      </c>
      <c r="C455" s="82" t="s">
        <v>87</v>
      </c>
      <c r="D455" s="82" t="s">
        <v>87</v>
      </c>
      <c r="E455" s="82" t="s">
        <v>87</v>
      </c>
      <c r="F455" s="82" t="s">
        <v>87</v>
      </c>
      <c r="G455" s="83" t="s">
        <v>87</v>
      </c>
      <c r="H455" s="30" t="s">
        <v>25</v>
      </c>
      <c r="I455" s="84">
        <v>1</v>
      </c>
      <c r="J455" s="85">
        <v>1</v>
      </c>
      <c r="K455" s="86">
        <v>1</v>
      </c>
      <c r="L455" s="94"/>
      <c r="M455" s="95"/>
      <c r="N455" s="94"/>
      <c r="O455" s="95"/>
      <c r="P455" s="93"/>
      <c r="Q455" s="93"/>
      <c r="S455" s="16"/>
      <c r="T455" s="26">
        <v>31000</v>
      </c>
      <c r="U455" s="12">
        <f t="shared" si="12"/>
        <v>0</v>
      </c>
    </row>
    <row r="456" spans="1:22">
      <c r="A456" s="17">
        <v>9</v>
      </c>
      <c r="B456" s="81" t="s">
        <v>88</v>
      </c>
      <c r="C456" s="82" t="s">
        <v>88</v>
      </c>
      <c r="D456" s="82" t="s">
        <v>88</v>
      </c>
      <c r="E456" s="82" t="s">
        <v>88</v>
      </c>
      <c r="F456" s="82" t="s">
        <v>88</v>
      </c>
      <c r="G456" s="83" t="s">
        <v>88</v>
      </c>
      <c r="H456" s="30" t="s">
        <v>25</v>
      </c>
      <c r="I456" s="84">
        <v>1</v>
      </c>
      <c r="J456" s="85">
        <v>1</v>
      </c>
      <c r="K456" s="86">
        <v>1</v>
      </c>
      <c r="L456" s="87"/>
      <c r="M456" s="88"/>
      <c r="N456" s="89"/>
      <c r="O456" s="90"/>
      <c r="P456" s="93"/>
      <c r="Q456" s="93"/>
      <c r="S456" s="12"/>
      <c r="T456" s="26">
        <v>30121</v>
      </c>
      <c r="U456" s="12">
        <f t="shared" si="12"/>
        <v>0</v>
      </c>
    </row>
    <row r="457" spans="1:22">
      <c r="A457" s="17">
        <v>10</v>
      </c>
      <c r="B457" s="81" t="s">
        <v>89</v>
      </c>
      <c r="C457" s="82"/>
      <c r="D457" s="82"/>
      <c r="E457" s="82"/>
      <c r="F457" s="82"/>
      <c r="G457" s="83"/>
      <c r="H457" s="30" t="s">
        <v>98</v>
      </c>
      <c r="I457" s="84">
        <v>3</v>
      </c>
      <c r="J457" s="85"/>
      <c r="K457" s="86"/>
      <c r="L457" s="31"/>
      <c r="M457" s="32"/>
      <c r="N457" s="89"/>
      <c r="O457" s="90"/>
      <c r="P457" s="91"/>
      <c r="Q457" s="92"/>
      <c r="S457" s="12"/>
      <c r="T457" s="26">
        <v>14500</v>
      </c>
      <c r="U457" s="12">
        <f t="shared" si="12"/>
        <v>0</v>
      </c>
    </row>
    <row r="458" spans="1:22">
      <c r="A458" s="17">
        <v>11</v>
      </c>
      <c r="B458" s="81" t="s">
        <v>90</v>
      </c>
      <c r="C458" s="82"/>
      <c r="D458" s="82"/>
      <c r="E458" s="82"/>
      <c r="F458" s="82"/>
      <c r="G458" s="83"/>
      <c r="H458" s="29" t="s">
        <v>67</v>
      </c>
      <c r="I458" s="84">
        <v>6</v>
      </c>
      <c r="J458" s="85"/>
      <c r="K458" s="86"/>
      <c r="L458" s="31"/>
      <c r="M458" s="32"/>
      <c r="N458" s="89"/>
      <c r="O458" s="90"/>
      <c r="P458" s="91"/>
      <c r="Q458" s="92"/>
      <c r="S458" s="12"/>
      <c r="T458" s="26">
        <v>3500</v>
      </c>
      <c r="U458" s="12">
        <f t="shared" si="12"/>
        <v>0</v>
      </c>
    </row>
    <row r="459" spans="1:22">
      <c r="A459" s="17">
        <v>12</v>
      </c>
      <c r="B459" s="81" t="s">
        <v>91</v>
      </c>
      <c r="C459" s="82" t="s">
        <v>89</v>
      </c>
      <c r="D459" s="82" t="s">
        <v>89</v>
      </c>
      <c r="E459" s="82" t="s">
        <v>89</v>
      </c>
      <c r="F459" s="82" t="s">
        <v>89</v>
      </c>
      <c r="G459" s="83" t="s">
        <v>89</v>
      </c>
      <c r="H459" s="29" t="s">
        <v>67</v>
      </c>
      <c r="I459" s="84">
        <v>10</v>
      </c>
      <c r="J459" s="85">
        <v>10</v>
      </c>
      <c r="K459" s="86">
        <v>10</v>
      </c>
      <c r="L459" s="87"/>
      <c r="M459" s="88"/>
      <c r="N459" s="89"/>
      <c r="O459" s="90"/>
      <c r="P459" s="93"/>
      <c r="Q459" s="93"/>
      <c r="S459" s="12"/>
      <c r="T459" s="26">
        <v>3000</v>
      </c>
      <c r="U459" s="12">
        <f t="shared" si="12"/>
        <v>0</v>
      </c>
      <c r="V459" s="22">
        <f>SUM(U448:U459)</f>
        <v>410000</v>
      </c>
    </row>
    <row r="460" spans="1:22">
      <c r="A460" s="17" t="s">
        <v>76</v>
      </c>
      <c r="B460" s="71" t="s">
        <v>92</v>
      </c>
      <c r="C460" s="72"/>
      <c r="D460" s="72"/>
      <c r="E460" s="72"/>
      <c r="F460" s="72"/>
      <c r="G460" s="73"/>
      <c r="H460" s="30" t="s">
        <v>24</v>
      </c>
      <c r="I460" s="84">
        <v>1</v>
      </c>
      <c r="J460" s="85">
        <v>10</v>
      </c>
      <c r="K460" s="86">
        <v>10</v>
      </c>
      <c r="L460" s="77"/>
      <c r="M460" s="78"/>
      <c r="N460" s="77">
        <v>1</v>
      </c>
      <c r="O460" s="78"/>
      <c r="P460" s="79"/>
      <c r="Q460" s="80"/>
      <c r="S460" s="12">
        <v>1</v>
      </c>
      <c r="T460" s="25">
        <v>10391</v>
      </c>
      <c r="U460" s="12">
        <f>S460*T460</f>
        <v>10391</v>
      </c>
      <c r="V460" s="27"/>
    </row>
    <row r="461" spans="1:22">
      <c r="A461" s="23" t="s">
        <v>68</v>
      </c>
      <c r="B461" s="71" t="s">
        <v>93</v>
      </c>
      <c r="C461" s="72"/>
      <c r="D461" s="72"/>
      <c r="E461" s="72"/>
      <c r="F461" s="72"/>
      <c r="G461" s="73"/>
      <c r="H461" s="30" t="s">
        <v>24</v>
      </c>
      <c r="I461" s="74">
        <v>1</v>
      </c>
      <c r="J461" s="75"/>
      <c r="K461" s="76"/>
      <c r="L461" s="77">
        <f>N461-N388</f>
        <v>9.8161870849773847E-2</v>
      </c>
      <c r="M461" s="78"/>
      <c r="N461" s="77">
        <f>S461</f>
        <v>0.3945722259647772</v>
      </c>
      <c r="O461" s="78"/>
      <c r="P461" s="77"/>
      <c r="Q461" s="78"/>
      <c r="S461" s="21">
        <f>V459*0.01/T461</f>
        <v>0.3945722259647772</v>
      </c>
      <c r="T461" s="25">
        <v>10391</v>
      </c>
      <c r="U461" s="12">
        <f t="shared" ref="U461:U462" si="13">S461*T461</f>
        <v>4100</v>
      </c>
    </row>
    <row r="462" spans="1:22">
      <c r="A462" s="23" t="s">
        <v>69</v>
      </c>
      <c r="B462" s="58" t="s">
        <v>94</v>
      </c>
      <c r="C462" s="59" t="s">
        <v>70</v>
      </c>
      <c r="D462" s="59" t="s">
        <v>70</v>
      </c>
      <c r="E462" s="59" t="s">
        <v>70</v>
      </c>
      <c r="F462" s="59" t="s">
        <v>70</v>
      </c>
      <c r="G462" s="60" t="s">
        <v>70</v>
      </c>
      <c r="H462" s="30" t="s">
        <v>24</v>
      </c>
      <c r="I462" s="74">
        <v>1</v>
      </c>
      <c r="J462" s="75"/>
      <c r="K462" s="76"/>
      <c r="L462" s="77">
        <f>N462-N389</f>
        <v>9.8159171833541836E-2</v>
      </c>
      <c r="M462" s="78"/>
      <c r="N462" s="77">
        <f>S462</f>
        <v>0.39456137697796234</v>
      </c>
      <c r="O462" s="78"/>
      <c r="P462" s="77"/>
      <c r="Q462" s="78"/>
      <c r="S462" s="21">
        <f>V459*0.07/T462</f>
        <v>0.39456137697796234</v>
      </c>
      <c r="T462" s="25">
        <v>72739</v>
      </c>
      <c r="U462" s="12">
        <f t="shared" si="13"/>
        <v>28700.000000000004</v>
      </c>
    </row>
    <row r="463" spans="1:22">
      <c r="A463" s="23" t="s">
        <v>71</v>
      </c>
      <c r="B463" s="58" t="s">
        <v>95</v>
      </c>
      <c r="C463" s="59" t="s">
        <v>72</v>
      </c>
      <c r="D463" s="59" t="s">
        <v>72</v>
      </c>
      <c r="E463" s="59" t="s">
        <v>72</v>
      </c>
      <c r="F463" s="59" t="s">
        <v>72</v>
      </c>
      <c r="G463" s="60" t="s">
        <v>72</v>
      </c>
      <c r="H463" s="30" t="s">
        <v>24</v>
      </c>
      <c r="I463" s="74">
        <v>1</v>
      </c>
      <c r="J463" s="75"/>
      <c r="K463" s="76"/>
      <c r="L463" s="77"/>
      <c r="M463" s="78"/>
      <c r="N463" s="77">
        <f>S463</f>
        <v>1</v>
      </c>
      <c r="O463" s="78"/>
      <c r="P463" s="77"/>
      <c r="Q463" s="78"/>
      <c r="S463" s="21">
        <v>1</v>
      </c>
      <c r="T463" s="25">
        <v>4156</v>
      </c>
      <c r="U463" s="12">
        <f>S463*T463</f>
        <v>4156</v>
      </c>
    </row>
    <row r="464" spans="1:22">
      <c r="A464" s="23" t="s">
        <v>73</v>
      </c>
      <c r="B464" s="58" t="s">
        <v>96</v>
      </c>
      <c r="C464" s="59" t="s">
        <v>74</v>
      </c>
      <c r="D464" s="59" t="s">
        <v>74</v>
      </c>
      <c r="E464" s="59" t="s">
        <v>74</v>
      </c>
      <c r="F464" s="59" t="s">
        <v>74</v>
      </c>
      <c r="G464" s="60" t="s">
        <v>74</v>
      </c>
      <c r="H464" s="30" t="s">
        <v>24</v>
      </c>
      <c r="I464" s="74">
        <v>1</v>
      </c>
      <c r="J464" s="75"/>
      <c r="K464" s="76"/>
      <c r="L464" s="77">
        <f>N464-N391</f>
        <v>9.6903589021815617E-2</v>
      </c>
      <c r="M464" s="78"/>
      <c r="N464" s="77">
        <f>S464-0.001</f>
        <v>0.40131087262491205</v>
      </c>
      <c r="O464" s="78"/>
      <c r="P464" s="79"/>
      <c r="Q464" s="80"/>
      <c r="S464" s="21">
        <f>(V459+U460+U461+U462+U463)*0.05/T464</f>
        <v>0.40231087262491205</v>
      </c>
      <c r="T464" s="25">
        <v>56840</v>
      </c>
      <c r="U464" s="12">
        <f>S464*T464</f>
        <v>22867.350000000002</v>
      </c>
    </row>
    <row r="465" spans="1:21">
      <c r="A465" s="23"/>
      <c r="B465" s="58"/>
      <c r="C465" s="59"/>
      <c r="D465" s="59"/>
      <c r="E465" s="59"/>
      <c r="F465" s="59"/>
      <c r="G465" s="60"/>
      <c r="H465" s="24"/>
      <c r="I465" s="58"/>
      <c r="J465" s="59"/>
      <c r="K465" s="59"/>
      <c r="L465" s="58"/>
      <c r="M465" s="59"/>
      <c r="N465" s="58"/>
      <c r="O465" s="59"/>
      <c r="P465" s="58"/>
      <c r="Q465" s="60"/>
      <c r="S465" s="21"/>
      <c r="T465" s="25"/>
      <c r="U465" s="28">
        <f>V459+U460+U461+U462+U463+U464</f>
        <v>480214.35</v>
      </c>
    </row>
    <row r="466" spans="1:21">
      <c r="A466" s="23"/>
      <c r="B466" s="58"/>
      <c r="C466" s="59"/>
      <c r="D466" s="59"/>
      <c r="E466" s="59"/>
      <c r="F466" s="59"/>
      <c r="G466" s="60"/>
      <c r="H466" s="23"/>
      <c r="I466" s="58"/>
      <c r="J466" s="59"/>
      <c r="K466" s="59"/>
      <c r="L466" s="58"/>
      <c r="M466" s="59"/>
      <c r="N466" s="58"/>
      <c r="O466" s="59"/>
      <c r="P466" s="58"/>
      <c r="Q466" s="60"/>
      <c r="S466" s="21"/>
      <c r="T466" s="16"/>
      <c r="U466" s="14">
        <v>1193638</v>
      </c>
    </row>
    <row r="467" spans="1:21">
      <c r="A467" s="9"/>
      <c r="B467" s="58"/>
      <c r="C467" s="59"/>
      <c r="D467" s="59"/>
      <c r="E467" s="59"/>
      <c r="F467" s="59"/>
      <c r="G467" s="60"/>
      <c r="H467" s="9"/>
      <c r="I467" s="58"/>
      <c r="J467" s="59"/>
      <c r="K467" s="59"/>
      <c r="L467" s="58"/>
      <c r="M467" s="59"/>
      <c r="N467" s="58"/>
      <c r="O467" s="59"/>
      <c r="P467" s="58"/>
      <c r="Q467" s="60"/>
      <c r="S467" s="21"/>
      <c r="T467" s="16"/>
      <c r="U467" s="15">
        <f>U465/U466</f>
        <v>0.40231154671684377</v>
      </c>
    </row>
    <row r="468" spans="1:21">
      <c r="A468" s="9"/>
      <c r="B468" s="58"/>
      <c r="C468" s="59"/>
      <c r="D468" s="59"/>
      <c r="E468" s="59"/>
      <c r="F468" s="59"/>
      <c r="G468" s="60"/>
      <c r="H468" s="9"/>
      <c r="I468" s="58"/>
      <c r="J468" s="59"/>
      <c r="K468" s="59"/>
      <c r="L468" s="58"/>
      <c r="M468" s="59"/>
      <c r="N468" s="58"/>
      <c r="O468" s="59"/>
      <c r="P468" s="58"/>
      <c r="Q468" s="60"/>
      <c r="S468" s="21"/>
      <c r="T468" s="16"/>
      <c r="U468" s="12"/>
    </row>
    <row r="469" spans="1:21">
      <c r="A469" s="9"/>
      <c r="B469" s="58"/>
      <c r="C469" s="59"/>
      <c r="D469" s="59"/>
      <c r="E469" s="59"/>
      <c r="F469" s="59"/>
      <c r="G469" s="60"/>
      <c r="H469" s="9"/>
      <c r="I469" s="58"/>
      <c r="J469" s="59"/>
      <c r="K469" s="59"/>
      <c r="L469" s="58"/>
      <c r="M469" s="59"/>
      <c r="N469" s="58"/>
      <c r="O469" s="59"/>
      <c r="P469" s="58"/>
      <c r="Q469" s="60"/>
      <c r="S469" s="21"/>
      <c r="T469" s="16"/>
      <c r="U469" s="12"/>
    </row>
    <row r="470" spans="1:21">
      <c r="A470" s="9"/>
      <c r="B470" s="58"/>
      <c r="C470" s="59"/>
      <c r="D470" s="59"/>
      <c r="E470" s="59"/>
      <c r="F470" s="59"/>
      <c r="G470" s="60"/>
      <c r="H470" s="9"/>
      <c r="I470" s="58"/>
      <c r="J470" s="59"/>
      <c r="K470" s="59"/>
      <c r="L470" s="58"/>
      <c r="M470" s="59"/>
      <c r="N470" s="58"/>
      <c r="O470" s="59"/>
      <c r="P470" s="58"/>
      <c r="Q470" s="60"/>
      <c r="S470" s="21"/>
      <c r="T470" s="16"/>
      <c r="U470" s="12"/>
    </row>
    <row r="471" spans="1:21">
      <c r="A471" s="9"/>
      <c r="B471" s="58"/>
      <c r="C471" s="59"/>
      <c r="D471" s="59"/>
      <c r="E471" s="59"/>
      <c r="F471" s="59"/>
      <c r="G471" s="60"/>
      <c r="H471" s="9"/>
      <c r="I471" s="58"/>
      <c r="J471" s="59"/>
      <c r="K471" s="59"/>
      <c r="L471" s="58"/>
      <c r="M471" s="59"/>
      <c r="N471" s="58"/>
      <c r="O471" s="59"/>
      <c r="P471" s="58"/>
      <c r="Q471" s="60"/>
      <c r="S471" s="21"/>
      <c r="T471" s="16"/>
      <c r="U471" s="12"/>
    </row>
    <row r="472" spans="1:21">
      <c r="A472" s="7"/>
      <c r="B472" s="61"/>
      <c r="C472" s="62"/>
      <c r="D472" s="62"/>
      <c r="E472" s="62"/>
      <c r="F472" s="62"/>
      <c r="G472" s="63"/>
      <c r="H472" s="9"/>
      <c r="I472" s="64"/>
      <c r="J472" s="65"/>
      <c r="K472" s="66"/>
      <c r="L472" s="67"/>
      <c r="M472" s="68"/>
      <c r="N472" s="67"/>
      <c r="O472" s="68"/>
      <c r="P472" s="69"/>
      <c r="Q472" s="70"/>
      <c r="S472" s="21"/>
      <c r="T472" s="16"/>
    </row>
    <row r="473" spans="1:21">
      <c r="A473" s="44" t="s">
        <v>29</v>
      </c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T473" s="20"/>
    </row>
    <row r="474" spans="1:21">
      <c r="A474" s="44" t="s">
        <v>30</v>
      </c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T474" s="20"/>
    </row>
    <row r="475" spans="1:21">
      <c r="A475" s="44" t="s">
        <v>31</v>
      </c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T475" s="20"/>
    </row>
    <row r="476" spans="1:21">
      <c r="A476" s="44" t="s">
        <v>32</v>
      </c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T476" s="20"/>
    </row>
    <row r="477" spans="1:21">
      <c r="A477" s="54" t="s">
        <v>33</v>
      </c>
      <c r="B477" s="54"/>
      <c r="C477" s="54"/>
      <c r="D477" s="54"/>
      <c r="E477" s="54"/>
      <c r="F477" s="54"/>
      <c r="G477" s="54"/>
      <c r="H477" s="54" t="s">
        <v>20</v>
      </c>
      <c r="I477" s="54"/>
      <c r="J477" s="54"/>
      <c r="K477" s="54" t="s">
        <v>34</v>
      </c>
      <c r="L477" s="54"/>
      <c r="M477" s="54" t="s">
        <v>35</v>
      </c>
      <c r="N477" s="54"/>
      <c r="O477" s="54" t="s">
        <v>36</v>
      </c>
      <c r="P477" s="54"/>
      <c r="Q477" s="54"/>
      <c r="T477" s="20"/>
    </row>
    <row r="478" spans="1:21">
      <c r="A478" s="55"/>
      <c r="B478" s="56"/>
      <c r="C478" s="56"/>
      <c r="D478" s="56"/>
      <c r="E478" s="56"/>
      <c r="F478" s="56"/>
      <c r="G478" s="57"/>
      <c r="H478" s="55"/>
      <c r="I478" s="56"/>
      <c r="J478" s="57"/>
      <c r="K478" s="55"/>
      <c r="L478" s="56"/>
      <c r="M478" s="55"/>
      <c r="N478" s="56"/>
      <c r="O478" s="55"/>
      <c r="P478" s="56"/>
      <c r="Q478" s="57"/>
      <c r="T478" s="20"/>
    </row>
    <row r="479" spans="1:21">
      <c r="A479" s="55"/>
      <c r="B479" s="56"/>
      <c r="C479" s="56"/>
      <c r="D479" s="56"/>
      <c r="E479" s="56"/>
      <c r="F479" s="56"/>
      <c r="G479" s="57"/>
      <c r="H479" s="55"/>
      <c r="I479" s="56"/>
      <c r="J479" s="57"/>
      <c r="K479" s="55"/>
      <c r="L479" s="56"/>
      <c r="M479" s="55"/>
      <c r="N479" s="56"/>
      <c r="O479" s="55"/>
      <c r="P479" s="56"/>
      <c r="Q479" s="57"/>
      <c r="T479" s="20"/>
    </row>
    <row r="480" spans="1:21">
      <c r="A480" s="53"/>
      <c r="B480" s="53"/>
      <c r="C480" s="53"/>
      <c r="D480" s="53"/>
      <c r="E480" s="53"/>
      <c r="F480" s="53"/>
      <c r="G480" s="53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T480" s="20"/>
    </row>
    <row r="481" spans="1:20">
      <c r="A481" s="53"/>
      <c r="B481" s="53"/>
      <c r="C481" s="53"/>
      <c r="D481" s="53"/>
      <c r="E481" s="53"/>
      <c r="F481" s="53"/>
      <c r="G481" s="53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T481" s="20"/>
    </row>
    <row r="482" spans="1:20">
      <c r="A482" s="44" t="s">
        <v>37</v>
      </c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T482" s="20"/>
    </row>
    <row r="483" spans="1:20">
      <c r="A483" s="46" t="s">
        <v>38</v>
      </c>
      <c r="B483" s="46"/>
      <c r="C483" s="47" t="s">
        <v>39</v>
      </c>
      <c r="D483" s="48"/>
      <c r="E483" s="48"/>
      <c r="F483" s="47" t="s">
        <v>40</v>
      </c>
      <c r="G483" s="48"/>
      <c r="H483" s="49"/>
      <c r="I483" s="46" t="s">
        <v>41</v>
      </c>
      <c r="J483" s="46"/>
      <c r="K483" s="46"/>
      <c r="L483" s="46" t="s">
        <v>35</v>
      </c>
      <c r="M483" s="46"/>
      <c r="N483" s="46"/>
      <c r="O483" s="46" t="s">
        <v>36</v>
      </c>
      <c r="P483" s="46"/>
      <c r="Q483" s="46"/>
      <c r="T483" s="20"/>
    </row>
    <row r="484" spans="1:20">
      <c r="A484" s="47" t="s">
        <v>42</v>
      </c>
      <c r="B484" s="49"/>
      <c r="C484" s="47">
        <v>3</v>
      </c>
      <c r="D484" s="48"/>
      <c r="E484" s="49"/>
      <c r="F484" s="47">
        <f>F411+C484</f>
        <v>17</v>
      </c>
      <c r="G484" s="48"/>
      <c r="H484" s="49"/>
      <c r="I484" s="47"/>
      <c r="J484" s="48"/>
      <c r="K484" s="49"/>
      <c r="L484" s="47"/>
      <c r="M484" s="48"/>
      <c r="N484" s="49"/>
      <c r="O484" s="47"/>
      <c r="P484" s="48"/>
      <c r="Q484" s="49"/>
      <c r="T484" s="20"/>
    </row>
    <row r="485" spans="1:20">
      <c r="A485" s="47" t="s">
        <v>100</v>
      </c>
      <c r="B485" s="49"/>
      <c r="C485" s="47"/>
      <c r="D485" s="48"/>
      <c r="E485" s="49"/>
      <c r="F485" s="47">
        <f>F412+C485</f>
        <v>2</v>
      </c>
      <c r="G485" s="48"/>
      <c r="H485" s="49"/>
      <c r="I485" s="47"/>
      <c r="J485" s="48"/>
      <c r="K485" s="49"/>
      <c r="L485" s="47"/>
      <c r="M485" s="48"/>
      <c r="N485" s="49"/>
      <c r="O485" s="47"/>
      <c r="P485" s="48"/>
      <c r="Q485" s="49"/>
      <c r="T485" s="20"/>
    </row>
    <row r="486" spans="1:20">
      <c r="A486" s="47"/>
      <c r="B486" s="49"/>
      <c r="C486" s="47"/>
      <c r="D486" s="48"/>
      <c r="E486" s="49"/>
      <c r="F486" s="47"/>
      <c r="G486" s="48"/>
      <c r="H486" s="49"/>
      <c r="I486" s="47"/>
      <c r="J486" s="48"/>
      <c r="K486" s="49"/>
      <c r="L486" s="47"/>
      <c r="M486" s="48"/>
      <c r="N486" s="49"/>
      <c r="O486" s="47"/>
      <c r="P486" s="48"/>
      <c r="Q486" s="49"/>
      <c r="T486" s="20"/>
    </row>
    <row r="487" spans="1:20">
      <c r="A487" s="46"/>
      <c r="B487" s="46"/>
      <c r="C487" s="47"/>
      <c r="D487" s="48"/>
      <c r="E487" s="49"/>
      <c r="F487" s="47"/>
      <c r="G487" s="48"/>
      <c r="H487" s="49"/>
      <c r="I487" s="47"/>
      <c r="J487" s="48"/>
      <c r="K487" s="49"/>
      <c r="L487" s="47"/>
      <c r="M487" s="48"/>
      <c r="N487" s="49"/>
      <c r="O487" s="47"/>
      <c r="P487" s="48"/>
      <c r="Q487" s="49"/>
      <c r="T487" s="20"/>
    </row>
    <row r="488" spans="1:20">
      <c r="A488" s="46"/>
      <c r="B488" s="46"/>
      <c r="C488" s="47"/>
      <c r="D488" s="48"/>
      <c r="E488" s="49"/>
      <c r="F488" s="47"/>
      <c r="G488" s="48"/>
      <c r="H488" s="49"/>
      <c r="I488" s="47"/>
      <c r="J488" s="48"/>
      <c r="K488" s="49"/>
      <c r="L488" s="47"/>
      <c r="M488" s="48"/>
      <c r="N488" s="49"/>
      <c r="O488" s="47"/>
      <c r="P488" s="48"/>
      <c r="Q488" s="49"/>
      <c r="T488" s="20"/>
    </row>
    <row r="489" spans="1:20">
      <c r="A489" s="50" t="s">
        <v>43</v>
      </c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2"/>
      <c r="T489" s="20"/>
    </row>
    <row r="490" spans="1:20">
      <c r="A490" s="38" t="s">
        <v>44</v>
      </c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40"/>
      <c r="T490" s="20"/>
    </row>
    <row r="491" spans="1:20">
      <c r="A491" s="41" t="s">
        <v>45</v>
      </c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3"/>
      <c r="T491" s="20"/>
    </row>
    <row r="492" spans="1:20">
      <c r="A492" s="50" t="s">
        <v>46</v>
      </c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2"/>
      <c r="T492" s="20"/>
    </row>
    <row r="493" spans="1:20">
      <c r="A493" s="38" t="s">
        <v>47</v>
      </c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40"/>
      <c r="T493" s="20"/>
    </row>
    <row r="494" spans="1:20">
      <c r="A494" s="38" t="s">
        <v>48</v>
      </c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40"/>
      <c r="T494" s="20"/>
    </row>
    <row r="495" spans="1:20">
      <c r="A495" s="38" t="s">
        <v>49</v>
      </c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40"/>
      <c r="T495" s="20"/>
    </row>
    <row r="496" spans="1:20">
      <c r="A496" s="38" t="s">
        <v>50</v>
      </c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40"/>
      <c r="T496" s="20"/>
    </row>
    <row r="497" spans="1:20">
      <c r="A497" s="38" t="s">
        <v>51</v>
      </c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40"/>
      <c r="T497" s="20"/>
    </row>
    <row r="498" spans="1:20">
      <c r="A498" s="41" t="s">
        <v>52</v>
      </c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3"/>
      <c r="T498" s="20"/>
    </row>
    <row r="499" spans="1:20">
      <c r="A499" s="44" t="s">
        <v>53</v>
      </c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T499" s="20"/>
    </row>
    <row r="500" spans="1:20">
      <c r="A500" s="44" t="s">
        <v>54</v>
      </c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T500" s="20"/>
    </row>
    <row r="501" spans="1:20">
      <c r="A501" s="44" t="s">
        <v>99</v>
      </c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T501" s="20"/>
    </row>
    <row r="502" spans="1:20">
      <c r="A502" s="44" t="s">
        <v>55</v>
      </c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T502" s="20"/>
    </row>
    <row r="503" spans="1:20">
      <c r="A503" s="45" t="s">
        <v>56</v>
      </c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T503" s="20"/>
    </row>
    <row r="504" spans="1:20">
      <c r="A504" s="37" t="s">
        <v>57</v>
      </c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T504" s="20"/>
    </row>
    <row r="505" spans="1:20">
      <c r="A505" s="37" t="s">
        <v>58</v>
      </c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T505" s="20"/>
    </row>
    <row r="506" spans="1:20">
      <c r="A506" s="37" t="s">
        <v>59</v>
      </c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T506" s="20"/>
    </row>
    <row r="507" spans="1:20">
      <c r="A507" s="37" t="s">
        <v>60</v>
      </c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T507" s="20"/>
    </row>
    <row r="508" spans="1:20">
      <c r="A508" s="37" t="s">
        <v>61</v>
      </c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T508" s="20"/>
    </row>
    <row r="509" spans="1:20">
      <c r="A509" s="37" t="s">
        <v>62</v>
      </c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T509" s="20"/>
    </row>
    <row r="510" spans="1:20">
      <c r="A510" s="37" t="s">
        <v>63</v>
      </c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T510" s="20"/>
    </row>
    <row r="511" spans="1:20">
      <c r="A511" s="37" t="s">
        <v>75</v>
      </c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T511" s="20"/>
    </row>
    <row r="512" spans="1:20" ht="39" customHeight="1">
      <c r="B512" s="120" t="s">
        <v>0</v>
      </c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T512" s="20"/>
    </row>
    <row r="513" spans="1:21">
      <c r="B513" s="6" t="s">
        <v>1</v>
      </c>
      <c r="C513" s="121" t="s">
        <v>2</v>
      </c>
      <c r="D513" s="121"/>
      <c r="E513" s="1" t="s">
        <v>3</v>
      </c>
      <c r="F513" s="121" t="s">
        <v>4</v>
      </c>
      <c r="G513" s="121"/>
      <c r="H513" s="1" t="s">
        <v>3</v>
      </c>
      <c r="I513" s="1"/>
      <c r="J513" s="121" t="s">
        <v>5</v>
      </c>
      <c r="K513" s="121"/>
      <c r="L513" s="121"/>
      <c r="M513" s="122">
        <f>M440+1</f>
        <v>46234</v>
      </c>
      <c r="N513" s="122"/>
      <c r="O513" s="122"/>
      <c r="P513" s="123"/>
      <c r="Q513" s="123"/>
      <c r="T513" s="20"/>
    </row>
    <row r="514" spans="1:21">
      <c r="A514" s="96" t="s">
        <v>6</v>
      </c>
      <c r="B514" s="96"/>
      <c r="C514" s="124" t="s">
        <v>79</v>
      </c>
      <c r="D514" s="125"/>
      <c r="E514" s="125"/>
      <c r="F514" s="125"/>
      <c r="G514" s="125"/>
      <c r="H514" s="125"/>
      <c r="I514" s="126"/>
      <c r="J514" s="127" t="s">
        <v>7</v>
      </c>
      <c r="K514" s="128"/>
      <c r="L514" s="128"/>
      <c r="M514" s="129"/>
      <c r="N514" s="130" t="s">
        <v>78</v>
      </c>
      <c r="O514" s="130"/>
      <c r="P514" s="130"/>
      <c r="Q514" s="131"/>
      <c r="T514" s="20"/>
    </row>
    <row r="515" spans="1:21">
      <c r="A515" s="96" t="s">
        <v>8</v>
      </c>
      <c r="B515" s="96"/>
      <c r="C515" s="4">
        <v>30</v>
      </c>
      <c r="D515" s="3" t="s">
        <v>9</v>
      </c>
      <c r="E515" s="127" t="s">
        <v>10</v>
      </c>
      <c r="F515" s="129"/>
      <c r="G515" s="127">
        <f>G442+1</f>
        <v>8</v>
      </c>
      <c r="H515" s="128"/>
      <c r="I515" s="3" t="s">
        <v>9</v>
      </c>
      <c r="J515" s="96" t="s">
        <v>11</v>
      </c>
      <c r="K515" s="96"/>
      <c r="L515" s="5">
        <f>C515-G515</f>
        <v>22</v>
      </c>
      <c r="M515" s="2" t="s">
        <v>9</v>
      </c>
      <c r="N515" s="96" t="s">
        <v>12</v>
      </c>
      <c r="O515" s="96"/>
      <c r="P515" s="2"/>
      <c r="Q515" s="3" t="s">
        <v>9</v>
      </c>
      <c r="T515" s="20"/>
    </row>
    <row r="516" spans="1:21">
      <c r="A516" s="96" t="s">
        <v>13</v>
      </c>
      <c r="B516" s="96"/>
      <c r="C516" s="132">
        <v>46227</v>
      </c>
      <c r="D516" s="132"/>
      <c r="E516" s="132"/>
      <c r="F516" s="132"/>
      <c r="G516" s="132"/>
      <c r="H516" s="132"/>
      <c r="I516" s="132"/>
      <c r="J516" s="127" t="s">
        <v>14</v>
      </c>
      <c r="K516" s="128"/>
      <c r="L516" s="128"/>
      <c r="M516" s="129"/>
      <c r="N516" s="133">
        <v>46256</v>
      </c>
      <c r="O516" s="134"/>
      <c r="P516" s="134"/>
      <c r="Q516" s="135"/>
      <c r="T516" s="20"/>
    </row>
    <row r="517" spans="1:21">
      <c r="A517" s="96" t="s">
        <v>15</v>
      </c>
      <c r="B517" s="96"/>
      <c r="C517" s="97">
        <v>42</v>
      </c>
      <c r="D517" s="98"/>
      <c r="E517" s="98"/>
      <c r="F517" s="98"/>
      <c r="G517" s="98"/>
      <c r="H517" s="99" t="s">
        <v>16</v>
      </c>
      <c r="I517" s="100"/>
      <c r="J517" s="101" t="s">
        <v>17</v>
      </c>
      <c r="K517" s="101"/>
      <c r="L517" s="101"/>
      <c r="M517" s="101"/>
      <c r="N517" s="102">
        <f>U540</f>
        <v>0.45171345918946948</v>
      </c>
      <c r="O517" s="102"/>
      <c r="P517" s="102"/>
      <c r="Q517" s="102"/>
      <c r="T517" s="20"/>
    </row>
    <row r="518" spans="1:21">
      <c r="A518" s="103" t="s">
        <v>18</v>
      </c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5"/>
      <c r="T518" s="20"/>
    </row>
    <row r="519" spans="1:21">
      <c r="A519" s="7"/>
      <c r="B519" s="106" t="s">
        <v>19</v>
      </c>
      <c r="C519" s="107"/>
      <c r="D519" s="107"/>
      <c r="E519" s="107"/>
      <c r="F519" s="107"/>
      <c r="G519" s="108"/>
      <c r="H519" s="8" t="s">
        <v>20</v>
      </c>
      <c r="I519" s="109" t="s">
        <v>21</v>
      </c>
      <c r="J519" s="110"/>
      <c r="K519" s="111"/>
      <c r="L519" s="109" t="s">
        <v>28</v>
      </c>
      <c r="M519" s="111"/>
      <c r="N519" s="106" t="s">
        <v>22</v>
      </c>
      <c r="O519" s="112"/>
      <c r="P519" s="113" t="s">
        <v>23</v>
      </c>
      <c r="Q519" s="113"/>
      <c r="S519" s="18" t="s">
        <v>22</v>
      </c>
      <c r="T519" s="19" t="s">
        <v>64</v>
      </c>
      <c r="U519" s="13" t="s">
        <v>27</v>
      </c>
    </row>
    <row r="520" spans="1:21">
      <c r="A520" s="17" t="s">
        <v>65</v>
      </c>
      <c r="B520" s="114" t="s">
        <v>66</v>
      </c>
      <c r="C520" s="115"/>
      <c r="D520" s="115"/>
      <c r="E520" s="115"/>
      <c r="F520" s="115"/>
      <c r="G520" s="116"/>
      <c r="H520" s="17"/>
      <c r="I520" s="117"/>
      <c r="J520" s="118"/>
      <c r="K520" s="119"/>
      <c r="L520" s="77"/>
      <c r="M520" s="78"/>
      <c r="N520" s="77"/>
      <c r="O520" s="78"/>
      <c r="P520" s="93"/>
      <c r="Q520" s="93"/>
      <c r="S520" s="16"/>
      <c r="T520" s="16"/>
      <c r="U520" s="16" t="s">
        <v>26</v>
      </c>
    </row>
    <row r="521" spans="1:21">
      <c r="A521" s="17">
        <v>1</v>
      </c>
      <c r="B521" s="81" t="s">
        <v>80</v>
      </c>
      <c r="C521" s="82"/>
      <c r="D521" s="82"/>
      <c r="E521" s="82"/>
      <c r="F521" s="82"/>
      <c r="G521" s="83"/>
      <c r="H521" s="29" t="s">
        <v>67</v>
      </c>
      <c r="I521" s="84">
        <v>18</v>
      </c>
      <c r="J521" s="85"/>
      <c r="K521" s="86"/>
      <c r="L521" s="87"/>
      <c r="M521" s="88"/>
      <c r="N521" s="89"/>
      <c r="O521" s="90"/>
      <c r="P521" s="93"/>
      <c r="Q521" s="93"/>
      <c r="S521" s="12"/>
      <c r="T521" s="26">
        <v>18000</v>
      </c>
      <c r="U521" s="12">
        <f>S521*T521</f>
        <v>0</v>
      </c>
    </row>
    <row r="522" spans="1:21" ht="32.1" customHeight="1">
      <c r="A522" s="17">
        <v>2</v>
      </c>
      <c r="B522" s="81" t="s">
        <v>81</v>
      </c>
      <c r="C522" s="82" t="s">
        <v>81</v>
      </c>
      <c r="D522" s="82" t="s">
        <v>81</v>
      </c>
      <c r="E522" s="82" t="s">
        <v>81</v>
      </c>
      <c r="F522" s="82" t="s">
        <v>81</v>
      </c>
      <c r="G522" s="83" t="s">
        <v>81</v>
      </c>
      <c r="H522" s="29" t="s">
        <v>97</v>
      </c>
      <c r="I522" s="84">
        <v>166</v>
      </c>
      <c r="J522" s="85"/>
      <c r="K522" s="86"/>
      <c r="L522" s="87"/>
      <c r="M522" s="88"/>
      <c r="N522" s="89"/>
      <c r="O522" s="90"/>
      <c r="P522" s="93"/>
      <c r="Q522" s="93"/>
      <c r="S522" s="12"/>
      <c r="T522" s="26">
        <v>750</v>
      </c>
      <c r="U522" s="12">
        <f t="shared" ref="U522:U532" si="14">S522*T522</f>
        <v>0</v>
      </c>
    </row>
    <row r="523" spans="1:21">
      <c r="A523" s="17">
        <v>3</v>
      </c>
      <c r="B523" s="81" t="s">
        <v>82</v>
      </c>
      <c r="C523" s="82" t="s">
        <v>82</v>
      </c>
      <c r="D523" s="82" t="s">
        <v>82</v>
      </c>
      <c r="E523" s="82" t="s">
        <v>82</v>
      </c>
      <c r="F523" s="82" t="s">
        <v>82</v>
      </c>
      <c r="G523" s="83" t="s">
        <v>82</v>
      </c>
      <c r="H523" s="29" t="s">
        <v>97</v>
      </c>
      <c r="I523" s="84">
        <v>540</v>
      </c>
      <c r="J523" s="85">
        <v>540</v>
      </c>
      <c r="K523" s="86">
        <v>540</v>
      </c>
      <c r="L523" s="87"/>
      <c r="M523" s="88"/>
      <c r="N523" s="89">
        <v>540</v>
      </c>
      <c r="O523" s="90"/>
      <c r="P523" s="93"/>
      <c r="Q523" s="93"/>
      <c r="S523" s="12">
        <v>540</v>
      </c>
      <c r="T523" s="26">
        <v>340</v>
      </c>
      <c r="U523" s="12">
        <f t="shared" si="14"/>
        <v>183600</v>
      </c>
    </row>
    <row r="524" spans="1:21">
      <c r="A524" s="17">
        <v>4</v>
      </c>
      <c r="B524" s="81" t="s">
        <v>83</v>
      </c>
      <c r="C524" s="82" t="s">
        <v>83</v>
      </c>
      <c r="D524" s="82" t="s">
        <v>83</v>
      </c>
      <c r="E524" s="82" t="s">
        <v>83</v>
      </c>
      <c r="F524" s="82" t="s">
        <v>83</v>
      </c>
      <c r="G524" s="83" t="s">
        <v>83</v>
      </c>
      <c r="H524" s="29" t="s">
        <v>67</v>
      </c>
      <c r="I524" s="84">
        <v>20</v>
      </c>
      <c r="J524" s="85">
        <v>20</v>
      </c>
      <c r="K524" s="86">
        <v>20</v>
      </c>
      <c r="L524" s="87"/>
      <c r="M524" s="88"/>
      <c r="N524" s="89"/>
      <c r="O524" s="90"/>
      <c r="P524" s="93"/>
      <c r="Q524" s="93"/>
      <c r="S524" s="12"/>
      <c r="T524" s="26">
        <v>1250</v>
      </c>
      <c r="U524" s="12">
        <f t="shared" si="14"/>
        <v>0</v>
      </c>
    </row>
    <row r="525" spans="1:21" ht="32.1" customHeight="1">
      <c r="A525" s="17">
        <v>5</v>
      </c>
      <c r="B525" s="81" t="s">
        <v>84</v>
      </c>
      <c r="C525" s="82" t="s">
        <v>84</v>
      </c>
      <c r="D525" s="82" t="s">
        <v>84</v>
      </c>
      <c r="E525" s="82" t="s">
        <v>84</v>
      </c>
      <c r="F525" s="82" t="s">
        <v>84</v>
      </c>
      <c r="G525" s="83" t="s">
        <v>84</v>
      </c>
      <c r="H525" s="29" t="s">
        <v>97</v>
      </c>
      <c r="I525" s="84">
        <v>28</v>
      </c>
      <c r="J525" s="85">
        <v>28</v>
      </c>
      <c r="K525" s="86">
        <v>28</v>
      </c>
      <c r="L525" s="87"/>
      <c r="M525" s="88"/>
      <c r="N525" s="89">
        <v>28</v>
      </c>
      <c r="O525" s="90"/>
      <c r="P525" s="93"/>
      <c r="Q525" s="93"/>
      <c r="S525" s="12">
        <v>28</v>
      </c>
      <c r="T525" s="26">
        <v>1800</v>
      </c>
      <c r="U525" s="12">
        <f t="shared" si="14"/>
        <v>50400</v>
      </c>
    </row>
    <row r="526" spans="1:21">
      <c r="A526" s="17">
        <v>6</v>
      </c>
      <c r="B526" s="81" t="s">
        <v>85</v>
      </c>
      <c r="C526" s="82" t="s">
        <v>85</v>
      </c>
      <c r="D526" s="82" t="s">
        <v>85</v>
      </c>
      <c r="E526" s="82" t="s">
        <v>85</v>
      </c>
      <c r="F526" s="82" t="s">
        <v>85</v>
      </c>
      <c r="G526" s="83" t="s">
        <v>85</v>
      </c>
      <c r="H526" s="29" t="s">
        <v>97</v>
      </c>
      <c r="I526" s="84">
        <v>14</v>
      </c>
      <c r="J526" s="85">
        <v>14</v>
      </c>
      <c r="K526" s="86">
        <v>14</v>
      </c>
      <c r="L526" s="87"/>
      <c r="M526" s="88"/>
      <c r="N526" s="89">
        <v>14</v>
      </c>
      <c r="O526" s="90"/>
      <c r="P526" s="79"/>
      <c r="Q526" s="80"/>
      <c r="S526" s="12">
        <v>14</v>
      </c>
      <c r="T526" s="26">
        <v>4000</v>
      </c>
      <c r="U526" s="12">
        <f t="shared" si="14"/>
        <v>56000</v>
      </c>
    </row>
    <row r="527" spans="1:21">
      <c r="A527" s="17">
        <v>7</v>
      </c>
      <c r="B527" s="81" t="s">
        <v>86</v>
      </c>
      <c r="C527" s="82" t="s">
        <v>86</v>
      </c>
      <c r="D527" s="82" t="s">
        <v>86</v>
      </c>
      <c r="E527" s="82" t="s">
        <v>86</v>
      </c>
      <c r="F527" s="82" t="s">
        <v>86</v>
      </c>
      <c r="G527" s="83" t="s">
        <v>86</v>
      </c>
      <c r="H527" s="29" t="s">
        <v>97</v>
      </c>
      <c r="I527" s="84">
        <v>30</v>
      </c>
      <c r="J527" s="85">
        <v>30</v>
      </c>
      <c r="K527" s="86">
        <v>30</v>
      </c>
      <c r="L527" s="87"/>
      <c r="M527" s="88"/>
      <c r="N527" s="89">
        <v>30</v>
      </c>
      <c r="O527" s="90"/>
      <c r="P527" s="93"/>
      <c r="Q527" s="93"/>
      <c r="S527" s="12">
        <v>30</v>
      </c>
      <c r="T527" s="26">
        <v>4000</v>
      </c>
      <c r="U527" s="12">
        <f t="shared" si="14"/>
        <v>120000</v>
      </c>
    </row>
    <row r="528" spans="1:21">
      <c r="A528" s="17">
        <v>8</v>
      </c>
      <c r="B528" s="81" t="s">
        <v>87</v>
      </c>
      <c r="C528" s="82" t="s">
        <v>87</v>
      </c>
      <c r="D528" s="82" t="s">
        <v>87</v>
      </c>
      <c r="E528" s="82" t="s">
        <v>87</v>
      </c>
      <c r="F528" s="82" t="s">
        <v>87</v>
      </c>
      <c r="G528" s="83" t="s">
        <v>87</v>
      </c>
      <c r="H528" s="30" t="s">
        <v>25</v>
      </c>
      <c r="I528" s="84">
        <v>1</v>
      </c>
      <c r="J528" s="85">
        <v>1</v>
      </c>
      <c r="K528" s="86">
        <v>1</v>
      </c>
      <c r="L528" s="94">
        <v>1</v>
      </c>
      <c r="M528" s="95"/>
      <c r="N528" s="94">
        <v>1</v>
      </c>
      <c r="O528" s="95"/>
      <c r="P528" s="93"/>
      <c r="Q528" s="93"/>
      <c r="S528" s="16">
        <v>1</v>
      </c>
      <c r="T528" s="26">
        <v>31000</v>
      </c>
      <c r="U528" s="12">
        <f t="shared" si="14"/>
        <v>31000</v>
      </c>
    </row>
    <row r="529" spans="1:22">
      <c r="A529" s="17">
        <v>9</v>
      </c>
      <c r="B529" s="81" t="s">
        <v>88</v>
      </c>
      <c r="C529" s="82" t="s">
        <v>88</v>
      </c>
      <c r="D529" s="82" t="s">
        <v>88</v>
      </c>
      <c r="E529" s="82" t="s">
        <v>88</v>
      </c>
      <c r="F529" s="82" t="s">
        <v>88</v>
      </c>
      <c r="G529" s="83" t="s">
        <v>88</v>
      </c>
      <c r="H529" s="30" t="s">
        <v>25</v>
      </c>
      <c r="I529" s="84">
        <v>1</v>
      </c>
      <c r="J529" s="85">
        <v>1</v>
      </c>
      <c r="K529" s="86">
        <v>1</v>
      </c>
      <c r="L529" s="87"/>
      <c r="M529" s="88"/>
      <c r="N529" s="89"/>
      <c r="O529" s="90"/>
      <c r="P529" s="93"/>
      <c r="Q529" s="93"/>
      <c r="S529" s="12"/>
      <c r="T529" s="26">
        <v>30121</v>
      </c>
      <c r="U529" s="12">
        <f t="shared" si="14"/>
        <v>0</v>
      </c>
    </row>
    <row r="530" spans="1:22">
      <c r="A530" s="17">
        <v>10</v>
      </c>
      <c r="B530" s="81" t="s">
        <v>89</v>
      </c>
      <c r="C530" s="82"/>
      <c r="D530" s="82"/>
      <c r="E530" s="82"/>
      <c r="F530" s="82"/>
      <c r="G530" s="83"/>
      <c r="H530" s="30" t="s">
        <v>98</v>
      </c>
      <c r="I530" s="84">
        <v>3</v>
      </c>
      <c r="J530" s="85"/>
      <c r="K530" s="86"/>
      <c r="L530" s="87"/>
      <c r="M530" s="88"/>
      <c r="N530" s="89"/>
      <c r="O530" s="90"/>
      <c r="P530" s="91"/>
      <c r="Q530" s="92"/>
      <c r="S530" s="12"/>
      <c r="T530" s="26">
        <v>14500</v>
      </c>
      <c r="U530" s="12">
        <f t="shared" si="14"/>
        <v>0</v>
      </c>
    </row>
    <row r="531" spans="1:22">
      <c r="A531" s="17">
        <v>11</v>
      </c>
      <c r="B531" s="81" t="s">
        <v>90</v>
      </c>
      <c r="C531" s="82"/>
      <c r="D531" s="82"/>
      <c r="E531" s="82"/>
      <c r="F531" s="82"/>
      <c r="G531" s="83"/>
      <c r="H531" s="29" t="s">
        <v>67</v>
      </c>
      <c r="I531" s="84">
        <v>6</v>
      </c>
      <c r="J531" s="85"/>
      <c r="K531" s="86"/>
      <c r="L531" s="87">
        <v>6</v>
      </c>
      <c r="M531" s="88"/>
      <c r="N531" s="89">
        <v>6</v>
      </c>
      <c r="O531" s="90"/>
      <c r="P531" s="91"/>
      <c r="Q531" s="92"/>
      <c r="S531" s="12">
        <v>6</v>
      </c>
      <c r="T531" s="26">
        <v>3500</v>
      </c>
      <c r="U531" s="12">
        <f t="shared" si="14"/>
        <v>21000</v>
      </c>
    </row>
    <row r="532" spans="1:22">
      <c r="A532" s="17">
        <v>12</v>
      </c>
      <c r="B532" s="81" t="s">
        <v>91</v>
      </c>
      <c r="C532" s="82" t="s">
        <v>89</v>
      </c>
      <c r="D532" s="82" t="s">
        <v>89</v>
      </c>
      <c r="E532" s="82" t="s">
        <v>89</v>
      </c>
      <c r="F532" s="82" t="s">
        <v>89</v>
      </c>
      <c r="G532" s="83" t="s">
        <v>89</v>
      </c>
      <c r="H532" s="29" t="s">
        <v>67</v>
      </c>
      <c r="I532" s="84">
        <v>10</v>
      </c>
      <c r="J532" s="85">
        <v>10</v>
      </c>
      <c r="K532" s="86">
        <v>10</v>
      </c>
      <c r="L532" s="87"/>
      <c r="M532" s="88"/>
      <c r="N532" s="89"/>
      <c r="O532" s="90"/>
      <c r="P532" s="93"/>
      <c r="Q532" s="93"/>
      <c r="S532" s="12"/>
      <c r="T532" s="26">
        <v>3000</v>
      </c>
      <c r="U532" s="12">
        <f t="shared" si="14"/>
        <v>0</v>
      </c>
      <c r="V532" s="22">
        <f>SUM(U521:U532)</f>
        <v>462000</v>
      </c>
    </row>
    <row r="533" spans="1:22">
      <c r="A533" s="17" t="s">
        <v>76</v>
      </c>
      <c r="B533" s="71" t="s">
        <v>92</v>
      </c>
      <c r="C533" s="72"/>
      <c r="D533" s="72"/>
      <c r="E533" s="72"/>
      <c r="F533" s="72"/>
      <c r="G533" s="73"/>
      <c r="H533" s="30" t="s">
        <v>24</v>
      </c>
      <c r="I533" s="84">
        <v>1</v>
      </c>
      <c r="J533" s="85">
        <v>10</v>
      </c>
      <c r="K533" s="86">
        <v>10</v>
      </c>
      <c r="L533" s="77"/>
      <c r="M533" s="78"/>
      <c r="N533" s="77">
        <v>1</v>
      </c>
      <c r="O533" s="78"/>
      <c r="P533" s="79"/>
      <c r="Q533" s="80"/>
      <c r="S533" s="12">
        <v>1</v>
      </c>
      <c r="T533" s="25">
        <v>10391</v>
      </c>
      <c r="U533" s="12">
        <f>S533*T533</f>
        <v>10391</v>
      </c>
      <c r="V533" s="27"/>
    </row>
    <row r="534" spans="1:22">
      <c r="A534" s="23" t="s">
        <v>68</v>
      </c>
      <c r="B534" s="71" t="s">
        <v>93</v>
      </c>
      <c r="C534" s="72"/>
      <c r="D534" s="72"/>
      <c r="E534" s="72"/>
      <c r="F534" s="72"/>
      <c r="G534" s="73"/>
      <c r="H534" s="30" t="s">
        <v>24</v>
      </c>
      <c r="I534" s="74">
        <v>1</v>
      </c>
      <c r="J534" s="75"/>
      <c r="K534" s="76"/>
      <c r="L534" s="77">
        <f>N534-N461</f>
        <v>5.004330670772783E-2</v>
      </c>
      <c r="M534" s="78"/>
      <c r="N534" s="77">
        <f>S534</f>
        <v>0.44461553267250503</v>
      </c>
      <c r="O534" s="78"/>
      <c r="P534" s="77"/>
      <c r="Q534" s="78"/>
      <c r="S534" s="21">
        <f>V532*0.01/T534</f>
        <v>0.44461553267250503</v>
      </c>
      <c r="T534" s="25">
        <v>10391</v>
      </c>
      <c r="U534" s="12">
        <f t="shared" ref="U534:U535" si="15">S534*T534</f>
        <v>4620</v>
      </c>
    </row>
    <row r="535" spans="1:22">
      <c r="A535" s="23" t="s">
        <v>69</v>
      </c>
      <c r="B535" s="58" t="s">
        <v>94</v>
      </c>
      <c r="C535" s="59" t="s">
        <v>70</v>
      </c>
      <c r="D535" s="59" t="s">
        <v>70</v>
      </c>
      <c r="E535" s="59" t="s">
        <v>70</v>
      </c>
      <c r="F535" s="59" t="s">
        <v>70</v>
      </c>
      <c r="G535" s="60" t="s">
        <v>70</v>
      </c>
      <c r="H535" s="30" t="s">
        <v>24</v>
      </c>
      <c r="I535" s="74">
        <v>1</v>
      </c>
      <c r="J535" s="75"/>
      <c r="K535" s="76"/>
      <c r="L535" s="77">
        <f>N535-N462</f>
        <v>5.0041930738668416E-2</v>
      </c>
      <c r="M535" s="78"/>
      <c r="N535" s="77">
        <f>S535</f>
        <v>0.44460330771663076</v>
      </c>
      <c r="O535" s="78"/>
      <c r="P535" s="77"/>
      <c r="Q535" s="78"/>
      <c r="S535" s="21">
        <f>V532*0.07/T535</f>
        <v>0.44460330771663076</v>
      </c>
      <c r="T535" s="25">
        <v>72739</v>
      </c>
      <c r="U535" s="12">
        <f t="shared" si="15"/>
        <v>32340.000000000004</v>
      </c>
    </row>
    <row r="536" spans="1:22">
      <c r="A536" s="23" t="s">
        <v>71</v>
      </c>
      <c r="B536" s="58" t="s">
        <v>95</v>
      </c>
      <c r="C536" s="59" t="s">
        <v>72</v>
      </c>
      <c r="D536" s="59" t="s">
        <v>72</v>
      </c>
      <c r="E536" s="59" t="s">
        <v>72</v>
      </c>
      <c r="F536" s="59" t="s">
        <v>72</v>
      </c>
      <c r="G536" s="60" t="s">
        <v>72</v>
      </c>
      <c r="H536" s="30" t="s">
        <v>24</v>
      </c>
      <c r="I536" s="74">
        <v>1</v>
      </c>
      <c r="J536" s="75"/>
      <c r="K536" s="76"/>
      <c r="L536" s="77"/>
      <c r="M536" s="78"/>
      <c r="N536" s="77">
        <f>S536</f>
        <v>1</v>
      </c>
      <c r="O536" s="78"/>
      <c r="P536" s="77"/>
      <c r="Q536" s="78"/>
      <c r="S536" s="21">
        <v>1</v>
      </c>
      <c r="T536" s="25">
        <v>4156</v>
      </c>
      <c r="U536" s="12">
        <f>S536*T536</f>
        <v>4156</v>
      </c>
    </row>
    <row r="537" spans="1:22">
      <c r="A537" s="23" t="s">
        <v>73</v>
      </c>
      <c r="B537" s="58" t="s">
        <v>96</v>
      </c>
      <c r="C537" s="59" t="s">
        <v>74</v>
      </c>
      <c r="D537" s="59" t="s">
        <v>74</v>
      </c>
      <c r="E537" s="59" t="s">
        <v>74</v>
      </c>
      <c r="F537" s="59" t="s">
        <v>74</v>
      </c>
      <c r="G537" s="60" t="s">
        <v>74</v>
      </c>
      <c r="H537" s="30" t="s">
        <v>24</v>
      </c>
      <c r="I537" s="74">
        <v>1</v>
      </c>
      <c r="J537" s="75"/>
      <c r="K537" s="76"/>
      <c r="L537" s="77">
        <f>N537-N464</f>
        <v>4.9401829697396205E-2</v>
      </c>
      <c r="M537" s="78"/>
      <c r="N537" s="77">
        <f>S537-0.001</f>
        <v>0.45071270232230826</v>
      </c>
      <c r="O537" s="78"/>
      <c r="P537" s="79"/>
      <c r="Q537" s="80"/>
      <c r="S537" s="21">
        <f>(V532+U533+U534+U535+U536)*0.05/T537</f>
        <v>0.45171270232230826</v>
      </c>
      <c r="T537" s="25">
        <v>56840</v>
      </c>
      <c r="U537" s="12">
        <f>S537*T537</f>
        <v>25675.350000000002</v>
      </c>
    </row>
    <row r="538" spans="1:22">
      <c r="A538" s="23"/>
      <c r="B538" s="58"/>
      <c r="C538" s="59"/>
      <c r="D538" s="59"/>
      <c r="E538" s="59"/>
      <c r="F538" s="59"/>
      <c r="G538" s="60"/>
      <c r="H538" s="24"/>
      <c r="I538" s="58"/>
      <c r="J538" s="59"/>
      <c r="K538" s="59"/>
      <c r="L538" s="58"/>
      <c r="M538" s="59"/>
      <c r="N538" s="58"/>
      <c r="O538" s="59"/>
      <c r="P538" s="58"/>
      <c r="Q538" s="60"/>
      <c r="S538" s="21"/>
      <c r="T538" s="25"/>
      <c r="U538" s="28">
        <f>V532+U533+U534+U535+U536+U537</f>
        <v>539182.35</v>
      </c>
    </row>
    <row r="539" spans="1:22">
      <c r="A539" s="23"/>
      <c r="B539" s="58"/>
      <c r="C539" s="59"/>
      <c r="D539" s="59"/>
      <c r="E539" s="59"/>
      <c r="F539" s="59"/>
      <c r="G539" s="60"/>
      <c r="H539" s="23"/>
      <c r="I539" s="58"/>
      <c r="J539" s="59"/>
      <c r="K539" s="59"/>
      <c r="L539" s="58"/>
      <c r="M539" s="59"/>
      <c r="N539" s="58"/>
      <c r="O539" s="59"/>
      <c r="P539" s="58"/>
      <c r="Q539" s="60"/>
      <c r="S539" s="21"/>
      <c r="T539" s="16"/>
      <c r="U539" s="14">
        <v>1193638</v>
      </c>
    </row>
    <row r="540" spans="1:22">
      <c r="A540" s="9"/>
      <c r="B540" s="58"/>
      <c r="C540" s="59"/>
      <c r="D540" s="59"/>
      <c r="E540" s="59"/>
      <c r="F540" s="59"/>
      <c r="G540" s="60"/>
      <c r="H540" s="9"/>
      <c r="I540" s="58"/>
      <c r="J540" s="59"/>
      <c r="K540" s="59"/>
      <c r="L540" s="58"/>
      <c r="M540" s="59"/>
      <c r="N540" s="58"/>
      <c r="O540" s="59"/>
      <c r="P540" s="58"/>
      <c r="Q540" s="60"/>
      <c r="S540" s="21"/>
      <c r="T540" s="16"/>
      <c r="U540" s="15">
        <f>U538/U539</f>
        <v>0.45171345918946948</v>
      </c>
    </row>
    <row r="541" spans="1:22">
      <c r="A541" s="9"/>
      <c r="B541" s="58"/>
      <c r="C541" s="59"/>
      <c r="D541" s="59"/>
      <c r="E541" s="59"/>
      <c r="F541" s="59"/>
      <c r="G541" s="60"/>
      <c r="H541" s="9"/>
      <c r="I541" s="58"/>
      <c r="J541" s="59"/>
      <c r="K541" s="59"/>
      <c r="L541" s="58"/>
      <c r="M541" s="59"/>
      <c r="N541" s="58"/>
      <c r="O541" s="59"/>
      <c r="P541" s="58"/>
      <c r="Q541" s="60"/>
      <c r="S541" s="21"/>
      <c r="T541" s="16"/>
      <c r="U541" s="12"/>
    </row>
    <row r="542" spans="1:22">
      <c r="A542" s="9"/>
      <c r="B542" s="58"/>
      <c r="C542" s="59"/>
      <c r="D542" s="59"/>
      <c r="E542" s="59"/>
      <c r="F542" s="59"/>
      <c r="G542" s="60"/>
      <c r="H542" s="9"/>
      <c r="I542" s="58"/>
      <c r="J542" s="59"/>
      <c r="K542" s="59"/>
      <c r="L542" s="58"/>
      <c r="M542" s="59"/>
      <c r="N542" s="58"/>
      <c r="O542" s="59"/>
      <c r="P542" s="58"/>
      <c r="Q542" s="60"/>
      <c r="S542" s="21"/>
      <c r="T542" s="16"/>
      <c r="U542" s="12"/>
    </row>
    <row r="543" spans="1:22">
      <c r="A543" s="9"/>
      <c r="B543" s="58"/>
      <c r="C543" s="59"/>
      <c r="D543" s="59"/>
      <c r="E543" s="59"/>
      <c r="F543" s="59"/>
      <c r="G543" s="60"/>
      <c r="H543" s="9"/>
      <c r="I543" s="58"/>
      <c r="J543" s="59"/>
      <c r="K543" s="59"/>
      <c r="L543" s="58"/>
      <c r="M543" s="59"/>
      <c r="N543" s="58"/>
      <c r="O543" s="59"/>
      <c r="P543" s="58"/>
      <c r="Q543" s="60"/>
      <c r="S543" s="21"/>
      <c r="T543" s="16"/>
      <c r="U543" s="12"/>
    </row>
    <row r="544" spans="1:22">
      <c r="A544" s="9"/>
      <c r="B544" s="58"/>
      <c r="C544" s="59"/>
      <c r="D544" s="59"/>
      <c r="E544" s="59"/>
      <c r="F544" s="59"/>
      <c r="G544" s="60"/>
      <c r="H544" s="9"/>
      <c r="I544" s="58"/>
      <c r="J544" s="59"/>
      <c r="K544" s="59"/>
      <c r="L544" s="58"/>
      <c r="M544" s="59"/>
      <c r="N544" s="58"/>
      <c r="O544" s="59"/>
      <c r="P544" s="58"/>
      <c r="Q544" s="60"/>
      <c r="S544" s="21"/>
      <c r="T544" s="16"/>
      <c r="U544" s="12"/>
    </row>
    <row r="545" spans="1:20">
      <c r="A545" s="7"/>
      <c r="B545" s="61"/>
      <c r="C545" s="62"/>
      <c r="D545" s="62"/>
      <c r="E545" s="62"/>
      <c r="F545" s="62"/>
      <c r="G545" s="63"/>
      <c r="H545" s="9"/>
      <c r="I545" s="64"/>
      <c r="J545" s="65"/>
      <c r="K545" s="66"/>
      <c r="L545" s="67"/>
      <c r="M545" s="68"/>
      <c r="N545" s="67"/>
      <c r="O545" s="68"/>
      <c r="P545" s="69"/>
      <c r="Q545" s="70"/>
      <c r="S545" s="21"/>
      <c r="T545" s="16"/>
    </row>
    <row r="546" spans="1:20">
      <c r="A546" s="44" t="s">
        <v>29</v>
      </c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T546" s="20"/>
    </row>
    <row r="547" spans="1:20">
      <c r="A547" s="44" t="s">
        <v>30</v>
      </c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T547" s="20"/>
    </row>
    <row r="548" spans="1:20">
      <c r="A548" s="44" t="s">
        <v>31</v>
      </c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T548" s="20"/>
    </row>
    <row r="549" spans="1:20">
      <c r="A549" s="44" t="s">
        <v>32</v>
      </c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T549" s="20"/>
    </row>
    <row r="550" spans="1:20">
      <c r="A550" s="54" t="s">
        <v>33</v>
      </c>
      <c r="B550" s="54"/>
      <c r="C550" s="54"/>
      <c r="D550" s="54"/>
      <c r="E550" s="54"/>
      <c r="F550" s="54"/>
      <c r="G550" s="54"/>
      <c r="H550" s="54" t="s">
        <v>20</v>
      </c>
      <c r="I550" s="54"/>
      <c r="J550" s="54"/>
      <c r="K550" s="54" t="s">
        <v>34</v>
      </c>
      <c r="L550" s="54"/>
      <c r="M550" s="54" t="s">
        <v>35</v>
      </c>
      <c r="N550" s="54"/>
      <c r="O550" s="54" t="s">
        <v>36</v>
      </c>
      <c r="P550" s="54"/>
      <c r="Q550" s="54"/>
      <c r="T550" s="20"/>
    </row>
    <row r="551" spans="1:20">
      <c r="A551" s="55"/>
      <c r="B551" s="56"/>
      <c r="C551" s="56"/>
      <c r="D551" s="56"/>
      <c r="E551" s="56"/>
      <c r="F551" s="56"/>
      <c r="G551" s="57"/>
      <c r="H551" s="55"/>
      <c r="I551" s="56"/>
      <c r="J551" s="57"/>
      <c r="K551" s="55"/>
      <c r="L551" s="56"/>
      <c r="M551" s="55"/>
      <c r="N551" s="56"/>
      <c r="O551" s="55"/>
      <c r="P551" s="56"/>
      <c r="Q551" s="57"/>
      <c r="T551" s="20"/>
    </row>
    <row r="552" spans="1:20">
      <c r="A552" s="55"/>
      <c r="B552" s="56"/>
      <c r="C552" s="56"/>
      <c r="D552" s="56"/>
      <c r="E552" s="56"/>
      <c r="F552" s="56"/>
      <c r="G552" s="57"/>
      <c r="H552" s="55"/>
      <c r="I552" s="56"/>
      <c r="J552" s="57"/>
      <c r="K552" s="55"/>
      <c r="L552" s="56"/>
      <c r="M552" s="55"/>
      <c r="N552" s="56"/>
      <c r="O552" s="55"/>
      <c r="P552" s="56"/>
      <c r="Q552" s="57"/>
      <c r="T552" s="20"/>
    </row>
    <row r="553" spans="1:20">
      <c r="A553" s="53"/>
      <c r="B553" s="53"/>
      <c r="C553" s="53"/>
      <c r="D553" s="53"/>
      <c r="E553" s="53"/>
      <c r="F553" s="53"/>
      <c r="G553" s="53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T553" s="20"/>
    </row>
    <row r="554" spans="1:20">
      <c r="A554" s="53"/>
      <c r="B554" s="53"/>
      <c r="C554" s="53"/>
      <c r="D554" s="53"/>
      <c r="E554" s="53"/>
      <c r="F554" s="53"/>
      <c r="G554" s="53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T554" s="20"/>
    </row>
    <row r="555" spans="1:20">
      <c r="A555" s="44" t="s">
        <v>37</v>
      </c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T555" s="20"/>
    </row>
    <row r="556" spans="1:20">
      <c r="A556" s="46" t="s">
        <v>38</v>
      </c>
      <c r="B556" s="46"/>
      <c r="C556" s="47" t="s">
        <v>39</v>
      </c>
      <c r="D556" s="48"/>
      <c r="E556" s="48"/>
      <c r="F556" s="47" t="s">
        <v>40</v>
      </c>
      <c r="G556" s="48"/>
      <c r="H556" s="49"/>
      <c r="I556" s="46" t="s">
        <v>41</v>
      </c>
      <c r="J556" s="46"/>
      <c r="K556" s="46"/>
      <c r="L556" s="46" t="s">
        <v>35</v>
      </c>
      <c r="M556" s="46"/>
      <c r="N556" s="46"/>
      <c r="O556" s="46" t="s">
        <v>36</v>
      </c>
      <c r="P556" s="46"/>
      <c r="Q556" s="46"/>
      <c r="T556" s="20"/>
    </row>
    <row r="557" spans="1:20">
      <c r="A557" s="47" t="s">
        <v>42</v>
      </c>
      <c r="B557" s="49"/>
      <c r="C557" s="47">
        <v>2</v>
      </c>
      <c r="D557" s="48"/>
      <c r="E557" s="49"/>
      <c r="F557" s="47">
        <f>F484+C557</f>
        <v>19</v>
      </c>
      <c r="G557" s="48"/>
      <c r="H557" s="49"/>
      <c r="I557" s="47"/>
      <c r="J557" s="48"/>
      <c r="K557" s="49"/>
      <c r="L557" s="47"/>
      <c r="M557" s="48"/>
      <c r="N557" s="49"/>
      <c r="O557" s="47"/>
      <c r="P557" s="48"/>
      <c r="Q557" s="49"/>
      <c r="T557" s="20"/>
    </row>
    <row r="558" spans="1:20">
      <c r="A558" s="47" t="s">
        <v>100</v>
      </c>
      <c r="B558" s="49"/>
      <c r="C558" s="47"/>
      <c r="D558" s="48"/>
      <c r="E558" s="49"/>
      <c r="F558" s="47">
        <f>F485+C558</f>
        <v>2</v>
      </c>
      <c r="G558" s="48"/>
      <c r="H558" s="49"/>
      <c r="I558" s="47"/>
      <c r="J558" s="48"/>
      <c r="K558" s="49"/>
      <c r="L558" s="47"/>
      <c r="M558" s="48"/>
      <c r="N558" s="49"/>
      <c r="O558" s="47"/>
      <c r="P558" s="48"/>
      <c r="Q558" s="49"/>
      <c r="T558" s="20"/>
    </row>
    <row r="559" spans="1:20">
      <c r="A559" s="47"/>
      <c r="B559" s="49"/>
      <c r="C559" s="47"/>
      <c r="D559" s="48"/>
      <c r="E559" s="49"/>
      <c r="F559" s="47"/>
      <c r="G559" s="48"/>
      <c r="H559" s="49"/>
      <c r="I559" s="47"/>
      <c r="J559" s="48"/>
      <c r="K559" s="49"/>
      <c r="L559" s="47"/>
      <c r="M559" s="48"/>
      <c r="N559" s="49"/>
      <c r="O559" s="47"/>
      <c r="P559" s="48"/>
      <c r="Q559" s="49"/>
      <c r="T559" s="20"/>
    </row>
    <row r="560" spans="1:20">
      <c r="A560" s="46"/>
      <c r="B560" s="46"/>
      <c r="C560" s="47"/>
      <c r="D560" s="48"/>
      <c r="E560" s="49"/>
      <c r="F560" s="47"/>
      <c r="G560" s="48"/>
      <c r="H560" s="49"/>
      <c r="I560" s="47"/>
      <c r="J560" s="48"/>
      <c r="K560" s="49"/>
      <c r="L560" s="47"/>
      <c r="M560" s="48"/>
      <c r="N560" s="49"/>
      <c r="O560" s="47"/>
      <c r="P560" s="48"/>
      <c r="Q560" s="49"/>
      <c r="T560" s="20"/>
    </row>
    <row r="561" spans="1:20">
      <c r="A561" s="46"/>
      <c r="B561" s="46"/>
      <c r="C561" s="47"/>
      <c r="D561" s="48"/>
      <c r="E561" s="49"/>
      <c r="F561" s="47"/>
      <c r="G561" s="48"/>
      <c r="H561" s="49"/>
      <c r="I561" s="47"/>
      <c r="J561" s="48"/>
      <c r="K561" s="49"/>
      <c r="L561" s="47"/>
      <c r="M561" s="48"/>
      <c r="N561" s="49"/>
      <c r="O561" s="47"/>
      <c r="P561" s="48"/>
      <c r="Q561" s="49"/>
      <c r="T561" s="20"/>
    </row>
    <row r="562" spans="1:20">
      <c r="A562" s="50" t="s">
        <v>43</v>
      </c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2"/>
      <c r="T562" s="20"/>
    </row>
    <row r="563" spans="1:20">
      <c r="A563" s="38" t="s">
        <v>44</v>
      </c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40"/>
      <c r="T563" s="20"/>
    </row>
    <row r="564" spans="1:20">
      <c r="A564" s="41" t="s">
        <v>45</v>
      </c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3"/>
      <c r="T564" s="20"/>
    </row>
    <row r="565" spans="1:20">
      <c r="A565" s="50" t="s">
        <v>46</v>
      </c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2"/>
      <c r="T565" s="20"/>
    </row>
    <row r="566" spans="1:20">
      <c r="A566" s="38" t="s">
        <v>47</v>
      </c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40"/>
      <c r="T566" s="20"/>
    </row>
    <row r="567" spans="1:20">
      <c r="A567" s="38" t="s">
        <v>48</v>
      </c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40"/>
      <c r="T567" s="20"/>
    </row>
    <row r="568" spans="1:20">
      <c r="A568" s="38" t="s">
        <v>49</v>
      </c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40"/>
      <c r="T568" s="20"/>
    </row>
    <row r="569" spans="1:20">
      <c r="A569" s="38" t="s">
        <v>50</v>
      </c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40"/>
      <c r="T569" s="20"/>
    </row>
    <row r="570" spans="1:20">
      <c r="A570" s="38" t="s">
        <v>51</v>
      </c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40"/>
      <c r="T570" s="20"/>
    </row>
    <row r="571" spans="1:20">
      <c r="A571" s="41" t="s">
        <v>52</v>
      </c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3"/>
      <c r="T571" s="20"/>
    </row>
    <row r="572" spans="1:20">
      <c r="A572" s="44" t="s">
        <v>53</v>
      </c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T572" s="20"/>
    </row>
    <row r="573" spans="1:20">
      <c r="A573" s="44" t="s">
        <v>54</v>
      </c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T573" s="20"/>
    </row>
    <row r="574" spans="1:20">
      <c r="A574" s="44" t="s">
        <v>99</v>
      </c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T574" s="20"/>
    </row>
    <row r="575" spans="1:20">
      <c r="A575" s="44" t="s">
        <v>55</v>
      </c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T575" s="20"/>
    </row>
    <row r="576" spans="1:20">
      <c r="A576" s="45" t="s">
        <v>56</v>
      </c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T576" s="20"/>
    </row>
    <row r="577" spans="1:21">
      <c r="A577" s="37" t="s">
        <v>57</v>
      </c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T577" s="20"/>
    </row>
    <row r="578" spans="1:21">
      <c r="A578" s="37" t="s">
        <v>58</v>
      </c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T578" s="20"/>
    </row>
    <row r="579" spans="1:21">
      <c r="A579" s="37" t="s">
        <v>59</v>
      </c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T579" s="20"/>
    </row>
    <row r="580" spans="1:21">
      <c r="A580" s="37" t="s">
        <v>60</v>
      </c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T580" s="20"/>
    </row>
    <row r="581" spans="1:21">
      <c r="A581" s="37" t="s">
        <v>61</v>
      </c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T581" s="20"/>
    </row>
    <row r="582" spans="1:21">
      <c r="A582" s="37" t="s">
        <v>62</v>
      </c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T582" s="20"/>
    </row>
    <row r="583" spans="1:21">
      <c r="A583" s="37" t="s">
        <v>63</v>
      </c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T583" s="20"/>
    </row>
    <row r="584" spans="1:21">
      <c r="A584" s="37" t="s">
        <v>75</v>
      </c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T584" s="20"/>
    </row>
    <row r="585" spans="1:21" ht="39" customHeight="1">
      <c r="B585" s="120" t="s">
        <v>0</v>
      </c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T585" s="20"/>
    </row>
    <row r="586" spans="1:21">
      <c r="B586" s="6" t="s">
        <v>1</v>
      </c>
      <c r="C586" s="121" t="s">
        <v>2</v>
      </c>
      <c r="D586" s="121"/>
      <c r="E586" s="1" t="s">
        <v>3</v>
      </c>
      <c r="F586" s="121" t="s">
        <v>4</v>
      </c>
      <c r="G586" s="121"/>
      <c r="H586" s="1" t="s">
        <v>3</v>
      </c>
      <c r="I586" s="1"/>
      <c r="J586" s="121" t="s">
        <v>5</v>
      </c>
      <c r="K586" s="121"/>
      <c r="L586" s="121"/>
      <c r="M586" s="122">
        <f>M513+1</f>
        <v>46235</v>
      </c>
      <c r="N586" s="122"/>
      <c r="O586" s="122"/>
      <c r="P586" s="123"/>
      <c r="Q586" s="123"/>
      <c r="T586" s="20"/>
    </row>
    <row r="587" spans="1:21">
      <c r="A587" s="96" t="s">
        <v>6</v>
      </c>
      <c r="B587" s="96"/>
      <c r="C587" s="124" t="s">
        <v>79</v>
      </c>
      <c r="D587" s="125"/>
      <c r="E587" s="125"/>
      <c r="F587" s="125"/>
      <c r="G587" s="125"/>
      <c r="H587" s="125"/>
      <c r="I587" s="126"/>
      <c r="J587" s="127" t="s">
        <v>7</v>
      </c>
      <c r="K587" s="128"/>
      <c r="L587" s="128"/>
      <c r="M587" s="129"/>
      <c r="N587" s="130" t="s">
        <v>78</v>
      </c>
      <c r="O587" s="130"/>
      <c r="P587" s="130"/>
      <c r="Q587" s="131"/>
      <c r="T587" s="20"/>
    </row>
    <row r="588" spans="1:21">
      <c r="A588" s="96" t="s">
        <v>8</v>
      </c>
      <c r="B588" s="96"/>
      <c r="C588" s="4">
        <v>30</v>
      </c>
      <c r="D588" s="3" t="s">
        <v>9</v>
      </c>
      <c r="E588" s="127" t="s">
        <v>10</v>
      </c>
      <c r="F588" s="129"/>
      <c r="G588" s="127">
        <f>G515+1</f>
        <v>9</v>
      </c>
      <c r="H588" s="128"/>
      <c r="I588" s="3" t="s">
        <v>9</v>
      </c>
      <c r="J588" s="96" t="s">
        <v>11</v>
      </c>
      <c r="K588" s="96"/>
      <c r="L588" s="5">
        <f>C588-G588</f>
        <v>21</v>
      </c>
      <c r="M588" s="2" t="s">
        <v>9</v>
      </c>
      <c r="N588" s="96" t="s">
        <v>12</v>
      </c>
      <c r="O588" s="96"/>
      <c r="P588" s="2"/>
      <c r="Q588" s="3" t="s">
        <v>9</v>
      </c>
      <c r="T588" s="20"/>
    </row>
    <row r="589" spans="1:21">
      <c r="A589" s="96" t="s">
        <v>13</v>
      </c>
      <c r="B589" s="96"/>
      <c r="C589" s="132">
        <v>46227</v>
      </c>
      <c r="D589" s="132"/>
      <c r="E589" s="132"/>
      <c r="F589" s="132"/>
      <c r="G589" s="132"/>
      <c r="H589" s="132"/>
      <c r="I589" s="132"/>
      <c r="J589" s="127" t="s">
        <v>14</v>
      </c>
      <c r="K589" s="128"/>
      <c r="L589" s="128"/>
      <c r="M589" s="129"/>
      <c r="N589" s="133">
        <v>46256</v>
      </c>
      <c r="O589" s="134"/>
      <c r="P589" s="134"/>
      <c r="Q589" s="135"/>
      <c r="T589" s="20"/>
    </row>
    <row r="590" spans="1:21">
      <c r="A590" s="96" t="s">
        <v>15</v>
      </c>
      <c r="B590" s="96"/>
      <c r="C590" s="97">
        <v>48</v>
      </c>
      <c r="D590" s="98"/>
      <c r="E590" s="98"/>
      <c r="F590" s="98"/>
      <c r="G590" s="98"/>
      <c r="H590" s="99" t="s">
        <v>16</v>
      </c>
      <c r="I590" s="100"/>
      <c r="J590" s="101" t="s">
        <v>17</v>
      </c>
      <c r="K590" s="101"/>
      <c r="L590" s="101"/>
      <c r="M590" s="101"/>
      <c r="N590" s="102">
        <f>U613</f>
        <v>0.51679097850437061</v>
      </c>
      <c r="O590" s="102"/>
      <c r="P590" s="102"/>
      <c r="Q590" s="102"/>
      <c r="T590" s="20"/>
    </row>
    <row r="591" spans="1:21">
      <c r="A591" s="103" t="s">
        <v>18</v>
      </c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5"/>
      <c r="T591" s="20"/>
    </row>
    <row r="592" spans="1:21">
      <c r="A592" s="7"/>
      <c r="B592" s="106" t="s">
        <v>19</v>
      </c>
      <c r="C592" s="107"/>
      <c r="D592" s="107"/>
      <c r="E592" s="107"/>
      <c r="F592" s="107"/>
      <c r="G592" s="108"/>
      <c r="H592" s="8" t="s">
        <v>20</v>
      </c>
      <c r="I592" s="109" t="s">
        <v>21</v>
      </c>
      <c r="J592" s="110"/>
      <c r="K592" s="111"/>
      <c r="L592" s="109" t="s">
        <v>28</v>
      </c>
      <c r="M592" s="111"/>
      <c r="N592" s="106" t="s">
        <v>22</v>
      </c>
      <c r="O592" s="112"/>
      <c r="P592" s="113" t="s">
        <v>23</v>
      </c>
      <c r="Q592" s="113"/>
      <c r="S592" s="18" t="s">
        <v>22</v>
      </c>
      <c r="T592" s="19" t="s">
        <v>64</v>
      </c>
      <c r="U592" s="13" t="s">
        <v>27</v>
      </c>
    </row>
    <row r="593" spans="1:22">
      <c r="A593" s="17" t="s">
        <v>65</v>
      </c>
      <c r="B593" s="114" t="s">
        <v>66</v>
      </c>
      <c r="C593" s="115"/>
      <c r="D593" s="115"/>
      <c r="E593" s="115"/>
      <c r="F593" s="115"/>
      <c r="G593" s="116"/>
      <c r="H593" s="17"/>
      <c r="I593" s="117"/>
      <c r="J593" s="118"/>
      <c r="K593" s="119"/>
      <c r="L593" s="77"/>
      <c r="M593" s="78"/>
      <c r="N593" s="77"/>
      <c r="O593" s="78"/>
      <c r="P593" s="93"/>
      <c r="Q593" s="93"/>
      <c r="S593" s="16"/>
      <c r="T593" s="16"/>
      <c r="U593" s="16" t="s">
        <v>26</v>
      </c>
    </row>
    <row r="594" spans="1:22">
      <c r="A594" s="17">
        <v>1</v>
      </c>
      <c r="B594" s="81" t="s">
        <v>80</v>
      </c>
      <c r="C594" s="82"/>
      <c r="D594" s="82"/>
      <c r="E594" s="82"/>
      <c r="F594" s="82"/>
      <c r="G594" s="83"/>
      <c r="H594" s="29" t="s">
        <v>67</v>
      </c>
      <c r="I594" s="84">
        <v>18</v>
      </c>
      <c r="J594" s="85"/>
      <c r="K594" s="86"/>
      <c r="L594" s="87"/>
      <c r="M594" s="88"/>
      <c r="N594" s="89"/>
      <c r="O594" s="90"/>
      <c r="P594" s="93"/>
      <c r="Q594" s="93"/>
      <c r="S594" s="12"/>
      <c r="T594" s="26">
        <v>18000</v>
      </c>
      <c r="U594" s="12">
        <f>S594*T594</f>
        <v>0</v>
      </c>
    </row>
    <row r="595" spans="1:22" ht="32.1" customHeight="1">
      <c r="A595" s="17">
        <v>2</v>
      </c>
      <c r="B595" s="81" t="s">
        <v>81</v>
      </c>
      <c r="C595" s="82" t="s">
        <v>81</v>
      </c>
      <c r="D595" s="82" t="s">
        <v>81</v>
      </c>
      <c r="E595" s="82" t="s">
        <v>81</v>
      </c>
      <c r="F595" s="82" t="s">
        <v>81</v>
      </c>
      <c r="G595" s="83" t="s">
        <v>81</v>
      </c>
      <c r="H595" s="29" t="s">
        <v>97</v>
      </c>
      <c r="I595" s="84">
        <v>166</v>
      </c>
      <c r="J595" s="85"/>
      <c r="K595" s="86"/>
      <c r="L595" s="87"/>
      <c r="M595" s="88"/>
      <c r="N595" s="89"/>
      <c r="O595" s="90"/>
      <c r="P595" s="93"/>
      <c r="Q595" s="93"/>
      <c r="S595" s="12"/>
      <c r="T595" s="26">
        <v>750</v>
      </c>
      <c r="U595" s="12">
        <f t="shared" ref="U595:U605" si="16">S595*T595</f>
        <v>0</v>
      </c>
    </row>
    <row r="596" spans="1:22">
      <c r="A596" s="17">
        <v>3</v>
      </c>
      <c r="B596" s="81" t="s">
        <v>82</v>
      </c>
      <c r="C596" s="82" t="s">
        <v>82</v>
      </c>
      <c r="D596" s="82" t="s">
        <v>82</v>
      </c>
      <c r="E596" s="82" t="s">
        <v>82</v>
      </c>
      <c r="F596" s="82" t="s">
        <v>82</v>
      </c>
      <c r="G596" s="83" t="s">
        <v>82</v>
      </c>
      <c r="H596" s="29" t="s">
        <v>97</v>
      </c>
      <c r="I596" s="84">
        <v>540</v>
      </c>
      <c r="J596" s="85">
        <v>540</v>
      </c>
      <c r="K596" s="86">
        <v>540</v>
      </c>
      <c r="L596" s="87"/>
      <c r="M596" s="88"/>
      <c r="N596" s="89">
        <v>540</v>
      </c>
      <c r="O596" s="90"/>
      <c r="P596" s="93"/>
      <c r="Q596" s="93"/>
      <c r="S596" s="12">
        <v>540</v>
      </c>
      <c r="T596" s="26">
        <v>340</v>
      </c>
      <c r="U596" s="12">
        <f t="shared" si="16"/>
        <v>183600</v>
      </c>
    </row>
    <row r="597" spans="1:22">
      <c r="A597" s="17">
        <v>4</v>
      </c>
      <c r="B597" s="81" t="s">
        <v>83</v>
      </c>
      <c r="C597" s="82" t="s">
        <v>83</v>
      </c>
      <c r="D597" s="82" t="s">
        <v>83</v>
      </c>
      <c r="E597" s="82" t="s">
        <v>83</v>
      </c>
      <c r="F597" s="82" t="s">
        <v>83</v>
      </c>
      <c r="G597" s="83" t="s">
        <v>83</v>
      </c>
      <c r="H597" s="29" t="s">
        <v>67</v>
      </c>
      <c r="I597" s="84">
        <v>20</v>
      </c>
      <c r="J597" s="85">
        <v>20</v>
      </c>
      <c r="K597" s="86">
        <v>20</v>
      </c>
      <c r="L597" s="87">
        <v>20</v>
      </c>
      <c r="M597" s="88"/>
      <c r="N597" s="89">
        <v>20</v>
      </c>
      <c r="O597" s="90"/>
      <c r="P597" s="93"/>
      <c r="Q597" s="93"/>
      <c r="S597" s="12">
        <v>20</v>
      </c>
      <c r="T597" s="26">
        <v>1250</v>
      </c>
      <c r="U597" s="12">
        <f t="shared" si="16"/>
        <v>25000</v>
      </c>
    </row>
    <row r="598" spans="1:22" ht="32.1" customHeight="1">
      <c r="A598" s="17">
        <v>5</v>
      </c>
      <c r="B598" s="81" t="s">
        <v>84</v>
      </c>
      <c r="C598" s="82" t="s">
        <v>84</v>
      </c>
      <c r="D598" s="82" t="s">
        <v>84</v>
      </c>
      <c r="E598" s="82" t="s">
        <v>84</v>
      </c>
      <c r="F598" s="82" t="s">
        <v>84</v>
      </c>
      <c r="G598" s="83" t="s">
        <v>84</v>
      </c>
      <c r="H598" s="29" t="s">
        <v>97</v>
      </c>
      <c r="I598" s="84">
        <v>28</v>
      </c>
      <c r="J598" s="85">
        <v>28</v>
      </c>
      <c r="K598" s="86">
        <v>28</v>
      </c>
      <c r="L598" s="87"/>
      <c r="M598" s="88"/>
      <c r="N598" s="89">
        <v>28</v>
      </c>
      <c r="O598" s="90"/>
      <c r="P598" s="93"/>
      <c r="Q598" s="93"/>
      <c r="S598" s="12">
        <v>28</v>
      </c>
      <c r="T598" s="26">
        <v>1800</v>
      </c>
      <c r="U598" s="12">
        <f t="shared" si="16"/>
        <v>50400</v>
      </c>
    </row>
    <row r="599" spans="1:22">
      <c r="A599" s="17">
        <v>6</v>
      </c>
      <c r="B599" s="81" t="s">
        <v>85</v>
      </c>
      <c r="C599" s="82" t="s">
        <v>85</v>
      </c>
      <c r="D599" s="82" t="s">
        <v>85</v>
      </c>
      <c r="E599" s="82" t="s">
        <v>85</v>
      </c>
      <c r="F599" s="82" t="s">
        <v>85</v>
      </c>
      <c r="G599" s="83" t="s">
        <v>85</v>
      </c>
      <c r="H599" s="29" t="s">
        <v>97</v>
      </c>
      <c r="I599" s="84">
        <v>14</v>
      </c>
      <c r="J599" s="85">
        <v>14</v>
      </c>
      <c r="K599" s="86">
        <v>14</v>
      </c>
      <c r="L599" s="87"/>
      <c r="M599" s="88"/>
      <c r="N599" s="89">
        <v>14</v>
      </c>
      <c r="O599" s="90"/>
      <c r="P599" s="79"/>
      <c r="Q599" s="80"/>
      <c r="S599" s="12">
        <v>14</v>
      </c>
      <c r="T599" s="26">
        <v>4000</v>
      </c>
      <c r="U599" s="12">
        <f t="shared" si="16"/>
        <v>56000</v>
      </c>
    </row>
    <row r="600" spans="1:22">
      <c r="A600" s="17">
        <v>7</v>
      </c>
      <c r="B600" s="81" t="s">
        <v>86</v>
      </c>
      <c r="C600" s="82" t="s">
        <v>86</v>
      </c>
      <c r="D600" s="82" t="s">
        <v>86</v>
      </c>
      <c r="E600" s="82" t="s">
        <v>86</v>
      </c>
      <c r="F600" s="82" t="s">
        <v>86</v>
      </c>
      <c r="G600" s="83" t="s">
        <v>86</v>
      </c>
      <c r="H600" s="29" t="s">
        <v>97</v>
      </c>
      <c r="I600" s="84">
        <v>30</v>
      </c>
      <c r="J600" s="85">
        <v>30</v>
      </c>
      <c r="K600" s="86">
        <v>30</v>
      </c>
      <c r="L600" s="87"/>
      <c r="M600" s="88"/>
      <c r="N600" s="89">
        <v>30</v>
      </c>
      <c r="O600" s="90"/>
      <c r="P600" s="93"/>
      <c r="Q600" s="93"/>
      <c r="S600" s="12">
        <v>30</v>
      </c>
      <c r="T600" s="26">
        <v>4000</v>
      </c>
      <c r="U600" s="12">
        <f t="shared" si="16"/>
        <v>120000</v>
      </c>
    </row>
    <row r="601" spans="1:22">
      <c r="A601" s="17">
        <v>8</v>
      </c>
      <c r="B601" s="81" t="s">
        <v>87</v>
      </c>
      <c r="C601" s="82" t="s">
        <v>87</v>
      </c>
      <c r="D601" s="82" t="s">
        <v>87</v>
      </c>
      <c r="E601" s="82" t="s">
        <v>87</v>
      </c>
      <c r="F601" s="82" t="s">
        <v>87</v>
      </c>
      <c r="G601" s="83" t="s">
        <v>87</v>
      </c>
      <c r="H601" s="30" t="s">
        <v>25</v>
      </c>
      <c r="I601" s="84">
        <v>1</v>
      </c>
      <c r="J601" s="85">
        <v>1</v>
      </c>
      <c r="K601" s="86">
        <v>1</v>
      </c>
      <c r="L601" s="94"/>
      <c r="M601" s="95"/>
      <c r="N601" s="94">
        <v>1</v>
      </c>
      <c r="O601" s="95"/>
      <c r="P601" s="93"/>
      <c r="Q601" s="93"/>
      <c r="S601" s="16">
        <v>1</v>
      </c>
      <c r="T601" s="26">
        <v>31000</v>
      </c>
      <c r="U601" s="12">
        <f t="shared" si="16"/>
        <v>31000</v>
      </c>
    </row>
    <row r="602" spans="1:22">
      <c r="A602" s="17">
        <v>9</v>
      </c>
      <c r="B602" s="81" t="s">
        <v>88</v>
      </c>
      <c r="C602" s="82" t="s">
        <v>88</v>
      </c>
      <c r="D602" s="82" t="s">
        <v>88</v>
      </c>
      <c r="E602" s="82" t="s">
        <v>88</v>
      </c>
      <c r="F602" s="82" t="s">
        <v>88</v>
      </c>
      <c r="G602" s="83" t="s">
        <v>88</v>
      </c>
      <c r="H602" s="30" t="s">
        <v>25</v>
      </c>
      <c r="I602" s="84">
        <v>1</v>
      </c>
      <c r="J602" s="85">
        <v>1</v>
      </c>
      <c r="K602" s="86">
        <v>1</v>
      </c>
      <c r="L602" s="87"/>
      <c r="M602" s="88"/>
      <c r="N602" s="89"/>
      <c r="O602" s="90"/>
      <c r="P602" s="93"/>
      <c r="Q602" s="93"/>
      <c r="S602" s="12"/>
      <c r="T602" s="26">
        <v>30121</v>
      </c>
      <c r="U602" s="12">
        <f t="shared" si="16"/>
        <v>0</v>
      </c>
    </row>
    <row r="603" spans="1:22">
      <c r="A603" s="17">
        <v>10</v>
      </c>
      <c r="B603" s="81" t="s">
        <v>89</v>
      </c>
      <c r="C603" s="82"/>
      <c r="D603" s="82"/>
      <c r="E603" s="82"/>
      <c r="F603" s="82"/>
      <c r="G603" s="83"/>
      <c r="H603" s="30" t="s">
        <v>98</v>
      </c>
      <c r="I603" s="84">
        <v>3</v>
      </c>
      <c r="J603" s="85"/>
      <c r="K603" s="86"/>
      <c r="L603" s="87">
        <v>3</v>
      </c>
      <c r="M603" s="88"/>
      <c r="N603" s="89">
        <v>3</v>
      </c>
      <c r="O603" s="90"/>
      <c r="P603" s="91"/>
      <c r="Q603" s="92"/>
      <c r="S603" s="12">
        <v>3</v>
      </c>
      <c r="T603" s="26">
        <v>14500</v>
      </c>
      <c r="U603" s="12">
        <f t="shared" si="16"/>
        <v>43500</v>
      </c>
    </row>
    <row r="604" spans="1:22">
      <c r="A604" s="17">
        <v>11</v>
      </c>
      <c r="B604" s="81" t="s">
        <v>90</v>
      </c>
      <c r="C604" s="82"/>
      <c r="D604" s="82"/>
      <c r="E604" s="82"/>
      <c r="F604" s="82"/>
      <c r="G604" s="83"/>
      <c r="H604" s="29" t="s">
        <v>67</v>
      </c>
      <c r="I604" s="84">
        <v>6</v>
      </c>
      <c r="J604" s="85"/>
      <c r="K604" s="86"/>
      <c r="L604" s="87"/>
      <c r="M604" s="88"/>
      <c r="N604" s="89">
        <v>6</v>
      </c>
      <c r="O604" s="90"/>
      <c r="P604" s="91"/>
      <c r="Q604" s="92"/>
      <c r="S604" s="12">
        <v>6</v>
      </c>
      <c r="T604" s="26">
        <v>3500</v>
      </c>
      <c r="U604" s="12">
        <f t="shared" si="16"/>
        <v>21000</v>
      </c>
    </row>
    <row r="605" spans="1:22">
      <c r="A605" s="17">
        <v>12</v>
      </c>
      <c r="B605" s="81" t="s">
        <v>91</v>
      </c>
      <c r="C605" s="82" t="s">
        <v>89</v>
      </c>
      <c r="D605" s="82" t="s">
        <v>89</v>
      </c>
      <c r="E605" s="82" t="s">
        <v>89</v>
      </c>
      <c r="F605" s="82" t="s">
        <v>89</v>
      </c>
      <c r="G605" s="83" t="s">
        <v>89</v>
      </c>
      <c r="H605" s="29" t="s">
        <v>67</v>
      </c>
      <c r="I605" s="84">
        <v>10</v>
      </c>
      <c r="J605" s="85">
        <v>10</v>
      </c>
      <c r="K605" s="86">
        <v>10</v>
      </c>
      <c r="L605" s="87"/>
      <c r="M605" s="88"/>
      <c r="N605" s="89"/>
      <c r="O605" s="90"/>
      <c r="P605" s="93"/>
      <c r="Q605" s="93"/>
      <c r="S605" s="12"/>
      <c r="T605" s="26">
        <v>3000</v>
      </c>
      <c r="U605" s="12">
        <f t="shared" si="16"/>
        <v>0</v>
      </c>
      <c r="V605" s="22">
        <f>SUM(U594:U605)</f>
        <v>530500</v>
      </c>
    </row>
    <row r="606" spans="1:22">
      <c r="A606" s="17" t="s">
        <v>76</v>
      </c>
      <c r="B606" s="71" t="s">
        <v>92</v>
      </c>
      <c r="C606" s="72"/>
      <c r="D606" s="72"/>
      <c r="E606" s="72"/>
      <c r="F606" s="72"/>
      <c r="G606" s="73"/>
      <c r="H606" s="30" t="s">
        <v>24</v>
      </c>
      <c r="I606" s="84">
        <v>1</v>
      </c>
      <c r="J606" s="85">
        <v>10</v>
      </c>
      <c r="K606" s="86">
        <v>10</v>
      </c>
      <c r="L606" s="77"/>
      <c r="M606" s="78"/>
      <c r="N606" s="77">
        <v>1</v>
      </c>
      <c r="O606" s="78"/>
      <c r="P606" s="79"/>
      <c r="Q606" s="80"/>
      <c r="S606" s="12">
        <v>1</v>
      </c>
      <c r="T606" s="25">
        <v>10391</v>
      </c>
      <c r="U606" s="12">
        <f>S606*T606</f>
        <v>10391</v>
      </c>
      <c r="V606" s="27"/>
    </row>
    <row r="607" spans="1:22">
      <c r="A607" s="23" t="s">
        <v>68</v>
      </c>
      <c r="B607" s="71" t="s">
        <v>93</v>
      </c>
      <c r="C607" s="72"/>
      <c r="D607" s="72"/>
      <c r="E607" s="72"/>
      <c r="F607" s="72"/>
      <c r="G607" s="73"/>
      <c r="H607" s="30" t="s">
        <v>24</v>
      </c>
      <c r="I607" s="74">
        <v>1</v>
      </c>
      <c r="J607" s="75"/>
      <c r="K607" s="76"/>
      <c r="L607" s="77">
        <f>N607-N534</f>
        <v>6.5922432874603032E-2</v>
      </c>
      <c r="M607" s="78"/>
      <c r="N607" s="77">
        <f>S607</f>
        <v>0.51053796554710806</v>
      </c>
      <c r="O607" s="78"/>
      <c r="P607" s="77"/>
      <c r="Q607" s="78"/>
      <c r="S607" s="21">
        <f>V605*0.01/T607</f>
        <v>0.51053796554710806</v>
      </c>
      <c r="T607" s="25">
        <v>10391</v>
      </c>
      <c r="U607" s="12">
        <f t="shared" ref="U607:U608" si="17">S607*T607</f>
        <v>5305</v>
      </c>
    </row>
    <row r="608" spans="1:22">
      <c r="A608" s="23" t="s">
        <v>69</v>
      </c>
      <c r="B608" s="58" t="s">
        <v>94</v>
      </c>
      <c r="C608" s="59" t="s">
        <v>70</v>
      </c>
      <c r="D608" s="59" t="s">
        <v>70</v>
      </c>
      <c r="E608" s="59" t="s">
        <v>70</v>
      </c>
      <c r="F608" s="59" t="s">
        <v>70</v>
      </c>
      <c r="G608" s="60" t="s">
        <v>70</v>
      </c>
      <c r="H608" s="30" t="s">
        <v>24</v>
      </c>
      <c r="I608" s="74">
        <v>1</v>
      </c>
      <c r="J608" s="75"/>
      <c r="K608" s="76"/>
      <c r="L608" s="77">
        <f>N608-N535</f>
        <v>6.5920620299976529E-2</v>
      </c>
      <c r="M608" s="78"/>
      <c r="N608" s="77">
        <f>S608</f>
        <v>0.51052392801660729</v>
      </c>
      <c r="O608" s="78"/>
      <c r="P608" s="77"/>
      <c r="Q608" s="78"/>
      <c r="S608" s="21">
        <f>V605*0.07/T608</f>
        <v>0.51052392801660729</v>
      </c>
      <c r="T608" s="25">
        <v>72739</v>
      </c>
      <c r="U608" s="12">
        <f t="shared" si="17"/>
        <v>37135</v>
      </c>
    </row>
    <row r="609" spans="1:21">
      <c r="A609" s="23" t="s">
        <v>71</v>
      </c>
      <c r="B609" s="58" t="s">
        <v>95</v>
      </c>
      <c r="C609" s="59" t="s">
        <v>72</v>
      </c>
      <c r="D609" s="59" t="s">
        <v>72</v>
      </c>
      <c r="E609" s="59" t="s">
        <v>72</v>
      </c>
      <c r="F609" s="59" t="s">
        <v>72</v>
      </c>
      <c r="G609" s="60" t="s">
        <v>72</v>
      </c>
      <c r="H609" s="30" t="s">
        <v>24</v>
      </c>
      <c r="I609" s="74">
        <v>1</v>
      </c>
      <c r="J609" s="75"/>
      <c r="K609" s="76"/>
      <c r="L609" s="77"/>
      <c r="M609" s="78"/>
      <c r="N609" s="77">
        <f>S609</f>
        <v>1</v>
      </c>
      <c r="O609" s="78"/>
      <c r="P609" s="77"/>
      <c r="Q609" s="78"/>
      <c r="S609" s="21">
        <v>1</v>
      </c>
      <c r="T609" s="25">
        <v>4156</v>
      </c>
      <c r="U609" s="12">
        <f>S609*T609</f>
        <v>4156</v>
      </c>
    </row>
    <row r="610" spans="1:21">
      <c r="A610" s="23" t="s">
        <v>73</v>
      </c>
      <c r="B610" s="58" t="s">
        <v>96</v>
      </c>
      <c r="C610" s="59" t="s">
        <v>74</v>
      </c>
      <c r="D610" s="59" t="s">
        <v>74</v>
      </c>
      <c r="E610" s="59" t="s">
        <v>74</v>
      </c>
      <c r="F610" s="59" t="s">
        <v>74</v>
      </c>
      <c r="G610" s="60" t="s">
        <v>74</v>
      </c>
      <c r="H610" s="30" t="s">
        <v>24</v>
      </c>
      <c r="I610" s="74">
        <v>1</v>
      </c>
      <c r="J610" s="75"/>
      <c r="K610" s="76"/>
      <c r="L610" s="77">
        <f>N610-N537</f>
        <v>6.5077410274454628E-2</v>
      </c>
      <c r="M610" s="78"/>
      <c r="N610" s="77">
        <f>S610-0.001</f>
        <v>0.51579011259676288</v>
      </c>
      <c r="O610" s="78"/>
      <c r="P610" s="79"/>
      <c r="Q610" s="80"/>
      <c r="S610" s="21">
        <f>(V605+U606+U607+U608+U609)*0.05/T610</f>
        <v>0.51679011259676289</v>
      </c>
      <c r="T610" s="25">
        <v>56840</v>
      </c>
      <c r="U610" s="12">
        <f>S610*T610</f>
        <v>29374.350000000002</v>
      </c>
    </row>
    <row r="611" spans="1:21">
      <c r="A611" s="23"/>
      <c r="B611" s="58"/>
      <c r="C611" s="59"/>
      <c r="D611" s="59"/>
      <c r="E611" s="59"/>
      <c r="F611" s="59"/>
      <c r="G611" s="60"/>
      <c r="H611" s="24"/>
      <c r="I611" s="58"/>
      <c r="J611" s="59"/>
      <c r="K611" s="59"/>
      <c r="L611" s="58"/>
      <c r="M611" s="59"/>
      <c r="N611" s="58"/>
      <c r="O611" s="59"/>
      <c r="P611" s="58"/>
      <c r="Q611" s="60"/>
      <c r="S611" s="21"/>
      <c r="T611" s="25"/>
      <c r="U611" s="28">
        <f>V605+U606+U607+U608+U609+U610</f>
        <v>616861.35</v>
      </c>
    </row>
    <row r="612" spans="1:21">
      <c r="A612" s="23"/>
      <c r="B612" s="58"/>
      <c r="C612" s="59"/>
      <c r="D612" s="59"/>
      <c r="E612" s="59"/>
      <c r="F612" s="59"/>
      <c r="G612" s="60"/>
      <c r="H612" s="23"/>
      <c r="I612" s="58"/>
      <c r="J612" s="59"/>
      <c r="K612" s="59"/>
      <c r="L612" s="58"/>
      <c r="M612" s="59"/>
      <c r="N612" s="58"/>
      <c r="O612" s="59"/>
      <c r="P612" s="58"/>
      <c r="Q612" s="60"/>
      <c r="S612" s="21"/>
      <c r="T612" s="16"/>
      <c r="U612" s="14">
        <v>1193638</v>
      </c>
    </row>
    <row r="613" spans="1:21">
      <c r="A613" s="9"/>
      <c r="B613" s="58"/>
      <c r="C613" s="59"/>
      <c r="D613" s="59"/>
      <c r="E613" s="59"/>
      <c r="F613" s="59"/>
      <c r="G613" s="60"/>
      <c r="H613" s="9"/>
      <c r="I613" s="58"/>
      <c r="J613" s="59"/>
      <c r="K613" s="59"/>
      <c r="L613" s="58"/>
      <c r="M613" s="59"/>
      <c r="N613" s="58"/>
      <c r="O613" s="59"/>
      <c r="P613" s="58"/>
      <c r="Q613" s="60"/>
      <c r="S613" s="21"/>
      <c r="T613" s="16"/>
      <c r="U613" s="15">
        <f>U611/U612</f>
        <v>0.51679097850437061</v>
      </c>
    </row>
    <row r="614" spans="1:21">
      <c r="A614" s="9"/>
      <c r="B614" s="58"/>
      <c r="C614" s="59"/>
      <c r="D614" s="59"/>
      <c r="E614" s="59"/>
      <c r="F614" s="59"/>
      <c r="G614" s="60"/>
      <c r="H614" s="9"/>
      <c r="I614" s="58"/>
      <c r="J614" s="59"/>
      <c r="K614" s="59"/>
      <c r="L614" s="58"/>
      <c r="M614" s="59"/>
      <c r="N614" s="58"/>
      <c r="O614" s="59"/>
      <c r="P614" s="58"/>
      <c r="Q614" s="60"/>
      <c r="S614" s="21"/>
      <c r="T614" s="16"/>
      <c r="U614" s="12"/>
    </row>
    <row r="615" spans="1:21">
      <c r="A615" s="9"/>
      <c r="B615" s="58"/>
      <c r="C615" s="59"/>
      <c r="D615" s="59"/>
      <c r="E615" s="59"/>
      <c r="F615" s="59"/>
      <c r="G615" s="60"/>
      <c r="H615" s="9"/>
      <c r="I615" s="58"/>
      <c r="J615" s="59"/>
      <c r="K615" s="59"/>
      <c r="L615" s="58"/>
      <c r="M615" s="59"/>
      <c r="N615" s="58"/>
      <c r="O615" s="59"/>
      <c r="P615" s="58"/>
      <c r="Q615" s="60"/>
      <c r="S615" s="21"/>
      <c r="T615" s="16"/>
      <c r="U615" s="12"/>
    </row>
    <row r="616" spans="1:21">
      <c r="A616" s="9"/>
      <c r="B616" s="58"/>
      <c r="C616" s="59"/>
      <c r="D616" s="59"/>
      <c r="E616" s="59"/>
      <c r="F616" s="59"/>
      <c r="G616" s="60"/>
      <c r="H616" s="9"/>
      <c r="I616" s="58"/>
      <c r="J616" s="59"/>
      <c r="K616" s="59"/>
      <c r="L616" s="58"/>
      <c r="M616" s="59"/>
      <c r="N616" s="58"/>
      <c r="O616" s="59"/>
      <c r="P616" s="58"/>
      <c r="Q616" s="60"/>
      <c r="S616" s="21"/>
      <c r="T616" s="16"/>
      <c r="U616" s="12"/>
    </row>
    <row r="617" spans="1:21">
      <c r="A617" s="9"/>
      <c r="B617" s="58"/>
      <c r="C617" s="59"/>
      <c r="D617" s="59"/>
      <c r="E617" s="59"/>
      <c r="F617" s="59"/>
      <c r="G617" s="60"/>
      <c r="H617" s="9"/>
      <c r="I617" s="58"/>
      <c r="J617" s="59"/>
      <c r="K617" s="59"/>
      <c r="L617" s="58"/>
      <c r="M617" s="59"/>
      <c r="N617" s="58"/>
      <c r="O617" s="59"/>
      <c r="P617" s="58"/>
      <c r="Q617" s="60"/>
      <c r="S617" s="21"/>
      <c r="T617" s="16"/>
      <c r="U617" s="12"/>
    </row>
    <row r="618" spans="1:21">
      <c r="A618" s="7"/>
      <c r="B618" s="61"/>
      <c r="C618" s="62"/>
      <c r="D618" s="62"/>
      <c r="E618" s="62"/>
      <c r="F618" s="62"/>
      <c r="G618" s="63"/>
      <c r="H618" s="9"/>
      <c r="I618" s="64"/>
      <c r="J618" s="65"/>
      <c r="K618" s="66"/>
      <c r="L618" s="67"/>
      <c r="M618" s="68"/>
      <c r="N618" s="67"/>
      <c r="O618" s="68"/>
      <c r="P618" s="69"/>
      <c r="Q618" s="70"/>
      <c r="S618" s="21"/>
      <c r="T618" s="16"/>
    </row>
    <row r="619" spans="1:21">
      <c r="A619" s="44" t="s">
        <v>29</v>
      </c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T619" s="20"/>
    </row>
    <row r="620" spans="1:21">
      <c r="A620" s="44" t="s">
        <v>30</v>
      </c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T620" s="20"/>
    </row>
    <row r="621" spans="1:21">
      <c r="A621" s="44" t="s">
        <v>31</v>
      </c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T621" s="20"/>
    </row>
    <row r="622" spans="1:21">
      <c r="A622" s="44" t="s">
        <v>32</v>
      </c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T622" s="20"/>
    </row>
    <row r="623" spans="1:21">
      <c r="A623" s="54" t="s">
        <v>33</v>
      </c>
      <c r="B623" s="54"/>
      <c r="C623" s="54"/>
      <c r="D623" s="54"/>
      <c r="E623" s="54"/>
      <c r="F623" s="54"/>
      <c r="G623" s="54"/>
      <c r="H623" s="54" t="s">
        <v>20</v>
      </c>
      <c r="I623" s="54"/>
      <c r="J623" s="54"/>
      <c r="K623" s="54" t="s">
        <v>34</v>
      </c>
      <c r="L623" s="54"/>
      <c r="M623" s="54" t="s">
        <v>35</v>
      </c>
      <c r="N623" s="54"/>
      <c r="O623" s="54" t="s">
        <v>36</v>
      </c>
      <c r="P623" s="54"/>
      <c r="Q623" s="54"/>
      <c r="T623" s="20"/>
    </row>
    <row r="624" spans="1:21">
      <c r="A624" s="55"/>
      <c r="B624" s="56"/>
      <c r="C624" s="56"/>
      <c r="D624" s="56"/>
      <c r="E624" s="56"/>
      <c r="F624" s="56"/>
      <c r="G624" s="57"/>
      <c r="H624" s="55"/>
      <c r="I624" s="56"/>
      <c r="J624" s="57"/>
      <c r="K624" s="55"/>
      <c r="L624" s="56"/>
      <c r="M624" s="55"/>
      <c r="N624" s="56"/>
      <c r="O624" s="55"/>
      <c r="P624" s="56"/>
      <c r="Q624" s="57"/>
      <c r="T624" s="20"/>
    </row>
    <row r="625" spans="1:20">
      <c r="A625" s="55"/>
      <c r="B625" s="56"/>
      <c r="C625" s="56"/>
      <c r="D625" s="56"/>
      <c r="E625" s="56"/>
      <c r="F625" s="56"/>
      <c r="G625" s="57"/>
      <c r="H625" s="55"/>
      <c r="I625" s="56"/>
      <c r="J625" s="57"/>
      <c r="K625" s="55"/>
      <c r="L625" s="56"/>
      <c r="M625" s="55"/>
      <c r="N625" s="56"/>
      <c r="O625" s="55"/>
      <c r="P625" s="56"/>
      <c r="Q625" s="57"/>
      <c r="T625" s="20"/>
    </row>
    <row r="626" spans="1:20">
      <c r="A626" s="53"/>
      <c r="B626" s="53"/>
      <c r="C626" s="53"/>
      <c r="D626" s="53"/>
      <c r="E626" s="53"/>
      <c r="F626" s="53"/>
      <c r="G626" s="53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T626" s="20"/>
    </row>
    <row r="627" spans="1:20">
      <c r="A627" s="53"/>
      <c r="B627" s="53"/>
      <c r="C627" s="53"/>
      <c r="D627" s="53"/>
      <c r="E627" s="53"/>
      <c r="F627" s="53"/>
      <c r="G627" s="53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T627" s="20"/>
    </row>
    <row r="628" spans="1:20">
      <c r="A628" s="44" t="s">
        <v>37</v>
      </c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T628" s="20"/>
    </row>
    <row r="629" spans="1:20">
      <c r="A629" s="46" t="s">
        <v>38</v>
      </c>
      <c r="B629" s="46"/>
      <c r="C629" s="47" t="s">
        <v>39</v>
      </c>
      <c r="D629" s="48"/>
      <c r="E629" s="48"/>
      <c r="F629" s="47" t="s">
        <v>40</v>
      </c>
      <c r="G629" s="48"/>
      <c r="H629" s="49"/>
      <c r="I629" s="46" t="s">
        <v>41</v>
      </c>
      <c r="J629" s="46"/>
      <c r="K629" s="46"/>
      <c r="L629" s="46" t="s">
        <v>35</v>
      </c>
      <c r="M629" s="46"/>
      <c r="N629" s="46"/>
      <c r="O629" s="46" t="s">
        <v>36</v>
      </c>
      <c r="P629" s="46"/>
      <c r="Q629" s="46"/>
      <c r="T629" s="20"/>
    </row>
    <row r="630" spans="1:20">
      <c r="A630" s="47" t="s">
        <v>42</v>
      </c>
      <c r="B630" s="49"/>
      <c r="C630" s="47">
        <v>2</v>
      </c>
      <c r="D630" s="48"/>
      <c r="E630" s="49"/>
      <c r="F630" s="47">
        <f>F557+C630</f>
        <v>21</v>
      </c>
      <c r="G630" s="48"/>
      <c r="H630" s="49"/>
      <c r="I630" s="47"/>
      <c r="J630" s="48"/>
      <c r="K630" s="49"/>
      <c r="L630" s="47"/>
      <c r="M630" s="48"/>
      <c r="N630" s="49"/>
      <c r="O630" s="47"/>
      <c r="P630" s="48"/>
      <c r="Q630" s="49"/>
      <c r="T630" s="20"/>
    </row>
    <row r="631" spans="1:20">
      <c r="A631" s="47" t="s">
        <v>100</v>
      </c>
      <c r="B631" s="49"/>
      <c r="C631" s="47"/>
      <c r="D631" s="48"/>
      <c r="E631" s="49"/>
      <c r="F631" s="47">
        <f>F558+C631</f>
        <v>2</v>
      </c>
      <c r="G631" s="48"/>
      <c r="H631" s="49"/>
      <c r="I631" s="47"/>
      <c r="J631" s="48"/>
      <c r="K631" s="49"/>
      <c r="L631" s="47"/>
      <c r="M631" s="48"/>
      <c r="N631" s="49"/>
      <c r="O631" s="47"/>
      <c r="P631" s="48"/>
      <c r="Q631" s="49"/>
      <c r="T631" s="20"/>
    </row>
    <row r="632" spans="1:20">
      <c r="A632" s="47"/>
      <c r="B632" s="49"/>
      <c r="C632" s="47"/>
      <c r="D632" s="48"/>
      <c r="E632" s="49"/>
      <c r="F632" s="47"/>
      <c r="G632" s="48"/>
      <c r="H632" s="49"/>
      <c r="I632" s="47"/>
      <c r="J632" s="48"/>
      <c r="K632" s="49"/>
      <c r="L632" s="47"/>
      <c r="M632" s="48"/>
      <c r="N632" s="49"/>
      <c r="O632" s="47"/>
      <c r="P632" s="48"/>
      <c r="Q632" s="49"/>
      <c r="T632" s="20"/>
    </row>
    <row r="633" spans="1:20">
      <c r="A633" s="46"/>
      <c r="B633" s="46"/>
      <c r="C633" s="47"/>
      <c r="D633" s="48"/>
      <c r="E633" s="49"/>
      <c r="F633" s="47"/>
      <c r="G633" s="48"/>
      <c r="H633" s="49"/>
      <c r="I633" s="47"/>
      <c r="J633" s="48"/>
      <c r="K633" s="49"/>
      <c r="L633" s="47"/>
      <c r="M633" s="48"/>
      <c r="N633" s="49"/>
      <c r="O633" s="47"/>
      <c r="P633" s="48"/>
      <c r="Q633" s="49"/>
      <c r="T633" s="20"/>
    </row>
    <row r="634" spans="1:20">
      <c r="A634" s="46"/>
      <c r="B634" s="46"/>
      <c r="C634" s="47"/>
      <c r="D634" s="48"/>
      <c r="E634" s="49"/>
      <c r="F634" s="47"/>
      <c r="G634" s="48"/>
      <c r="H634" s="49"/>
      <c r="I634" s="47"/>
      <c r="J634" s="48"/>
      <c r="K634" s="49"/>
      <c r="L634" s="47"/>
      <c r="M634" s="48"/>
      <c r="N634" s="49"/>
      <c r="O634" s="47"/>
      <c r="P634" s="48"/>
      <c r="Q634" s="49"/>
      <c r="T634" s="20"/>
    </row>
    <row r="635" spans="1:20">
      <c r="A635" s="50" t="s">
        <v>43</v>
      </c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2"/>
      <c r="T635" s="20"/>
    </row>
    <row r="636" spans="1:20">
      <c r="A636" s="38" t="s">
        <v>44</v>
      </c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40"/>
      <c r="T636" s="20"/>
    </row>
    <row r="637" spans="1:20">
      <c r="A637" s="41" t="s">
        <v>45</v>
      </c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3"/>
      <c r="T637" s="20"/>
    </row>
    <row r="638" spans="1:20">
      <c r="A638" s="50" t="s">
        <v>46</v>
      </c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2"/>
      <c r="T638" s="20"/>
    </row>
    <row r="639" spans="1:20">
      <c r="A639" s="38" t="s">
        <v>47</v>
      </c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40"/>
      <c r="T639" s="20"/>
    </row>
    <row r="640" spans="1:20">
      <c r="A640" s="38" t="s">
        <v>48</v>
      </c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40"/>
      <c r="T640" s="20"/>
    </row>
    <row r="641" spans="1:20">
      <c r="A641" s="38" t="s">
        <v>49</v>
      </c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40"/>
      <c r="T641" s="20"/>
    </row>
    <row r="642" spans="1:20">
      <c r="A642" s="38" t="s">
        <v>50</v>
      </c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40"/>
      <c r="T642" s="20"/>
    </row>
    <row r="643" spans="1:20">
      <c r="A643" s="38" t="s">
        <v>51</v>
      </c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40"/>
      <c r="T643" s="20"/>
    </row>
    <row r="644" spans="1:20">
      <c r="A644" s="41" t="s">
        <v>52</v>
      </c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3"/>
      <c r="T644" s="20"/>
    </row>
    <row r="645" spans="1:20">
      <c r="A645" s="44" t="s">
        <v>53</v>
      </c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T645" s="20"/>
    </row>
    <row r="646" spans="1:20">
      <c r="A646" s="44" t="s">
        <v>54</v>
      </c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T646" s="20"/>
    </row>
    <row r="647" spans="1:20">
      <c r="A647" s="44" t="s">
        <v>99</v>
      </c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T647" s="20"/>
    </row>
    <row r="648" spans="1:20">
      <c r="A648" s="44" t="s">
        <v>55</v>
      </c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T648" s="20"/>
    </row>
    <row r="649" spans="1:20">
      <c r="A649" s="45" t="s">
        <v>56</v>
      </c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T649" s="20"/>
    </row>
    <row r="650" spans="1:20">
      <c r="A650" s="37" t="s">
        <v>57</v>
      </c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T650" s="20"/>
    </row>
    <row r="651" spans="1:20">
      <c r="A651" s="37" t="s">
        <v>58</v>
      </c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T651" s="20"/>
    </row>
    <row r="652" spans="1:20">
      <c r="A652" s="37" t="s">
        <v>59</v>
      </c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T652" s="20"/>
    </row>
    <row r="653" spans="1:20">
      <c r="A653" s="37" t="s">
        <v>60</v>
      </c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T653" s="20"/>
    </row>
    <row r="654" spans="1:20">
      <c r="A654" s="37" t="s">
        <v>61</v>
      </c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T654" s="20"/>
    </row>
    <row r="655" spans="1:20">
      <c r="A655" s="37" t="s">
        <v>62</v>
      </c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T655" s="20"/>
    </row>
    <row r="656" spans="1:20">
      <c r="A656" s="37" t="s">
        <v>63</v>
      </c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T656" s="20"/>
    </row>
    <row r="657" spans="1:21">
      <c r="A657" s="37" t="s">
        <v>75</v>
      </c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T657" s="20"/>
    </row>
    <row r="658" spans="1:21" ht="39" customHeight="1">
      <c r="B658" s="120" t="s">
        <v>0</v>
      </c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T658" s="20"/>
    </row>
    <row r="659" spans="1:21">
      <c r="B659" s="6" t="s">
        <v>1</v>
      </c>
      <c r="C659" s="121" t="s">
        <v>2</v>
      </c>
      <c r="D659" s="121"/>
      <c r="E659" s="1" t="s">
        <v>3</v>
      </c>
      <c r="F659" s="121" t="s">
        <v>4</v>
      </c>
      <c r="G659" s="121"/>
      <c r="H659" s="1" t="s">
        <v>3</v>
      </c>
      <c r="I659" s="1"/>
      <c r="J659" s="121" t="s">
        <v>5</v>
      </c>
      <c r="K659" s="121"/>
      <c r="L659" s="121"/>
      <c r="M659" s="122">
        <f>M586+1</f>
        <v>46236</v>
      </c>
      <c r="N659" s="122"/>
      <c r="O659" s="122"/>
      <c r="P659" s="123"/>
      <c r="Q659" s="123"/>
      <c r="T659" s="20"/>
    </row>
    <row r="660" spans="1:21">
      <c r="A660" s="96" t="s">
        <v>6</v>
      </c>
      <c r="B660" s="96"/>
      <c r="C660" s="124" t="s">
        <v>79</v>
      </c>
      <c r="D660" s="125"/>
      <c r="E660" s="125"/>
      <c r="F660" s="125"/>
      <c r="G660" s="125"/>
      <c r="H660" s="125"/>
      <c r="I660" s="126"/>
      <c r="J660" s="127" t="s">
        <v>7</v>
      </c>
      <c r="K660" s="128"/>
      <c r="L660" s="128"/>
      <c r="M660" s="129"/>
      <c r="N660" s="130" t="s">
        <v>78</v>
      </c>
      <c r="O660" s="130"/>
      <c r="P660" s="130"/>
      <c r="Q660" s="131"/>
      <c r="T660" s="20"/>
    </row>
    <row r="661" spans="1:21">
      <c r="A661" s="96" t="s">
        <v>8</v>
      </c>
      <c r="B661" s="96"/>
      <c r="C661" s="4">
        <v>30</v>
      </c>
      <c r="D661" s="3" t="s">
        <v>9</v>
      </c>
      <c r="E661" s="127" t="s">
        <v>10</v>
      </c>
      <c r="F661" s="129"/>
      <c r="G661" s="127">
        <f>G588+1</f>
        <v>10</v>
      </c>
      <c r="H661" s="128"/>
      <c r="I661" s="3" t="s">
        <v>9</v>
      </c>
      <c r="J661" s="96" t="s">
        <v>11</v>
      </c>
      <c r="K661" s="96"/>
      <c r="L661" s="5">
        <f>C661-G661</f>
        <v>20</v>
      </c>
      <c r="M661" s="2" t="s">
        <v>9</v>
      </c>
      <c r="N661" s="96" t="s">
        <v>12</v>
      </c>
      <c r="O661" s="96"/>
      <c r="P661" s="2"/>
      <c r="Q661" s="3" t="s">
        <v>9</v>
      </c>
      <c r="T661" s="20"/>
    </row>
    <row r="662" spans="1:21">
      <c r="A662" s="96" t="s">
        <v>13</v>
      </c>
      <c r="B662" s="96"/>
      <c r="C662" s="132">
        <v>46227</v>
      </c>
      <c r="D662" s="132"/>
      <c r="E662" s="132"/>
      <c r="F662" s="132"/>
      <c r="G662" s="132"/>
      <c r="H662" s="132"/>
      <c r="I662" s="132"/>
      <c r="J662" s="127" t="s">
        <v>14</v>
      </c>
      <c r="K662" s="128"/>
      <c r="L662" s="128"/>
      <c r="M662" s="129"/>
      <c r="N662" s="133">
        <v>46256</v>
      </c>
      <c r="O662" s="134"/>
      <c r="P662" s="134"/>
      <c r="Q662" s="135"/>
      <c r="T662" s="20"/>
    </row>
    <row r="663" spans="1:21">
      <c r="A663" s="96" t="s">
        <v>15</v>
      </c>
      <c r="B663" s="96"/>
      <c r="C663" s="97"/>
      <c r="D663" s="98"/>
      <c r="E663" s="98"/>
      <c r="F663" s="98"/>
      <c r="G663" s="98"/>
      <c r="H663" s="99" t="s">
        <v>16</v>
      </c>
      <c r="I663" s="100"/>
      <c r="J663" s="101" t="s">
        <v>17</v>
      </c>
      <c r="K663" s="101"/>
      <c r="L663" s="101"/>
      <c r="M663" s="101"/>
      <c r="N663" s="102">
        <f>U686</f>
        <v>0.51679097850437061</v>
      </c>
      <c r="O663" s="102"/>
      <c r="P663" s="102"/>
      <c r="Q663" s="102"/>
      <c r="T663" s="20"/>
    </row>
    <row r="664" spans="1:21">
      <c r="A664" s="103" t="s">
        <v>18</v>
      </c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5"/>
      <c r="T664" s="20"/>
    </row>
    <row r="665" spans="1:21">
      <c r="A665" s="7"/>
      <c r="B665" s="106" t="s">
        <v>19</v>
      </c>
      <c r="C665" s="107"/>
      <c r="D665" s="107"/>
      <c r="E665" s="107"/>
      <c r="F665" s="107"/>
      <c r="G665" s="108"/>
      <c r="H665" s="8" t="s">
        <v>20</v>
      </c>
      <c r="I665" s="109" t="s">
        <v>21</v>
      </c>
      <c r="J665" s="110"/>
      <c r="K665" s="111"/>
      <c r="L665" s="109" t="s">
        <v>28</v>
      </c>
      <c r="M665" s="111"/>
      <c r="N665" s="106" t="s">
        <v>22</v>
      </c>
      <c r="O665" s="112"/>
      <c r="P665" s="113" t="s">
        <v>23</v>
      </c>
      <c r="Q665" s="113"/>
      <c r="S665" s="18" t="s">
        <v>22</v>
      </c>
      <c r="T665" s="19" t="s">
        <v>64</v>
      </c>
      <c r="U665" s="13" t="s">
        <v>27</v>
      </c>
    </row>
    <row r="666" spans="1:21">
      <c r="A666" s="17" t="s">
        <v>65</v>
      </c>
      <c r="B666" s="114" t="s">
        <v>66</v>
      </c>
      <c r="C666" s="115"/>
      <c r="D666" s="115"/>
      <c r="E666" s="115"/>
      <c r="F666" s="115"/>
      <c r="G666" s="116"/>
      <c r="H666" s="17"/>
      <c r="I666" s="117"/>
      <c r="J666" s="118"/>
      <c r="K666" s="119"/>
      <c r="L666" s="77"/>
      <c r="M666" s="78"/>
      <c r="N666" s="77"/>
      <c r="O666" s="78"/>
      <c r="P666" s="93"/>
      <c r="Q666" s="93"/>
      <c r="S666" s="16"/>
      <c r="T666" s="16"/>
      <c r="U666" s="16" t="s">
        <v>26</v>
      </c>
    </row>
    <row r="667" spans="1:21">
      <c r="A667" s="17">
        <v>1</v>
      </c>
      <c r="B667" s="81" t="s">
        <v>80</v>
      </c>
      <c r="C667" s="82"/>
      <c r="D667" s="82"/>
      <c r="E667" s="82"/>
      <c r="F667" s="82"/>
      <c r="G667" s="83"/>
      <c r="H667" s="29" t="s">
        <v>67</v>
      </c>
      <c r="I667" s="84">
        <v>18</v>
      </c>
      <c r="J667" s="85"/>
      <c r="K667" s="86"/>
      <c r="L667" s="87"/>
      <c r="M667" s="88"/>
      <c r="N667" s="89"/>
      <c r="O667" s="90"/>
      <c r="P667" s="93"/>
      <c r="Q667" s="93"/>
      <c r="S667" s="12"/>
      <c r="T667" s="26">
        <v>18000</v>
      </c>
      <c r="U667" s="12">
        <f>S667*T667</f>
        <v>0</v>
      </c>
    </row>
    <row r="668" spans="1:21" ht="32.1" customHeight="1">
      <c r="A668" s="17">
        <v>2</v>
      </c>
      <c r="B668" s="81" t="s">
        <v>81</v>
      </c>
      <c r="C668" s="82" t="s">
        <v>81</v>
      </c>
      <c r="D668" s="82" t="s">
        <v>81</v>
      </c>
      <c r="E668" s="82" t="s">
        <v>81</v>
      </c>
      <c r="F668" s="82" t="s">
        <v>81</v>
      </c>
      <c r="G668" s="83" t="s">
        <v>81</v>
      </c>
      <c r="H668" s="29" t="s">
        <v>97</v>
      </c>
      <c r="I668" s="84">
        <v>166</v>
      </c>
      <c r="J668" s="85"/>
      <c r="K668" s="86"/>
      <c r="L668" s="87"/>
      <c r="M668" s="88"/>
      <c r="N668" s="89"/>
      <c r="O668" s="90"/>
      <c r="P668" s="93"/>
      <c r="Q668" s="93"/>
      <c r="S668" s="12"/>
      <c r="T668" s="26">
        <v>750</v>
      </c>
      <c r="U668" s="12">
        <f t="shared" ref="U668:U678" si="18">S668*T668</f>
        <v>0</v>
      </c>
    </row>
    <row r="669" spans="1:21">
      <c r="A669" s="17">
        <v>3</v>
      </c>
      <c r="B669" s="81" t="s">
        <v>82</v>
      </c>
      <c r="C669" s="82" t="s">
        <v>82</v>
      </c>
      <c r="D669" s="82" t="s">
        <v>82</v>
      </c>
      <c r="E669" s="82" t="s">
        <v>82</v>
      </c>
      <c r="F669" s="82" t="s">
        <v>82</v>
      </c>
      <c r="G669" s="83" t="s">
        <v>82</v>
      </c>
      <c r="H669" s="29" t="s">
        <v>97</v>
      </c>
      <c r="I669" s="84">
        <v>540</v>
      </c>
      <c r="J669" s="85">
        <v>540</v>
      </c>
      <c r="K669" s="86">
        <v>540</v>
      </c>
      <c r="L669" s="87"/>
      <c r="M669" s="88"/>
      <c r="N669" s="89">
        <v>540</v>
      </c>
      <c r="O669" s="90"/>
      <c r="P669" s="93"/>
      <c r="Q669" s="93"/>
      <c r="S669" s="12">
        <v>540</v>
      </c>
      <c r="T669" s="26">
        <v>340</v>
      </c>
      <c r="U669" s="12">
        <f t="shared" si="18"/>
        <v>183600</v>
      </c>
    </row>
    <row r="670" spans="1:21">
      <c r="A670" s="17">
        <v>4</v>
      </c>
      <c r="B670" s="81" t="s">
        <v>83</v>
      </c>
      <c r="C670" s="82" t="s">
        <v>83</v>
      </c>
      <c r="D670" s="82" t="s">
        <v>83</v>
      </c>
      <c r="E670" s="82" t="s">
        <v>83</v>
      </c>
      <c r="F670" s="82" t="s">
        <v>83</v>
      </c>
      <c r="G670" s="83" t="s">
        <v>83</v>
      </c>
      <c r="H670" s="29" t="s">
        <v>67</v>
      </c>
      <c r="I670" s="84">
        <v>20</v>
      </c>
      <c r="J670" s="85">
        <v>20</v>
      </c>
      <c r="K670" s="86">
        <v>20</v>
      </c>
      <c r="L670" s="87"/>
      <c r="M670" s="88"/>
      <c r="N670" s="89">
        <v>20</v>
      </c>
      <c r="O670" s="90"/>
      <c r="P670" s="93"/>
      <c r="Q670" s="93"/>
      <c r="S670" s="12">
        <v>20</v>
      </c>
      <c r="T670" s="26">
        <v>1250</v>
      </c>
      <c r="U670" s="12">
        <f t="shared" si="18"/>
        <v>25000</v>
      </c>
    </row>
    <row r="671" spans="1:21" ht="32.1" customHeight="1">
      <c r="A671" s="17">
        <v>5</v>
      </c>
      <c r="B671" s="81" t="s">
        <v>84</v>
      </c>
      <c r="C671" s="82" t="s">
        <v>84</v>
      </c>
      <c r="D671" s="82" t="s">
        <v>84</v>
      </c>
      <c r="E671" s="82" t="s">
        <v>84</v>
      </c>
      <c r="F671" s="82" t="s">
        <v>84</v>
      </c>
      <c r="G671" s="83" t="s">
        <v>84</v>
      </c>
      <c r="H671" s="29" t="s">
        <v>97</v>
      </c>
      <c r="I671" s="84">
        <v>28</v>
      </c>
      <c r="J671" s="85">
        <v>28</v>
      </c>
      <c r="K671" s="86">
        <v>28</v>
      </c>
      <c r="L671" s="87"/>
      <c r="M671" s="88"/>
      <c r="N671" s="89">
        <v>28</v>
      </c>
      <c r="O671" s="90"/>
      <c r="P671" s="93"/>
      <c r="Q671" s="93"/>
      <c r="S671" s="12">
        <v>28</v>
      </c>
      <c r="T671" s="26">
        <v>1800</v>
      </c>
      <c r="U671" s="12">
        <f t="shared" si="18"/>
        <v>50400</v>
      </c>
    </row>
    <row r="672" spans="1:21">
      <c r="A672" s="17">
        <v>6</v>
      </c>
      <c r="B672" s="81" t="s">
        <v>85</v>
      </c>
      <c r="C672" s="82" t="s">
        <v>85</v>
      </c>
      <c r="D672" s="82" t="s">
        <v>85</v>
      </c>
      <c r="E672" s="82" t="s">
        <v>85</v>
      </c>
      <c r="F672" s="82" t="s">
        <v>85</v>
      </c>
      <c r="G672" s="83" t="s">
        <v>85</v>
      </c>
      <c r="H672" s="29" t="s">
        <v>97</v>
      </c>
      <c r="I672" s="84">
        <v>14</v>
      </c>
      <c r="J672" s="85">
        <v>14</v>
      </c>
      <c r="K672" s="86">
        <v>14</v>
      </c>
      <c r="L672" s="87"/>
      <c r="M672" s="88"/>
      <c r="N672" s="89">
        <v>14</v>
      </c>
      <c r="O672" s="90"/>
      <c r="P672" s="79"/>
      <c r="Q672" s="80"/>
      <c r="S672" s="12">
        <v>14</v>
      </c>
      <c r="T672" s="26">
        <v>4000</v>
      </c>
      <c r="U672" s="12">
        <f t="shared" si="18"/>
        <v>56000</v>
      </c>
    </row>
    <row r="673" spans="1:22">
      <c r="A673" s="17">
        <v>7</v>
      </c>
      <c r="B673" s="81" t="s">
        <v>86</v>
      </c>
      <c r="C673" s="82" t="s">
        <v>86</v>
      </c>
      <c r="D673" s="82" t="s">
        <v>86</v>
      </c>
      <c r="E673" s="82" t="s">
        <v>86</v>
      </c>
      <c r="F673" s="82" t="s">
        <v>86</v>
      </c>
      <c r="G673" s="83" t="s">
        <v>86</v>
      </c>
      <c r="H673" s="29" t="s">
        <v>97</v>
      </c>
      <c r="I673" s="84">
        <v>30</v>
      </c>
      <c r="J673" s="85">
        <v>30</v>
      </c>
      <c r="K673" s="86">
        <v>30</v>
      </c>
      <c r="L673" s="87"/>
      <c r="M673" s="88"/>
      <c r="N673" s="89">
        <v>30</v>
      </c>
      <c r="O673" s="90"/>
      <c r="P673" s="93"/>
      <c r="Q673" s="93"/>
      <c r="S673" s="12">
        <v>30</v>
      </c>
      <c r="T673" s="26">
        <v>4000</v>
      </c>
      <c r="U673" s="12">
        <f t="shared" si="18"/>
        <v>120000</v>
      </c>
    </row>
    <row r="674" spans="1:22">
      <c r="A674" s="17">
        <v>8</v>
      </c>
      <c r="B674" s="81" t="s">
        <v>87</v>
      </c>
      <c r="C674" s="82" t="s">
        <v>87</v>
      </c>
      <c r="D674" s="82" t="s">
        <v>87</v>
      </c>
      <c r="E674" s="82" t="s">
        <v>87</v>
      </c>
      <c r="F674" s="82" t="s">
        <v>87</v>
      </c>
      <c r="G674" s="83" t="s">
        <v>87</v>
      </c>
      <c r="H674" s="30" t="s">
        <v>25</v>
      </c>
      <c r="I674" s="84">
        <v>1</v>
      </c>
      <c r="J674" s="85">
        <v>1</v>
      </c>
      <c r="K674" s="86">
        <v>1</v>
      </c>
      <c r="L674" s="94"/>
      <c r="M674" s="95"/>
      <c r="N674" s="94">
        <v>1</v>
      </c>
      <c r="O674" s="95"/>
      <c r="P674" s="93"/>
      <c r="Q674" s="93"/>
      <c r="S674" s="16">
        <v>1</v>
      </c>
      <c r="T674" s="26">
        <v>31000</v>
      </c>
      <c r="U674" s="12">
        <f t="shared" si="18"/>
        <v>31000</v>
      </c>
    </row>
    <row r="675" spans="1:22">
      <c r="A675" s="17">
        <v>9</v>
      </c>
      <c r="B675" s="81" t="s">
        <v>88</v>
      </c>
      <c r="C675" s="82" t="s">
        <v>88</v>
      </c>
      <c r="D675" s="82" t="s">
        <v>88</v>
      </c>
      <c r="E675" s="82" t="s">
        <v>88</v>
      </c>
      <c r="F675" s="82" t="s">
        <v>88</v>
      </c>
      <c r="G675" s="83" t="s">
        <v>88</v>
      </c>
      <c r="H675" s="30" t="s">
        <v>25</v>
      </c>
      <c r="I675" s="84">
        <v>1</v>
      </c>
      <c r="J675" s="85">
        <v>1</v>
      </c>
      <c r="K675" s="86">
        <v>1</v>
      </c>
      <c r="L675" s="87"/>
      <c r="M675" s="88"/>
      <c r="N675" s="89"/>
      <c r="O675" s="90"/>
      <c r="P675" s="93"/>
      <c r="Q675" s="93"/>
      <c r="S675" s="12"/>
      <c r="T675" s="26">
        <v>30121</v>
      </c>
      <c r="U675" s="12">
        <f t="shared" si="18"/>
        <v>0</v>
      </c>
    </row>
    <row r="676" spans="1:22">
      <c r="A676" s="17">
        <v>10</v>
      </c>
      <c r="B676" s="81" t="s">
        <v>89</v>
      </c>
      <c r="C676" s="82"/>
      <c r="D676" s="82"/>
      <c r="E676" s="82"/>
      <c r="F676" s="82"/>
      <c r="G676" s="83"/>
      <c r="H676" s="30" t="s">
        <v>98</v>
      </c>
      <c r="I676" s="84">
        <v>3</v>
      </c>
      <c r="J676" s="85"/>
      <c r="K676" s="86"/>
      <c r="L676" s="87"/>
      <c r="M676" s="88"/>
      <c r="N676" s="89">
        <v>3</v>
      </c>
      <c r="O676" s="90"/>
      <c r="P676" s="91"/>
      <c r="Q676" s="92"/>
      <c r="S676" s="12">
        <v>3</v>
      </c>
      <c r="T676" s="26">
        <v>14500</v>
      </c>
      <c r="U676" s="12">
        <f t="shared" si="18"/>
        <v>43500</v>
      </c>
    </row>
    <row r="677" spans="1:22">
      <c r="A677" s="17">
        <v>11</v>
      </c>
      <c r="B677" s="81" t="s">
        <v>90</v>
      </c>
      <c r="C677" s="82"/>
      <c r="D677" s="82"/>
      <c r="E677" s="82"/>
      <c r="F677" s="82"/>
      <c r="G677" s="83"/>
      <c r="H677" s="29" t="s">
        <v>67</v>
      </c>
      <c r="I677" s="84">
        <v>6</v>
      </c>
      <c r="J677" s="85"/>
      <c r="K677" s="86"/>
      <c r="L677" s="87"/>
      <c r="M677" s="88"/>
      <c r="N677" s="89">
        <v>6</v>
      </c>
      <c r="O677" s="90"/>
      <c r="P677" s="91"/>
      <c r="Q677" s="92"/>
      <c r="S677" s="12">
        <v>6</v>
      </c>
      <c r="T677" s="26">
        <v>3500</v>
      </c>
      <c r="U677" s="12">
        <f t="shared" si="18"/>
        <v>21000</v>
      </c>
    </row>
    <row r="678" spans="1:22">
      <c r="A678" s="17">
        <v>12</v>
      </c>
      <c r="B678" s="81" t="s">
        <v>91</v>
      </c>
      <c r="C678" s="82" t="s">
        <v>89</v>
      </c>
      <c r="D678" s="82" t="s">
        <v>89</v>
      </c>
      <c r="E678" s="82" t="s">
        <v>89</v>
      </c>
      <c r="F678" s="82" t="s">
        <v>89</v>
      </c>
      <c r="G678" s="83" t="s">
        <v>89</v>
      </c>
      <c r="H678" s="29" t="s">
        <v>67</v>
      </c>
      <c r="I678" s="84">
        <v>10</v>
      </c>
      <c r="J678" s="85">
        <v>10</v>
      </c>
      <c r="K678" s="86">
        <v>10</v>
      </c>
      <c r="L678" s="87"/>
      <c r="M678" s="88"/>
      <c r="N678" s="89"/>
      <c r="O678" s="90"/>
      <c r="P678" s="93"/>
      <c r="Q678" s="93"/>
      <c r="S678" s="12"/>
      <c r="T678" s="26">
        <v>3000</v>
      </c>
      <c r="U678" s="12">
        <f t="shared" si="18"/>
        <v>0</v>
      </c>
      <c r="V678" s="22">
        <f>SUM(U667:U678)</f>
        <v>530500</v>
      </c>
    </row>
    <row r="679" spans="1:22">
      <c r="A679" s="17" t="s">
        <v>76</v>
      </c>
      <c r="B679" s="71" t="s">
        <v>92</v>
      </c>
      <c r="C679" s="72"/>
      <c r="D679" s="72"/>
      <c r="E679" s="72"/>
      <c r="F679" s="72"/>
      <c r="G679" s="73"/>
      <c r="H679" s="30" t="s">
        <v>24</v>
      </c>
      <c r="I679" s="84">
        <v>1</v>
      </c>
      <c r="J679" s="85">
        <v>10</v>
      </c>
      <c r="K679" s="86">
        <v>10</v>
      </c>
      <c r="L679" s="77"/>
      <c r="M679" s="78"/>
      <c r="N679" s="77">
        <v>1</v>
      </c>
      <c r="O679" s="78"/>
      <c r="P679" s="79"/>
      <c r="Q679" s="80"/>
      <c r="S679" s="12">
        <v>1</v>
      </c>
      <c r="T679" s="25">
        <v>10391</v>
      </c>
      <c r="U679" s="12">
        <f>S679*T679</f>
        <v>10391</v>
      </c>
      <c r="V679" s="27"/>
    </row>
    <row r="680" spans="1:22">
      <c r="A680" s="23" t="s">
        <v>68</v>
      </c>
      <c r="B680" s="71" t="s">
        <v>93</v>
      </c>
      <c r="C680" s="72"/>
      <c r="D680" s="72"/>
      <c r="E680" s="72"/>
      <c r="F680" s="72"/>
      <c r="G680" s="73"/>
      <c r="H680" s="30" t="s">
        <v>24</v>
      </c>
      <c r="I680" s="74">
        <v>1</v>
      </c>
      <c r="J680" s="75"/>
      <c r="K680" s="76"/>
      <c r="L680" s="77">
        <f>N680-N607</f>
        <v>0</v>
      </c>
      <c r="M680" s="78"/>
      <c r="N680" s="77">
        <f>S680</f>
        <v>0.51053796554710806</v>
      </c>
      <c r="O680" s="78"/>
      <c r="P680" s="77"/>
      <c r="Q680" s="78"/>
      <c r="S680" s="21">
        <f>V678*0.01/T680</f>
        <v>0.51053796554710806</v>
      </c>
      <c r="T680" s="25">
        <v>10391</v>
      </c>
      <c r="U680" s="12">
        <f t="shared" ref="U680:U681" si="19">S680*T680</f>
        <v>5305</v>
      </c>
    </row>
    <row r="681" spans="1:22">
      <c r="A681" s="23" t="s">
        <v>69</v>
      </c>
      <c r="B681" s="58" t="s">
        <v>94</v>
      </c>
      <c r="C681" s="59" t="s">
        <v>70</v>
      </c>
      <c r="D681" s="59" t="s">
        <v>70</v>
      </c>
      <c r="E681" s="59" t="s">
        <v>70</v>
      </c>
      <c r="F681" s="59" t="s">
        <v>70</v>
      </c>
      <c r="G681" s="60" t="s">
        <v>70</v>
      </c>
      <c r="H681" s="30" t="s">
        <v>24</v>
      </c>
      <c r="I681" s="74">
        <v>1</v>
      </c>
      <c r="J681" s="75"/>
      <c r="K681" s="76"/>
      <c r="L681" s="77">
        <f>N681-N608</f>
        <v>0</v>
      </c>
      <c r="M681" s="78"/>
      <c r="N681" s="77">
        <f>S681</f>
        <v>0.51052392801660729</v>
      </c>
      <c r="O681" s="78"/>
      <c r="P681" s="77"/>
      <c r="Q681" s="78"/>
      <c r="S681" s="21">
        <f>V678*0.07/T681</f>
        <v>0.51052392801660729</v>
      </c>
      <c r="T681" s="25">
        <v>72739</v>
      </c>
      <c r="U681" s="12">
        <f t="shared" si="19"/>
        <v>37135</v>
      </c>
    </row>
    <row r="682" spans="1:22">
      <c r="A682" s="23" t="s">
        <v>71</v>
      </c>
      <c r="B682" s="58" t="s">
        <v>95</v>
      </c>
      <c r="C682" s="59" t="s">
        <v>72</v>
      </c>
      <c r="D682" s="59" t="s">
        <v>72</v>
      </c>
      <c r="E682" s="59" t="s">
        <v>72</v>
      </c>
      <c r="F682" s="59" t="s">
        <v>72</v>
      </c>
      <c r="G682" s="60" t="s">
        <v>72</v>
      </c>
      <c r="H682" s="30" t="s">
        <v>24</v>
      </c>
      <c r="I682" s="74">
        <v>1</v>
      </c>
      <c r="J682" s="75"/>
      <c r="K682" s="76"/>
      <c r="L682" s="77"/>
      <c r="M682" s="78"/>
      <c r="N682" s="77">
        <f>S682</f>
        <v>1</v>
      </c>
      <c r="O682" s="78"/>
      <c r="P682" s="77"/>
      <c r="Q682" s="78"/>
      <c r="S682" s="21">
        <v>1</v>
      </c>
      <c r="T682" s="25">
        <v>4156</v>
      </c>
      <c r="U682" s="12">
        <f>S682*T682</f>
        <v>4156</v>
      </c>
    </row>
    <row r="683" spans="1:22">
      <c r="A683" s="23" t="s">
        <v>73</v>
      </c>
      <c r="B683" s="58" t="s">
        <v>96</v>
      </c>
      <c r="C683" s="59" t="s">
        <v>74</v>
      </c>
      <c r="D683" s="59" t="s">
        <v>74</v>
      </c>
      <c r="E683" s="59" t="s">
        <v>74</v>
      </c>
      <c r="F683" s="59" t="s">
        <v>74</v>
      </c>
      <c r="G683" s="60" t="s">
        <v>74</v>
      </c>
      <c r="H683" s="30" t="s">
        <v>24</v>
      </c>
      <c r="I683" s="74">
        <v>1</v>
      </c>
      <c r="J683" s="75"/>
      <c r="K683" s="76"/>
      <c r="L683" s="77">
        <f>N683-N610</f>
        <v>0</v>
      </c>
      <c r="M683" s="78"/>
      <c r="N683" s="77">
        <f>S683-0.001</f>
        <v>0.51579011259676288</v>
      </c>
      <c r="O683" s="78"/>
      <c r="P683" s="79"/>
      <c r="Q683" s="80"/>
      <c r="S683" s="21">
        <f>(V678+U679+U680+U681+U682)*0.05/T683</f>
        <v>0.51679011259676289</v>
      </c>
      <c r="T683" s="25">
        <v>56840</v>
      </c>
      <c r="U683" s="12">
        <f>S683*T683</f>
        <v>29374.350000000002</v>
      </c>
    </row>
    <row r="684" spans="1:22">
      <c r="A684" s="23"/>
      <c r="B684" s="58"/>
      <c r="C684" s="59"/>
      <c r="D684" s="59"/>
      <c r="E684" s="59"/>
      <c r="F684" s="59"/>
      <c r="G684" s="60"/>
      <c r="H684" s="24"/>
      <c r="I684" s="58"/>
      <c r="J684" s="59"/>
      <c r="K684" s="59"/>
      <c r="L684" s="58"/>
      <c r="M684" s="59"/>
      <c r="N684" s="58"/>
      <c r="O684" s="59"/>
      <c r="P684" s="58"/>
      <c r="Q684" s="60"/>
      <c r="S684" s="21"/>
      <c r="T684" s="25"/>
      <c r="U684" s="28">
        <f>V678+U679+U680+U681+U682+U683</f>
        <v>616861.35</v>
      </c>
    </row>
    <row r="685" spans="1:22">
      <c r="A685" s="23"/>
      <c r="B685" s="58"/>
      <c r="C685" s="59"/>
      <c r="D685" s="59"/>
      <c r="E685" s="59"/>
      <c r="F685" s="59"/>
      <c r="G685" s="60"/>
      <c r="H685" s="23"/>
      <c r="I685" s="58"/>
      <c r="J685" s="59"/>
      <c r="K685" s="59"/>
      <c r="L685" s="58"/>
      <c r="M685" s="59"/>
      <c r="N685" s="58"/>
      <c r="O685" s="59"/>
      <c r="P685" s="58"/>
      <c r="Q685" s="60"/>
      <c r="S685" s="21"/>
      <c r="T685" s="16"/>
      <c r="U685" s="14">
        <v>1193638</v>
      </c>
    </row>
    <row r="686" spans="1:22">
      <c r="A686" s="9"/>
      <c r="B686" s="58"/>
      <c r="C686" s="59"/>
      <c r="D686" s="59"/>
      <c r="E686" s="59"/>
      <c r="F686" s="59"/>
      <c r="G686" s="60"/>
      <c r="H686" s="9"/>
      <c r="I686" s="58"/>
      <c r="J686" s="59"/>
      <c r="K686" s="59"/>
      <c r="L686" s="58"/>
      <c r="M686" s="59"/>
      <c r="N686" s="58"/>
      <c r="O686" s="59"/>
      <c r="P686" s="58"/>
      <c r="Q686" s="60"/>
      <c r="S686" s="21"/>
      <c r="T686" s="16"/>
      <c r="U686" s="15">
        <f>U684/U685</f>
        <v>0.51679097850437061</v>
      </c>
    </row>
    <row r="687" spans="1:22">
      <c r="A687" s="9"/>
      <c r="B687" s="58"/>
      <c r="C687" s="59"/>
      <c r="D687" s="59"/>
      <c r="E687" s="59"/>
      <c r="F687" s="59"/>
      <c r="G687" s="60"/>
      <c r="H687" s="9"/>
      <c r="I687" s="58"/>
      <c r="J687" s="59"/>
      <c r="K687" s="59"/>
      <c r="L687" s="58"/>
      <c r="M687" s="59"/>
      <c r="N687" s="58"/>
      <c r="O687" s="59"/>
      <c r="P687" s="58"/>
      <c r="Q687" s="60"/>
      <c r="S687" s="21"/>
      <c r="T687" s="16"/>
      <c r="U687" s="12"/>
    </row>
    <row r="688" spans="1:22">
      <c r="A688" s="9"/>
      <c r="B688" s="58"/>
      <c r="C688" s="59"/>
      <c r="D688" s="59"/>
      <c r="E688" s="59"/>
      <c r="F688" s="59"/>
      <c r="G688" s="60"/>
      <c r="H688" s="9"/>
      <c r="I688" s="58"/>
      <c r="J688" s="59"/>
      <c r="K688" s="59"/>
      <c r="L688" s="58"/>
      <c r="M688" s="59"/>
      <c r="N688" s="58"/>
      <c r="O688" s="59"/>
      <c r="P688" s="58"/>
      <c r="Q688" s="60"/>
      <c r="S688" s="21"/>
      <c r="T688" s="16"/>
      <c r="U688" s="12"/>
    </row>
    <row r="689" spans="1:21">
      <c r="A689" s="9"/>
      <c r="B689" s="58"/>
      <c r="C689" s="59"/>
      <c r="D689" s="59"/>
      <c r="E689" s="59"/>
      <c r="F689" s="59"/>
      <c r="G689" s="60"/>
      <c r="H689" s="9"/>
      <c r="I689" s="58"/>
      <c r="J689" s="59"/>
      <c r="K689" s="59"/>
      <c r="L689" s="58"/>
      <c r="M689" s="59"/>
      <c r="N689" s="58"/>
      <c r="O689" s="59"/>
      <c r="P689" s="58"/>
      <c r="Q689" s="60"/>
      <c r="S689" s="21"/>
      <c r="T689" s="16"/>
      <c r="U689" s="12"/>
    </row>
    <row r="690" spans="1:21">
      <c r="A690" s="9"/>
      <c r="B690" s="58"/>
      <c r="C690" s="59"/>
      <c r="D690" s="59"/>
      <c r="E690" s="59"/>
      <c r="F690" s="59"/>
      <c r="G690" s="60"/>
      <c r="H690" s="9"/>
      <c r="I690" s="58"/>
      <c r="J690" s="59"/>
      <c r="K690" s="59"/>
      <c r="L690" s="58"/>
      <c r="M690" s="59"/>
      <c r="N690" s="58"/>
      <c r="O690" s="59"/>
      <c r="P690" s="58"/>
      <c r="Q690" s="60"/>
      <c r="S690" s="21"/>
      <c r="T690" s="16"/>
      <c r="U690" s="12"/>
    </row>
    <row r="691" spans="1:21">
      <c r="A691" s="7"/>
      <c r="B691" s="61"/>
      <c r="C691" s="62"/>
      <c r="D691" s="62"/>
      <c r="E691" s="62"/>
      <c r="F691" s="62"/>
      <c r="G691" s="63"/>
      <c r="H691" s="9"/>
      <c r="I691" s="64"/>
      <c r="J691" s="65"/>
      <c r="K691" s="66"/>
      <c r="L691" s="67"/>
      <c r="M691" s="68"/>
      <c r="N691" s="67"/>
      <c r="O691" s="68"/>
      <c r="P691" s="69"/>
      <c r="Q691" s="70"/>
      <c r="S691" s="21"/>
      <c r="T691" s="16"/>
    </row>
    <row r="692" spans="1:21">
      <c r="A692" s="44" t="s">
        <v>29</v>
      </c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T692" s="20"/>
    </row>
    <row r="693" spans="1:21">
      <c r="A693" s="44" t="s">
        <v>30</v>
      </c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T693" s="20"/>
    </row>
    <row r="694" spans="1:21">
      <c r="A694" s="44" t="s">
        <v>31</v>
      </c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T694" s="20"/>
    </row>
    <row r="695" spans="1:21">
      <c r="A695" s="44" t="s">
        <v>32</v>
      </c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T695" s="20"/>
    </row>
    <row r="696" spans="1:21">
      <c r="A696" s="54" t="s">
        <v>33</v>
      </c>
      <c r="B696" s="54"/>
      <c r="C696" s="54"/>
      <c r="D696" s="54"/>
      <c r="E696" s="54"/>
      <c r="F696" s="54"/>
      <c r="G696" s="54"/>
      <c r="H696" s="54" t="s">
        <v>20</v>
      </c>
      <c r="I696" s="54"/>
      <c r="J696" s="54"/>
      <c r="K696" s="54" t="s">
        <v>34</v>
      </c>
      <c r="L696" s="54"/>
      <c r="M696" s="54" t="s">
        <v>35</v>
      </c>
      <c r="N696" s="54"/>
      <c r="O696" s="54" t="s">
        <v>36</v>
      </c>
      <c r="P696" s="54"/>
      <c r="Q696" s="54"/>
      <c r="T696" s="20"/>
    </row>
    <row r="697" spans="1:21">
      <c r="A697" s="55"/>
      <c r="B697" s="56"/>
      <c r="C697" s="56"/>
      <c r="D697" s="56"/>
      <c r="E697" s="56"/>
      <c r="F697" s="56"/>
      <c r="G697" s="57"/>
      <c r="H697" s="55"/>
      <c r="I697" s="56"/>
      <c r="J697" s="57"/>
      <c r="K697" s="55"/>
      <c r="L697" s="56"/>
      <c r="M697" s="55"/>
      <c r="N697" s="56"/>
      <c r="O697" s="55"/>
      <c r="P697" s="56"/>
      <c r="Q697" s="57"/>
      <c r="T697" s="20"/>
    </row>
    <row r="698" spans="1:21">
      <c r="A698" s="55"/>
      <c r="B698" s="56"/>
      <c r="C698" s="56"/>
      <c r="D698" s="56"/>
      <c r="E698" s="56"/>
      <c r="F698" s="56"/>
      <c r="G698" s="57"/>
      <c r="H698" s="55"/>
      <c r="I698" s="56"/>
      <c r="J698" s="57"/>
      <c r="K698" s="55"/>
      <c r="L698" s="56"/>
      <c r="M698" s="55"/>
      <c r="N698" s="56"/>
      <c r="O698" s="55"/>
      <c r="P698" s="56"/>
      <c r="Q698" s="57"/>
      <c r="T698" s="20"/>
    </row>
    <row r="699" spans="1:21">
      <c r="A699" s="53"/>
      <c r="B699" s="53"/>
      <c r="C699" s="53"/>
      <c r="D699" s="53"/>
      <c r="E699" s="53"/>
      <c r="F699" s="53"/>
      <c r="G699" s="53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T699" s="20"/>
    </row>
    <row r="700" spans="1:21">
      <c r="A700" s="53"/>
      <c r="B700" s="53"/>
      <c r="C700" s="53"/>
      <c r="D700" s="53"/>
      <c r="E700" s="53"/>
      <c r="F700" s="53"/>
      <c r="G700" s="53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T700" s="20"/>
    </row>
    <row r="701" spans="1:21">
      <c r="A701" s="44" t="s">
        <v>37</v>
      </c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T701" s="20"/>
    </row>
    <row r="702" spans="1:21">
      <c r="A702" s="46" t="s">
        <v>38</v>
      </c>
      <c r="B702" s="46"/>
      <c r="C702" s="47" t="s">
        <v>39</v>
      </c>
      <c r="D702" s="48"/>
      <c r="E702" s="48"/>
      <c r="F702" s="47" t="s">
        <v>40</v>
      </c>
      <c r="G702" s="48"/>
      <c r="H702" s="49"/>
      <c r="I702" s="46" t="s">
        <v>41</v>
      </c>
      <c r="J702" s="46"/>
      <c r="K702" s="46"/>
      <c r="L702" s="46" t="s">
        <v>35</v>
      </c>
      <c r="M702" s="46"/>
      <c r="N702" s="46"/>
      <c r="O702" s="46" t="s">
        <v>36</v>
      </c>
      <c r="P702" s="46"/>
      <c r="Q702" s="46"/>
      <c r="T702" s="20"/>
    </row>
    <row r="703" spans="1:21">
      <c r="A703" s="47" t="s">
        <v>42</v>
      </c>
      <c r="B703" s="49"/>
      <c r="C703" s="47"/>
      <c r="D703" s="48"/>
      <c r="E703" s="49"/>
      <c r="F703" s="47">
        <f>F630+C703</f>
        <v>21</v>
      </c>
      <c r="G703" s="48"/>
      <c r="H703" s="49"/>
      <c r="I703" s="47"/>
      <c r="J703" s="48"/>
      <c r="K703" s="49"/>
      <c r="L703" s="47"/>
      <c r="M703" s="48"/>
      <c r="N703" s="49"/>
      <c r="O703" s="47"/>
      <c r="P703" s="48"/>
      <c r="Q703" s="49"/>
      <c r="T703" s="20"/>
    </row>
    <row r="704" spans="1:21">
      <c r="A704" s="47" t="s">
        <v>100</v>
      </c>
      <c r="B704" s="49"/>
      <c r="C704" s="47"/>
      <c r="D704" s="48"/>
      <c r="E704" s="49"/>
      <c r="F704" s="47">
        <f>F631+C704</f>
        <v>2</v>
      </c>
      <c r="G704" s="48"/>
      <c r="H704" s="49"/>
      <c r="I704" s="47"/>
      <c r="J704" s="48"/>
      <c r="K704" s="49"/>
      <c r="L704" s="47"/>
      <c r="M704" s="48"/>
      <c r="N704" s="49"/>
      <c r="O704" s="47"/>
      <c r="P704" s="48"/>
      <c r="Q704" s="49"/>
      <c r="T704" s="20"/>
    </row>
    <row r="705" spans="1:20">
      <c r="A705" s="47"/>
      <c r="B705" s="49"/>
      <c r="C705" s="47"/>
      <c r="D705" s="48"/>
      <c r="E705" s="49"/>
      <c r="F705" s="47"/>
      <c r="G705" s="48"/>
      <c r="H705" s="49"/>
      <c r="I705" s="47"/>
      <c r="J705" s="48"/>
      <c r="K705" s="49"/>
      <c r="L705" s="47"/>
      <c r="M705" s="48"/>
      <c r="N705" s="49"/>
      <c r="O705" s="47"/>
      <c r="P705" s="48"/>
      <c r="Q705" s="49"/>
      <c r="T705" s="20"/>
    </row>
    <row r="706" spans="1:20">
      <c r="A706" s="46"/>
      <c r="B706" s="46"/>
      <c r="C706" s="47"/>
      <c r="D706" s="48"/>
      <c r="E706" s="49"/>
      <c r="F706" s="47"/>
      <c r="G706" s="48"/>
      <c r="H706" s="49"/>
      <c r="I706" s="47"/>
      <c r="J706" s="48"/>
      <c r="K706" s="49"/>
      <c r="L706" s="47"/>
      <c r="M706" s="48"/>
      <c r="N706" s="49"/>
      <c r="O706" s="47"/>
      <c r="P706" s="48"/>
      <c r="Q706" s="49"/>
      <c r="T706" s="20"/>
    </row>
    <row r="707" spans="1:20">
      <c r="A707" s="46"/>
      <c r="B707" s="46"/>
      <c r="C707" s="47"/>
      <c r="D707" s="48"/>
      <c r="E707" s="49"/>
      <c r="F707" s="47"/>
      <c r="G707" s="48"/>
      <c r="H707" s="49"/>
      <c r="I707" s="47"/>
      <c r="J707" s="48"/>
      <c r="K707" s="49"/>
      <c r="L707" s="47"/>
      <c r="M707" s="48"/>
      <c r="N707" s="49"/>
      <c r="O707" s="47"/>
      <c r="P707" s="48"/>
      <c r="Q707" s="49"/>
      <c r="T707" s="20"/>
    </row>
    <row r="708" spans="1:20">
      <c r="A708" s="50" t="s">
        <v>43</v>
      </c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2"/>
      <c r="T708" s="20"/>
    </row>
    <row r="709" spans="1:20">
      <c r="A709" s="38" t="s">
        <v>44</v>
      </c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40"/>
      <c r="T709" s="20"/>
    </row>
    <row r="710" spans="1:20">
      <c r="A710" s="41" t="s">
        <v>45</v>
      </c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3"/>
      <c r="T710" s="20"/>
    </row>
    <row r="711" spans="1:20">
      <c r="A711" s="50" t="s">
        <v>46</v>
      </c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2"/>
      <c r="T711" s="20"/>
    </row>
    <row r="712" spans="1:20">
      <c r="A712" s="38" t="s">
        <v>47</v>
      </c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40"/>
      <c r="T712" s="20"/>
    </row>
    <row r="713" spans="1:20">
      <c r="A713" s="38" t="s">
        <v>48</v>
      </c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40"/>
      <c r="T713" s="20"/>
    </row>
    <row r="714" spans="1:20">
      <c r="A714" s="38" t="s">
        <v>49</v>
      </c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40"/>
      <c r="T714" s="20"/>
    </row>
    <row r="715" spans="1:20">
      <c r="A715" s="38" t="s">
        <v>50</v>
      </c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40"/>
      <c r="T715" s="20"/>
    </row>
    <row r="716" spans="1:20">
      <c r="A716" s="38" t="s">
        <v>51</v>
      </c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40"/>
      <c r="T716" s="20"/>
    </row>
    <row r="717" spans="1:20">
      <c r="A717" s="41" t="s">
        <v>52</v>
      </c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3"/>
      <c r="T717" s="20"/>
    </row>
    <row r="718" spans="1:20">
      <c r="A718" s="44" t="s">
        <v>53</v>
      </c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T718" s="20"/>
    </row>
    <row r="719" spans="1:20">
      <c r="A719" s="44" t="s">
        <v>54</v>
      </c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T719" s="20"/>
    </row>
    <row r="720" spans="1:20">
      <c r="A720" s="44" t="s">
        <v>101</v>
      </c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T720" s="20"/>
    </row>
    <row r="721" spans="1:20">
      <c r="A721" s="44" t="s">
        <v>55</v>
      </c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T721" s="20"/>
    </row>
    <row r="722" spans="1:20">
      <c r="A722" s="45" t="s">
        <v>56</v>
      </c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T722" s="20"/>
    </row>
    <row r="723" spans="1:20">
      <c r="A723" s="37" t="s">
        <v>57</v>
      </c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T723" s="20"/>
    </row>
    <row r="724" spans="1:20">
      <c r="A724" s="37" t="s">
        <v>58</v>
      </c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T724" s="20"/>
    </row>
    <row r="725" spans="1:20">
      <c r="A725" s="37" t="s">
        <v>59</v>
      </c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T725" s="20"/>
    </row>
    <row r="726" spans="1:20">
      <c r="A726" s="37" t="s">
        <v>60</v>
      </c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T726" s="20"/>
    </row>
    <row r="727" spans="1:20">
      <c r="A727" s="37" t="s">
        <v>61</v>
      </c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T727" s="20"/>
    </row>
    <row r="728" spans="1:20">
      <c r="A728" s="37" t="s">
        <v>62</v>
      </c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T728" s="20"/>
    </row>
    <row r="729" spans="1:20">
      <c r="A729" s="37" t="s">
        <v>63</v>
      </c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T729" s="20"/>
    </row>
    <row r="730" spans="1:20">
      <c r="A730" s="37" t="s">
        <v>75</v>
      </c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T730" s="20"/>
    </row>
    <row r="731" spans="1:20" ht="39" customHeight="1">
      <c r="B731" s="120" t="s">
        <v>0</v>
      </c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T731" s="20"/>
    </row>
    <row r="732" spans="1:20">
      <c r="B732" s="6" t="s">
        <v>1</v>
      </c>
      <c r="C732" s="121" t="s">
        <v>2</v>
      </c>
      <c r="D732" s="121"/>
      <c r="E732" s="1" t="s">
        <v>3</v>
      </c>
      <c r="F732" s="121" t="s">
        <v>4</v>
      </c>
      <c r="G732" s="121"/>
      <c r="H732" s="1" t="s">
        <v>3</v>
      </c>
      <c r="I732" s="1"/>
      <c r="J732" s="121" t="s">
        <v>5</v>
      </c>
      <c r="K732" s="121"/>
      <c r="L732" s="121"/>
      <c r="M732" s="122">
        <f>M659+1</f>
        <v>46237</v>
      </c>
      <c r="N732" s="122"/>
      <c r="O732" s="122"/>
      <c r="P732" s="123"/>
      <c r="Q732" s="123"/>
      <c r="T732" s="20"/>
    </row>
    <row r="733" spans="1:20">
      <c r="A733" s="96" t="s">
        <v>6</v>
      </c>
      <c r="B733" s="96"/>
      <c r="C733" s="124" t="s">
        <v>79</v>
      </c>
      <c r="D733" s="125"/>
      <c r="E733" s="125"/>
      <c r="F733" s="125"/>
      <c r="G733" s="125"/>
      <c r="H733" s="125"/>
      <c r="I733" s="126"/>
      <c r="J733" s="127" t="s">
        <v>7</v>
      </c>
      <c r="K733" s="128"/>
      <c r="L733" s="128"/>
      <c r="M733" s="129"/>
      <c r="N733" s="130" t="s">
        <v>78</v>
      </c>
      <c r="O733" s="130"/>
      <c r="P733" s="130"/>
      <c r="Q733" s="131"/>
      <c r="T733" s="20"/>
    </row>
    <row r="734" spans="1:20">
      <c r="A734" s="96" t="s">
        <v>8</v>
      </c>
      <c r="B734" s="96"/>
      <c r="C734" s="4">
        <v>30</v>
      </c>
      <c r="D734" s="3" t="s">
        <v>9</v>
      </c>
      <c r="E734" s="127" t="s">
        <v>10</v>
      </c>
      <c r="F734" s="129"/>
      <c r="G734" s="127">
        <f>G661+1</f>
        <v>11</v>
      </c>
      <c r="H734" s="128"/>
      <c r="I734" s="3" t="s">
        <v>9</v>
      </c>
      <c r="J734" s="96" t="s">
        <v>11</v>
      </c>
      <c r="K734" s="96"/>
      <c r="L734" s="5">
        <f>C734-G734</f>
        <v>19</v>
      </c>
      <c r="M734" s="2" t="s">
        <v>9</v>
      </c>
      <c r="N734" s="96" t="s">
        <v>12</v>
      </c>
      <c r="O734" s="96"/>
      <c r="P734" s="2"/>
      <c r="Q734" s="3" t="s">
        <v>9</v>
      </c>
      <c r="T734" s="20"/>
    </row>
    <row r="735" spans="1:20">
      <c r="A735" s="96" t="s">
        <v>13</v>
      </c>
      <c r="B735" s="96"/>
      <c r="C735" s="132">
        <v>46227</v>
      </c>
      <c r="D735" s="132"/>
      <c r="E735" s="132"/>
      <c r="F735" s="132"/>
      <c r="G735" s="132"/>
      <c r="H735" s="132"/>
      <c r="I735" s="132"/>
      <c r="J735" s="127" t="s">
        <v>14</v>
      </c>
      <c r="K735" s="128"/>
      <c r="L735" s="128"/>
      <c r="M735" s="129"/>
      <c r="N735" s="133">
        <v>46256</v>
      </c>
      <c r="O735" s="134"/>
      <c r="P735" s="134"/>
      <c r="Q735" s="135"/>
      <c r="T735" s="20"/>
    </row>
    <row r="736" spans="1:20">
      <c r="A736" s="96" t="s">
        <v>15</v>
      </c>
      <c r="B736" s="96"/>
      <c r="C736" s="97">
        <v>50</v>
      </c>
      <c r="D736" s="98"/>
      <c r="E736" s="98"/>
      <c r="F736" s="98"/>
      <c r="G736" s="98"/>
      <c r="H736" s="99" t="s">
        <v>16</v>
      </c>
      <c r="I736" s="100"/>
      <c r="J736" s="101" t="s">
        <v>17</v>
      </c>
      <c r="K736" s="101"/>
      <c r="L736" s="101"/>
      <c r="M736" s="101"/>
      <c r="N736" s="102">
        <f>U759</f>
        <v>0.54529208185396238</v>
      </c>
      <c r="O736" s="102"/>
      <c r="P736" s="102"/>
      <c r="Q736" s="102"/>
      <c r="T736" s="20"/>
    </row>
    <row r="737" spans="1:22">
      <c r="A737" s="103" t="s">
        <v>18</v>
      </c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5"/>
      <c r="T737" s="20"/>
    </row>
    <row r="738" spans="1:22">
      <c r="A738" s="7"/>
      <c r="B738" s="106" t="s">
        <v>19</v>
      </c>
      <c r="C738" s="107"/>
      <c r="D738" s="107"/>
      <c r="E738" s="107"/>
      <c r="F738" s="107"/>
      <c r="G738" s="108"/>
      <c r="H738" s="8" t="s">
        <v>20</v>
      </c>
      <c r="I738" s="109" t="s">
        <v>21</v>
      </c>
      <c r="J738" s="110"/>
      <c r="K738" s="111"/>
      <c r="L738" s="109" t="s">
        <v>28</v>
      </c>
      <c r="M738" s="111"/>
      <c r="N738" s="106" t="s">
        <v>22</v>
      </c>
      <c r="O738" s="112"/>
      <c r="P738" s="113" t="s">
        <v>23</v>
      </c>
      <c r="Q738" s="113"/>
      <c r="S738" s="18" t="s">
        <v>22</v>
      </c>
      <c r="T738" s="19" t="s">
        <v>64</v>
      </c>
      <c r="U738" s="13" t="s">
        <v>27</v>
      </c>
    </row>
    <row r="739" spans="1:22">
      <c r="A739" s="17" t="s">
        <v>65</v>
      </c>
      <c r="B739" s="114" t="s">
        <v>66</v>
      </c>
      <c r="C739" s="115"/>
      <c r="D739" s="115"/>
      <c r="E739" s="115"/>
      <c r="F739" s="115"/>
      <c r="G739" s="116"/>
      <c r="H739" s="17"/>
      <c r="I739" s="117"/>
      <c r="J739" s="118"/>
      <c r="K739" s="119"/>
      <c r="L739" s="77"/>
      <c r="M739" s="78"/>
      <c r="N739" s="77"/>
      <c r="O739" s="78"/>
      <c r="P739" s="93"/>
      <c r="Q739" s="93"/>
      <c r="S739" s="16"/>
      <c r="T739" s="16"/>
      <c r="U739" s="16" t="s">
        <v>26</v>
      </c>
    </row>
    <row r="740" spans="1:22">
      <c r="A740" s="17">
        <v>1</v>
      </c>
      <c r="B740" s="81" t="s">
        <v>80</v>
      </c>
      <c r="C740" s="82"/>
      <c r="D740" s="82"/>
      <c r="E740" s="82"/>
      <c r="F740" s="82"/>
      <c r="G740" s="83"/>
      <c r="H740" s="29" t="s">
        <v>67</v>
      </c>
      <c r="I740" s="84">
        <v>18</v>
      </c>
      <c r="J740" s="85"/>
      <c r="K740" s="86"/>
      <c r="L740" s="87"/>
      <c r="M740" s="88"/>
      <c r="N740" s="89"/>
      <c r="O740" s="90"/>
      <c r="P740" s="93"/>
      <c r="Q740" s="93"/>
      <c r="S740" s="12"/>
      <c r="T740" s="26">
        <v>18000</v>
      </c>
      <c r="U740" s="12">
        <f>S740*T740</f>
        <v>0</v>
      </c>
    </row>
    <row r="741" spans="1:22" ht="32.1" customHeight="1">
      <c r="A741" s="17">
        <v>2</v>
      </c>
      <c r="B741" s="81" t="s">
        <v>81</v>
      </c>
      <c r="C741" s="82" t="s">
        <v>81</v>
      </c>
      <c r="D741" s="82" t="s">
        <v>81</v>
      </c>
      <c r="E741" s="82" t="s">
        <v>81</v>
      </c>
      <c r="F741" s="82" t="s">
        <v>81</v>
      </c>
      <c r="G741" s="83" t="s">
        <v>81</v>
      </c>
      <c r="H741" s="29" t="s">
        <v>97</v>
      </c>
      <c r="I741" s="84">
        <v>166</v>
      </c>
      <c r="J741" s="85"/>
      <c r="K741" s="86"/>
      <c r="L741" s="87"/>
      <c r="M741" s="88"/>
      <c r="N741" s="89"/>
      <c r="O741" s="90"/>
      <c r="P741" s="93"/>
      <c r="Q741" s="93"/>
      <c r="S741" s="12"/>
      <c r="T741" s="26">
        <v>750</v>
      </c>
      <c r="U741" s="12">
        <f t="shared" ref="U741:U751" si="20">S741*T741</f>
        <v>0</v>
      </c>
    </row>
    <row r="742" spans="1:22">
      <c r="A742" s="17">
        <v>3</v>
      </c>
      <c r="B742" s="81" t="s">
        <v>82</v>
      </c>
      <c r="C742" s="82" t="s">
        <v>82</v>
      </c>
      <c r="D742" s="82" t="s">
        <v>82</v>
      </c>
      <c r="E742" s="82" t="s">
        <v>82</v>
      </c>
      <c r="F742" s="82" t="s">
        <v>82</v>
      </c>
      <c r="G742" s="83" t="s">
        <v>82</v>
      </c>
      <c r="H742" s="29" t="s">
        <v>97</v>
      </c>
      <c r="I742" s="84">
        <v>540</v>
      </c>
      <c r="J742" s="85">
        <v>540</v>
      </c>
      <c r="K742" s="86">
        <v>540</v>
      </c>
      <c r="L742" s="87"/>
      <c r="M742" s="88"/>
      <c r="N742" s="89">
        <v>540</v>
      </c>
      <c r="O742" s="90"/>
      <c r="P742" s="93"/>
      <c r="Q742" s="93"/>
      <c r="S742" s="12">
        <v>540</v>
      </c>
      <c r="T742" s="26">
        <v>340</v>
      </c>
      <c r="U742" s="12">
        <f t="shared" si="20"/>
        <v>183600</v>
      </c>
    </row>
    <row r="743" spans="1:22">
      <c r="A743" s="17">
        <v>4</v>
      </c>
      <c r="B743" s="81" t="s">
        <v>83</v>
      </c>
      <c r="C743" s="82" t="s">
        <v>83</v>
      </c>
      <c r="D743" s="82" t="s">
        <v>83</v>
      </c>
      <c r="E743" s="82" t="s">
        <v>83</v>
      </c>
      <c r="F743" s="82" t="s">
        <v>83</v>
      </c>
      <c r="G743" s="83" t="s">
        <v>83</v>
      </c>
      <c r="H743" s="29" t="s">
        <v>67</v>
      </c>
      <c r="I743" s="84">
        <v>20</v>
      </c>
      <c r="J743" s="85">
        <v>20</v>
      </c>
      <c r="K743" s="86">
        <v>20</v>
      </c>
      <c r="L743" s="87"/>
      <c r="M743" s="88"/>
      <c r="N743" s="89">
        <v>20</v>
      </c>
      <c r="O743" s="90"/>
      <c r="P743" s="93"/>
      <c r="Q743" s="93"/>
      <c r="S743" s="12">
        <v>20</v>
      </c>
      <c r="T743" s="26">
        <v>1250</v>
      </c>
      <c r="U743" s="12">
        <f t="shared" si="20"/>
        <v>25000</v>
      </c>
    </row>
    <row r="744" spans="1:22" ht="32.1" customHeight="1">
      <c r="A744" s="17">
        <v>5</v>
      </c>
      <c r="B744" s="81" t="s">
        <v>84</v>
      </c>
      <c r="C744" s="82" t="s">
        <v>84</v>
      </c>
      <c r="D744" s="82" t="s">
        <v>84</v>
      </c>
      <c r="E744" s="82" t="s">
        <v>84</v>
      </c>
      <c r="F744" s="82" t="s">
        <v>84</v>
      </c>
      <c r="G744" s="83" t="s">
        <v>84</v>
      </c>
      <c r="H744" s="29" t="s">
        <v>97</v>
      </c>
      <c r="I744" s="84">
        <v>28</v>
      </c>
      <c r="J744" s="85">
        <v>28</v>
      </c>
      <c r="K744" s="86">
        <v>28</v>
      </c>
      <c r="L744" s="87"/>
      <c r="M744" s="88"/>
      <c r="N744" s="89">
        <v>28</v>
      </c>
      <c r="O744" s="90"/>
      <c r="P744" s="93"/>
      <c r="Q744" s="93"/>
      <c r="S744" s="12">
        <v>28</v>
      </c>
      <c r="T744" s="26">
        <v>1800</v>
      </c>
      <c r="U744" s="12">
        <f t="shared" si="20"/>
        <v>50400</v>
      </c>
    </row>
    <row r="745" spans="1:22">
      <c r="A745" s="17">
        <v>6</v>
      </c>
      <c r="B745" s="81" t="s">
        <v>85</v>
      </c>
      <c r="C745" s="82" t="s">
        <v>85</v>
      </c>
      <c r="D745" s="82" t="s">
        <v>85</v>
      </c>
      <c r="E745" s="82" t="s">
        <v>85</v>
      </c>
      <c r="F745" s="82" t="s">
        <v>85</v>
      </c>
      <c r="G745" s="83" t="s">
        <v>85</v>
      </c>
      <c r="H745" s="29" t="s">
        <v>97</v>
      </c>
      <c r="I745" s="84">
        <v>14</v>
      </c>
      <c r="J745" s="85">
        <v>14</v>
      </c>
      <c r="K745" s="86">
        <v>14</v>
      </c>
      <c r="L745" s="87"/>
      <c r="M745" s="88"/>
      <c r="N745" s="89">
        <v>14</v>
      </c>
      <c r="O745" s="90"/>
      <c r="P745" s="79"/>
      <c r="Q745" s="80"/>
      <c r="S745" s="12">
        <v>14</v>
      </c>
      <c r="T745" s="26">
        <v>4000</v>
      </c>
      <c r="U745" s="12">
        <f t="shared" si="20"/>
        <v>56000</v>
      </c>
    </row>
    <row r="746" spans="1:22">
      <c r="A746" s="17">
        <v>7</v>
      </c>
      <c r="B746" s="81" t="s">
        <v>86</v>
      </c>
      <c r="C746" s="82" t="s">
        <v>86</v>
      </c>
      <c r="D746" s="82" t="s">
        <v>86</v>
      </c>
      <c r="E746" s="82" t="s">
        <v>86</v>
      </c>
      <c r="F746" s="82" t="s">
        <v>86</v>
      </c>
      <c r="G746" s="83" t="s">
        <v>86</v>
      </c>
      <c r="H746" s="29" t="s">
        <v>97</v>
      </c>
      <c r="I746" s="84">
        <v>30</v>
      </c>
      <c r="J746" s="85">
        <v>30</v>
      </c>
      <c r="K746" s="86">
        <v>30</v>
      </c>
      <c r="L746" s="87"/>
      <c r="M746" s="88"/>
      <c r="N746" s="89">
        <v>30</v>
      </c>
      <c r="O746" s="90"/>
      <c r="P746" s="93"/>
      <c r="Q746" s="93"/>
      <c r="S746" s="12">
        <v>30</v>
      </c>
      <c r="T746" s="26">
        <v>4000</v>
      </c>
      <c r="U746" s="12">
        <f t="shared" si="20"/>
        <v>120000</v>
      </c>
    </row>
    <row r="747" spans="1:22">
      <c r="A747" s="17">
        <v>8</v>
      </c>
      <c r="B747" s="81" t="s">
        <v>87</v>
      </c>
      <c r="C747" s="82" t="s">
        <v>87</v>
      </c>
      <c r="D747" s="82" t="s">
        <v>87</v>
      </c>
      <c r="E747" s="82" t="s">
        <v>87</v>
      </c>
      <c r="F747" s="82" t="s">
        <v>87</v>
      </c>
      <c r="G747" s="83" t="s">
        <v>87</v>
      </c>
      <c r="H747" s="30" t="s">
        <v>25</v>
      </c>
      <c r="I747" s="84">
        <v>1</v>
      </c>
      <c r="J747" s="85">
        <v>1</v>
      </c>
      <c r="K747" s="86">
        <v>1</v>
      </c>
      <c r="L747" s="94"/>
      <c r="M747" s="95"/>
      <c r="N747" s="94">
        <v>1</v>
      </c>
      <c r="O747" s="95"/>
      <c r="P747" s="93"/>
      <c r="Q747" s="93"/>
      <c r="S747" s="16">
        <v>1</v>
      </c>
      <c r="T747" s="26">
        <v>31000</v>
      </c>
      <c r="U747" s="12">
        <f t="shared" si="20"/>
        <v>31000</v>
      </c>
    </row>
    <row r="748" spans="1:22">
      <c r="A748" s="17">
        <v>9</v>
      </c>
      <c r="B748" s="81" t="s">
        <v>88</v>
      </c>
      <c r="C748" s="82" t="s">
        <v>88</v>
      </c>
      <c r="D748" s="82" t="s">
        <v>88</v>
      </c>
      <c r="E748" s="82" t="s">
        <v>88</v>
      </c>
      <c r="F748" s="82" t="s">
        <v>88</v>
      </c>
      <c r="G748" s="83" t="s">
        <v>88</v>
      </c>
      <c r="H748" s="30" t="s">
        <v>25</v>
      </c>
      <c r="I748" s="84">
        <v>1</v>
      </c>
      <c r="J748" s="85">
        <v>1</v>
      </c>
      <c r="K748" s="86">
        <v>1</v>
      </c>
      <c r="L748" s="87"/>
      <c r="M748" s="88"/>
      <c r="N748" s="89"/>
      <c r="O748" s="90"/>
      <c r="P748" s="93"/>
      <c r="Q748" s="93"/>
      <c r="S748" s="12"/>
      <c r="T748" s="26">
        <v>30121</v>
      </c>
      <c r="U748" s="12">
        <f t="shared" si="20"/>
        <v>0</v>
      </c>
    </row>
    <row r="749" spans="1:22">
      <c r="A749" s="17">
        <v>10</v>
      </c>
      <c r="B749" s="81" t="s">
        <v>89</v>
      </c>
      <c r="C749" s="82"/>
      <c r="D749" s="82"/>
      <c r="E749" s="82"/>
      <c r="F749" s="82"/>
      <c r="G749" s="83"/>
      <c r="H749" s="30" t="s">
        <v>98</v>
      </c>
      <c r="I749" s="84">
        <v>3</v>
      </c>
      <c r="J749" s="85"/>
      <c r="K749" s="86"/>
      <c r="L749" s="87"/>
      <c r="M749" s="88"/>
      <c r="N749" s="89">
        <v>3</v>
      </c>
      <c r="O749" s="90"/>
      <c r="P749" s="91"/>
      <c r="Q749" s="92"/>
      <c r="S749" s="12">
        <v>3</v>
      </c>
      <c r="T749" s="26">
        <v>14500</v>
      </c>
      <c r="U749" s="12">
        <f t="shared" si="20"/>
        <v>43500</v>
      </c>
    </row>
    <row r="750" spans="1:22">
      <c r="A750" s="17">
        <v>11</v>
      </c>
      <c r="B750" s="81" t="s">
        <v>90</v>
      </c>
      <c r="C750" s="82"/>
      <c r="D750" s="82"/>
      <c r="E750" s="82"/>
      <c r="F750" s="82"/>
      <c r="G750" s="83"/>
      <c r="H750" s="29" t="s">
        <v>67</v>
      </c>
      <c r="I750" s="84">
        <v>6</v>
      </c>
      <c r="J750" s="85"/>
      <c r="K750" s="86"/>
      <c r="L750" s="87"/>
      <c r="M750" s="88"/>
      <c r="N750" s="89">
        <v>6</v>
      </c>
      <c r="O750" s="90"/>
      <c r="P750" s="91"/>
      <c r="Q750" s="92"/>
      <c r="S750" s="12">
        <v>6</v>
      </c>
      <c r="T750" s="26">
        <v>3500</v>
      </c>
      <c r="U750" s="12">
        <f t="shared" si="20"/>
        <v>21000</v>
      </c>
    </row>
    <row r="751" spans="1:22">
      <c r="A751" s="17">
        <v>12</v>
      </c>
      <c r="B751" s="81" t="s">
        <v>91</v>
      </c>
      <c r="C751" s="82" t="s">
        <v>89</v>
      </c>
      <c r="D751" s="82" t="s">
        <v>89</v>
      </c>
      <c r="E751" s="82" t="s">
        <v>89</v>
      </c>
      <c r="F751" s="82" t="s">
        <v>89</v>
      </c>
      <c r="G751" s="83" t="s">
        <v>89</v>
      </c>
      <c r="H751" s="29" t="s">
        <v>67</v>
      </c>
      <c r="I751" s="84">
        <v>10</v>
      </c>
      <c r="J751" s="85">
        <v>10</v>
      </c>
      <c r="K751" s="86">
        <v>10</v>
      </c>
      <c r="L751" s="87">
        <v>10</v>
      </c>
      <c r="M751" s="88"/>
      <c r="N751" s="89">
        <v>10</v>
      </c>
      <c r="O751" s="90"/>
      <c r="P751" s="93"/>
      <c r="Q751" s="93"/>
      <c r="S751" s="12">
        <v>10</v>
      </c>
      <c r="T751" s="26">
        <v>3000</v>
      </c>
      <c r="U751" s="12">
        <f t="shared" si="20"/>
        <v>30000</v>
      </c>
      <c r="V751" s="22">
        <f>SUM(U740:U751)</f>
        <v>560500</v>
      </c>
    </row>
    <row r="752" spans="1:22">
      <c r="A752" s="17" t="s">
        <v>76</v>
      </c>
      <c r="B752" s="71" t="s">
        <v>92</v>
      </c>
      <c r="C752" s="72"/>
      <c r="D752" s="72"/>
      <c r="E752" s="72"/>
      <c r="F752" s="72"/>
      <c r="G752" s="73"/>
      <c r="H752" s="30" t="s">
        <v>24</v>
      </c>
      <c r="I752" s="84">
        <v>1</v>
      </c>
      <c r="J752" s="85">
        <v>10</v>
      </c>
      <c r="K752" s="86">
        <v>10</v>
      </c>
      <c r="L752" s="77"/>
      <c r="M752" s="78"/>
      <c r="N752" s="77">
        <v>1</v>
      </c>
      <c r="O752" s="78"/>
      <c r="P752" s="79"/>
      <c r="Q752" s="80"/>
      <c r="S752" s="12">
        <v>1</v>
      </c>
      <c r="T752" s="25">
        <v>10391</v>
      </c>
      <c r="U752" s="12">
        <f>S752*T752</f>
        <v>10391</v>
      </c>
      <c r="V752" s="27"/>
    </row>
    <row r="753" spans="1:21">
      <c r="A753" s="23" t="s">
        <v>68</v>
      </c>
      <c r="B753" s="71" t="s">
        <v>93</v>
      </c>
      <c r="C753" s="72"/>
      <c r="D753" s="72"/>
      <c r="E753" s="72"/>
      <c r="F753" s="72"/>
      <c r="G753" s="73"/>
      <c r="H753" s="30" t="s">
        <v>24</v>
      </c>
      <c r="I753" s="74">
        <v>1</v>
      </c>
      <c r="J753" s="75"/>
      <c r="K753" s="76"/>
      <c r="L753" s="77">
        <f>N753-N680</f>
        <v>2.8871138485227599E-2</v>
      </c>
      <c r="M753" s="78"/>
      <c r="N753" s="77">
        <f>S753</f>
        <v>0.53940910403233566</v>
      </c>
      <c r="O753" s="78"/>
      <c r="P753" s="77"/>
      <c r="Q753" s="78"/>
      <c r="S753" s="21">
        <f>V751*0.01/T753</f>
        <v>0.53940910403233566</v>
      </c>
      <c r="T753" s="25">
        <v>10391</v>
      </c>
      <c r="U753" s="12">
        <f t="shared" ref="U753:U754" si="21">S753*T753</f>
        <v>5605</v>
      </c>
    </row>
    <row r="754" spans="1:21">
      <c r="A754" s="23" t="s">
        <v>69</v>
      </c>
      <c r="B754" s="58" t="s">
        <v>94</v>
      </c>
      <c r="C754" s="59" t="s">
        <v>70</v>
      </c>
      <c r="D754" s="59" t="s">
        <v>70</v>
      </c>
      <c r="E754" s="59" t="s">
        <v>70</v>
      </c>
      <c r="F754" s="59" t="s">
        <v>70</v>
      </c>
      <c r="G754" s="60" t="s">
        <v>70</v>
      </c>
      <c r="H754" s="30" t="s">
        <v>24</v>
      </c>
      <c r="I754" s="74">
        <v>1</v>
      </c>
      <c r="J754" s="75"/>
      <c r="K754" s="76"/>
      <c r="L754" s="77">
        <f>N754-N681</f>
        <v>2.8870344656924174E-2</v>
      </c>
      <c r="M754" s="78"/>
      <c r="N754" s="77">
        <f>S754</f>
        <v>0.53939427267353146</v>
      </c>
      <c r="O754" s="78"/>
      <c r="P754" s="77"/>
      <c r="Q754" s="78"/>
      <c r="S754" s="21">
        <f>V751*0.07/T754</f>
        <v>0.53939427267353146</v>
      </c>
      <c r="T754" s="25">
        <v>72739</v>
      </c>
      <c r="U754" s="12">
        <f t="shared" si="21"/>
        <v>39235.000000000007</v>
      </c>
    </row>
    <row r="755" spans="1:21">
      <c r="A755" s="23" t="s">
        <v>71</v>
      </c>
      <c r="B755" s="58" t="s">
        <v>95</v>
      </c>
      <c r="C755" s="59" t="s">
        <v>72</v>
      </c>
      <c r="D755" s="59" t="s">
        <v>72</v>
      </c>
      <c r="E755" s="59" t="s">
        <v>72</v>
      </c>
      <c r="F755" s="59" t="s">
        <v>72</v>
      </c>
      <c r="G755" s="60" t="s">
        <v>72</v>
      </c>
      <c r="H755" s="30" t="s">
        <v>24</v>
      </c>
      <c r="I755" s="74">
        <v>1</v>
      </c>
      <c r="J755" s="75"/>
      <c r="K755" s="76"/>
      <c r="L755" s="77"/>
      <c r="M755" s="78"/>
      <c r="N755" s="77">
        <f>S755</f>
        <v>1</v>
      </c>
      <c r="O755" s="78"/>
      <c r="P755" s="77"/>
      <c r="Q755" s="78"/>
      <c r="S755" s="21">
        <v>1</v>
      </c>
      <c r="T755" s="25">
        <v>4156</v>
      </c>
      <c r="U755" s="12">
        <f>S755*T755</f>
        <v>4156</v>
      </c>
    </row>
    <row r="756" spans="1:21">
      <c r="A756" s="23" t="s">
        <v>73</v>
      </c>
      <c r="B756" s="58" t="s">
        <v>96</v>
      </c>
      <c r="C756" s="59" t="s">
        <v>74</v>
      </c>
      <c r="D756" s="59" t="s">
        <v>74</v>
      </c>
      <c r="E756" s="59" t="s">
        <v>74</v>
      </c>
      <c r="F756" s="59" t="s">
        <v>74</v>
      </c>
      <c r="G756" s="60" t="s">
        <v>74</v>
      </c>
      <c r="H756" s="30" t="s">
        <v>24</v>
      </c>
      <c r="I756" s="74">
        <v>1</v>
      </c>
      <c r="J756" s="75"/>
      <c r="K756" s="76"/>
      <c r="L756" s="77">
        <f>N756-N683</f>
        <v>2.9501055594651659E-2</v>
      </c>
      <c r="M756" s="78"/>
      <c r="N756" s="77">
        <f>S756</f>
        <v>0.54529116819141454</v>
      </c>
      <c r="O756" s="78"/>
      <c r="P756" s="79"/>
      <c r="Q756" s="80"/>
      <c r="S756" s="21">
        <f>(V751+U752+U753+U754+U755)*0.05/T756</f>
        <v>0.54529116819141454</v>
      </c>
      <c r="T756" s="25">
        <v>56840</v>
      </c>
      <c r="U756" s="12">
        <f>S756*T756</f>
        <v>30994.350000000002</v>
      </c>
    </row>
    <row r="757" spans="1:21">
      <c r="A757" s="23"/>
      <c r="B757" s="58"/>
      <c r="C757" s="59"/>
      <c r="D757" s="59"/>
      <c r="E757" s="59"/>
      <c r="F757" s="59"/>
      <c r="G757" s="60"/>
      <c r="H757" s="24"/>
      <c r="I757" s="58"/>
      <c r="J757" s="59"/>
      <c r="K757" s="59"/>
      <c r="L757" s="58"/>
      <c r="M757" s="59"/>
      <c r="N757" s="58"/>
      <c r="O757" s="59"/>
      <c r="P757" s="58"/>
      <c r="Q757" s="60"/>
      <c r="S757" s="21"/>
      <c r="T757" s="25"/>
      <c r="U757" s="28">
        <f>V751+U752+U753+U754+U755+U756</f>
        <v>650881.35</v>
      </c>
    </row>
    <row r="758" spans="1:21">
      <c r="A758" s="23"/>
      <c r="B758" s="58"/>
      <c r="C758" s="59"/>
      <c r="D758" s="59"/>
      <c r="E758" s="59"/>
      <c r="F758" s="59"/>
      <c r="G758" s="60"/>
      <c r="H758" s="23"/>
      <c r="I758" s="58"/>
      <c r="J758" s="59"/>
      <c r="K758" s="59"/>
      <c r="L758" s="58"/>
      <c r="M758" s="59"/>
      <c r="N758" s="58"/>
      <c r="O758" s="59"/>
      <c r="P758" s="58"/>
      <c r="Q758" s="60"/>
      <c r="S758" s="21"/>
      <c r="T758" s="16"/>
      <c r="U758" s="14">
        <v>1193638</v>
      </c>
    </row>
    <row r="759" spans="1:21">
      <c r="A759" s="9"/>
      <c r="B759" s="58"/>
      <c r="C759" s="59"/>
      <c r="D759" s="59"/>
      <c r="E759" s="59"/>
      <c r="F759" s="59"/>
      <c r="G759" s="60"/>
      <c r="H759" s="9"/>
      <c r="I759" s="58"/>
      <c r="J759" s="59"/>
      <c r="K759" s="59"/>
      <c r="L759" s="58"/>
      <c r="M759" s="59"/>
      <c r="N759" s="58"/>
      <c r="O759" s="59"/>
      <c r="P759" s="58"/>
      <c r="Q759" s="60"/>
      <c r="S759" s="21"/>
      <c r="T759" s="16"/>
      <c r="U759" s="15">
        <f>U757/U758</f>
        <v>0.54529208185396238</v>
      </c>
    </row>
    <row r="760" spans="1:21">
      <c r="A760" s="9"/>
      <c r="B760" s="58"/>
      <c r="C760" s="59"/>
      <c r="D760" s="59"/>
      <c r="E760" s="59"/>
      <c r="F760" s="59"/>
      <c r="G760" s="60"/>
      <c r="H760" s="9"/>
      <c r="I760" s="58"/>
      <c r="J760" s="59"/>
      <c r="K760" s="59"/>
      <c r="L760" s="58"/>
      <c r="M760" s="59"/>
      <c r="N760" s="58"/>
      <c r="O760" s="59"/>
      <c r="P760" s="58"/>
      <c r="Q760" s="60"/>
      <c r="S760" s="21"/>
      <c r="T760" s="16"/>
      <c r="U760" s="12"/>
    </row>
    <row r="761" spans="1:21">
      <c r="A761" s="9"/>
      <c r="B761" s="58"/>
      <c r="C761" s="59"/>
      <c r="D761" s="59"/>
      <c r="E761" s="59"/>
      <c r="F761" s="59"/>
      <c r="G761" s="60"/>
      <c r="H761" s="9"/>
      <c r="I761" s="58"/>
      <c r="J761" s="59"/>
      <c r="K761" s="59"/>
      <c r="L761" s="58"/>
      <c r="M761" s="59"/>
      <c r="N761" s="58"/>
      <c r="O761" s="59"/>
      <c r="P761" s="58"/>
      <c r="Q761" s="60"/>
      <c r="S761" s="21"/>
      <c r="T761" s="16"/>
      <c r="U761" s="12"/>
    </row>
    <row r="762" spans="1:21">
      <c r="A762" s="9"/>
      <c r="B762" s="58"/>
      <c r="C762" s="59"/>
      <c r="D762" s="59"/>
      <c r="E762" s="59"/>
      <c r="F762" s="59"/>
      <c r="G762" s="60"/>
      <c r="H762" s="9"/>
      <c r="I762" s="58"/>
      <c r="J762" s="59"/>
      <c r="K762" s="59"/>
      <c r="L762" s="58"/>
      <c r="M762" s="59"/>
      <c r="N762" s="58"/>
      <c r="O762" s="59"/>
      <c r="P762" s="58"/>
      <c r="Q762" s="60"/>
      <c r="S762" s="21"/>
      <c r="T762" s="16"/>
      <c r="U762" s="12"/>
    </row>
    <row r="763" spans="1:21">
      <c r="A763" s="9"/>
      <c r="B763" s="58"/>
      <c r="C763" s="59"/>
      <c r="D763" s="59"/>
      <c r="E763" s="59"/>
      <c r="F763" s="59"/>
      <c r="G763" s="60"/>
      <c r="H763" s="9"/>
      <c r="I763" s="58"/>
      <c r="J763" s="59"/>
      <c r="K763" s="59"/>
      <c r="L763" s="58"/>
      <c r="M763" s="59"/>
      <c r="N763" s="58"/>
      <c r="O763" s="59"/>
      <c r="P763" s="58"/>
      <c r="Q763" s="60"/>
      <c r="S763" s="21"/>
      <c r="T763" s="16"/>
      <c r="U763" s="12"/>
    </row>
    <row r="764" spans="1:21">
      <c r="A764" s="7"/>
      <c r="B764" s="61"/>
      <c r="C764" s="62"/>
      <c r="D764" s="62"/>
      <c r="E764" s="62"/>
      <c r="F764" s="62"/>
      <c r="G764" s="63"/>
      <c r="H764" s="9"/>
      <c r="I764" s="64"/>
      <c r="J764" s="65"/>
      <c r="K764" s="66"/>
      <c r="L764" s="67"/>
      <c r="M764" s="68"/>
      <c r="N764" s="67"/>
      <c r="O764" s="68"/>
      <c r="P764" s="69"/>
      <c r="Q764" s="70"/>
      <c r="S764" s="21"/>
      <c r="T764" s="16"/>
    </row>
    <row r="765" spans="1:21">
      <c r="A765" s="44" t="s">
        <v>29</v>
      </c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T765" s="20"/>
    </row>
    <row r="766" spans="1:21">
      <c r="A766" s="44" t="s">
        <v>30</v>
      </c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T766" s="20"/>
    </row>
    <row r="767" spans="1:21">
      <c r="A767" s="44" t="s">
        <v>31</v>
      </c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T767" s="20"/>
    </row>
    <row r="768" spans="1:21">
      <c r="A768" s="44" t="s">
        <v>32</v>
      </c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T768" s="20"/>
    </row>
    <row r="769" spans="1:20">
      <c r="A769" s="54" t="s">
        <v>33</v>
      </c>
      <c r="B769" s="54"/>
      <c r="C769" s="54"/>
      <c r="D769" s="54"/>
      <c r="E769" s="54"/>
      <c r="F769" s="54"/>
      <c r="G769" s="54"/>
      <c r="H769" s="54" t="s">
        <v>20</v>
      </c>
      <c r="I769" s="54"/>
      <c r="J769" s="54"/>
      <c r="K769" s="54" t="s">
        <v>34</v>
      </c>
      <c r="L769" s="54"/>
      <c r="M769" s="54" t="s">
        <v>35</v>
      </c>
      <c r="N769" s="54"/>
      <c r="O769" s="54" t="s">
        <v>36</v>
      </c>
      <c r="P769" s="54"/>
      <c r="Q769" s="54"/>
      <c r="T769" s="20"/>
    </row>
    <row r="770" spans="1:20">
      <c r="A770" s="55"/>
      <c r="B770" s="56"/>
      <c r="C770" s="56"/>
      <c r="D770" s="56"/>
      <c r="E770" s="56"/>
      <c r="F770" s="56"/>
      <c r="G770" s="57"/>
      <c r="H770" s="55"/>
      <c r="I770" s="56"/>
      <c r="J770" s="57"/>
      <c r="K770" s="55"/>
      <c r="L770" s="56"/>
      <c r="M770" s="55"/>
      <c r="N770" s="56"/>
      <c r="O770" s="55"/>
      <c r="P770" s="56"/>
      <c r="Q770" s="57"/>
      <c r="T770" s="20"/>
    </row>
    <row r="771" spans="1:20">
      <c r="A771" s="55"/>
      <c r="B771" s="56"/>
      <c r="C771" s="56"/>
      <c r="D771" s="56"/>
      <c r="E771" s="56"/>
      <c r="F771" s="56"/>
      <c r="G771" s="57"/>
      <c r="H771" s="55"/>
      <c r="I771" s="56"/>
      <c r="J771" s="57"/>
      <c r="K771" s="55"/>
      <c r="L771" s="56"/>
      <c r="M771" s="55"/>
      <c r="N771" s="56"/>
      <c r="O771" s="55"/>
      <c r="P771" s="56"/>
      <c r="Q771" s="57"/>
      <c r="T771" s="20"/>
    </row>
    <row r="772" spans="1:20">
      <c r="A772" s="53"/>
      <c r="B772" s="53"/>
      <c r="C772" s="53"/>
      <c r="D772" s="53"/>
      <c r="E772" s="53"/>
      <c r="F772" s="53"/>
      <c r="G772" s="53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T772" s="20"/>
    </row>
    <row r="773" spans="1:20">
      <c r="A773" s="53"/>
      <c r="B773" s="53"/>
      <c r="C773" s="53"/>
      <c r="D773" s="53"/>
      <c r="E773" s="53"/>
      <c r="F773" s="53"/>
      <c r="G773" s="53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T773" s="20"/>
    </row>
    <row r="774" spans="1:20">
      <c r="A774" s="44" t="s">
        <v>37</v>
      </c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T774" s="20"/>
    </row>
    <row r="775" spans="1:20">
      <c r="A775" s="46" t="s">
        <v>38</v>
      </c>
      <c r="B775" s="46"/>
      <c r="C775" s="47" t="s">
        <v>39</v>
      </c>
      <c r="D775" s="48"/>
      <c r="E775" s="48"/>
      <c r="F775" s="47" t="s">
        <v>40</v>
      </c>
      <c r="G775" s="48"/>
      <c r="H775" s="49"/>
      <c r="I775" s="46" t="s">
        <v>41</v>
      </c>
      <c r="J775" s="46"/>
      <c r="K775" s="46"/>
      <c r="L775" s="46" t="s">
        <v>35</v>
      </c>
      <c r="M775" s="46"/>
      <c r="N775" s="46"/>
      <c r="O775" s="46" t="s">
        <v>36</v>
      </c>
      <c r="P775" s="46"/>
      <c r="Q775" s="46"/>
      <c r="T775" s="20"/>
    </row>
    <row r="776" spans="1:20">
      <c r="A776" s="47" t="s">
        <v>42</v>
      </c>
      <c r="B776" s="49"/>
      <c r="C776" s="47">
        <v>2</v>
      </c>
      <c r="D776" s="48"/>
      <c r="E776" s="49"/>
      <c r="F776" s="47">
        <f>F703+C776</f>
        <v>23</v>
      </c>
      <c r="G776" s="48"/>
      <c r="H776" s="49"/>
      <c r="I776" s="47"/>
      <c r="J776" s="48"/>
      <c r="K776" s="49"/>
      <c r="L776" s="47"/>
      <c r="M776" s="48"/>
      <c r="N776" s="49"/>
      <c r="O776" s="47"/>
      <c r="P776" s="48"/>
      <c r="Q776" s="49"/>
      <c r="T776" s="20"/>
    </row>
    <row r="777" spans="1:20">
      <c r="A777" s="47" t="s">
        <v>100</v>
      </c>
      <c r="B777" s="49"/>
      <c r="C777" s="47"/>
      <c r="D777" s="48"/>
      <c r="E777" s="49"/>
      <c r="F777" s="47">
        <f>F704+C777</f>
        <v>2</v>
      </c>
      <c r="G777" s="48"/>
      <c r="H777" s="49"/>
      <c r="I777" s="47"/>
      <c r="J777" s="48"/>
      <c r="K777" s="49"/>
      <c r="L777" s="47"/>
      <c r="M777" s="48"/>
      <c r="N777" s="49"/>
      <c r="O777" s="47"/>
      <c r="P777" s="48"/>
      <c r="Q777" s="49"/>
      <c r="T777" s="20"/>
    </row>
    <row r="778" spans="1:20">
      <c r="A778" s="47"/>
      <c r="B778" s="49"/>
      <c r="C778" s="47"/>
      <c r="D778" s="48"/>
      <c r="E778" s="49"/>
      <c r="F778" s="47"/>
      <c r="G778" s="48"/>
      <c r="H778" s="49"/>
      <c r="I778" s="47"/>
      <c r="J778" s="48"/>
      <c r="K778" s="49"/>
      <c r="L778" s="47"/>
      <c r="M778" s="48"/>
      <c r="N778" s="49"/>
      <c r="O778" s="47"/>
      <c r="P778" s="48"/>
      <c r="Q778" s="49"/>
      <c r="T778" s="20"/>
    </row>
    <row r="779" spans="1:20">
      <c r="A779" s="46"/>
      <c r="B779" s="46"/>
      <c r="C779" s="47"/>
      <c r="D779" s="48"/>
      <c r="E779" s="49"/>
      <c r="F779" s="47"/>
      <c r="G779" s="48"/>
      <c r="H779" s="49"/>
      <c r="I779" s="47"/>
      <c r="J779" s="48"/>
      <c r="K779" s="49"/>
      <c r="L779" s="47"/>
      <c r="M779" s="48"/>
      <c r="N779" s="49"/>
      <c r="O779" s="47"/>
      <c r="P779" s="48"/>
      <c r="Q779" s="49"/>
      <c r="T779" s="20"/>
    </row>
    <row r="780" spans="1:20">
      <c r="A780" s="46"/>
      <c r="B780" s="46"/>
      <c r="C780" s="47"/>
      <c r="D780" s="48"/>
      <c r="E780" s="49"/>
      <c r="F780" s="47"/>
      <c r="G780" s="48"/>
      <c r="H780" s="49"/>
      <c r="I780" s="47"/>
      <c r="J780" s="48"/>
      <c r="K780" s="49"/>
      <c r="L780" s="47"/>
      <c r="M780" s="48"/>
      <c r="N780" s="49"/>
      <c r="O780" s="47"/>
      <c r="P780" s="48"/>
      <c r="Q780" s="49"/>
      <c r="T780" s="20"/>
    </row>
    <row r="781" spans="1:20">
      <c r="A781" s="50" t="s">
        <v>43</v>
      </c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2"/>
      <c r="T781" s="20"/>
    </row>
    <row r="782" spans="1:20">
      <c r="A782" s="38" t="s">
        <v>44</v>
      </c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40"/>
      <c r="T782" s="20"/>
    </row>
    <row r="783" spans="1:20">
      <c r="A783" s="41" t="s">
        <v>45</v>
      </c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3"/>
      <c r="T783" s="20"/>
    </row>
    <row r="784" spans="1:20">
      <c r="A784" s="50" t="s">
        <v>46</v>
      </c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2"/>
      <c r="T784" s="20"/>
    </row>
    <row r="785" spans="1:20">
      <c r="A785" s="38" t="s">
        <v>47</v>
      </c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40"/>
      <c r="T785" s="20"/>
    </row>
    <row r="786" spans="1:20">
      <c r="A786" s="38" t="s">
        <v>48</v>
      </c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40"/>
      <c r="T786" s="20"/>
    </row>
    <row r="787" spans="1:20">
      <c r="A787" s="38" t="s">
        <v>49</v>
      </c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40"/>
      <c r="T787" s="20"/>
    </row>
    <row r="788" spans="1:20">
      <c r="A788" s="38" t="s">
        <v>50</v>
      </c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40"/>
      <c r="T788" s="20"/>
    </row>
    <row r="789" spans="1:20">
      <c r="A789" s="38" t="s">
        <v>51</v>
      </c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40"/>
      <c r="T789" s="20"/>
    </row>
    <row r="790" spans="1:20">
      <c r="A790" s="41" t="s">
        <v>52</v>
      </c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3"/>
      <c r="T790" s="20"/>
    </row>
    <row r="791" spans="1:20">
      <c r="A791" s="44" t="s">
        <v>53</v>
      </c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T791" s="20"/>
    </row>
    <row r="792" spans="1:20">
      <c r="A792" s="44" t="s">
        <v>54</v>
      </c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T792" s="20"/>
    </row>
    <row r="793" spans="1:20">
      <c r="A793" s="44" t="s">
        <v>99</v>
      </c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T793" s="20"/>
    </row>
    <row r="794" spans="1:20">
      <c r="A794" s="44" t="s">
        <v>55</v>
      </c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T794" s="20"/>
    </row>
    <row r="795" spans="1:20">
      <c r="A795" s="45" t="s">
        <v>56</v>
      </c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T795" s="20"/>
    </row>
    <row r="796" spans="1:20">
      <c r="A796" s="37" t="s">
        <v>57</v>
      </c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T796" s="20"/>
    </row>
    <row r="797" spans="1:20">
      <c r="A797" s="37" t="s">
        <v>58</v>
      </c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T797" s="20"/>
    </row>
    <row r="798" spans="1:20">
      <c r="A798" s="37" t="s">
        <v>59</v>
      </c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T798" s="20"/>
    </row>
    <row r="799" spans="1:20">
      <c r="A799" s="37" t="s">
        <v>60</v>
      </c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T799" s="20"/>
    </row>
    <row r="800" spans="1:20">
      <c r="A800" s="37" t="s">
        <v>61</v>
      </c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T800" s="20"/>
    </row>
    <row r="801" spans="1:21">
      <c r="A801" s="37" t="s">
        <v>62</v>
      </c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T801" s="20"/>
    </row>
    <row r="802" spans="1:21">
      <c r="A802" s="37" t="s">
        <v>63</v>
      </c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T802" s="20"/>
    </row>
    <row r="803" spans="1:21">
      <c r="A803" s="37" t="s">
        <v>75</v>
      </c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T803" s="20"/>
    </row>
    <row r="804" spans="1:21" ht="39" customHeight="1">
      <c r="B804" s="120" t="s">
        <v>0</v>
      </c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T804" s="20"/>
    </row>
    <row r="805" spans="1:21">
      <c r="B805" s="6" t="s">
        <v>1</v>
      </c>
      <c r="C805" s="121" t="s">
        <v>2</v>
      </c>
      <c r="D805" s="121"/>
      <c r="E805" s="1" t="s">
        <v>3</v>
      </c>
      <c r="F805" s="121" t="s">
        <v>4</v>
      </c>
      <c r="G805" s="121"/>
      <c r="H805" s="1" t="s">
        <v>3</v>
      </c>
      <c r="I805" s="1"/>
      <c r="J805" s="121" t="s">
        <v>5</v>
      </c>
      <c r="K805" s="121"/>
      <c r="L805" s="121"/>
      <c r="M805" s="122">
        <f>M732+1</f>
        <v>46238</v>
      </c>
      <c r="N805" s="122"/>
      <c r="O805" s="122"/>
      <c r="P805" s="123"/>
      <c r="Q805" s="123"/>
      <c r="T805" s="20"/>
    </row>
    <row r="806" spans="1:21">
      <c r="A806" s="96" t="s">
        <v>6</v>
      </c>
      <c r="B806" s="96"/>
      <c r="C806" s="124" t="s">
        <v>79</v>
      </c>
      <c r="D806" s="125"/>
      <c r="E806" s="125"/>
      <c r="F806" s="125"/>
      <c r="G806" s="125"/>
      <c r="H806" s="125"/>
      <c r="I806" s="126"/>
      <c r="J806" s="127" t="s">
        <v>7</v>
      </c>
      <c r="K806" s="128"/>
      <c r="L806" s="128"/>
      <c r="M806" s="129"/>
      <c r="N806" s="130" t="s">
        <v>78</v>
      </c>
      <c r="O806" s="130"/>
      <c r="P806" s="130"/>
      <c r="Q806" s="131"/>
      <c r="T806" s="20"/>
    </row>
    <row r="807" spans="1:21">
      <c r="A807" s="96" t="s">
        <v>8</v>
      </c>
      <c r="B807" s="96"/>
      <c r="C807" s="4">
        <v>30</v>
      </c>
      <c r="D807" s="3" t="s">
        <v>9</v>
      </c>
      <c r="E807" s="127" t="s">
        <v>10</v>
      </c>
      <c r="F807" s="129"/>
      <c r="G807" s="127">
        <f>G734+1</f>
        <v>12</v>
      </c>
      <c r="H807" s="128"/>
      <c r="I807" s="3" t="s">
        <v>9</v>
      </c>
      <c r="J807" s="96" t="s">
        <v>11</v>
      </c>
      <c r="K807" s="96"/>
      <c r="L807" s="5">
        <f>C807-G807</f>
        <v>18</v>
      </c>
      <c r="M807" s="2" t="s">
        <v>9</v>
      </c>
      <c r="N807" s="96" t="s">
        <v>12</v>
      </c>
      <c r="O807" s="96"/>
      <c r="P807" s="2"/>
      <c r="Q807" s="3" t="s">
        <v>9</v>
      </c>
      <c r="T807" s="20"/>
    </row>
    <row r="808" spans="1:21">
      <c r="A808" s="96" t="s">
        <v>13</v>
      </c>
      <c r="B808" s="96"/>
      <c r="C808" s="132">
        <v>46227</v>
      </c>
      <c r="D808" s="132"/>
      <c r="E808" s="132"/>
      <c r="F808" s="132"/>
      <c r="G808" s="132"/>
      <c r="H808" s="132"/>
      <c r="I808" s="132"/>
      <c r="J808" s="127" t="s">
        <v>14</v>
      </c>
      <c r="K808" s="128"/>
      <c r="L808" s="128"/>
      <c r="M808" s="129"/>
      <c r="N808" s="133">
        <v>46256</v>
      </c>
      <c r="O808" s="134"/>
      <c r="P808" s="134"/>
      <c r="Q808" s="135"/>
      <c r="T808" s="20"/>
    </row>
    <row r="809" spans="1:21">
      <c r="A809" s="96" t="s">
        <v>15</v>
      </c>
      <c r="B809" s="96"/>
      <c r="C809" s="97"/>
      <c r="D809" s="98"/>
      <c r="E809" s="98"/>
      <c r="F809" s="98"/>
      <c r="G809" s="98"/>
      <c r="H809" s="99" t="s">
        <v>16</v>
      </c>
      <c r="I809" s="100"/>
      <c r="J809" s="101" t="s">
        <v>17</v>
      </c>
      <c r="K809" s="101"/>
      <c r="L809" s="101"/>
      <c r="M809" s="101"/>
      <c r="N809" s="102">
        <f>U832</f>
        <v>0.54529208185396238</v>
      </c>
      <c r="O809" s="102"/>
      <c r="P809" s="102"/>
      <c r="Q809" s="102"/>
      <c r="T809" s="20"/>
    </row>
    <row r="810" spans="1:21">
      <c r="A810" s="103" t="s">
        <v>18</v>
      </c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5"/>
      <c r="T810" s="20"/>
    </row>
    <row r="811" spans="1:21">
      <c r="A811" s="7"/>
      <c r="B811" s="106" t="s">
        <v>19</v>
      </c>
      <c r="C811" s="107"/>
      <c r="D811" s="107"/>
      <c r="E811" s="107"/>
      <c r="F811" s="107"/>
      <c r="G811" s="108"/>
      <c r="H811" s="8" t="s">
        <v>20</v>
      </c>
      <c r="I811" s="109" t="s">
        <v>21</v>
      </c>
      <c r="J811" s="110"/>
      <c r="K811" s="111"/>
      <c r="L811" s="109" t="s">
        <v>28</v>
      </c>
      <c r="M811" s="111"/>
      <c r="N811" s="106" t="s">
        <v>22</v>
      </c>
      <c r="O811" s="112"/>
      <c r="P811" s="113" t="s">
        <v>23</v>
      </c>
      <c r="Q811" s="113"/>
      <c r="S811" s="18" t="s">
        <v>22</v>
      </c>
      <c r="T811" s="19" t="s">
        <v>64</v>
      </c>
      <c r="U811" s="13" t="s">
        <v>27</v>
      </c>
    </row>
    <row r="812" spans="1:21">
      <c r="A812" s="17" t="s">
        <v>65</v>
      </c>
      <c r="B812" s="114" t="s">
        <v>66</v>
      </c>
      <c r="C812" s="115"/>
      <c r="D812" s="115"/>
      <c r="E812" s="115"/>
      <c r="F812" s="115"/>
      <c r="G812" s="116"/>
      <c r="H812" s="17"/>
      <c r="I812" s="117"/>
      <c r="J812" s="118"/>
      <c r="K812" s="119"/>
      <c r="L812" s="77"/>
      <c r="M812" s="78"/>
      <c r="N812" s="77"/>
      <c r="O812" s="78"/>
      <c r="P812" s="93"/>
      <c r="Q812" s="93"/>
      <c r="S812" s="16"/>
      <c r="T812" s="16"/>
      <c r="U812" s="16" t="s">
        <v>26</v>
      </c>
    </row>
    <row r="813" spans="1:21">
      <c r="A813" s="17">
        <v>1</v>
      </c>
      <c r="B813" s="81" t="s">
        <v>80</v>
      </c>
      <c r="C813" s="82"/>
      <c r="D813" s="82"/>
      <c r="E813" s="82"/>
      <c r="F813" s="82"/>
      <c r="G813" s="83"/>
      <c r="H813" s="29" t="s">
        <v>67</v>
      </c>
      <c r="I813" s="84">
        <v>18</v>
      </c>
      <c r="J813" s="85"/>
      <c r="K813" s="86"/>
      <c r="L813" s="87"/>
      <c r="M813" s="88"/>
      <c r="N813" s="89"/>
      <c r="O813" s="90"/>
      <c r="P813" s="93"/>
      <c r="Q813" s="93"/>
      <c r="S813" s="12"/>
      <c r="T813" s="26">
        <v>18000</v>
      </c>
      <c r="U813" s="12">
        <f>S813*T813</f>
        <v>0</v>
      </c>
    </row>
    <row r="814" spans="1:21" ht="32.1" customHeight="1">
      <c r="A814" s="17">
        <v>2</v>
      </c>
      <c r="B814" s="81" t="s">
        <v>81</v>
      </c>
      <c r="C814" s="82" t="s">
        <v>81</v>
      </c>
      <c r="D814" s="82" t="s">
        <v>81</v>
      </c>
      <c r="E814" s="82" t="s">
        <v>81</v>
      </c>
      <c r="F814" s="82" t="s">
        <v>81</v>
      </c>
      <c r="G814" s="83" t="s">
        <v>81</v>
      </c>
      <c r="H814" s="29" t="s">
        <v>97</v>
      </c>
      <c r="I814" s="84">
        <v>166</v>
      </c>
      <c r="J814" s="85"/>
      <c r="K814" s="86"/>
      <c r="L814" s="87"/>
      <c r="M814" s="88"/>
      <c r="N814" s="89"/>
      <c r="O814" s="90"/>
      <c r="P814" s="93"/>
      <c r="Q814" s="93"/>
      <c r="S814" s="12"/>
      <c r="T814" s="26">
        <v>750</v>
      </c>
      <c r="U814" s="12">
        <f t="shared" ref="U814:U824" si="22">S814*T814</f>
        <v>0</v>
      </c>
    </row>
    <row r="815" spans="1:21">
      <c r="A815" s="17">
        <v>3</v>
      </c>
      <c r="B815" s="81" t="s">
        <v>82</v>
      </c>
      <c r="C815" s="82" t="s">
        <v>82</v>
      </c>
      <c r="D815" s="82" t="s">
        <v>82</v>
      </c>
      <c r="E815" s="82" t="s">
        <v>82</v>
      </c>
      <c r="F815" s="82" t="s">
        <v>82</v>
      </c>
      <c r="G815" s="83" t="s">
        <v>82</v>
      </c>
      <c r="H815" s="29" t="s">
        <v>97</v>
      </c>
      <c r="I815" s="84">
        <v>540</v>
      </c>
      <c r="J815" s="85">
        <v>540</v>
      </c>
      <c r="K815" s="86">
        <v>540</v>
      </c>
      <c r="L815" s="87"/>
      <c r="M815" s="88"/>
      <c r="N815" s="89">
        <v>540</v>
      </c>
      <c r="O815" s="90"/>
      <c r="P815" s="93"/>
      <c r="Q815" s="93"/>
      <c r="S815" s="12">
        <v>540</v>
      </c>
      <c r="T815" s="26">
        <v>340</v>
      </c>
      <c r="U815" s="12">
        <f t="shared" si="22"/>
        <v>183600</v>
      </c>
    </row>
    <row r="816" spans="1:21">
      <c r="A816" s="17">
        <v>4</v>
      </c>
      <c r="B816" s="81" t="s">
        <v>83</v>
      </c>
      <c r="C816" s="82" t="s">
        <v>83</v>
      </c>
      <c r="D816" s="82" t="s">
        <v>83</v>
      </c>
      <c r="E816" s="82" t="s">
        <v>83</v>
      </c>
      <c r="F816" s="82" t="s">
        <v>83</v>
      </c>
      <c r="G816" s="83" t="s">
        <v>83</v>
      </c>
      <c r="H816" s="29" t="s">
        <v>67</v>
      </c>
      <c r="I816" s="84">
        <v>20</v>
      </c>
      <c r="J816" s="85">
        <v>20</v>
      </c>
      <c r="K816" s="86">
        <v>20</v>
      </c>
      <c r="L816" s="87"/>
      <c r="M816" s="88"/>
      <c r="N816" s="89">
        <v>20</v>
      </c>
      <c r="O816" s="90"/>
      <c r="P816" s="93"/>
      <c r="Q816" s="93"/>
      <c r="S816" s="12">
        <v>20</v>
      </c>
      <c r="T816" s="26">
        <v>1250</v>
      </c>
      <c r="U816" s="12">
        <f t="shared" si="22"/>
        <v>25000</v>
      </c>
    </row>
    <row r="817" spans="1:22" ht="32.1" customHeight="1">
      <c r="A817" s="17">
        <v>5</v>
      </c>
      <c r="B817" s="81" t="s">
        <v>84</v>
      </c>
      <c r="C817" s="82" t="s">
        <v>84</v>
      </c>
      <c r="D817" s="82" t="s">
        <v>84</v>
      </c>
      <c r="E817" s="82" t="s">
        <v>84</v>
      </c>
      <c r="F817" s="82" t="s">
        <v>84</v>
      </c>
      <c r="G817" s="83" t="s">
        <v>84</v>
      </c>
      <c r="H817" s="29" t="s">
        <v>97</v>
      </c>
      <c r="I817" s="84">
        <v>28</v>
      </c>
      <c r="J817" s="85">
        <v>28</v>
      </c>
      <c r="K817" s="86">
        <v>28</v>
      </c>
      <c r="L817" s="87"/>
      <c r="M817" s="88"/>
      <c r="N817" s="89">
        <v>28</v>
      </c>
      <c r="O817" s="90"/>
      <c r="P817" s="93"/>
      <c r="Q817" s="93"/>
      <c r="S817" s="12">
        <v>28</v>
      </c>
      <c r="T817" s="26">
        <v>1800</v>
      </c>
      <c r="U817" s="12">
        <f t="shared" si="22"/>
        <v>50400</v>
      </c>
    </row>
    <row r="818" spans="1:22">
      <c r="A818" s="17">
        <v>6</v>
      </c>
      <c r="B818" s="81" t="s">
        <v>85</v>
      </c>
      <c r="C818" s="82" t="s">
        <v>85</v>
      </c>
      <c r="D818" s="82" t="s">
        <v>85</v>
      </c>
      <c r="E818" s="82" t="s">
        <v>85</v>
      </c>
      <c r="F818" s="82" t="s">
        <v>85</v>
      </c>
      <c r="G818" s="83" t="s">
        <v>85</v>
      </c>
      <c r="H818" s="29" t="s">
        <v>97</v>
      </c>
      <c r="I818" s="84">
        <v>14</v>
      </c>
      <c r="J818" s="85">
        <v>14</v>
      </c>
      <c r="K818" s="86">
        <v>14</v>
      </c>
      <c r="L818" s="87"/>
      <c r="M818" s="88"/>
      <c r="N818" s="89">
        <v>14</v>
      </c>
      <c r="O818" s="90"/>
      <c r="P818" s="79"/>
      <c r="Q818" s="80"/>
      <c r="S818" s="12">
        <v>14</v>
      </c>
      <c r="T818" s="26">
        <v>4000</v>
      </c>
      <c r="U818" s="12">
        <f t="shared" si="22"/>
        <v>56000</v>
      </c>
    </row>
    <row r="819" spans="1:22">
      <c r="A819" s="17">
        <v>7</v>
      </c>
      <c r="B819" s="81" t="s">
        <v>86</v>
      </c>
      <c r="C819" s="82" t="s">
        <v>86</v>
      </c>
      <c r="D819" s="82" t="s">
        <v>86</v>
      </c>
      <c r="E819" s="82" t="s">
        <v>86</v>
      </c>
      <c r="F819" s="82" t="s">
        <v>86</v>
      </c>
      <c r="G819" s="83" t="s">
        <v>86</v>
      </c>
      <c r="H819" s="29" t="s">
        <v>97</v>
      </c>
      <c r="I819" s="84">
        <v>30</v>
      </c>
      <c r="J819" s="85">
        <v>30</v>
      </c>
      <c r="K819" s="86">
        <v>30</v>
      </c>
      <c r="L819" s="87"/>
      <c r="M819" s="88"/>
      <c r="N819" s="89">
        <v>30</v>
      </c>
      <c r="O819" s="90"/>
      <c r="P819" s="93"/>
      <c r="Q819" s="93"/>
      <c r="S819" s="12">
        <v>30</v>
      </c>
      <c r="T819" s="26">
        <v>4000</v>
      </c>
      <c r="U819" s="12">
        <f t="shared" si="22"/>
        <v>120000</v>
      </c>
    </row>
    <row r="820" spans="1:22">
      <c r="A820" s="17">
        <v>8</v>
      </c>
      <c r="B820" s="81" t="s">
        <v>87</v>
      </c>
      <c r="C820" s="82" t="s">
        <v>87</v>
      </c>
      <c r="D820" s="82" t="s">
        <v>87</v>
      </c>
      <c r="E820" s="82" t="s">
        <v>87</v>
      </c>
      <c r="F820" s="82" t="s">
        <v>87</v>
      </c>
      <c r="G820" s="83" t="s">
        <v>87</v>
      </c>
      <c r="H820" s="30" t="s">
        <v>25</v>
      </c>
      <c r="I820" s="84">
        <v>1</v>
      </c>
      <c r="J820" s="85">
        <v>1</v>
      </c>
      <c r="K820" s="86">
        <v>1</v>
      </c>
      <c r="L820" s="94"/>
      <c r="M820" s="95"/>
      <c r="N820" s="94">
        <v>1</v>
      </c>
      <c r="O820" s="95"/>
      <c r="P820" s="93"/>
      <c r="Q820" s="93"/>
      <c r="S820" s="16">
        <v>1</v>
      </c>
      <c r="T820" s="26">
        <v>31000</v>
      </c>
      <c r="U820" s="12">
        <f t="shared" si="22"/>
        <v>31000</v>
      </c>
    </row>
    <row r="821" spans="1:22">
      <c r="A821" s="17">
        <v>9</v>
      </c>
      <c r="B821" s="81" t="s">
        <v>88</v>
      </c>
      <c r="C821" s="82" t="s">
        <v>88</v>
      </c>
      <c r="D821" s="82" t="s">
        <v>88</v>
      </c>
      <c r="E821" s="82" t="s">
        <v>88</v>
      </c>
      <c r="F821" s="82" t="s">
        <v>88</v>
      </c>
      <c r="G821" s="83" t="s">
        <v>88</v>
      </c>
      <c r="H821" s="30" t="s">
        <v>25</v>
      </c>
      <c r="I821" s="84">
        <v>1</v>
      </c>
      <c r="J821" s="85">
        <v>1</v>
      </c>
      <c r="K821" s="86">
        <v>1</v>
      </c>
      <c r="L821" s="87"/>
      <c r="M821" s="88"/>
      <c r="N821" s="89"/>
      <c r="O821" s="90"/>
      <c r="P821" s="93"/>
      <c r="Q821" s="93"/>
      <c r="S821" s="12"/>
      <c r="T821" s="26">
        <v>30121</v>
      </c>
      <c r="U821" s="12">
        <f t="shared" si="22"/>
        <v>0</v>
      </c>
    </row>
    <row r="822" spans="1:22">
      <c r="A822" s="17">
        <v>10</v>
      </c>
      <c r="B822" s="81" t="s">
        <v>89</v>
      </c>
      <c r="C822" s="82"/>
      <c r="D822" s="82"/>
      <c r="E822" s="82"/>
      <c r="F822" s="82"/>
      <c r="G822" s="83"/>
      <c r="H822" s="30" t="s">
        <v>98</v>
      </c>
      <c r="I822" s="84">
        <v>3</v>
      </c>
      <c r="J822" s="85"/>
      <c r="K822" s="86"/>
      <c r="L822" s="87"/>
      <c r="M822" s="88"/>
      <c r="N822" s="89">
        <v>3</v>
      </c>
      <c r="O822" s="90"/>
      <c r="P822" s="91"/>
      <c r="Q822" s="92"/>
      <c r="S822" s="12">
        <v>3</v>
      </c>
      <c r="T822" s="26">
        <v>14500</v>
      </c>
      <c r="U822" s="12">
        <f t="shared" si="22"/>
        <v>43500</v>
      </c>
    </row>
    <row r="823" spans="1:22">
      <c r="A823" s="17">
        <v>11</v>
      </c>
      <c r="B823" s="81" t="s">
        <v>90</v>
      </c>
      <c r="C823" s="82"/>
      <c r="D823" s="82"/>
      <c r="E823" s="82"/>
      <c r="F823" s="82"/>
      <c r="G823" s="83"/>
      <c r="H823" s="29" t="s">
        <v>67</v>
      </c>
      <c r="I823" s="84">
        <v>6</v>
      </c>
      <c r="J823" s="85"/>
      <c r="K823" s="86"/>
      <c r="L823" s="87"/>
      <c r="M823" s="88"/>
      <c r="N823" s="89">
        <v>6</v>
      </c>
      <c r="O823" s="90"/>
      <c r="P823" s="91"/>
      <c r="Q823" s="92"/>
      <c r="S823" s="12">
        <v>6</v>
      </c>
      <c r="T823" s="26">
        <v>3500</v>
      </c>
      <c r="U823" s="12">
        <f t="shared" si="22"/>
        <v>21000</v>
      </c>
    </row>
    <row r="824" spans="1:22">
      <c r="A824" s="17">
        <v>12</v>
      </c>
      <c r="B824" s="81" t="s">
        <v>91</v>
      </c>
      <c r="C824" s="82" t="s">
        <v>89</v>
      </c>
      <c r="D824" s="82" t="s">
        <v>89</v>
      </c>
      <c r="E824" s="82" t="s">
        <v>89</v>
      </c>
      <c r="F824" s="82" t="s">
        <v>89</v>
      </c>
      <c r="G824" s="83" t="s">
        <v>89</v>
      </c>
      <c r="H824" s="29" t="s">
        <v>67</v>
      </c>
      <c r="I824" s="84">
        <v>10</v>
      </c>
      <c r="J824" s="85">
        <v>10</v>
      </c>
      <c r="K824" s="86">
        <v>10</v>
      </c>
      <c r="L824" s="87"/>
      <c r="M824" s="88"/>
      <c r="N824" s="89">
        <v>10</v>
      </c>
      <c r="O824" s="90"/>
      <c r="P824" s="93"/>
      <c r="Q824" s="93"/>
      <c r="S824" s="12">
        <v>10</v>
      </c>
      <c r="T824" s="26">
        <v>3000</v>
      </c>
      <c r="U824" s="12">
        <f t="shared" si="22"/>
        <v>30000</v>
      </c>
      <c r="V824" s="22">
        <f>SUM(U813:U824)</f>
        <v>560500</v>
      </c>
    </row>
    <row r="825" spans="1:22">
      <c r="A825" s="17" t="s">
        <v>76</v>
      </c>
      <c r="B825" s="71" t="s">
        <v>92</v>
      </c>
      <c r="C825" s="72"/>
      <c r="D825" s="72"/>
      <c r="E825" s="72"/>
      <c r="F825" s="72"/>
      <c r="G825" s="73"/>
      <c r="H825" s="30" t="s">
        <v>24</v>
      </c>
      <c r="I825" s="84">
        <v>1</v>
      </c>
      <c r="J825" s="85">
        <v>10</v>
      </c>
      <c r="K825" s="86">
        <v>10</v>
      </c>
      <c r="L825" s="77"/>
      <c r="M825" s="78"/>
      <c r="N825" s="77">
        <v>1</v>
      </c>
      <c r="O825" s="78"/>
      <c r="P825" s="79"/>
      <c r="Q825" s="80"/>
      <c r="S825" s="12">
        <v>1</v>
      </c>
      <c r="T825" s="25">
        <v>10391</v>
      </c>
      <c r="U825" s="12">
        <f>S825*T825</f>
        <v>10391</v>
      </c>
      <c r="V825" s="27"/>
    </row>
    <row r="826" spans="1:22">
      <c r="A826" s="23" t="s">
        <v>68</v>
      </c>
      <c r="B826" s="71" t="s">
        <v>93</v>
      </c>
      <c r="C826" s="72"/>
      <c r="D826" s="72"/>
      <c r="E826" s="72"/>
      <c r="F826" s="72"/>
      <c r="G826" s="73"/>
      <c r="H826" s="30" t="s">
        <v>24</v>
      </c>
      <c r="I826" s="74">
        <v>1</v>
      </c>
      <c r="J826" s="75"/>
      <c r="K826" s="76"/>
      <c r="L826" s="77">
        <f>N826-N753</f>
        <v>0</v>
      </c>
      <c r="M826" s="78"/>
      <c r="N826" s="77">
        <f>S826</f>
        <v>0.53940910403233566</v>
      </c>
      <c r="O826" s="78"/>
      <c r="P826" s="77"/>
      <c r="Q826" s="78"/>
      <c r="S826" s="21">
        <f>V824*0.01/T826</f>
        <v>0.53940910403233566</v>
      </c>
      <c r="T826" s="25">
        <v>10391</v>
      </c>
      <c r="U826" s="12">
        <f t="shared" ref="U826:U827" si="23">S826*T826</f>
        <v>5605</v>
      </c>
    </row>
    <row r="827" spans="1:22">
      <c r="A827" s="23" t="s">
        <v>69</v>
      </c>
      <c r="B827" s="58" t="s">
        <v>94</v>
      </c>
      <c r="C827" s="59" t="s">
        <v>70</v>
      </c>
      <c r="D827" s="59" t="s">
        <v>70</v>
      </c>
      <c r="E827" s="59" t="s">
        <v>70</v>
      </c>
      <c r="F827" s="59" t="s">
        <v>70</v>
      </c>
      <c r="G827" s="60" t="s">
        <v>70</v>
      </c>
      <c r="H827" s="30" t="s">
        <v>24</v>
      </c>
      <c r="I827" s="74">
        <v>1</v>
      </c>
      <c r="J827" s="75"/>
      <c r="K827" s="76"/>
      <c r="L827" s="77">
        <f>N827-N754</f>
        <v>0</v>
      </c>
      <c r="M827" s="78"/>
      <c r="N827" s="77">
        <f>S827</f>
        <v>0.53939427267353146</v>
      </c>
      <c r="O827" s="78"/>
      <c r="P827" s="77"/>
      <c r="Q827" s="78"/>
      <c r="S827" s="21">
        <f>V824*0.07/T827</f>
        <v>0.53939427267353146</v>
      </c>
      <c r="T827" s="25">
        <v>72739</v>
      </c>
      <c r="U827" s="12">
        <f t="shared" si="23"/>
        <v>39235.000000000007</v>
      </c>
    </row>
    <row r="828" spans="1:22">
      <c r="A828" s="23" t="s">
        <v>71</v>
      </c>
      <c r="B828" s="58" t="s">
        <v>95</v>
      </c>
      <c r="C828" s="59" t="s">
        <v>72</v>
      </c>
      <c r="D828" s="59" t="s">
        <v>72</v>
      </c>
      <c r="E828" s="59" t="s">
        <v>72</v>
      </c>
      <c r="F828" s="59" t="s">
        <v>72</v>
      </c>
      <c r="G828" s="60" t="s">
        <v>72</v>
      </c>
      <c r="H828" s="30" t="s">
        <v>24</v>
      </c>
      <c r="I828" s="74">
        <v>1</v>
      </c>
      <c r="J828" s="75"/>
      <c r="K828" s="76"/>
      <c r="L828" s="77"/>
      <c r="M828" s="78"/>
      <c r="N828" s="77">
        <f>S828</f>
        <v>1</v>
      </c>
      <c r="O828" s="78"/>
      <c r="P828" s="77"/>
      <c r="Q828" s="78"/>
      <c r="S828" s="21">
        <v>1</v>
      </c>
      <c r="T828" s="25">
        <v>4156</v>
      </c>
      <c r="U828" s="12">
        <f>S828*T828</f>
        <v>4156</v>
      </c>
    </row>
    <row r="829" spans="1:22">
      <c r="A829" s="23" t="s">
        <v>73</v>
      </c>
      <c r="B829" s="58" t="s">
        <v>96</v>
      </c>
      <c r="C829" s="59" t="s">
        <v>74</v>
      </c>
      <c r="D829" s="59" t="s">
        <v>74</v>
      </c>
      <c r="E829" s="59" t="s">
        <v>74</v>
      </c>
      <c r="F829" s="59" t="s">
        <v>74</v>
      </c>
      <c r="G829" s="60" t="s">
        <v>74</v>
      </c>
      <c r="H829" s="30" t="s">
        <v>24</v>
      </c>
      <c r="I829" s="74">
        <v>1</v>
      </c>
      <c r="J829" s="75"/>
      <c r="K829" s="76"/>
      <c r="L829" s="77">
        <f>N829-N756</f>
        <v>0</v>
      </c>
      <c r="M829" s="78"/>
      <c r="N829" s="77">
        <f>S829</f>
        <v>0.54529116819141454</v>
      </c>
      <c r="O829" s="78"/>
      <c r="P829" s="79"/>
      <c r="Q829" s="80"/>
      <c r="S829" s="21">
        <f>(V824+U825+U826+U827+U828)*0.05/T829</f>
        <v>0.54529116819141454</v>
      </c>
      <c r="T829" s="25">
        <v>56840</v>
      </c>
      <c r="U829" s="12">
        <f>S829*T829</f>
        <v>30994.350000000002</v>
      </c>
    </row>
    <row r="830" spans="1:22">
      <c r="A830" s="23"/>
      <c r="B830" s="58"/>
      <c r="C830" s="59"/>
      <c r="D830" s="59"/>
      <c r="E830" s="59"/>
      <c r="F830" s="59"/>
      <c r="G830" s="60"/>
      <c r="H830" s="24"/>
      <c r="I830" s="58"/>
      <c r="J830" s="59"/>
      <c r="K830" s="59"/>
      <c r="L830" s="58"/>
      <c r="M830" s="59"/>
      <c r="N830" s="58"/>
      <c r="O830" s="59"/>
      <c r="P830" s="58"/>
      <c r="Q830" s="60"/>
      <c r="S830" s="21"/>
      <c r="T830" s="25"/>
      <c r="U830" s="28">
        <f>V824+U825+U826+U827+U828+U829</f>
        <v>650881.35</v>
      </c>
    </row>
    <row r="831" spans="1:22">
      <c r="A831" s="23"/>
      <c r="B831" s="58"/>
      <c r="C831" s="59"/>
      <c r="D831" s="59"/>
      <c r="E831" s="59"/>
      <c r="F831" s="59"/>
      <c r="G831" s="60"/>
      <c r="H831" s="23"/>
      <c r="I831" s="58"/>
      <c r="J831" s="59"/>
      <c r="K831" s="59"/>
      <c r="L831" s="58"/>
      <c r="M831" s="59"/>
      <c r="N831" s="58"/>
      <c r="O831" s="59"/>
      <c r="P831" s="58"/>
      <c r="Q831" s="60"/>
      <c r="S831" s="21"/>
      <c r="T831" s="16"/>
      <c r="U831" s="14">
        <v>1193638</v>
      </c>
    </row>
    <row r="832" spans="1:22">
      <c r="A832" s="9"/>
      <c r="B832" s="58"/>
      <c r="C832" s="59"/>
      <c r="D832" s="59"/>
      <c r="E832" s="59"/>
      <c r="F832" s="59"/>
      <c r="G832" s="60"/>
      <c r="H832" s="9"/>
      <c r="I832" s="58"/>
      <c r="J832" s="59"/>
      <c r="K832" s="59"/>
      <c r="L832" s="58"/>
      <c r="M832" s="59"/>
      <c r="N832" s="58"/>
      <c r="O832" s="59"/>
      <c r="P832" s="58"/>
      <c r="Q832" s="60"/>
      <c r="S832" s="21"/>
      <c r="T832" s="16"/>
      <c r="U832" s="15">
        <f>U830/U831</f>
        <v>0.54529208185396238</v>
      </c>
    </row>
    <row r="833" spans="1:21">
      <c r="A833" s="9"/>
      <c r="B833" s="58"/>
      <c r="C833" s="59"/>
      <c r="D833" s="59"/>
      <c r="E833" s="59"/>
      <c r="F833" s="59"/>
      <c r="G833" s="60"/>
      <c r="H833" s="9"/>
      <c r="I833" s="58"/>
      <c r="J833" s="59"/>
      <c r="K833" s="59"/>
      <c r="L833" s="58"/>
      <c r="M833" s="59"/>
      <c r="N833" s="58"/>
      <c r="O833" s="59"/>
      <c r="P833" s="58"/>
      <c r="Q833" s="60"/>
      <c r="S833" s="21"/>
      <c r="T833" s="16"/>
      <c r="U833" s="12"/>
    </row>
    <row r="834" spans="1:21">
      <c r="A834" s="9"/>
      <c r="B834" s="58"/>
      <c r="C834" s="59"/>
      <c r="D834" s="59"/>
      <c r="E834" s="59"/>
      <c r="F834" s="59"/>
      <c r="G834" s="60"/>
      <c r="H834" s="9"/>
      <c r="I834" s="58"/>
      <c r="J834" s="59"/>
      <c r="K834" s="59"/>
      <c r="L834" s="58"/>
      <c r="M834" s="59"/>
      <c r="N834" s="58"/>
      <c r="O834" s="59"/>
      <c r="P834" s="58"/>
      <c r="Q834" s="60"/>
      <c r="S834" s="21"/>
      <c r="T834" s="16"/>
      <c r="U834" s="12"/>
    </row>
    <row r="835" spans="1:21">
      <c r="A835" s="9"/>
      <c r="B835" s="58"/>
      <c r="C835" s="59"/>
      <c r="D835" s="59"/>
      <c r="E835" s="59"/>
      <c r="F835" s="59"/>
      <c r="G835" s="60"/>
      <c r="H835" s="9"/>
      <c r="I835" s="58"/>
      <c r="J835" s="59"/>
      <c r="K835" s="59"/>
      <c r="L835" s="58"/>
      <c r="M835" s="59"/>
      <c r="N835" s="58"/>
      <c r="O835" s="59"/>
      <c r="P835" s="58"/>
      <c r="Q835" s="60"/>
      <c r="S835" s="21"/>
      <c r="T835" s="16"/>
      <c r="U835" s="12"/>
    </row>
    <row r="836" spans="1:21">
      <c r="A836" s="9"/>
      <c r="B836" s="58"/>
      <c r="C836" s="59"/>
      <c r="D836" s="59"/>
      <c r="E836" s="59"/>
      <c r="F836" s="59"/>
      <c r="G836" s="60"/>
      <c r="H836" s="9"/>
      <c r="I836" s="58"/>
      <c r="J836" s="59"/>
      <c r="K836" s="59"/>
      <c r="L836" s="58"/>
      <c r="M836" s="59"/>
      <c r="N836" s="58"/>
      <c r="O836" s="59"/>
      <c r="P836" s="58"/>
      <c r="Q836" s="60"/>
      <c r="S836" s="21"/>
      <c r="T836" s="16"/>
      <c r="U836" s="12"/>
    </row>
    <row r="837" spans="1:21">
      <c r="A837" s="7"/>
      <c r="B837" s="61"/>
      <c r="C837" s="62"/>
      <c r="D837" s="62"/>
      <c r="E837" s="62"/>
      <c r="F837" s="62"/>
      <c r="G837" s="63"/>
      <c r="H837" s="9"/>
      <c r="I837" s="64"/>
      <c r="J837" s="65"/>
      <c r="K837" s="66"/>
      <c r="L837" s="67"/>
      <c r="M837" s="68"/>
      <c r="N837" s="67"/>
      <c r="O837" s="68"/>
      <c r="P837" s="69"/>
      <c r="Q837" s="70"/>
      <c r="S837" s="21"/>
      <c r="T837" s="16"/>
    </row>
    <row r="838" spans="1:21">
      <c r="A838" s="44" t="s">
        <v>29</v>
      </c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T838" s="20"/>
    </row>
    <row r="839" spans="1:21">
      <c r="A839" s="44" t="s">
        <v>30</v>
      </c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T839" s="20"/>
    </row>
    <row r="840" spans="1:21">
      <c r="A840" s="44" t="s">
        <v>31</v>
      </c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T840" s="20"/>
    </row>
    <row r="841" spans="1:21">
      <c r="A841" s="44" t="s">
        <v>32</v>
      </c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T841" s="20"/>
    </row>
    <row r="842" spans="1:21">
      <c r="A842" s="54" t="s">
        <v>33</v>
      </c>
      <c r="B842" s="54"/>
      <c r="C842" s="54"/>
      <c r="D842" s="54"/>
      <c r="E842" s="54"/>
      <c r="F842" s="54"/>
      <c r="G842" s="54"/>
      <c r="H842" s="54" t="s">
        <v>20</v>
      </c>
      <c r="I842" s="54"/>
      <c r="J842" s="54"/>
      <c r="K842" s="54" t="s">
        <v>34</v>
      </c>
      <c r="L842" s="54"/>
      <c r="M842" s="54" t="s">
        <v>35</v>
      </c>
      <c r="N842" s="54"/>
      <c r="O842" s="54" t="s">
        <v>36</v>
      </c>
      <c r="P842" s="54"/>
      <c r="Q842" s="54"/>
      <c r="T842" s="20"/>
    </row>
    <row r="843" spans="1:21">
      <c r="A843" s="55"/>
      <c r="B843" s="56"/>
      <c r="C843" s="56"/>
      <c r="D843" s="56"/>
      <c r="E843" s="56"/>
      <c r="F843" s="56"/>
      <c r="G843" s="57"/>
      <c r="H843" s="55"/>
      <c r="I843" s="56"/>
      <c r="J843" s="57"/>
      <c r="K843" s="55"/>
      <c r="L843" s="56"/>
      <c r="M843" s="55"/>
      <c r="N843" s="56"/>
      <c r="O843" s="55"/>
      <c r="P843" s="56"/>
      <c r="Q843" s="57"/>
      <c r="T843" s="20"/>
    </row>
    <row r="844" spans="1:21">
      <c r="A844" s="55"/>
      <c r="B844" s="56"/>
      <c r="C844" s="56"/>
      <c r="D844" s="56"/>
      <c r="E844" s="56"/>
      <c r="F844" s="56"/>
      <c r="G844" s="57"/>
      <c r="H844" s="55"/>
      <c r="I844" s="56"/>
      <c r="J844" s="57"/>
      <c r="K844" s="55"/>
      <c r="L844" s="56"/>
      <c r="M844" s="55"/>
      <c r="N844" s="56"/>
      <c r="O844" s="55"/>
      <c r="P844" s="56"/>
      <c r="Q844" s="57"/>
      <c r="T844" s="20"/>
    </row>
    <row r="845" spans="1:21">
      <c r="A845" s="53"/>
      <c r="B845" s="53"/>
      <c r="C845" s="53"/>
      <c r="D845" s="53"/>
      <c r="E845" s="53"/>
      <c r="F845" s="53"/>
      <c r="G845" s="53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T845" s="20"/>
    </row>
    <row r="846" spans="1:21">
      <c r="A846" s="53"/>
      <c r="B846" s="53"/>
      <c r="C846" s="53"/>
      <c r="D846" s="53"/>
      <c r="E846" s="53"/>
      <c r="F846" s="53"/>
      <c r="G846" s="53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T846" s="20"/>
    </row>
    <row r="847" spans="1:21">
      <c r="A847" s="44" t="s">
        <v>37</v>
      </c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T847" s="20"/>
    </row>
    <row r="848" spans="1:21">
      <c r="A848" s="46" t="s">
        <v>38</v>
      </c>
      <c r="B848" s="46"/>
      <c r="C848" s="47" t="s">
        <v>39</v>
      </c>
      <c r="D848" s="48"/>
      <c r="E848" s="48"/>
      <c r="F848" s="47" t="s">
        <v>40</v>
      </c>
      <c r="G848" s="48"/>
      <c r="H848" s="49"/>
      <c r="I848" s="46" t="s">
        <v>41</v>
      </c>
      <c r="J848" s="46"/>
      <c r="K848" s="46"/>
      <c r="L848" s="46" t="s">
        <v>35</v>
      </c>
      <c r="M848" s="46"/>
      <c r="N848" s="46"/>
      <c r="O848" s="46" t="s">
        <v>36</v>
      </c>
      <c r="P848" s="46"/>
      <c r="Q848" s="46"/>
      <c r="T848" s="20"/>
    </row>
    <row r="849" spans="1:20">
      <c r="A849" s="47" t="s">
        <v>42</v>
      </c>
      <c r="B849" s="49"/>
      <c r="C849" s="47"/>
      <c r="D849" s="48"/>
      <c r="E849" s="49"/>
      <c r="F849" s="47">
        <f>F776+C849</f>
        <v>23</v>
      </c>
      <c r="G849" s="48"/>
      <c r="H849" s="49"/>
      <c r="I849" s="47"/>
      <c r="J849" s="48"/>
      <c r="K849" s="49"/>
      <c r="L849" s="47"/>
      <c r="M849" s="48"/>
      <c r="N849" s="49"/>
      <c r="O849" s="47"/>
      <c r="P849" s="48"/>
      <c r="Q849" s="49"/>
      <c r="T849" s="20"/>
    </row>
    <row r="850" spans="1:20">
      <c r="A850" s="47" t="s">
        <v>100</v>
      </c>
      <c r="B850" s="49"/>
      <c r="C850" s="47"/>
      <c r="D850" s="48"/>
      <c r="E850" s="49"/>
      <c r="F850" s="47">
        <f>F777+C850</f>
        <v>2</v>
      </c>
      <c r="G850" s="48"/>
      <c r="H850" s="49"/>
      <c r="I850" s="47"/>
      <c r="J850" s="48"/>
      <c r="K850" s="49"/>
      <c r="L850" s="47"/>
      <c r="M850" s="48"/>
      <c r="N850" s="49"/>
      <c r="O850" s="47"/>
      <c r="P850" s="48"/>
      <c r="Q850" s="49"/>
      <c r="T850" s="20"/>
    </row>
    <row r="851" spans="1:20">
      <c r="A851" s="47"/>
      <c r="B851" s="49"/>
      <c r="C851" s="47"/>
      <c r="D851" s="48"/>
      <c r="E851" s="49"/>
      <c r="F851" s="47"/>
      <c r="G851" s="48"/>
      <c r="H851" s="49"/>
      <c r="I851" s="47"/>
      <c r="J851" s="48"/>
      <c r="K851" s="49"/>
      <c r="L851" s="47"/>
      <c r="M851" s="48"/>
      <c r="N851" s="49"/>
      <c r="O851" s="47"/>
      <c r="P851" s="48"/>
      <c r="Q851" s="49"/>
      <c r="T851" s="20"/>
    </row>
    <row r="852" spans="1:20">
      <c r="A852" s="46"/>
      <c r="B852" s="46"/>
      <c r="C852" s="47"/>
      <c r="D852" s="48"/>
      <c r="E852" s="49"/>
      <c r="F852" s="47"/>
      <c r="G852" s="48"/>
      <c r="H852" s="49"/>
      <c r="I852" s="47"/>
      <c r="J852" s="48"/>
      <c r="K852" s="49"/>
      <c r="L852" s="47"/>
      <c r="M852" s="48"/>
      <c r="N852" s="49"/>
      <c r="O852" s="47"/>
      <c r="P852" s="48"/>
      <c r="Q852" s="49"/>
      <c r="T852" s="20"/>
    </row>
    <row r="853" spans="1:20">
      <c r="A853" s="46"/>
      <c r="B853" s="46"/>
      <c r="C853" s="47"/>
      <c r="D853" s="48"/>
      <c r="E853" s="49"/>
      <c r="F853" s="47"/>
      <c r="G853" s="48"/>
      <c r="H853" s="49"/>
      <c r="I853" s="47"/>
      <c r="J853" s="48"/>
      <c r="K853" s="49"/>
      <c r="L853" s="47"/>
      <c r="M853" s="48"/>
      <c r="N853" s="49"/>
      <c r="O853" s="47"/>
      <c r="P853" s="48"/>
      <c r="Q853" s="49"/>
      <c r="T853" s="20"/>
    </row>
    <row r="854" spans="1:20">
      <c r="A854" s="50" t="s">
        <v>43</v>
      </c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2"/>
      <c r="T854" s="20"/>
    </row>
    <row r="855" spans="1:20">
      <c r="A855" s="38" t="s">
        <v>44</v>
      </c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40"/>
      <c r="T855" s="20"/>
    </row>
    <row r="856" spans="1:20">
      <c r="A856" s="41" t="s">
        <v>45</v>
      </c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3"/>
      <c r="T856" s="20"/>
    </row>
    <row r="857" spans="1:20">
      <c r="A857" s="50" t="s">
        <v>46</v>
      </c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2"/>
      <c r="T857" s="20"/>
    </row>
    <row r="858" spans="1:20">
      <c r="A858" s="38" t="s">
        <v>47</v>
      </c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40"/>
      <c r="T858" s="20"/>
    </row>
    <row r="859" spans="1:20">
      <c r="A859" s="38" t="s">
        <v>48</v>
      </c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40"/>
      <c r="T859" s="20"/>
    </row>
    <row r="860" spans="1:20">
      <c r="A860" s="38" t="s">
        <v>49</v>
      </c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40"/>
      <c r="T860" s="20"/>
    </row>
    <row r="861" spans="1:20">
      <c r="A861" s="38" t="s">
        <v>50</v>
      </c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40"/>
      <c r="T861" s="20"/>
    </row>
    <row r="862" spans="1:20">
      <c r="A862" s="38" t="s">
        <v>51</v>
      </c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40"/>
      <c r="T862" s="20"/>
    </row>
    <row r="863" spans="1:20">
      <c r="A863" s="41" t="s">
        <v>52</v>
      </c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3"/>
      <c r="T863" s="20"/>
    </row>
    <row r="864" spans="1:20">
      <c r="A864" s="44" t="s">
        <v>53</v>
      </c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T864" s="20"/>
    </row>
    <row r="865" spans="1:20">
      <c r="A865" s="44" t="s">
        <v>54</v>
      </c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T865" s="20"/>
    </row>
    <row r="866" spans="1:20">
      <c r="A866" s="44" t="s">
        <v>101</v>
      </c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T866" s="20"/>
    </row>
    <row r="867" spans="1:20">
      <c r="A867" s="44" t="s">
        <v>55</v>
      </c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T867" s="20"/>
    </row>
    <row r="868" spans="1:20">
      <c r="A868" s="45" t="s">
        <v>56</v>
      </c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T868" s="20"/>
    </row>
    <row r="869" spans="1:20">
      <c r="A869" s="37" t="s">
        <v>57</v>
      </c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T869" s="20"/>
    </row>
    <row r="870" spans="1:20">
      <c r="A870" s="37" t="s">
        <v>58</v>
      </c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T870" s="20"/>
    </row>
    <row r="871" spans="1:20">
      <c r="A871" s="37" t="s">
        <v>59</v>
      </c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T871" s="20"/>
    </row>
    <row r="872" spans="1:20">
      <c r="A872" s="37" t="s">
        <v>60</v>
      </c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T872" s="20"/>
    </row>
    <row r="873" spans="1:20">
      <c r="A873" s="37" t="s">
        <v>61</v>
      </c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T873" s="20"/>
    </row>
    <row r="874" spans="1:20">
      <c r="A874" s="37" t="s">
        <v>62</v>
      </c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T874" s="20"/>
    </row>
    <row r="875" spans="1:20">
      <c r="A875" s="37" t="s">
        <v>63</v>
      </c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T875" s="20"/>
    </row>
    <row r="876" spans="1:20">
      <c r="A876" s="37" t="s">
        <v>75</v>
      </c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T876" s="20"/>
    </row>
    <row r="877" spans="1:20" ht="39" customHeight="1">
      <c r="B877" s="120" t="s">
        <v>0</v>
      </c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T877" s="20"/>
    </row>
    <row r="878" spans="1:20">
      <c r="B878" s="6" t="s">
        <v>1</v>
      </c>
      <c r="C878" s="121" t="s">
        <v>2</v>
      </c>
      <c r="D878" s="121"/>
      <c r="E878" s="1" t="s">
        <v>3</v>
      </c>
      <c r="F878" s="121" t="s">
        <v>4</v>
      </c>
      <c r="G878" s="121"/>
      <c r="H878" s="1" t="s">
        <v>3</v>
      </c>
      <c r="I878" s="1"/>
      <c r="J878" s="121" t="s">
        <v>5</v>
      </c>
      <c r="K878" s="121"/>
      <c r="L878" s="121"/>
      <c r="M878" s="122">
        <f>M805+1</f>
        <v>46239</v>
      </c>
      <c r="N878" s="122"/>
      <c r="O878" s="122"/>
      <c r="P878" s="123"/>
      <c r="Q878" s="123"/>
      <c r="T878" s="20"/>
    </row>
    <row r="879" spans="1:20">
      <c r="A879" s="96" t="s">
        <v>6</v>
      </c>
      <c r="B879" s="96"/>
      <c r="C879" s="124" t="s">
        <v>79</v>
      </c>
      <c r="D879" s="125"/>
      <c r="E879" s="125"/>
      <c r="F879" s="125"/>
      <c r="G879" s="125"/>
      <c r="H879" s="125"/>
      <c r="I879" s="126"/>
      <c r="J879" s="127" t="s">
        <v>7</v>
      </c>
      <c r="K879" s="128"/>
      <c r="L879" s="128"/>
      <c r="M879" s="129"/>
      <c r="N879" s="130" t="s">
        <v>78</v>
      </c>
      <c r="O879" s="130"/>
      <c r="P879" s="130"/>
      <c r="Q879" s="131"/>
      <c r="T879" s="20"/>
    </row>
    <row r="880" spans="1:20">
      <c r="A880" s="96" t="s">
        <v>8</v>
      </c>
      <c r="B880" s="96"/>
      <c r="C880" s="4">
        <v>30</v>
      </c>
      <c r="D880" s="3" t="s">
        <v>9</v>
      </c>
      <c r="E880" s="127" t="s">
        <v>10</v>
      </c>
      <c r="F880" s="129"/>
      <c r="G880" s="127">
        <f>G807+1</f>
        <v>13</v>
      </c>
      <c r="H880" s="128"/>
      <c r="I880" s="3" t="s">
        <v>9</v>
      </c>
      <c r="J880" s="96" t="s">
        <v>11</v>
      </c>
      <c r="K880" s="96"/>
      <c r="L880" s="5">
        <f>C880-G880</f>
        <v>17</v>
      </c>
      <c r="M880" s="2" t="s">
        <v>9</v>
      </c>
      <c r="N880" s="96" t="s">
        <v>12</v>
      </c>
      <c r="O880" s="96"/>
      <c r="P880" s="2"/>
      <c r="Q880" s="3" t="s">
        <v>9</v>
      </c>
      <c r="T880" s="20"/>
    </row>
    <row r="881" spans="1:21">
      <c r="A881" s="96" t="s">
        <v>13</v>
      </c>
      <c r="B881" s="96"/>
      <c r="C881" s="132">
        <v>46227</v>
      </c>
      <c r="D881" s="132"/>
      <c r="E881" s="132"/>
      <c r="F881" s="132"/>
      <c r="G881" s="132"/>
      <c r="H881" s="132"/>
      <c r="I881" s="132"/>
      <c r="J881" s="127" t="s">
        <v>14</v>
      </c>
      <c r="K881" s="128"/>
      <c r="L881" s="128"/>
      <c r="M881" s="129"/>
      <c r="N881" s="133">
        <v>46256</v>
      </c>
      <c r="O881" s="134"/>
      <c r="P881" s="134"/>
      <c r="Q881" s="135"/>
      <c r="T881" s="20"/>
    </row>
    <row r="882" spans="1:21">
      <c r="A882" s="96" t="s">
        <v>15</v>
      </c>
      <c r="B882" s="96"/>
      <c r="C882" s="97"/>
      <c r="D882" s="98"/>
      <c r="E882" s="98"/>
      <c r="F882" s="98"/>
      <c r="G882" s="98"/>
      <c r="H882" s="99" t="s">
        <v>16</v>
      </c>
      <c r="I882" s="100"/>
      <c r="J882" s="101" t="s">
        <v>17</v>
      </c>
      <c r="K882" s="101"/>
      <c r="L882" s="101"/>
      <c r="M882" s="101"/>
      <c r="N882" s="102">
        <f>U905</f>
        <v>0.54529208185396238</v>
      </c>
      <c r="O882" s="102"/>
      <c r="P882" s="102"/>
      <c r="Q882" s="102"/>
      <c r="T882" s="20"/>
    </row>
    <row r="883" spans="1:21">
      <c r="A883" s="103" t="s">
        <v>18</v>
      </c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5"/>
      <c r="T883" s="20"/>
    </row>
    <row r="884" spans="1:21">
      <c r="A884" s="7"/>
      <c r="B884" s="106" t="s">
        <v>19</v>
      </c>
      <c r="C884" s="107"/>
      <c r="D884" s="107"/>
      <c r="E884" s="107"/>
      <c r="F884" s="107"/>
      <c r="G884" s="108"/>
      <c r="H884" s="8" t="s">
        <v>20</v>
      </c>
      <c r="I884" s="109" t="s">
        <v>21</v>
      </c>
      <c r="J884" s="110"/>
      <c r="K884" s="111"/>
      <c r="L884" s="109" t="s">
        <v>28</v>
      </c>
      <c r="M884" s="111"/>
      <c r="N884" s="106" t="s">
        <v>22</v>
      </c>
      <c r="O884" s="112"/>
      <c r="P884" s="113" t="s">
        <v>23</v>
      </c>
      <c r="Q884" s="113"/>
      <c r="S884" s="18" t="s">
        <v>22</v>
      </c>
      <c r="T884" s="19" t="s">
        <v>64</v>
      </c>
      <c r="U884" s="13" t="s">
        <v>27</v>
      </c>
    </row>
    <row r="885" spans="1:21">
      <c r="A885" s="17" t="s">
        <v>65</v>
      </c>
      <c r="B885" s="114" t="s">
        <v>66</v>
      </c>
      <c r="C885" s="115"/>
      <c r="D885" s="115"/>
      <c r="E885" s="115"/>
      <c r="F885" s="115"/>
      <c r="G885" s="116"/>
      <c r="H885" s="17"/>
      <c r="I885" s="117"/>
      <c r="J885" s="118"/>
      <c r="K885" s="119"/>
      <c r="L885" s="77"/>
      <c r="M885" s="78"/>
      <c r="N885" s="77"/>
      <c r="O885" s="78"/>
      <c r="P885" s="93"/>
      <c r="Q885" s="93"/>
      <c r="S885" s="16"/>
      <c r="T885" s="16"/>
      <c r="U885" s="16" t="s">
        <v>26</v>
      </c>
    </row>
    <row r="886" spans="1:21">
      <c r="A886" s="17">
        <v>1</v>
      </c>
      <c r="B886" s="81" t="s">
        <v>80</v>
      </c>
      <c r="C886" s="82"/>
      <c r="D886" s="82"/>
      <c r="E886" s="82"/>
      <c r="F886" s="82"/>
      <c r="G886" s="83"/>
      <c r="H886" s="29" t="s">
        <v>67</v>
      </c>
      <c r="I886" s="84">
        <v>18</v>
      </c>
      <c r="J886" s="85"/>
      <c r="K886" s="86"/>
      <c r="L886" s="87"/>
      <c r="M886" s="88"/>
      <c r="N886" s="89"/>
      <c r="O886" s="90"/>
      <c r="P886" s="93"/>
      <c r="Q886" s="93"/>
      <c r="S886" s="12"/>
      <c r="T886" s="26">
        <v>18000</v>
      </c>
      <c r="U886" s="12">
        <f>S886*T886</f>
        <v>0</v>
      </c>
    </row>
    <row r="887" spans="1:21" ht="32.1" customHeight="1">
      <c r="A887" s="17">
        <v>2</v>
      </c>
      <c r="B887" s="81" t="s">
        <v>81</v>
      </c>
      <c r="C887" s="82" t="s">
        <v>81</v>
      </c>
      <c r="D887" s="82" t="s">
        <v>81</v>
      </c>
      <c r="E887" s="82" t="s">
        <v>81</v>
      </c>
      <c r="F887" s="82" t="s">
        <v>81</v>
      </c>
      <c r="G887" s="83" t="s">
        <v>81</v>
      </c>
      <c r="H887" s="29" t="s">
        <v>97</v>
      </c>
      <c r="I887" s="84">
        <v>166</v>
      </c>
      <c r="J887" s="85"/>
      <c r="K887" s="86"/>
      <c r="L887" s="87"/>
      <c r="M887" s="88"/>
      <c r="N887" s="89"/>
      <c r="O887" s="90"/>
      <c r="P887" s="93"/>
      <c r="Q887" s="93"/>
      <c r="S887" s="12"/>
      <c r="T887" s="26">
        <v>750</v>
      </c>
      <c r="U887" s="12">
        <f t="shared" ref="U887:U897" si="24">S887*T887</f>
        <v>0</v>
      </c>
    </row>
    <row r="888" spans="1:21">
      <c r="A888" s="17">
        <v>3</v>
      </c>
      <c r="B888" s="81" t="s">
        <v>82</v>
      </c>
      <c r="C888" s="82" t="s">
        <v>82</v>
      </c>
      <c r="D888" s="82" t="s">
        <v>82</v>
      </c>
      <c r="E888" s="82" t="s">
        <v>82</v>
      </c>
      <c r="F888" s="82" t="s">
        <v>82</v>
      </c>
      <c r="G888" s="83" t="s">
        <v>82</v>
      </c>
      <c r="H888" s="29" t="s">
        <v>97</v>
      </c>
      <c r="I888" s="84">
        <v>540</v>
      </c>
      <c r="J888" s="85">
        <v>540</v>
      </c>
      <c r="K888" s="86">
        <v>540</v>
      </c>
      <c r="L888" s="87"/>
      <c r="M888" s="88"/>
      <c r="N888" s="89">
        <v>540</v>
      </c>
      <c r="O888" s="90"/>
      <c r="P888" s="93"/>
      <c r="Q888" s="93"/>
      <c r="S888" s="12">
        <v>540</v>
      </c>
      <c r="T888" s="26">
        <v>340</v>
      </c>
      <c r="U888" s="12">
        <f t="shared" si="24"/>
        <v>183600</v>
      </c>
    </row>
    <row r="889" spans="1:21">
      <c r="A889" s="17">
        <v>4</v>
      </c>
      <c r="B889" s="81" t="s">
        <v>83</v>
      </c>
      <c r="C889" s="82" t="s">
        <v>83</v>
      </c>
      <c r="D889" s="82" t="s">
        <v>83</v>
      </c>
      <c r="E889" s="82" t="s">
        <v>83</v>
      </c>
      <c r="F889" s="82" t="s">
        <v>83</v>
      </c>
      <c r="G889" s="83" t="s">
        <v>83</v>
      </c>
      <c r="H889" s="29" t="s">
        <v>67</v>
      </c>
      <c r="I889" s="84">
        <v>20</v>
      </c>
      <c r="J889" s="85">
        <v>20</v>
      </c>
      <c r="K889" s="86">
        <v>20</v>
      </c>
      <c r="L889" s="87"/>
      <c r="M889" s="88"/>
      <c r="N889" s="89">
        <v>20</v>
      </c>
      <c r="O889" s="90"/>
      <c r="P889" s="93"/>
      <c r="Q889" s="93"/>
      <c r="S889" s="12">
        <v>20</v>
      </c>
      <c r="T889" s="26">
        <v>1250</v>
      </c>
      <c r="U889" s="12">
        <f t="shared" si="24"/>
        <v>25000</v>
      </c>
    </row>
    <row r="890" spans="1:21" ht="32.1" customHeight="1">
      <c r="A890" s="17">
        <v>5</v>
      </c>
      <c r="B890" s="81" t="s">
        <v>84</v>
      </c>
      <c r="C890" s="82" t="s">
        <v>84</v>
      </c>
      <c r="D890" s="82" t="s">
        <v>84</v>
      </c>
      <c r="E890" s="82" t="s">
        <v>84</v>
      </c>
      <c r="F890" s="82" t="s">
        <v>84</v>
      </c>
      <c r="G890" s="83" t="s">
        <v>84</v>
      </c>
      <c r="H890" s="29" t="s">
        <v>97</v>
      </c>
      <c r="I890" s="84">
        <v>28</v>
      </c>
      <c r="J890" s="85">
        <v>28</v>
      </c>
      <c r="K890" s="86">
        <v>28</v>
      </c>
      <c r="L890" s="87"/>
      <c r="M890" s="88"/>
      <c r="N890" s="89">
        <v>28</v>
      </c>
      <c r="O890" s="90"/>
      <c r="P890" s="93"/>
      <c r="Q890" s="93"/>
      <c r="S890" s="12">
        <v>28</v>
      </c>
      <c r="T890" s="26">
        <v>1800</v>
      </c>
      <c r="U890" s="12">
        <f t="shared" si="24"/>
        <v>50400</v>
      </c>
    </row>
    <row r="891" spans="1:21">
      <c r="A891" s="17">
        <v>6</v>
      </c>
      <c r="B891" s="81" t="s">
        <v>85</v>
      </c>
      <c r="C891" s="82" t="s">
        <v>85</v>
      </c>
      <c r="D891" s="82" t="s">
        <v>85</v>
      </c>
      <c r="E891" s="82" t="s">
        <v>85</v>
      </c>
      <c r="F891" s="82" t="s">
        <v>85</v>
      </c>
      <c r="G891" s="83" t="s">
        <v>85</v>
      </c>
      <c r="H891" s="29" t="s">
        <v>97</v>
      </c>
      <c r="I891" s="84">
        <v>14</v>
      </c>
      <c r="J891" s="85">
        <v>14</v>
      </c>
      <c r="K891" s="86">
        <v>14</v>
      </c>
      <c r="L891" s="87"/>
      <c r="M891" s="88"/>
      <c r="N891" s="89">
        <v>14</v>
      </c>
      <c r="O891" s="90"/>
      <c r="P891" s="79"/>
      <c r="Q891" s="80"/>
      <c r="S891" s="12">
        <v>14</v>
      </c>
      <c r="T891" s="26">
        <v>4000</v>
      </c>
      <c r="U891" s="12">
        <f t="shared" si="24"/>
        <v>56000</v>
      </c>
    </row>
    <row r="892" spans="1:21">
      <c r="A892" s="17">
        <v>7</v>
      </c>
      <c r="B892" s="81" t="s">
        <v>86</v>
      </c>
      <c r="C892" s="82" t="s">
        <v>86</v>
      </c>
      <c r="D892" s="82" t="s">
        <v>86</v>
      </c>
      <c r="E892" s="82" t="s">
        <v>86</v>
      </c>
      <c r="F892" s="82" t="s">
        <v>86</v>
      </c>
      <c r="G892" s="83" t="s">
        <v>86</v>
      </c>
      <c r="H892" s="29" t="s">
        <v>97</v>
      </c>
      <c r="I892" s="84">
        <v>30</v>
      </c>
      <c r="J892" s="85">
        <v>30</v>
      </c>
      <c r="K892" s="86">
        <v>30</v>
      </c>
      <c r="L892" s="87"/>
      <c r="M892" s="88"/>
      <c r="N892" s="89">
        <v>30</v>
      </c>
      <c r="O892" s="90"/>
      <c r="P892" s="93"/>
      <c r="Q892" s="93"/>
      <c r="S892" s="12">
        <v>30</v>
      </c>
      <c r="T892" s="26">
        <v>4000</v>
      </c>
      <c r="U892" s="12">
        <f t="shared" si="24"/>
        <v>120000</v>
      </c>
    </row>
    <row r="893" spans="1:21">
      <c r="A893" s="17">
        <v>8</v>
      </c>
      <c r="B893" s="81" t="s">
        <v>87</v>
      </c>
      <c r="C893" s="82" t="s">
        <v>87</v>
      </c>
      <c r="D893" s="82" t="s">
        <v>87</v>
      </c>
      <c r="E893" s="82" t="s">
        <v>87</v>
      </c>
      <c r="F893" s="82" t="s">
        <v>87</v>
      </c>
      <c r="G893" s="83" t="s">
        <v>87</v>
      </c>
      <c r="H893" s="30" t="s">
        <v>25</v>
      </c>
      <c r="I893" s="84">
        <v>1</v>
      </c>
      <c r="J893" s="85">
        <v>1</v>
      </c>
      <c r="K893" s="86">
        <v>1</v>
      </c>
      <c r="L893" s="94"/>
      <c r="M893" s="95"/>
      <c r="N893" s="94">
        <v>1</v>
      </c>
      <c r="O893" s="95"/>
      <c r="P893" s="93"/>
      <c r="Q893" s="93"/>
      <c r="S893" s="16">
        <v>1</v>
      </c>
      <c r="T893" s="26">
        <v>31000</v>
      </c>
      <c r="U893" s="12">
        <f t="shared" si="24"/>
        <v>31000</v>
      </c>
    </row>
    <row r="894" spans="1:21">
      <c r="A894" s="17">
        <v>9</v>
      </c>
      <c r="B894" s="81" t="s">
        <v>88</v>
      </c>
      <c r="C894" s="82" t="s">
        <v>88</v>
      </c>
      <c r="D894" s="82" t="s">
        <v>88</v>
      </c>
      <c r="E894" s="82" t="s">
        <v>88</v>
      </c>
      <c r="F894" s="82" t="s">
        <v>88</v>
      </c>
      <c r="G894" s="83" t="s">
        <v>88</v>
      </c>
      <c r="H894" s="30" t="s">
        <v>25</v>
      </c>
      <c r="I894" s="84">
        <v>1</v>
      </c>
      <c r="J894" s="85">
        <v>1</v>
      </c>
      <c r="K894" s="86">
        <v>1</v>
      </c>
      <c r="L894" s="87"/>
      <c r="M894" s="88"/>
      <c r="N894" s="89"/>
      <c r="O894" s="90"/>
      <c r="P894" s="93"/>
      <c r="Q894" s="93"/>
      <c r="S894" s="12"/>
      <c r="T894" s="26">
        <v>30121</v>
      </c>
      <c r="U894" s="12">
        <f t="shared" si="24"/>
        <v>0</v>
      </c>
    </row>
    <row r="895" spans="1:21">
      <c r="A895" s="17">
        <v>10</v>
      </c>
      <c r="B895" s="81" t="s">
        <v>89</v>
      </c>
      <c r="C895" s="82"/>
      <c r="D895" s="82"/>
      <c r="E895" s="82"/>
      <c r="F895" s="82"/>
      <c r="G895" s="83"/>
      <c r="H895" s="30" t="s">
        <v>98</v>
      </c>
      <c r="I895" s="84">
        <v>3</v>
      </c>
      <c r="J895" s="85"/>
      <c r="K895" s="86"/>
      <c r="L895" s="87"/>
      <c r="M895" s="88"/>
      <c r="N895" s="89">
        <v>3</v>
      </c>
      <c r="O895" s="90"/>
      <c r="P895" s="91"/>
      <c r="Q895" s="92"/>
      <c r="S895" s="12">
        <v>3</v>
      </c>
      <c r="T895" s="26">
        <v>14500</v>
      </c>
      <c r="U895" s="12">
        <f t="shared" si="24"/>
        <v>43500</v>
      </c>
    </row>
    <row r="896" spans="1:21">
      <c r="A896" s="17">
        <v>11</v>
      </c>
      <c r="B896" s="81" t="s">
        <v>90</v>
      </c>
      <c r="C896" s="82"/>
      <c r="D896" s="82"/>
      <c r="E896" s="82"/>
      <c r="F896" s="82"/>
      <c r="G896" s="83"/>
      <c r="H896" s="29" t="s">
        <v>67</v>
      </c>
      <c r="I896" s="84">
        <v>6</v>
      </c>
      <c r="J896" s="85"/>
      <c r="K896" s="86"/>
      <c r="L896" s="87"/>
      <c r="M896" s="88"/>
      <c r="N896" s="89">
        <v>6</v>
      </c>
      <c r="O896" s="90"/>
      <c r="P896" s="91"/>
      <c r="Q896" s="92"/>
      <c r="S896" s="12">
        <v>6</v>
      </c>
      <c r="T896" s="26">
        <v>3500</v>
      </c>
      <c r="U896" s="12">
        <f t="shared" si="24"/>
        <v>21000</v>
      </c>
    </row>
    <row r="897" spans="1:22">
      <c r="A897" s="17">
        <v>12</v>
      </c>
      <c r="B897" s="81" t="s">
        <v>91</v>
      </c>
      <c r="C897" s="82" t="s">
        <v>89</v>
      </c>
      <c r="D897" s="82" t="s">
        <v>89</v>
      </c>
      <c r="E897" s="82" t="s">
        <v>89</v>
      </c>
      <c r="F897" s="82" t="s">
        <v>89</v>
      </c>
      <c r="G897" s="83" t="s">
        <v>89</v>
      </c>
      <c r="H897" s="29" t="s">
        <v>67</v>
      </c>
      <c r="I897" s="84">
        <v>10</v>
      </c>
      <c r="J897" s="85">
        <v>10</v>
      </c>
      <c r="K897" s="86">
        <v>10</v>
      </c>
      <c r="L897" s="87"/>
      <c r="M897" s="88"/>
      <c r="N897" s="89">
        <v>10</v>
      </c>
      <c r="O897" s="90"/>
      <c r="P897" s="93"/>
      <c r="Q897" s="93"/>
      <c r="S897" s="12">
        <v>10</v>
      </c>
      <c r="T897" s="26">
        <v>3000</v>
      </c>
      <c r="U897" s="12">
        <f t="shared" si="24"/>
        <v>30000</v>
      </c>
      <c r="V897" s="22">
        <f>SUM(U886:U897)</f>
        <v>560500</v>
      </c>
    </row>
    <row r="898" spans="1:22">
      <c r="A898" s="17" t="s">
        <v>76</v>
      </c>
      <c r="B898" s="71" t="s">
        <v>92</v>
      </c>
      <c r="C898" s="72"/>
      <c r="D898" s="72"/>
      <c r="E898" s="72"/>
      <c r="F898" s="72"/>
      <c r="G898" s="73"/>
      <c r="H898" s="30" t="s">
        <v>24</v>
      </c>
      <c r="I898" s="84">
        <v>1</v>
      </c>
      <c r="J898" s="85">
        <v>10</v>
      </c>
      <c r="K898" s="86">
        <v>10</v>
      </c>
      <c r="L898" s="77"/>
      <c r="M898" s="78"/>
      <c r="N898" s="77">
        <v>1</v>
      </c>
      <c r="O898" s="78"/>
      <c r="P898" s="79"/>
      <c r="Q898" s="80"/>
      <c r="S898" s="12">
        <v>1</v>
      </c>
      <c r="T898" s="25">
        <v>10391</v>
      </c>
      <c r="U898" s="12">
        <f>S898*T898</f>
        <v>10391</v>
      </c>
      <c r="V898" s="27"/>
    </row>
    <row r="899" spans="1:22">
      <c r="A899" s="23" t="s">
        <v>68</v>
      </c>
      <c r="B899" s="71" t="s">
        <v>93</v>
      </c>
      <c r="C899" s="72"/>
      <c r="D899" s="72"/>
      <c r="E899" s="72"/>
      <c r="F899" s="72"/>
      <c r="G899" s="73"/>
      <c r="H899" s="30" t="s">
        <v>24</v>
      </c>
      <c r="I899" s="74">
        <v>1</v>
      </c>
      <c r="J899" s="75"/>
      <c r="K899" s="76"/>
      <c r="L899" s="77">
        <f>N899-N826</f>
        <v>0</v>
      </c>
      <c r="M899" s="78"/>
      <c r="N899" s="77">
        <f>S899</f>
        <v>0.53940910403233566</v>
      </c>
      <c r="O899" s="78"/>
      <c r="P899" s="77"/>
      <c r="Q899" s="78"/>
      <c r="S899" s="21">
        <f>V897*0.01/T899</f>
        <v>0.53940910403233566</v>
      </c>
      <c r="T899" s="25">
        <v>10391</v>
      </c>
      <c r="U899" s="12">
        <f t="shared" ref="U899:U900" si="25">S899*T899</f>
        <v>5605</v>
      </c>
    </row>
    <row r="900" spans="1:22">
      <c r="A900" s="23" t="s">
        <v>69</v>
      </c>
      <c r="B900" s="58" t="s">
        <v>94</v>
      </c>
      <c r="C900" s="59" t="s">
        <v>70</v>
      </c>
      <c r="D900" s="59" t="s">
        <v>70</v>
      </c>
      <c r="E900" s="59" t="s">
        <v>70</v>
      </c>
      <c r="F900" s="59" t="s">
        <v>70</v>
      </c>
      <c r="G900" s="60" t="s">
        <v>70</v>
      </c>
      <c r="H900" s="30" t="s">
        <v>24</v>
      </c>
      <c r="I900" s="74">
        <v>1</v>
      </c>
      <c r="J900" s="75"/>
      <c r="K900" s="76"/>
      <c r="L900" s="77">
        <f>N900-N827</f>
        <v>0</v>
      </c>
      <c r="M900" s="78"/>
      <c r="N900" s="77">
        <f>S900</f>
        <v>0.53939427267353146</v>
      </c>
      <c r="O900" s="78"/>
      <c r="P900" s="77"/>
      <c r="Q900" s="78"/>
      <c r="S900" s="21">
        <f>V897*0.07/T900</f>
        <v>0.53939427267353146</v>
      </c>
      <c r="T900" s="25">
        <v>72739</v>
      </c>
      <c r="U900" s="12">
        <f t="shared" si="25"/>
        <v>39235.000000000007</v>
      </c>
    </row>
    <row r="901" spans="1:22">
      <c r="A901" s="23" t="s">
        <v>71</v>
      </c>
      <c r="B901" s="58" t="s">
        <v>95</v>
      </c>
      <c r="C901" s="59" t="s">
        <v>72</v>
      </c>
      <c r="D901" s="59" t="s">
        <v>72</v>
      </c>
      <c r="E901" s="59" t="s">
        <v>72</v>
      </c>
      <c r="F901" s="59" t="s">
        <v>72</v>
      </c>
      <c r="G901" s="60" t="s">
        <v>72</v>
      </c>
      <c r="H901" s="30" t="s">
        <v>24</v>
      </c>
      <c r="I901" s="74">
        <v>1</v>
      </c>
      <c r="J901" s="75"/>
      <c r="K901" s="76"/>
      <c r="L901" s="77"/>
      <c r="M901" s="78"/>
      <c r="N901" s="77">
        <f>S901</f>
        <v>1</v>
      </c>
      <c r="O901" s="78"/>
      <c r="P901" s="77"/>
      <c r="Q901" s="78"/>
      <c r="S901" s="21">
        <v>1</v>
      </c>
      <c r="T901" s="25">
        <v>4156</v>
      </c>
      <c r="U901" s="12">
        <f>S901*T901</f>
        <v>4156</v>
      </c>
    </row>
    <row r="902" spans="1:22">
      <c r="A902" s="23" t="s">
        <v>73</v>
      </c>
      <c r="B902" s="58" t="s">
        <v>96</v>
      </c>
      <c r="C902" s="59" t="s">
        <v>74</v>
      </c>
      <c r="D902" s="59" t="s">
        <v>74</v>
      </c>
      <c r="E902" s="59" t="s">
        <v>74</v>
      </c>
      <c r="F902" s="59" t="s">
        <v>74</v>
      </c>
      <c r="G902" s="60" t="s">
        <v>74</v>
      </c>
      <c r="H902" s="30" t="s">
        <v>24</v>
      </c>
      <c r="I902" s="74">
        <v>1</v>
      </c>
      <c r="J902" s="75"/>
      <c r="K902" s="76"/>
      <c r="L902" s="77">
        <f>N902-N829</f>
        <v>0</v>
      </c>
      <c r="M902" s="78"/>
      <c r="N902" s="77">
        <f>S902</f>
        <v>0.54529116819141454</v>
      </c>
      <c r="O902" s="78"/>
      <c r="P902" s="79"/>
      <c r="Q902" s="80"/>
      <c r="S902" s="21">
        <f>(V897+U898+U899+U900+U901)*0.05/T902</f>
        <v>0.54529116819141454</v>
      </c>
      <c r="T902" s="25">
        <v>56840</v>
      </c>
      <c r="U902" s="12">
        <f>S902*T902</f>
        <v>30994.350000000002</v>
      </c>
    </row>
    <row r="903" spans="1:22">
      <c r="A903" s="23"/>
      <c r="B903" s="58"/>
      <c r="C903" s="59"/>
      <c r="D903" s="59"/>
      <c r="E903" s="59"/>
      <c r="F903" s="59"/>
      <c r="G903" s="60"/>
      <c r="H903" s="24"/>
      <c r="I903" s="58"/>
      <c r="J903" s="59"/>
      <c r="K903" s="59"/>
      <c r="L903" s="58"/>
      <c r="M903" s="59"/>
      <c r="N903" s="58"/>
      <c r="O903" s="59"/>
      <c r="P903" s="58"/>
      <c r="Q903" s="60"/>
      <c r="S903" s="21"/>
      <c r="T903" s="25"/>
      <c r="U903" s="28">
        <f>V897+U898+U899+U900+U901+U902</f>
        <v>650881.35</v>
      </c>
    </row>
    <row r="904" spans="1:22">
      <c r="A904" s="23"/>
      <c r="B904" s="58"/>
      <c r="C904" s="59"/>
      <c r="D904" s="59"/>
      <c r="E904" s="59"/>
      <c r="F904" s="59"/>
      <c r="G904" s="60"/>
      <c r="H904" s="23"/>
      <c r="I904" s="58"/>
      <c r="J904" s="59"/>
      <c r="K904" s="59"/>
      <c r="L904" s="58"/>
      <c r="M904" s="59"/>
      <c r="N904" s="58"/>
      <c r="O904" s="59"/>
      <c r="P904" s="58"/>
      <c r="Q904" s="60"/>
      <c r="S904" s="21"/>
      <c r="T904" s="16"/>
      <c r="U904" s="14">
        <v>1193638</v>
      </c>
    </row>
    <row r="905" spans="1:22">
      <c r="A905" s="9"/>
      <c r="B905" s="58"/>
      <c r="C905" s="59"/>
      <c r="D905" s="59"/>
      <c r="E905" s="59"/>
      <c r="F905" s="59"/>
      <c r="G905" s="60"/>
      <c r="H905" s="9"/>
      <c r="I905" s="58"/>
      <c r="J905" s="59"/>
      <c r="K905" s="59"/>
      <c r="L905" s="58"/>
      <c r="M905" s="59"/>
      <c r="N905" s="58"/>
      <c r="O905" s="59"/>
      <c r="P905" s="58"/>
      <c r="Q905" s="60"/>
      <c r="S905" s="21"/>
      <c r="T905" s="16"/>
      <c r="U905" s="15">
        <f>U903/U904</f>
        <v>0.54529208185396238</v>
      </c>
    </row>
    <row r="906" spans="1:22">
      <c r="A906" s="9"/>
      <c r="B906" s="58"/>
      <c r="C906" s="59"/>
      <c r="D906" s="59"/>
      <c r="E906" s="59"/>
      <c r="F906" s="59"/>
      <c r="G906" s="60"/>
      <c r="H906" s="9"/>
      <c r="I906" s="58"/>
      <c r="J906" s="59"/>
      <c r="K906" s="59"/>
      <c r="L906" s="58"/>
      <c r="M906" s="59"/>
      <c r="N906" s="58"/>
      <c r="O906" s="59"/>
      <c r="P906" s="58"/>
      <c r="Q906" s="60"/>
      <c r="S906" s="21"/>
      <c r="T906" s="16"/>
      <c r="U906" s="12"/>
    </row>
    <row r="907" spans="1:22">
      <c r="A907" s="9"/>
      <c r="B907" s="58"/>
      <c r="C907" s="59"/>
      <c r="D907" s="59"/>
      <c r="E907" s="59"/>
      <c r="F907" s="59"/>
      <c r="G907" s="60"/>
      <c r="H907" s="9"/>
      <c r="I907" s="58"/>
      <c r="J907" s="59"/>
      <c r="K907" s="59"/>
      <c r="L907" s="58"/>
      <c r="M907" s="59"/>
      <c r="N907" s="58"/>
      <c r="O907" s="59"/>
      <c r="P907" s="58"/>
      <c r="Q907" s="60"/>
      <c r="S907" s="21"/>
      <c r="T907" s="16"/>
      <c r="U907" s="12"/>
    </row>
    <row r="908" spans="1:22">
      <c r="A908" s="9"/>
      <c r="B908" s="58"/>
      <c r="C908" s="59"/>
      <c r="D908" s="59"/>
      <c r="E908" s="59"/>
      <c r="F908" s="59"/>
      <c r="G908" s="60"/>
      <c r="H908" s="9"/>
      <c r="I908" s="58"/>
      <c r="J908" s="59"/>
      <c r="K908" s="59"/>
      <c r="L908" s="58"/>
      <c r="M908" s="59"/>
      <c r="N908" s="58"/>
      <c r="O908" s="59"/>
      <c r="P908" s="58"/>
      <c r="Q908" s="60"/>
      <c r="S908" s="21"/>
      <c r="T908" s="16"/>
      <c r="U908" s="12"/>
    </row>
    <row r="909" spans="1:22">
      <c r="A909" s="9"/>
      <c r="B909" s="58"/>
      <c r="C909" s="59"/>
      <c r="D909" s="59"/>
      <c r="E909" s="59"/>
      <c r="F909" s="59"/>
      <c r="G909" s="60"/>
      <c r="H909" s="9"/>
      <c r="I909" s="58"/>
      <c r="J909" s="59"/>
      <c r="K909" s="59"/>
      <c r="L909" s="58"/>
      <c r="M909" s="59"/>
      <c r="N909" s="58"/>
      <c r="O909" s="59"/>
      <c r="P909" s="58"/>
      <c r="Q909" s="60"/>
      <c r="S909" s="21"/>
      <c r="T909" s="16"/>
      <c r="U909" s="12"/>
    </row>
    <row r="910" spans="1:22">
      <c r="A910" s="7"/>
      <c r="B910" s="61"/>
      <c r="C910" s="62"/>
      <c r="D910" s="62"/>
      <c r="E910" s="62"/>
      <c r="F910" s="62"/>
      <c r="G910" s="63"/>
      <c r="H910" s="9"/>
      <c r="I910" s="64"/>
      <c r="J910" s="65"/>
      <c r="K910" s="66"/>
      <c r="L910" s="67"/>
      <c r="M910" s="68"/>
      <c r="N910" s="67"/>
      <c r="O910" s="68"/>
      <c r="P910" s="69"/>
      <c r="Q910" s="70"/>
      <c r="S910" s="21"/>
      <c r="T910" s="16"/>
    </row>
    <row r="911" spans="1:22">
      <c r="A911" s="44" t="s">
        <v>29</v>
      </c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T911" s="20"/>
    </row>
    <row r="912" spans="1:22">
      <c r="A912" s="44" t="s">
        <v>30</v>
      </c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T912" s="20"/>
    </row>
    <row r="913" spans="1:20">
      <c r="A913" s="44" t="s">
        <v>31</v>
      </c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T913" s="20"/>
    </row>
    <row r="914" spans="1:20">
      <c r="A914" s="44" t="s">
        <v>32</v>
      </c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T914" s="20"/>
    </row>
    <row r="915" spans="1:20">
      <c r="A915" s="54" t="s">
        <v>33</v>
      </c>
      <c r="B915" s="54"/>
      <c r="C915" s="54"/>
      <c r="D915" s="54"/>
      <c r="E915" s="54"/>
      <c r="F915" s="54"/>
      <c r="G915" s="54"/>
      <c r="H915" s="54" t="s">
        <v>20</v>
      </c>
      <c r="I915" s="54"/>
      <c r="J915" s="54"/>
      <c r="K915" s="54" t="s">
        <v>34</v>
      </c>
      <c r="L915" s="54"/>
      <c r="M915" s="54" t="s">
        <v>35</v>
      </c>
      <c r="N915" s="54"/>
      <c r="O915" s="54" t="s">
        <v>36</v>
      </c>
      <c r="P915" s="54"/>
      <c r="Q915" s="54"/>
      <c r="T915" s="20"/>
    </row>
    <row r="916" spans="1:20">
      <c r="A916" s="55"/>
      <c r="B916" s="56"/>
      <c r="C916" s="56"/>
      <c r="D916" s="56"/>
      <c r="E916" s="56"/>
      <c r="F916" s="56"/>
      <c r="G916" s="57"/>
      <c r="H916" s="55"/>
      <c r="I916" s="56"/>
      <c r="J916" s="57"/>
      <c r="K916" s="55"/>
      <c r="L916" s="56"/>
      <c r="M916" s="55"/>
      <c r="N916" s="56"/>
      <c r="O916" s="55"/>
      <c r="P916" s="56"/>
      <c r="Q916" s="57"/>
      <c r="T916" s="20"/>
    </row>
    <row r="917" spans="1:20">
      <c r="A917" s="55"/>
      <c r="B917" s="56"/>
      <c r="C917" s="56"/>
      <c r="D917" s="56"/>
      <c r="E917" s="56"/>
      <c r="F917" s="56"/>
      <c r="G917" s="57"/>
      <c r="H917" s="55"/>
      <c r="I917" s="56"/>
      <c r="J917" s="57"/>
      <c r="K917" s="55"/>
      <c r="L917" s="56"/>
      <c r="M917" s="55"/>
      <c r="N917" s="56"/>
      <c r="O917" s="55"/>
      <c r="P917" s="56"/>
      <c r="Q917" s="57"/>
      <c r="T917" s="20"/>
    </row>
    <row r="918" spans="1:20">
      <c r="A918" s="53"/>
      <c r="B918" s="53"/>
      <c r="C918" s="53"/>
      <c r="D918" s="53"/>
      <c r="E918" s="53"/>
      <c r="F918" s="53"/>
      <c r="G918" s="53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T918" s="20"/>
    </row>
    <row r="919" spans="1:20">
      <c r="A919" s="53"/>
      <c r="B919" s="53"/>
      <c r="C919" s="53"/>
      <c r="D919" s="53"/>
      <c r="E919" s="53"/>
      <c r="F919" s="53"/>
      <c r="G919" s="53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T919" s="20"/>
    </row>
    <row r="920" spans="1:20">
      <c r="A920" s="44" t="s">
        <v>37</v>
      </c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T920" s="20"/>
    </row>
    <row r="921" spans="1:20">
      <c r="A921" s="46" t="s">
        <v>38</v>
      </c>
      <c r="B921" s="46"/>
      <c r="C921" s="47" t="s">
        <v>39</v>
      </c>
      <c r="D921" s="48"/>
      <c r="E921" s="48"/>
      <c r="F921" s="47" t="s">
        <v>40</v>
      </c>
      <c r="G921" s="48"/>
      <c r="H921" s="49"/>
      <c r="I921" s="46" t="s">
        <v>41</v>
      </c>
      <c r="J921" s="46"/>
      <c r="K921" s="46"/>
      <c r="L921" s="46" t="s">
        <v>35</v>
      </c>
      <c r="M921" s="46"/>
      <c r="N921" s="46"/>
      <c r="O921" s="46" t="s">
        <v>36</v>
      </c>
      <c r="P921" s="46"/>
      <c r="Q921" s="46"/>
      <c r="T921" s="20"/>
    </row>
    <row r="922" spans="1:20">
      <c r="A922" s="47" t="s">
        <v>42</v>
      </c>
      <c r="B922" s="49"/>
      <c r="C922" s="47"/>
      <c r="D922" s="48"/>
      <c r="E922" s="49"/>
      <c r="F922" s="47">
        <f>F849+C922</f>
        <v>23</v>
      </c>
      <c r="G922" s="48"/>
      <c r="H922" s="49"/>
      <c r="I922" s="47"/>
      <c r="J922" s="48"/>
      <c r="K922" s="49"/>
      <c r="L922" s="47"/>
      <c r="M922" s="48"/>
      <c r="N922" s="49"/>
      <c r="O922" s="47"/>
      <c r="P922" s="48"/>
      <c r="Q922" s="49"/>
      <c r="T922" s="20"/>
    </row>
    <row r="923" spans="1:20">
      <c r="A923" s="47" t="s">
        <v>100</v>
      </c>
      <c r="B923" s="49"/>
      <c r="C923" s="47"/>
      <c r="D923" s="48"/>
      <c r="E923" s="49"/>
      <c r="F923" s="47">
        <f>F850+C923</f>
        <v>2</v>
      </c>
      <c r="G923" s="48"/>
      <c r="H923" s="49"/>
      <c r="I923" s="47"/>
      <c r="J923" s="48"/>
      <c r="K923" s="49"/>
      <c r="L923" s="47"/>
      <c r="M923" s="48"/>
      <c r="N923" s="49"/>
      <c r="O923" s="47"/>
      <c r="P923" s="48"/>
      <c r="Q923" s="49"/>
      <c r="T923" s="20"/>
    </row>
    <row r="924" spans="1:20">
      <c r="A924" s="47"/>
      <c r="B924" s="49"/>
      <c r="C924" s="47"/>
      <c r="D924" s="48"/>
      <c r="E924" s="49"/>
      <c r="F924" s="47"/>
      <c r="G924" s="48"/>
      <c r="H924" s="49"/>
      <c r="I924" s="47"/>
      <c r="J924" s="48"/>
      <c r="K924" s="49"/>
      <c r="L924" s="47"/>
      <c r="M924" s="48"/>
      <c r="N924" s="49"/>
      <c r="O924" s="47"/>
      <c r="P924" s="48"/>
      <c r="Q924" s="49"/>
      <c r="T924" s="20"/>
    </row>
    <row r="925" spans="1:20">
      <c r="A925" s="46"/>
      <c r="B925" s="46"/>
      <c r="C925" s="47"/>
      <c r="D925" s="48"/>
      <c r="E925" s="49"/>
      <c r="F925" s="47"/>
      <c r="G925" s="48"/>
      <c r="H925" s="49"/>
      <c r="I925" s="47"/>
      <c r="J925" s="48"/>
      <c r="K925" s="49"/>
      <c r="L925" s="47"/>
      <c r="M925" s="48"/>
      <c r="N925" s="49"/>
      <c r="O925" s="47"/>
      <c r="P925" s="48"/>
      <c r="Q925" s="49"/>
      <c r="T925" s="20"/>
    </row>
    <row r="926" spans="1:20">
      <c r="A926" s="46"/>
      <c r="B926" s="46"/>
      <c r="C926" s="47"/>
      <c r="D926" s="48"/>
      <c r="E926" s="49"/>
      <c r="F926" s="47"/>
      <c r="G926" s="48"/>
      <c r="H926" s="49"/>
      <c r="I926" s="47"/>
      <c r="J926" s="48"/>
      <c r="K926" s="49"/>
      <c r="L926" s="47"/>
      <c r="M926" s="48"/>
      <c r="N926" s="49"/>
      <c r="O926" s="47"/>
      <c r="P926" s="48"/>
      <c r="Q926" s="49"/>
      <c r="T926" s="20"/>
    </row>
    <row r="927" spans="1:20">
      <c r="A927" s="50" t="s">
        <v>43</v>
      </c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2"/>
      <c r="T927" s="20"/>
    </row>
    <row r="928" spans="1:20">
      <c r="A928" s="38" t="s">
        <v>44</v>
      </c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40"/>
      <c r="T928" s="20"/>
    </row>
    <row r="929" spans="1:20">
      <c r="A929" s="41" t="s">
        <v>45</v>
      </c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3"/>
      <c r="T929" s="20"/>
    </row>
    <row r="930" spans="1:20">
      <c r="A930" s="50" t="s">
        <v>46</v>
      </c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2"/>
      <c r="T930" s="20"/>
    </row>
    <row r="931" spans="1:20">
      <c r="A931" s="38" t="s">
        <v>47</v>
      </c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40"/>
      <c r="T931" s="20"/>
    </row>
    <row r="932" spans="1:20">
      <c r="A932" s="38" t="s">
        <v>48</v>
      </c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40"/>
      <c r="T932" s="20"/>
    </row>
    <row r="933" spans="1:20">
      <c r="A933" s="38" t="s">
        <v>49</v>
      </c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40"/>
      <c r="T933" s="20"/>
    </row>
    <row r="934" spans="1:20">
      <c r="A934" s="38" t="s">
        <v>50</v>
      </c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40"/>
      <c r="T934" s="20"/>
    </row>
    <row r="935" spans="1:20">
      <c r="A935" s="38" t="s">
        <v>51</v>
      </c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40"/>
      <c r="T935" s="20"/>
    </row>
    <row r="936" spans="1:20">
      <c r="A936" s="41" t="s">
        <v>52</v>
      </c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3"/>
      <c r="T936" s="20"/>
    </row>
    <row r="937" spans="1:20">
      <c r="A937" s="44" t="s">
        <v>53</v>
      </c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T937" s="20"/>
    </row>
    <row r="938" spans="1:20">
      <c r="A938" s="44" t="s">
        <v>54</v>
      </c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T938" s="20"/>
    </row>
    <row r="939" spans="1:20">
      <c r="A939" s="44" t="s">
        <v>101</v>
      </c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T939" s="20"/>
    </row>
    <row r="940" spans="1:20">
      <c r="A940" s="44" t="s">
        <v>55</v>
      </c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T940" s="20"/>
    </row>
    <row r="941" spans="1:20">
      <c r="A941" s="45" t="s">
        <v>56</v>
      </c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T941" s="20"/>
    </row>
    <row r="942" spans="1:20">
      <c r="A942" s="37" t="s">
        <v>57</v>
      </c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T942" s="20"/>
    </row>
    <row r="943" spans="1:20">
      <c r="A943" s="37" t="s">
        <v>58</v>
      </c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T943" s="20"/>
    </row>
    <row r="944" spans="1:20">
      <c r="A944" s="37" t="s">
        <v>59</v>
      </c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T944" s="20"/>
    </row>
    <row r="945" spans="1:21">
      <c r="A945" s="37" t="s">
        <v>60</v>
      </c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T945" s="20"/>
    </row>
    <row r="946" spans="1:21">
      <c r="A946" s="37" t="s">
        <v>61</v>
      </c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T946" s="20"/>
    </row>
    <row r="947" spans="1:21">
      <c r="A947" s="37" t="s">
        <v>62</v>
      </c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T947" s="20"/>
    </row>
    <row r="948" spans="1:21">
      <c r="A948" s="37" t="s">
        <v>63</v>
      </c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T948" s="20"/>
    </row>
    <row r="949" spans="1:21">
      <c r="A949" s="37" t="s">
        <v>75</v>
      </c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T949" s="20"/>
    </row>
    <row r="950" spans="1:21" ht="39" customHeight="1">
      <c r="B950" s="120" t="s">
        <v>0</v>
      </c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T950" s="20"/>
    </row>
    <row r="951" spans="1:21">
      <c r="B951" s="6" t="s">
        <v>1</v>
      </c>
      <c r="C951" s="121" t="s">
        <v>2</v>
      </c>
      <c r="D951" s="121"/>
      <c r="E951" s="1" t="s">
        <v>3</v>
      </c>
      <c r="F951" s="121" t="s">
        <v>4</v>
      </c>
      <c r="G951" s="121"/>
      <c r="H951" s="1" t="s">
        <v>3</v>
      </c>
      <c r="I951" s="1"/>
      <c r="J951" s="121" t="s">
        <v>5</v>
      </c>
      <c r="K951" s="121"/>
      <c r="L951" s="121"/>
      <c r="M951" s="122">
        <f>M878+1</f>
        <v>46240</v>
      </c>
      <c r="N951" s="122"/>
      <c r="O951" s="122"/>
      <c r="P951" s="123"/>
      <c r="Q951" s="123"/>
      <c r="T951" s="20"/>
    </row>
    <row r="952" spans="1:21">
      <c r="A952" s="96" t="s">
        <v>6</v>
      </c>
      <c r="B952" s="96"/>
      <c r="C952" s="124" t="s">
        <v>79</v>
      </c>
      <c r="D952" s="125"/>
      <c r="E952" s="125"/>
      <c r="F952" s="125"/>
      <c r="G952" s="125"/>
      <c r="H952" s="125"/>
      <c r="I952" s="126"/>
      <c r="J952" s="127" t="s">
        <v>7</v>
      </c>
      <c r="K952" s="128"/>
      <c r="L952" s="128"/>
      <c r="M952" s="129"/>
      <c r="N952" s="130" t="s">
        <v>78</v>
      </c>
      <c r="O952" s="130"/>
      <c r="P952" s="130"/>
      <c r="Q952" s="131"/>
      <c r="T952" s="20"/>
    </row>
    <row r="953" spans="1:21">
      <c r="A953" s="96" t="s">
        <v>8</v>
      </c>
      <c r="B953" s="96"/>
      <c r="C953" s="4">
        <v>30</v>
      </c>
      <c r="D953" s="3" t="s">
        <v>9</v>
      </c>
      <c r="E953" s="127" t="s">
        <v>10</v>
      </c>
      <c r="F953" s="129"/>
      <c r="G953" s="127">
        <f>G880+1</f>
        <v>14</v>
      </c>
      <c r="H953" s="128"/>
      <c r="I953" s="3" t="s">
        <v>9</v>
      </c>
      <c r="J953" s="96" t="s">
        <v>11</v>
      </c>
      <c r="K953" s="96"/>
      <c r="L953" s="5">
        <f>C953-G953</f>
        <v>16</v>
      </c>
      <c r="M953" s="2" t="s">
        <v>9</v>
      </c>
      <c r="N953" s="96" t="s">
        <v>12</v>
      </c>
      <c r="O953" s="96"/>
      <c r="P953" s="2"/>
      <c r="Q953" s="3" t="s">
        <v>9</v>
      </c>
      <c r="T953" s="20"/>
    </row>
    <row r="954" spans="1:21">
      <c r="A954" s="96" t="s">
        <v>13</v>
      </c>
      <c r="B954" s="96"/>
      <c r="C954" s="132">
        <v>46227</v>
      </c>
      <c r="D954" s="132"/>
      <c r="E954" s="132"/>
      <c r="F954" s="132"/>
      <c r="G954" s="132"/>
      <c r="H954" s="132"/>
      <c r="I954" s="132"/>
      <c r="J954" s="127" t="s">
        <v>14</v>
      </c>
      <c r="K954" s="128"/>
      <c r="L954" s="128"/>
      <c r="M954" s="129"/>
      <c r="N954" s="133">
        <v>46256</v>
      </c>
      <c r="O954" s="134"/>
      <c r="P954" s="134"/>
      <c r="Q954" s="135"/>
      <c r="T954" s="20"/>
    </row>
    <row r="955" spans="1:21">
      <c r="A955" s="96" t="s">
        <v>15</v>
      </c>
      <c r="B955" s="96"/>
      <c r="C955" s="97"/>
      <c r="D955" s="98"/>
      <c r="E955" s="98"/>
      <c r="F955" s="98"/>
      <c r="G955" s="98"/>
      <c r="H955" s="99" t="s">
        <v>16</v>
      </c>
      <c r="I955" s="100"/>
      <c r="J955" s="101" t="s">
        <v>17</v>
      </c>
      <c r="K955" s="101"/>
      <c r="L955" s="101"/>
      <c r="M955" s="101"/>
      <c r="N955" s="102">
        <f>U978</f>
        <v>0.54529208185396238</v>
      </c>
      <c r="O955" s="102"/>
      <c r="P955" s="102"/>
      <c r="Q955" s="102"/>
      <c r="T955" s="20"/>
    </row>
    <row r="956" spans="1:21">
      <c r="A956" s="103" t="s">
        <v>18</v>
      </c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5"/>
      <c r="T956" s="20"/>
    </row>
    <row r="957" spans="1:21">
      <c r="A957" s="7"/>
      <c r="B957" s="106" t="s">
        <v>19</v>
      </c>
      <c r="C957" s="107"/>
      <c r="D957" s="107"/>
      <c r="E957" s="107"/>
      <c r="F957" s="107"/>
      <c r="G957" s="108"/>
      <c r="H957" s="8" t="s">
        <v>20</v>
      </c>
      <c r="I957" s="109" t="s">
        <v>21</v>
      </c>
      <c r="J957" s="110"/>
      <c r="K957" s="111"/>
      <c r="L957" s="109" t="s">
        <v>28</v>
      </c>
      <c r="M957" s="111"/>
      <c r="N957" s="106" t="s">
        <v>22</v>
      </c>
      <c r="O957" s="112"/>
      <c r="P957" s="113" t="s">
        <v>23</v>
      </c>
      <c r="Q957" s="113"/>
      <c r="S957" s="18" t="s">
        <v>22</v>
      </c>
      <c r="T957" s="19" t="s">
        <v>64</v>
      </c>
      <c r="U957" s="13" t="s">
        <v>27</v>
      </c>
    </row>
    <row r="958" spans="1:21">
      <c r="A958" s="17" t="s">
        <v>65</v>
      </c>
      <c r="B958" s="114" t="s">
        <v>66</v>
      </c>
      <c r="C958" s="115"/>
      <c r="D958" s="115"/>
      <c r="E958" s="115"/>
      <c r="F958" s="115"/>
      <c r="G958" s="116"/>
      <c r="H958" s="17"/>
      <c r="I958" s="117"/>
      <c r="J958" s="118"/>
      <c r="K958" s="119"/>
      <c r="L958" s="77"/>
      <c r="M958" s="78"/>
      <c r="N958" s="77"/>
      <c r="O958" s="78"/>
      <c r="P958" s="93"/>
      <c r="Q958" s="93"/>
      <c r="S958" s="16"/>
      <c r="T958" s="16"/>
      <c r="U958" s="16" t="s">
        <v>26</v>
      </c>
    </row>
    <row r="959" spans="1:21">
      <c r="A959" s="17">
        <v>1</v>
      </c>
      <c r="B959" s="81" t="s">
        <v>80</v>
      </c>
      <c r="C959" s="82"/>
      <c r="D959" s="82"/>
      <c r="E959" s="82"/>
      <c r="F959" s="82"/>
      <c r="G959" s="83"/>
      <c r="H959" s="29" t="s">
        <v>67</v>
      </c>
      <c r="I959" s="84">
        <v>18</v>
      </c>
      <c r="J959" s="85"/>
      <c r="K959" s="86"/>
      <c r="L959" s="87"/>
      <c r="M959" s="88"/>
      <c r="N959" s="89"/>
      <c r="O959" s="90"/>
      <c r="P959" s="93"/>
      <c r="Q959" s="93"/>
      <c r="S959" s="12"/>
      <c r="T959" s="26">
        <v>18000</v>
      </c>
      <c r="U959" s="12">
        <f>S959*T959</f>
        <v>0</v>
      </c>
    </row>
    <row r="960" spans="1:21" ht="32.1" customHeight="1">
      <c r="A960" s="17">
        <v>2</v>
      </c>
      <c r="B960" s="81" t="s">
        <v>81</v>
      </c>
      <c r="C960" s="82" t="s">
        <v>81</v>
      </c>
      <c r="D960" s="82" t="s">
        <v>81</v>
      </c>
      <c r="E960" s="82" t="s">
        <v>81</v>
      </c>
      <c r="F960" s="82" t="s">
        <v>81</v>
      </c>
      <c r="G960" s="83" t="s">
        <v>81</v>
      </c>
      <c r="H960" s="29" t="s">
        <v>97</v>
      </c>
      <c r="I960" s="84">
        <v>166</v>
      </c>
      <c r="J960" s="85"/>
      <c r="K960" s="86"/>
      <c r="L960" s="87"/>
      <c r="M960" s="88"/>
      <c r="N960" s="89"/>
      <c r="O960" s="90"/>
      <c r="P960" s="93"/>
      <c r="Q960" s="93"/>
      <c r="S960" s="12"/>
      <c r="T960" s="26">
        <v>750</v>
      </c>
      <c r="U960" s="12">
        <f t="shared" ref="U960:U970" si="26">S960*T960</f>
        <v>0</v>
      </c>
    </row>
    <row r="961" spans="1:22">
      <c r="A961" s="17">
        <v>3</v>
      </c>
      <c r="B961" s="81" t="s">
        <v>82</v>
      </c>
      <c r="C961" s="82" t="s">
        <v>82</v>
      </c>
      <c r="D961" s="82" t="s">
        <v>82</v>
      </c>
      <c r="E961" s="82" t="s">
        <v>82</v>
      </c>
      <c r="F961" s="82" t="s">
        <v>82</v>
      </c>
      <c r="G961" s="83" t="s">
        <v>82</v>
      </c>
      <c r="H961" s="29" t="s">
        <v>97</v>
      </c>
      <c r="I961" s="84">
        <v>540</v>
      </c>
      <c r="J961" s="85">
        <v>540</v>
      </c>
      <c r="K961" s="86">
        <v>540</v>
      </c>
      <c r="L961" s="87"/>
      <c r="M961" s="88"/>
      <c r="N961" s="89">
        <v>540</v>
      </c>
      <c r="O961" s="90"/>
      <c r="P961" s="93"/>
      <c r="Q961" s="93"/>
      <c r="S961" s="12">
        <v>540</v>
      </c>
      <c r="T961" s="26">
        <v>340</v>
      </c>
      <c r="U961" s="12">
        <f t="shared" si="26"/>
        <v>183600</v>
      </c>
    </row>
    <row r="962" spans="1:22">
      <c r="A962" s="17">
        <v>4</v>
      </c>
      <c r="B962" s="81" t="s">
        <v>83</v>
      </c>
      <c r="C962" s="82" t="s">
        <v>83</v>
      </c>
      <c r="D962" s="82" t="s">
        <v>83</v>
      </c>
      <c r="E962" s="82" t="s">
        <v>83</v>
      </c>
      <c r="F962" s="82" t="s">
        <v>83</v>
      </c>
      <c r="G962" s="83" t="s">
        <v>83</v>
      </c>
      <c r="H962" s="29" t="s">
        <v>67</v>
      </c>
      <c r="I962" s="84">
        <v>20</v>
      </c>
      <c r="J962" s="85">
        <v>20</v>
      </c>
      <c r="K962" s="86">
        <v>20</v>
      </c>
      <c r="L962" s="87"/>
      <c r="M962" s="88"/>
      <c r="N962" s="89">
        <v>20</v>
      </c>
      <c r="O962" s="90"/>
      <c r="P962" s="93"/>
      <c r="Q962" s="93"/>
      <c r="S962" s="12">
        <v>20</v>
      </c>
      <c r="T962" s="26">
        <v>1250</v>
      </c>
      <c r="U962" s="12">
        <f t="shared" si="26"/>
        <v>25000</v>
      </c>
    </row>
    <row r="963" spans="1:22" ht="32.1" customHeight="1">
      <c r="A963" s="17">
        <v>5</v>
      </c>
      <c r="B963" s="81" t="s">
        <v>84</v>
      </c>
      <c r="C963" s="82" t="s">
        <v>84</v>
      </c>
      <c r="D963" s="82" t="s">
        <v>84</v>
      </c>
      <c r="E963" s="82" t="s">
        <v>84</v>
      </c>
      <c r="F963" s="82" t="s">
        <v>84</v>
      </c>
      <c r="G963" s="83" t="s">
        <v>84</v>
      </c>
      <c r="H963" s="29" t="s">
        <v>97</v>
      </c>
      <c r="I963" s="84">
        <v>28</v>
      </c>
      <c r="J963" s="85">
        <v>28</v>
      </c>
      <c r="K963" s="86">
        <v>28</v>
      </c>
      <c r="L963" s="87"/>
      <c r="M963" s="88"/>
      <c r="N963" s="89">
        <v>28</v>
      </c>
      <c r="O963" s="90"/>
      <c r="P963" s="93"/>
      <c r="Q963" s="93"/>
      <c r="S963" s="12">
        <v>28</v>
      </c>
      <c r="T963" s="26">
        <v>1800</v>
      </c>
      <c r="U963" s="12">
        <f t="shared" si="26"/>
        <v>50400</v>
      </c>
    </row>
    <row r="964" spans="1:22">
      <c r="A964" s="17">
        <v>6</v>
      </c>
      <c r="B964" s="81" t="s">
        <v>85</v>
      </c>
      <c r="C964" s="82" t="s">
        <v>85</v>
      </c>
      <c r="D964" s="82" t="s">
        <v>85</v>
      </c>
      <c r="E964" s="82" t="s">
        <v>85</v>
      </c>
      <c r="F964" s="82" t="s">
        <v>85</v>
      </c>
      <c r="G964" s="83" t="s">
        <v>85</v>
      </c>
      <c r="H964" s="29" t="s">
        <v>97</v>
      </c>
      <c r="I964" s="84">
        <v>14</v>
      </c>
      <c r="J964" s="85">
        <v>14</v>
      </c>
      <c r="K964" s="86">
        <v>14</v>
      </c>
      <c r="L964" s="87"/>
      <c r="M964" s="88"/>
      <c r="N964" s="89">
        <v>14</v>
      </c>
      <c r="O964" s="90"/>
      <c r="P964" s="79"/>
      <c r="Q964" s="80"/>
      <c r="S964" s="12">
        <v>14</v>
      </c>
      <c r="T964" s="26">
        <v>4000</v>
      </c>
      <c r="U964" s="12">
        <f t="shared" si="26"/>
        <v>56000</v>
      </c>
    </row>
    <row r="965" spans="1:22">
      <c r="A965" s="17">
        <v>7</v>
      </c>
      <c r="B965" s="81" t="s">
        <v>86</v>
      </c>
      <c r="C965" s="82" t="s">
        <v>86</v>
      </c>
      <c r="D965" s="82" t="s">
        <v>86</v>
      </c>
      <c r="E965" s="82" t="s">
        <v>86</v>
      </c>
      <c r="F965" s="82" t="s">
        <v>86</v>
      </c>
      <c r="G965" s="83" t="s">
        <v>86</v>
      </c>
      <c r="H965" s="29" t="s">
        <v>97</v>
      </c>
      <c r="I965" s="84">
        <v>30</v>
      </c>
      <c r="J965" s="85">
        <v>30</v>
      </c>
      <c r="K965" s="86">
        <v>30</v>
      </c>
      <c r="L965" s="87"/>
      <c r="M965" s="88"/>
      <c r="N965" s="89">
        <v>30</v>
      </c>
      <c r="O965" s="90"/>
      <c r="P965" s="93"/>
      <c r="Q965" s="93"/>
      <c r="S965" s="12">
        <v>30</v>
      </c>
      <c r="T965" s="26">
        <v>4000</v>
      </c>
      <c r="U965" s="12">
        <f t="shared" si="26"/>
        <v>120000</v>
      </c>
    </row>
    <row r="966" spans="1:22">
      <c r="A966" s="17">
        <v>8</v>
      </c>
      <c r="B966" s="81" t="s">
        <v>87</v>
      </c>
      <c r="C966" s="82" t="s">
        <v>87</v>
      </c>
      <c r="D966" s="82" t="s">
        <v>87</v>
      </c>
      <c r="E966" s="82" t="s">
        <v>87</v>
      </c>
      <c r="F966" s="82" t="s">
        <v>87</v>
      </c>
      <c r="G966" s="83" t="s">
        <v>87</v>
      </c>
      <c r="H966" s="30" t="s">
        <v>25</v>
      </c>
      <c r="I966" s="84">
        <v>1</v>
      </c>
      <c r="J966" s="85">
        <v>1</v>
      </c>
      <c r="K966" s="86">
        <v>1</v>
      </c>
      <c r="L966" s="94"/>
      <c r="M966" s="95"/>
      <c r="N966" s="94">
        <v>1</v>
      </c>
      <c r="O966" s="95"/>
      <c r="P966" s="93"/>
      <c r="Q966" s="93"/>
      <c r="S966" s="16">
        <v>1</v>
      </c>
      <c r="T966" s="26">
        <v>31000</v>
      </c>
      <c r="U966" s="12">
        <f t="shared" si="26"/>
        <v>31000</v>
      </c>
    </row>
    <row r="967" spans="1:22">
      <c r="A967" s="17">
        <v>9</v>
      </c>
      <c r="B967" s="81" t="s">
        <v>88</v>
      </c>
      <c r="C967" s="82" t="s">
        <v>88</v>
      </c>
      <c r="D967" s="82" t="s">
        <v>88</v>
      </c>
      <c r="E967" s="82" t="s">
        <v>88</v>
      </c>
      <c r="F967" s="82" t="s">
        <v>88</v>
      </c>
      <c r="G967" s="83" t="s">
        <v>88</v>
      </c>
      <c r="H967" s="30" t="s">
        <v>25</v>
      </c>
      <c r="I967" s="84">
        <v>1</v>
      </c>
      <c r="J967" s="85">
        <v>1</v>
      </c>
      <c r="K967" s="86">
        <v>1</v>
      </c>
      <c r="L967" s="87"/>
      <c r="M967" s="88"/>
      <c r="N967" s="89"/>
      <c r="O967" s="90"/>
      <c r="P967" s="93"/>
      <c r="Q967" s="93"/>
      <c r="S967" s="12"/>
      <c r="T967" s="26">
        <v>30121</v>
      </c>
      <c r="U967" s="12">
        <f t="shared" si="26"/>
        <v>0</v>
      </c>
    </row>
    <row r="968" spans="1:22">
      <c r="A968" s="17">
        <v>10</v>
      </c>
      <c r="B968" s="81" t="s">
        <v>89</v>
      </c>
      <c r="C968" s="82"/>
      <c r="D968" s="82"/>
      <c r="E968" s="82"/>
      <c r="F968" s="82"/>
      <c r="G968" s="83"/>
      <c r="H968" s="30" t="s">
        <v>98</v>
      </c>
      <c r="I968" s="84">
        <v>3</v>
      </c>
      <c r="J968" s="85"/>
      <c r="K968" s="86"/>
      <c r="L968" s="87"/>
      <c r="M968" s="88"/>
      <c r="N968" s="89">
        <v>3</v>
      </c>
      <c r="O968" s="90"/>
      <c r="P968" s="91"/>
      <c r="Q968" s="92"/>
      <c r="S968" s="12">
        <v>3</v>
      </c>
      <c r="T968" s="26">
        <v>14500</v>
      </c>
      <c r="U968" s="12">
        <f t="shared" si="26"/>
        <v>43500</v>
      </c>
    </row>
    <row r="969" spans="1:22">
      <c r="A969" s="17">
        <v>11</v>
      </c>
      <c r="B969" s="81" t="s">
        <v>90</v>
      </c>
      <c r="C969" s="82"/>
      <c r="D969" s="82"/>
      <c r="E969" s="82"/>
      <c r="F969" s="82"/>
      <c r="G969" s="83"/>
      <c r="H969" s="29" t="s">
        <v>67</v>
      </c>
      <c r="I969" s="84">
        <v>6</v>
      </c>
      <c r="J969" s="85"/>
      <c r="K969" s="86"/>
      <c r="L969" s="87"/>
      <c r="M969" s="88"/>
      <c r="N969" s="89">
        <v>6</v>
      </c>
      <c r="O969" s="90"/>
      <c r="P969" s="91"/>
      <c r="Q969" s="92"/>
      <c r="S969" s="12">
        <v>6</v>
      </c>
      <c r="T969" s="26">
        <v>3500</v>
      </c>
      <c r="U969" s="12">
        <f t="shared" si="26"/>
        <v>21000</v>
      </c>
    </row>
    <row r="970" spans="1:22">
      <c r="A970" s="17">
        <v>12</v>
      </c>
      <c r="B970" s="81" t="s">
        <v>91</v>
      </c>
      <c r="C970" s="82" t="s">
        <v>89</v>
      </c>
      <c r="D970" s="82" t="s">
        <v>89</v>
      </c>
      <c r="E970" s="82" t="s">
        <v>89</v>
      </c>
      <c r="F970" s="82" t="s">
        <v>89</v>
      </c>
      <c r="G970" s="83" t="s">
        <v>89</v>
      </c>
      <c r="H970" s="29" t="s">
        <v>67</v>
      </c>
      <c r="I970" s="84">
        <v>10</v>
      </c>
      <c r="J970" s="85">
        <v>10</v>
      </c>
      <c r="K970" s="86">
        <v>10</v>
      </c>
      <c r="L970" s="87"/>
      <c r="M970" s="88"/>
      <c r="N970" s="89">
        <v>10</v>
      </c>
      <c r="O970" s="90"/>
      <c r="P970" s="93"/>
      <c r="Q970" s="93"/>
      <c r="S970" s="12">
        <v>10</v>
      </c>
      <c r="T970" s="26">
        <v>3000</v>
      </c>
      <c r="U970" s="12">
        <f t="shared" si="26"/>
        <v>30000</v>
      </c>
      <c r="V970" s="22">
        <f>SUM(U959:U970)</f>
        <v>560500</v>
      </c>
    </row>
    <row r="971" spans="1:22">
      <c r="A971" s="17" t="s">
        <v>76</v>
      </c>
      <c r="B971" s="71" t="s">
        <v>92</v>
      </c>
      <c r="C971" s="72"/>
      <c r="D971" s="72"/>
      <c r="E971" s="72"/>
      <c r="F971" s="72"/>
      <c r="G971" s="73"/>
      <c r="H971" s="30" t="s">
        <v>24</v>
      </c>
      <c r="I971" s="84">
        <v>1</v>
      </c>
      <c r="J971" s="85">
        <v>10</v>
      </c>
      <c r="K971" s="86">
        <v>10</v>
      </c>
      <c r="L971" s="77"/>
      <c r="M971" s="78"/>
      <c r="N971" s="77">
        <v>1</v>
      </c>
      <c r="O971" s="78"/>
      <c r="P971" s="79"/>
      <c r="Q971" s="80"/>
      <c r="S971" s="12">
        <v>1</v>
      </c>
      <c r="T971" s="25">
        <v>10391</v>
      </c>
      <c r="U971" s="12">
        <f>S971*T971</f>
        <v>10391</v>
      </c>
      <c r="V971" s="27"/>
    </row>
    <row r="972" spans="1:22">
      <c r="A972" s="23" t="s">
        <v>68</v>
      </c>
      <c r="B972" s="71" t="s">
        <v>93</v>
      </c>
      <c r="C972" s="72"/>
      <c r="D972" s="72"/>
      <c r="E972" s="72"/>
      <c r="F972" s="72"/>
      <c r="G972" s="73"/>
      <c r="H972" s="30" t="s">
        <v>24</v>
      </c>
      <c r="I972" s="74">
        <v>1</v>
      </c>
      <c r="J972" s="75"/>
      <c r="K972" s="76"/>
      <c r="L972" s="77">
        <f>N972-N899</f>
        <v>0</v>
      </c>
      <c r="M972" s="78"/>
      <c r="N972" s="77">
        <f>S972</f>
        <v>0.53940910403233566</v>
      </c>
      <c r="O972" s="78"/>
      <c r="P972" s="77"/>
      <c r="Q972" s="78"/>
      <c r="S972" s="21">
        <f>V970*0.01/T972</f>
        <v>0.53940910403233566</v>
      </c>
      <c r="T972" s="25">
        <v>10391</v>
      </c>
      <c r="U972" s="12">
        <f t="shared" ref="U972:U973" si="27">S972*T972</f>
        <v>5605</v>
      </c>
    </row>
    <row r="973" spans="1:22">
      <c r="A973" s="23" t="s">
        <v>69</v>
      </c>
      <c r="B973" s="58" t="s">
        <v>94</v>
      </c>
      <c r="C973" s="59" t="s">
        <v>70</v>
      </c>
      <c r="D973" s="59" t="s">
        <v>70</v>
      </c>
      <c r="E973" s="59" t="s">
        <v>70</v>
      </c>
      <c r="F973" s="59" t="s">
        <v>70</v>
      </c>
      <c r="G973" s="60" t="s">
        <v>70</v>
      </c>
      <c r="H973" s="30" t="s">
        <v>24</v>
      </c>
      <c r="I973" s="74">
        <v>1</v>
      </c>
      <c r="J973" s="75"/>
      <c r="K973" s="76"/>
      <c r="L973" s="77">
        <f>N973-N900</f>
        <v>0</v>
      </c>
      <c r="M973" s="78"/>
      <c r="N973" s="77">
        <f>S973</f>
        <v>0.53939427267353146</v>
      </c>
      <c r="O973" s="78"/>
      <c r="P973" s="77"/>
      <c r="Q973" s="78"/>
      <c r="S973" s="21">
        <f>V970*0.07/T973</f>
        <v>0.53939427267353146</v>
      </c>
      <c r="T973" s="25">
        <v>72739</v>
      </c>
      <c r="U973" s="12">
        <f t="shared" si="27"/>
        <v>39235.000000000007</v>
      </c>
    </row>
    <row r="974" spans="1:22">
      <c r="A974" s="23" t="s">
        <v>71</v>
      </c>
      <c r="B974" s="58" t="s">
        <v>95</v>
      </c>
      <c r="C974" s="59" t="s">
        <v>72</v>
      </c>
      <c r="D974" s="59" t="s">
        <v>72</v>
      </c>
      <c r="E974" s="59" t="s">
        <v>72</v>
      </c>
      <c r="F974" s="59" t="s">
        <v>72</v>
      </c>
      <c r="G974" s="60" t="s">
        <v>72</v>
      </c>
      <c r="H974" s="30" t="s">
        <v>24</v>
      </c>
      <c r="I974" s="74">
        <v>1</v>
      </c>
      <c r="J974" s="75"/>
      <c r="K974" s="76"/>
      <c r="L974" s="77"/>
      <c r="M974" s="78"/>
      <c r="N974" s="77">
        <f>S974</f>
        <v>1</v>
      </c>
      <c r="O974" s="78"/>
      <c r="P974" s="77"/>
      <c r="Q974" s="78"/>
      <c r="S974" s="21">
        <v>1</v>
      </c>
      <c r="T974" s="25">
        <v>4156</v>
      </c>
      <c r="U974" s="12">
        <f>S974*T974</f>
        <v>4156</v>
      </c>
    </row>
    <row r="975" spans="1:22">
      <c r="A975" s="23" t="s">
        <v>73</v>
      </c>
      <c r="B975" s="58" t="s">
        <v>96</v>
      </c>
      <c r="C975" s="59" t="s">
        <v>74</v>
      </c>
      <c r="D975" s="59" t="s">
        <v>74</v>
      </c>
      <c r="E975" s="59" t="s">
        <v>74</v>
      </c>
      <c r="F975" s="59" t="s">
        <v>74</v>
      </c>
      <c r="G975" s="60" t="s">
        <v>74</v>
      </c>
      <c r="H975" s="30" t="s">
        <v>24</v>
      </c>
      <c r="I975" s="74">
        <v>1</v>
      </c>
      <c r="J975" s="75"/>
      <c r="K975" s="76"/>
      <c r="L975" s="77">
        <f>N975-N902</f>
        <v>0</v>
      </c>
      <c r="M975" s="78"/>
      <c r="N975" s="77">
        <f>S975</f>
        <v>0.54529116819141454</v>
      </c>
      <c r="O975" s="78"/>
      <c r="P975" s="79"/>
      <c r="Q975" s="80"/>
      <c r="S975" s="21">
        <f>(V970+U971+U972+U973+U974)*0.05/T975</f>
        <v>0.54529116819141454</v>
      </c>
      <c r="T975" s="25">
        <v>56840</v>
      </c>
      <c r="U975" s="12">
        <f>S975*T975</f>
        <v>30994.350000000002</v>
      </c>
    </row>
    <row r="976" spans="1:22">
      <c r="A976" s="23"/>
      <c r="B976" s="58"/>
      <c r="C976" s="59"/>
      <c r="D976" s="59"/>
      <c r="E976" s="59"/>
      <c r="F976" s="59"/>
      <c r="G976" s="60"/>
      <c r="H976" s="24"/>
      <c r="I976" s="58"/>
      <c r="J976" s="59"/>
      <c r="K976" s="59"/>
      <c r="L976" s="58"/>
      <c r="M976" s="59"/>
      <c r="N976" s="58"/>
      <c r="O976" s="59"/>
      <c r="P976" s="58"/>
      <c r="Q976" s="60"/>
      <c r="S976" s="21"/>
      <c r="T976" s="25"/>
      <c r="U976" s="28">
        <f>V970+U971+U972+U973+U974+U975</f>
        <v>650881.35</v>
      </c>
    </row>
    <row r="977" spans="1:21">
      <c r="A977" s="23"/>
      <c r="B977" s="58"/>
      <c r="C977" s="59"/>
      <c r="D977" s="59"/>
      <c r="E977" s="59"/>
      <c r="F977" s="59"/>
      <c r="G977" s="60"/>
      <c r="H977" s="23"/>
      <c r="I977" s="58"/>
      <c r="J977" s="59"/>
      <c r="K977" s="59"/>
      <c r="L977" s="58"/>
      <c r="M977" s="59"/>
      <c r="N977" s="58"/>
      <c r="O977" s="59"/>
      <c r="P977" s="58"/>
      <c r="Q977" s="60"/>
      <c r="S977" s="21"/>
      <c r="T977" s="16"/>
      <c r="U977" s="14">
        <v>1193638</v>
      </c>
    </row>
    <row r="978" spans="1:21">
      <c r="A978" s="9"/>
      <c r="B978" s="58"/>
      <c r="C978" s="59"/>
      <c r="D978" s="59"/>
      <c r="E978" s="59"/>
      <c r="F978" s="59"/>
      <c r="G978" s="60"/>
      <c r="H978" s="9"/>
      <c r="I978" s="58"/>
      <c r="J978" s="59"/>
      <c r="K978" s="59"/>
      <c r="L978" s="58"/>
      <c r="M978" s="59"/>
      <c r="N978" s="58"/>
      <c r="O978" s="59"/>
      <c r="P978" s="58"/>
      <c r="Q978" s="60"/>
      <c r="S978" s="21"/>
      <c r="T978" s="16"/>
      <c r="U978" s="15">
        <f>U976/U977</f>
        <v>0.54529208185396238</v>
      </c>
    </row>
    <row r="979" spans="1:21">
      <c r="A979" s="9"/>
      <c r="B979" s="58"/>
      <c r="C979" s="59"/>
      <c r="D979" s="59"/>
      <c r="E979" s="59"/>
      <c r="F979" s="59"/>
      <c r="G979" s="60"/>
      <c r="H979" s="9"/>
      <c r="I979" s="58"/>
      <c r="J979" s="59"/>
      <c r="K979" s="59"/>
      <c r="L979" s="58"/>
      <c r="M979" s="59"/>
      <c r="N979" s="58"/>
      <c r="O979" s="59"/>
      <c r="P979" s="58"/>
      <c r="Q979" s="60"/>
      <c r="S979" s="21"/>
      <c r="T979" s="16"/>
      <c r="U979" s="12"/>
    </row>
    <row r="980" spans="1:21">
      <c r="A980" s="9"/>
      <c r="B980" s="58"/>
      <c r="C980" s="59"/>
      <c r="D980" s="59"/>
      <c r="E980" s="59"/>
      <c r="F980" s="59"/>
      <c r="G980" s="60"/>
      <c r="H980" s="9"/>
      <c r="I980" s="58"/>
      <c r="J980" s="59"/>
      <c r="K980" s="59"/>
      <c r="L980" s="58"/>
      <c r="M980" s="59"/>
      <c r="N980" s="58"/>
      <c r="O980" s="59"/>
      <c r="P980" s="58"/>
      <c r="Q980" s="60"/>
      <c r="S980" s="21"/>
      <c r="T980" s="16"/>
      <c r="U980" s="12"/>
    </row>
    <row r="981" spans="1:21">
      <c r="A981" s="9"/>
      <c r="B981" s="58"/>
      <c r="C981" s="59"/>
      <c r="D981" s="59"/>
      <c r="E981" s="59"/>
      <c r="F981" s="59"/>
      <c r="G981" s="60"/>
      <c r="H981" s="9"/>
      <c r="I981" s="58"/>
      <c r="J981" s="59"/>
      <c r="K981" s="59"/>
      <c r="L981" s="58"/>
      <c r="M981" s="59"/>
      <c r="N981" s="58"/>
      <c r="O981" s="59"/>
      <c r="P981" s="58"/>
      <c r="Q981" s="60"/>
      <c r="S981" s="21"/>
      <c r="T981" s="16"/>
      <c r="U981" s="12"/>
    </row>
    <row r="982" spans="1:21">
      <c r="A982" s="9"/>
      <c r="B982" s="58"/>
      <c r="C982" s="59"/>
      <c r="D982" s="59"/>
      <c r="E982" s="59"/>
      <c r="F982" s="59"/>
      <c r="G982" s="60"/>
      <c r="H982" s="9"/>
      <c r="I982" s="58"/>
      <c r="J982" s="59"/>
      <c r="K982" s="59"/>
      <c r="L982" s="58"/>
      <c r="M982" s="59"/>
      <c r="N982" s="58"/>
      <c r="O982" s="59"/>
      <c r="P982" s="58"/>
      <c r="Q982" s="60"/>
      <c r="S982" s="21"/>
      <c r="T982" s="16"/>
      <c r="U982" s="12"/>
    </row>
    <row r="983" spans="1:21">
      <c r="A983" s="7"/>
      <c r="B983" s="61"/>
      <c r="C983" s="62"/>
      <c r="D983" s="62"/>
      <c r="E983" s="62"/>
      <c r="F983" s="62"/>
      <c r="G983" s="63"/>
      <c r="H983" s="9"/>
      <c r="I983" s="64"/>
      <c r="J983" s="65"/>
      <c r="K983" s="66"/>
      <c r="L983" s="67"/>
      <c r="M983" s="68"/>
      <c r="N983" s="67"/>
      <c r="O983" s="68"/>
      <c r="P983" s="69"/>
      <c r="Q983" s="70"/>
      <c r="S983" s="21"/>
      <c r="T983" s="16"/>
    </row>
    <row r="984" spans="1:21">
      <c r="A984" s="44" t="s">
        <v>29</v>
      </c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T984" s="20"/>
    </row>
    <row r="985" spans="1:21">
      <c r="A985" s="44" t="s">
        <v>30</v>
      </c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T985" s="20"/>
    </row>
    <row r="986" spans="1:21">
      <c r="A986" s="44" t="s">
        <v>31</v>
      </c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T986" s="20"/>
    </row>
    <row r="987" spans="1:21">
      <c r="A987" s="44" t="s">
        <v>32</v>
      </c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T987" s="20"/>
    </row>
    <row r="988" spans="1:21">
      <c r="A988" s="54" t="s">
        <v>33</v>
      </c>
      <c r="B988" s="54"/>
      <c r="C988" s="54"/>
      <c r="D988" s="54"/>
      <c r="E988" s="54"/>
      <c r="F988" s="54"/>
      <c r="G988" s="54"/>
      <c r="H988" s="54" t="s">
        <v>20</v>
      </c>
      <c r="I988" s="54"/>
      <c r="J988" s="54"/>
      <c r="K988" s="54" t="s">
        <v>34</v>
      </c>
      <c r="L988" s="54"/>
      <c r="M988" s="54" t="s">
        <v>35</v>
      </c>
      <c r="N988" s="54"/>
      <c r="O988" s="54" t="s">
        <v>36</v>
      </c>
      <c r="P988" s="54"/>
      <c r="Q988" s="54"/>
      <c r="T988" s="20"/>
    </row>
    <row r="989" spans="1:21">
      <c r="A989" s="55"/>
      <c r="B989" s="56"/>
      <c r="C989" s="56"/>
      <c r="D989" s="56"/>
      <c r="E989" s="56"/>
      <c r="F989" s="56"/>
      <c r="G989" s="57"/>
      <c r="H989" s="55"/>
      <c r="I989" s="56"/>
      <c r="J989" s="57"/>
      <c r="K989" s="55"/>
      <c r="L989" s="56"/>
      <c r="M989" s="55"/>
      <c r="N989" s="56"/>
      <c r="O989" s="55"/>
      <c r="P989" s="56"/>
      <c r="Q989" s="57"/>
      <c r="T989" s="20"/>
    </row>
    <row r="990" spans="1:21">
      <c r="A990" s="55"/>
      <c r="B990" s="56"/>
      <c r="C990" s="56"/>
      <c r="D990" s="56"/>
      <c r="E990" s="56"/>
      <c r="F990" s="56"/>
      <c r="G990" s="57"/>
      <c r="H990" s="55"/>
      <c r="I990" s="56"/>
      <c r="J990" s="57"/>
      <c r="K990" s="55"/>
      <c r="L990" s="56"/>
      <c r="M990" s="55"/>
      <c r="N990" s="56"/>
      <c r="O990" s="55"/>
      <c r="P990" s="56"/>
      <c r="Q990" s="57"/>
      <c r="T990" s="20"/>
    </row>
    <row r="991" spans="1:21">
      <c r="A991" s="53"/>
      <c r="B991" s="53"/>
      <c r="C991" s="53"/>
      <c r="D991" s="53"/>
      <c r="E991" s="53"/>
      <c r="F991" s="53"/>
      <c r="G991" s="53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T991" s="20"/>
    </row>
    <row r="992" spans="1:21">
      <c r="A992" s="53"/>
      <c r="B992" s="53"/>
      <c r="C992" s="53"/>
      <c r="D992" s="53"/>
      <c r="E992" s="53"/>
      <c r="F992" s="53"/>
      <c r="G992" s="53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T992" s="20"/>
    </row>
    <row r="993" spans="1:20">
      <c r="A993" s="44" t="s">
        <v>37</v>
      </c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T993" s="20"/>
    </row>
    <row r="994" spans="1:20">
      <c r="A994" s="46" t="s">
        <v>38</v>
      </c>
      <c r="B994" s="46"/>
      <c r="C994" s="47" t="s">
        <v>39</v>
      </c>
      <c r="D994" s="48"/>
      <c r="E994" s="48"/>
      <c r="F994" s="47" t="s">
        <v>40</v>
      </c>
      <c r="G994" s="48"/>
      <c r="H994" s="49"/>
      <c r="I994" s="46" t="s">
        <v>41</v>
      </c>
      <c r="J994" s="46"/>
      <c r="K994" s="46"/>
      <c r="L994" s="46" t="s">
        <v>35</v>
      </c>
      <c r="M994" s="46"/>
      <c r="N994" s="46"/>
      <c r="O994" s="46" t="s">
        <v>36</v>
      </c>
      <c r="P994" s="46"/>
      <c r="Q994" s="46"/>
      <c r="T994" s="20"/>
    </row>
    <row r="995" spans="1:20">
      <c r="A995" s="47" t="s">
        <v>42</v>
      </c>
      <c r="B995" s="49"/>
      <c r="C995" s="47"/>
      <c r="D995" s="48"/>
      <c r="E995" s="49"/>
      <c r="F995" s="47">
        <f>F922+C995</f>
        <v>23</v>
      </c>
      <c r="G995" s="48"/>
      <c r="H995" s="49"/>
      <c r="I995" s="47"/>
      <c r="J995" s="48"/>
      <c r="K995" s="49"/>
      <c r="L995" s="47"/>
      <c r="M995" s="48"/>
      <c r="N995" s="49"/>
      <c r="O995" s="47"/>
      <c r="P995" s="48"/>
      <c r="Q995" s="49"/>
      <c r="T995" s="20"/>
    </row>
    <row r="996" spans="1:20">
      <c r="A996" s="47" t="s">
        <v>100</v>
      </c>
      <c r="B996" s="49"/>
      <c r="C996" s="47"/>
      <c r="D996" s="48"/>
      <c r="E996" s="49"/>
      <c r="F996" s="47">
        <f>F923+C996</f>
        <v>2</v>
      </c>
      <c r="G996" s="48"/>
      <c r="H996" s="49"/>
      <c r="I996" s="47"/>
      <c r="J996" s="48"/>
      <c r="K996" s="49"/>
      <c r="L996" s="47"/>
      <c r="M996" s="48"/>
      <c r="N996" s="49"/>
      <c r="O996" s="47"/>
      <c r="P996" s="48"/>
      <c r="Q996" s="49"/>
      <c r="T996" s="20"/>
    </row>
    <row r="997" spans="1:20">
      <c r="A997" s="47"/>
      <c r="B997" s="49"/>
      <c r="C997" s="47"/>
      <c r="D997" s="48"/>
      <c r="E997" s="49"/>
      <c r="F997" s="47"/>
      <c r="G997" s="48"/>
      <c r="H997" s="49"/>
      <c r="I997" s="47"/>
      <c r="J997" s="48"/>
      <c r="K997" s="49"/>
      <c r="L997" s="47"/>
      <c r="M997" s="48"/>
      <c r="N997" s="49"/>
      <c r="O997" s="47"/>
      <c r="P997" s="48"/>
      <c r="Q997" s="49"/>
      <c r="T997" s="20"/>
    </row>
    <row r="998" spans="1:20">
      <c r="A998" s="46"/>
      <c r="B998" s="46"/>
      <c r="C998" s="47"/>
      <c r="D998" s="48"/>
      <c r="E998" s="49"/>
      <c r="F998" s="47"/>
      <c r="G998" s="48"/>
      <c r="H998" s="49"/>
      <c r="I998" s="47"/>
      <c r="J998" s="48"/>
      <c r="K998" s="49"/>
      <c r="L998" s="47"/>
      <c r="M998" s="48"/>
      <c r="N998" s="49"/>
      <c r="O998" s="47"/>
      <c r="P998" s="48"/>
      <c r="Q998" s="49"/>
      <c r="T998" s="20"/>
    </row>
    <row r="999" spans="1:20">
      <c r="A999" s="46"/>
      <c r="B999" s="46"/>
      <c r="C999" s="47"/>
      <c r="D999" s="48"/>
      <c r="E999" s="49"/>
      <c r="F999" s="47"/>
      <c r="G999" s="48"/>
      <c r="H999" s="49"/>
      <c r="I999" s="47"/>
      <c r="J999" s="48"/>
      <c r="K999" s="49"/>
      <c r="L999" s="47"/>
      <c r="M999" s="48"/>
      <c r="N999" s="49"/>
      <c r="O999" s="47"/>
      <c r="P999" s="48"/>
      <c r="Q999" s="49"/>
      <c r="T999" s="20"/>
    </row>
    <row r="1000" spans="1:20">
      <c r="A1000" s="50" t="s">
        <v>43</v>
      </c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2"/>
      <c r="T1000" s="20"/>
    </row>
    <row r="1001" spans="1:20">
      <c r="A1001" s="38" t="s">
        <v>44</v>
      </c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40"/>
      <c r="T1001" s="20"/>
    </row>
    <row r="1002" spans="1:20">
      <c r="A1002" s="41" t="s">
        <v>45</v>
      </c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3"/>
      <c r="T1002" s="20"/>
    </row>
    <row r="1003" spans="1:20">
      <c r="A1003" s="50" t="s">
        <v>46</v>
      </c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2"/>
      <c r="T1003" s="20"/>
    </row>
    <row r="1004" spans="1:20">
      <c r="A1004" s="38" t="s">
        <v>47</v>
      </c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40"/>
      <c r="T1004" s="20"/>
    </row>
    <row r="1005" spans="1:20">
      <c r="A1005" s="38" t="s">
        <v>48</v>
      </c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40"/>
      <c r="T1005" s="20"/>
    </row>
    <row r="1006" spans="1:20">
      <c r="A1006" s="38" t="s">
        <v>49</v>
      </c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40"/>
      <c r="T1006" s="20"/>
    </row>
    <row r="1007" spans="1:20">
      <c r="A1007" s="38" t="s">
        <v>50</v>
      </c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40"/>
      <c r="T1007" s="20"/>
    </row>
    <row r="1008" spans="1:20">
      <c r="A1008" s="38" t="s">
        <v>51</v>
      </c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40"/>
      <c r="T1008" s="20"/>
    </row>
    <row r="1009" spans="1:20">
      <c r="A1009" s="41" t="s">
        <v>52</v>
      </c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3"/>
      <c r="T1009" s="20"/>
    </row>
    <row r="1010" spans="1:20">
      <c r="A1010" s="44" t="s">
        <v>53</v>
      </c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T1010" s="20"/>
    </row>
    <row r="1011" spans="1:20">
      <c r="A1011" s="44" t="s">
        <v>54</v>
      </c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T1011" s="20"/>
    </row>
    <row r="1012" spans="1:20">
      <c r="A1012" s="44" t="s">
        <v>101</v>
      </c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T1012" s="20"/>
    </row>
    <row r="1013" spans="1:20">
      <c r="A1013" s="44" t="s">
        <v>55</v>
      </c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T1013" s="20"/>
    </row>
    <row r="1014" spans="1:20">
      <c r="A1014" s="45" t="s">
        <v>56</v>
      </c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T1014" s="20"/>
    </row>
    <row r="1015" spans="1:20">
      <c r="A1015" s="37" t="s">
        <v>57</v>
      </c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T1015" s="20"/>
    </row>
    <row r="1016" spans="1:20">
      <c r="A1016" s="37" t="s">
        <v>58</v>
      </c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T1016" s="20"/>
    </row>
    <row r="1017" spans="1:20">
      <c r="A1017" s="37" t="s">
        <v>59</v>
      </c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T1017" s="20"/>
    </row>
    <row r="1018" spans="1:20">
      <c r="A1018" s="37" t="s">
        <v>60</v>
      </c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T1018" s="20"/>
    </row>
    <row r="1019" spans="1:20">
      <c r="A1019" s="37" t="s">
        <v>61</v>
      </c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T1019" s="20"/>
    </row>
    <row r="1020" spans="1:20">
      <c r="A1020" s="37" t="s">
        <v>62</v>
      </c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T1020" s="20"/>
    </row>
    <row r="1021" spans="1:20">
      <c r="A1021" s="37" t="s">
        <v>63</v>
      </c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T1021" s="20"/>
    </row>
    <row r="1022" spans="1:20">
      <c r="A1022" s="37" t="s">
        <v>75</v>
      </c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T1022" s="20"/>
    </row>
    <row r="1023" spans="1:20" ht="39" customHeight="1">
      <c r="B1023" s="120" t="s">
        <v>0</v>
      </c>
      <c r="C1023" s="120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120"/>
      <c r="O1023" s="120"/>
      <c r="P1023" s="120"/>
      <c r="Q1023" s="120"/>
      <c r="T1023" s="20"/>
    </row>
    <row r="1024" spans="1:20">
      <c r="B1024" s="6" t="s">
        <v>1</v>
      </c>
      <c r="C1024" s="121" t="s">
        <v>2</v>
      </c>
      <c r="D1024" s="121"/>
      <c r="E1024" s="1" t="s">
        <v>3</v>
      </c>
      <c r="F1024" s="121" t="s">
        <v>4</v>
      </c>
      <c r="G1024" s="121"/>
      <c r="H1024" s="1" t="s">
        <v>3</v>
      </c>
      <c r="I1024" s="1"/>
      <c r="J1024" s="121" t="s">
        <v>5</v>
      </c>
      <c r="K1024" s="121"/>
      <c r="L1024" s="121"/>
      <c r="M1024" s="122">
        <f>M951+1</f>
        <v>46241</v>
      </c>
      <c r="N1024" s="122"/>
      <c r="O1024" s="122"/>
      <c r="P1024" s="123"/>
      <c r="Q1024" s="123"/>
      <c r="T1024" s="20"/>
    </row>
    <row r="1025" spans="1:21">
      <c r="A1025" s="96" t="s">
        <v>6</v>
      </c>
      <c r="B1025" s="96"/>
      <c r="C1025" s="124" t="s">
        <v>79</v>
      </c>
      <c r="D1025" s="125"/>
      <c r="E1025" s="125"/>
      <c r="F1025" s="125"/>
      <c r="G1025" s="125"/>
      <c r="H1025" s="125"/>
      <c r="I1025" s="126"/>
      <c r="J1025" s="127" t="s">
        <v>7</v>
      </c>
      <c r="K1025" s="128"/>
      <c r="L1025" s="128"/>
      <c r="M1025" s="129"/>
      <c r="N1025" s="130" t="s">
        <v>78</v>
      </c>
      <c r="O1025" s="130"/>
      <c r="P1025" s="130"/>
      <c r="Q1025" s="131"/>
      <c r="T1025" s="20"/>
    </row>
    <row r="1026" spans="1:21">
      <c r="A1026" s="96" t="s">
        <v>8</v>
      </c>
      <c r="B1026" s="96"/>
      <c r="C1026" s="4">
        <v>30</v>
      </c>
      <c r="D1026" s="3" t="s">
        <v>9</v>
      </c>
      <c r="E1026" s="127" t="s">
        <v>10</v>
      </c>
      <c r="F1026" s="129"/>
      <c r="G1026" s="127">
        <f>G953+1</f>
        <v>15</v>
      </c>
      <c r="H1026" s="128"/>
      <c r="I1026" s="3" t="s">
        <v>9</v>
      </c>
      <c r="J1026" s="96" t="s">
        <v>11</v>
      </c>
      <c r="K1026" s="96"/>
      <c r="L1026" s="5">
        <f>C1026-G1026</f>
        <v>15</v>
      </c>
      <c r="M1026" s="2" t="s">
        <v>9</v>
      </c>
      <c r="N1026" s="96" t="s">
        <v>12</v>
      </c>
      <c r="O1026" s="96"/>
      <c r="P1026" s="2"/>
      <c r="Q1026" s="3" t="s">
        <v>9</v>
      </c>
      <c r="T1026" s="20"/>
    </row>
    <row r="1027" spans="1:21">
      <c r="A1027" s="96" t="s">
        <v>13</v>
      </c>
      <c r="B1027" s="96"/>
      <c r="C1027" s="132">
        <v>46227</v>
      </c>
      <c r="D1027" s="132"/>
      <c r="E1027" s="132"/>
      <c r="F1027" s="132"/>
      <c r="G1027" s="132"/>
      <c r="H1027" s="132"/>
      <c r="I1027" s="132"/>
      <c r="J1027" s="127" t="s">
        <v>14</v>
      </c>
      <c r="K1027" s="128"/>
      <c r="L1027" s="128"/>
      <c r="M1027" s="129"/>
      <c r="N1027" s="133">
        <v>46256</v>
      </c>
      <c r="O1027" s="134"/>
      <c r="P1027" s="134"/>
      <c r="Q1027" s="135"/>
      <c r="T1027" s="20"/>
    </row>
    <row r="1028" spans="1:21">
      <c r="A1028" s="96" t="s">
        <v>15</v>
      </c>
      <c r="B1028" s="96"/>
      <c r="C1028" s="97">
        <v>60</v>
      </c>
      <c r="D1028" s="98"/>
      <c r="E1028" s="98"/>
      <c r="F1028" s="98"/>
      <c r="G1028" s="98"/>
      <c r="H1028" s="99" t="s">
        <v>16</v>
      </c>
      <c r="I1028" s="100"/>
      <c r="J1028" s="101" t="s">
        <v>17</v>
      </c>
      <c r="K1028" s="101"/>
      <c r="L1028" s="101"/>
      <c r="M1028" s="101"/>
      <c r="N1028" s="102">
        <f>U1051</f>
        <v>0.6307953919027377</v>
      </c>
      <c r="O1028" s="102"/>
      <c r="P1028" s="102"/>
      <c r="Q1028" s="102"/>
      <c r="T1028" s="20"/>
    </row>
    <row r="1029" spans="1:21">
      <c r="A1029" s="103" t="s">
        <v>18</v>
      </c>
      <c r="B1029" s="104"/>
      <c r="C1029" s="104"/>
      <c r="D1029" s="104"/>
      <c r="E1029" s="104"/>
      <c r="F1029" s="104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5"/>
      <c r="T1029" s="20"/>
    </row>
    <row r="1030" spans="1:21">
      <c r="A1030" s="7"/>
      <c r="B1030" s="106" t="s">
        <v>19</v>
      </c>
      <c r="C1030" s="107"/>
      <c r="D1030" s="107"/>
      <c r="E1030" s="107"/>
      <c r="F1030" s="107"/>
      <c r="G1030" s="108"/>
      <c r="H1030" s="8" t="s">
        <v>20</v>
      </c>
      <c r="I1030" s="109" t="s">
        <v>21</v>
      </c>
      <c r="J1030" s="110"/>
      <c r="K1030" s="111"/>
      <c r="L1030" s="109" t="s">
        <v>28</v>
      </c>
      <c r="M1030" s="111"/>
      <c r="N1030" s="106" t="s">
        <v>22</v>
      </c>
      <c r="O1030" s="112"/>
      <c r="P1030" s="113" t="s">
        <v>23</v>
      </c>
      <c r="Q1030" s="113"/>
      <c r="S1030" s="18" t="s">
        <v>22</v>
      </c>
      <c r="T1030" s="19" t="s">
        <v>64</v>
      </c>
      <c r="U1030" s="13" t="s">
        <v>27</v>
      </c>
    </row>
    <row r="1031" spans="1:21">
      <c r="A1031" s="17" t="s">
        <v>65</v>
      </c>
      <c r="B1031" s="114" t="s">
        <v>66</v>
      </c>
      <c r="C1031" s="115"/>
      <c r="D1031" s="115"/>
      <c r="E1031" s="115"/>
      <c r="F1031" s="115"/>
      <c r="G1031" s="116"/>
      <c r="H1031" s="17"/>
      <c r="I1031" s="117"/>
      <c r="J1031" s="118"/>
      <c r="K1031" s="119"/>
      <c r="L1031" s="77"/>
      <c r="M1031" s="78"/>
      <c r="N1031" s="77"/>
      <c r="O1031" s="78"/>
      <c r="P1031" s="93"/>
      <c r="Q1031" s="93"/>
      <c r="S1031" s="16"/>
      <c r="T1031" s="16"/>
      <c r="U1031" s="16" t="s">
        <v>26</v>
      </c>
    </row>
    <row r="1032" spans="1:21">
      <c r="A1032" s="17">
        <v>1</v>
      </c>
      <c r="B1032" s="81" t="s">
        <v>80</v>
      </c>
      <c r="C1032" s="82"/>
      <c r="D1032" s="82"/>
      <c r="E1032" s="82"/>
      <c r="F1032" s="82"/>
      <c r="G1032" s="83"/>
      <c r="H1032" s="29" t="s">
        <v>67</v>
      </c>
      <c r="I1032" s="84">
        <v>18</v>
      </c>
      <c r="J1032" s="85"/>
      <c r="K1032" s="86"/>
      <c r="L1032" s="87"/>
      <c r="M1032" s="88"/>
      <c r="N1032" s="89"/>
      <c r="O1032" s="90"/>
      <c r="P1032" s="93"/>
      <c r="Q1032" s="93"/>
      <c r="S1032" s="12"/>
      <c r="T1032" s="26">
        <v>18000</v>
      </c>
      <c r="U1032" s="12">
        <f>S1032*T1032</f>
        <v>0</v>
      </c>
    </row>
    <row r="1033" spans="1:21" ht="32.1" customHeight="1">
      <c r="A1033" s="17">
        <v>2</v>
      </c>
      <c r="B1033" s="81" t="s">
        <v>81</v>
      </c>
      <c r="C1033" s="82" t="s">
        <v>81</v>
      </c>
      <c r="D1033" s="82" t="s">
        <v>81</v>
      </c>
      <c r="E1033" s="82" t="s">
        <v>81</v>
      </c>
      <c r="F1033" s="82" t="s">
        <v>81</v>
      </c>
      <c r="G1033" s="83" t="s">
        <v>81</v>
      </c>
      <c r="H1033" s="29" t="s">
        <v>97</v>
      </c>
      <c r="I1033" s="84">
        <v>166</v>
      </c>
      <c r="J1033" s="85"/>
      <c r="K1033" s="86"/>
      <c r="L1033" s="87">
        <v>120</v>
      </c>
      <c r="M1033" s="88"/>
      <c r="N1033" s="89">
        <v>120</v>
      </c>
      <c r="O1033" s="90"/>
      <c r="P1033" s="93"/>
      <c r="Q1033" s="93"/>
      <c r="S1033" s="12">
        <v>120</v>
      </c>
      <c r="T1033" s="26">
        <v>750</v>
      </c>
      <c r="U1033" s="12">
        <f t="shared" ref="U1033:U1043" si="28">S1033*T1033</f>
        <v>90000</v>
      </c>
    </row>
    <row r="1034" spans="1:21">
      <c r="A1034" s="17">
        <v>3</v>
      </c>
      <c r="B1034" s="81" t="s">
        <v>82</v>
      </c>
      <c r="C1034" s="82" t="s">
        <v>82</v>
      </c>
      <c r="D1034" s="82" t="s">
        <v>82</v>
      </c>
      <c r="E1034" s="82" t="s">
        <v>82</v>
      </c>
      <c r="F1034" s="82" t="s">
        <v>82</v>
      </c>
      <c r="G1034" s="83" t="s">
        <v>82</v>
      </c>
      <c r="H1034" s="29" t="s">
        <v>97</v>
      </c>
      <c r="I1034" s="84">
        <v>540</v>
      </c>
      <c r="J1034" s="85">
        <v>540</v>
      </c>
      <c r="K1034" s="86">
        <v>540</v>
      </c>
      <c r="L1034" s="87"/>
      <c r="M1034" s="88"/>
      <c r="N1034" s="89">
        <v>540</v>
      </c>
      <c r="O1034" s="90"/>
      <c r="P1034" s="93"/>
      <c r="Q1034" s="93"/>
      <c r="S1034" s="12">
        <v>540</v>
      </c>
      <c r="T1034" s="26">
        <v>340</v>
      </c>
      <c r="U1034" s="12">
        <f t="shared" si="28"/>
        <v>183600</v>
      </c>
    </row>
    <row r="1035" spans="1:21">
      <c r="A1035" s="17">
        <v>4</v>
      </c>
      <c r="B1035" s="81" t="s">
        <v>83</v>
      </c>
      <c r="C1035" s="82" t="s">
        <v>83</v>
      </c>
      <c r="D1035" s="82" t="s">
        <v>83</v>
      </c>
      <c r="E1035" s="82" t="s">
        <v>83</v>
      </c>
      <c r="F1035" s="82" t="s">
        <v>83</v>
      </c>
      <c r="G1035" s="83" t="s">
        <v>83</v>
      </c>
      <c r="H1035" s="29" t="s">
        <v>67</v>
      </c>
      <c r="I1035" s="84">
        <v>20</v>
      </c>
      <c r="J1035" s="85">
        <v>20</v>
      </c>
      <c r="K1035" s="86">
        <v>20</v>
      </c>
      <c r="L1035" s="87"/>
      <c r="M1035" s="88"/>
      <c r="N1035" s="89">
        <v>20</v>
      </c>
      <c r="O1035" s="90"/>
      <c r="P1035" s="93"/>
      <c r="Q1035" s="93"/>
      <c r="S1035" s="12">
        <v>20</v>
      </c>
      <c r="T1035" s="26">
        <v>1250</v>
      </c>
      <c r="U1035" s="12">
        <f t="shared" si="28"/>
        <v>25000</v>
      </c>
    </row>
    <row r="1036" spans="1:21" ht="32.1" customHeight="1">
      <c r="A1036" s="17">
        <v>5</v>
      </c>
      <c r="B1036" s="81" t="s">
        <v>84</v>
      </c>
      <c r="C1036" s="82" t="s">
        <v>84</v>
      </c>
      <c r="D1036" s="82" t="s">
        <v>84</v>
      </c>
      <c r="E1036" s="82" t="s">
        <v>84</v>
      </c>
      <c r="F1036" s="82" t="s">
        <v>84</v>
      </c>
      <c r="G1036" s="83" t="s">
        <v>84</v>
      </c>
      <c r="H1036" s="29" t="s">
        <v>97</v>
      </c>
      <c r="I1036" s="84">
        <v>28</v>
      </c>
      <c r="J1036" s="85">
        <v>28</v>
      </c>
      <c r="K1036" s="86">
        <v>28</v>
      </c>
      <c r="L1036" s="87"/>
      <c r="M1036" s="88"/>
      <c r="N1036" s="89">
        <v>28</v>
      </c>
      <c r="O1036" s="90"/>
      <c r="P1036" s="93"/>
      <c r="Q1036" s="93"/>
      <c r="S1036" s="12">
        <v>28</v>
      </c>
      <c r="T1036" s="26">
        <v>1800</v>
      </c>
      <c r="U1036" s="12">
        <f t="shared" si="28"/>
        <v>50400</v>
      </c>
    </row>
    <row r="1037" spans="1:21">
      <c r="A1037" s="17">
        <v>6</v>
      </c>
      <c r="B1037" s="81" t="s">
        <v>85</v>
      </c>
      <c r="C1037" s="82" t="s">
        <v>85</v>
      </c>
      <c r="D1037" s="82" t="s">
        <v>85</v>
      </c>
      <c r="E1037" s="82" t="s">
        <v>85</v>
      </c>
      <c r="F1037" s="82" t="s">
        <v>85</v>
      </c>
      <c r="G1037" s="83" t="s">
        <v>85</v>
      </c>
      <c r="H1037" s="29" t="s">
        <v>97</v>
      </c>
      <c r="I1037" s="84">
        <v>14</v>
      </c>
      <c r="J1037" s="85">
        <v>14</v>
      </c>
      <c r="K1037" s="86">
        <v>14</v>
      </c>
      <c r="L1037" s="87"/>
      <c r="M1037" s="88"/>
      <c r="N1037" s="89">
        <v>14</v>
      </c>
      <c r="O1037" s="90"/>
      <c r="P1037" s="79"/>
      <c r="Q1037" s="80"/>
      <c r="S1037" s="12">
        <v>14</v>
      </c>
      <c r="T1037" s="26">
        <v>4000</v>
      </c>
      <c r="U1037" s="12">
        <f t="shared" si="28"/>
        <v>56000</v>
      </c>
    </row>
    <row r="1038" spans="1:21">
      <c r="A1038" s="17">
        <v>7</v>
      </c>
      <c r="B1038" s="81" t="s">
        <v>86</v>
      </c>
      <c r="C1038" s="82" t="s">
        <v>86</v>
      </c>
      <c r="D1038" s="82" t="s">
        <v>86</v>
      </c>
      <c r="E1038" s="82" t="s">
        <v>86</v>
      </c>
      <c r="F1038" s="82" t="s">
        <v>86</v>
      </c>
      <c r="G1038" s="83" t="s">
        <v>86</v>
      </c>
      <c r="H1038" s="29" t="s">
        <v>97</v>
      </c>
      <c r="I1038" s="84">
        <v>30</v>
      </c>
      <c r="J1038" s="85">
        <v>30</v>
      </c>
      <c r="K1038" s="86">
        <v>30</v>
      </c>
      <c r="L1038" s="87"/>
      <c r="M1038" s="88"/>
      <c r="N1038" s="89">
        <v>30</v>
      </c>
      <c r="O1038" s="90"/>
      <c r="P1038" s="93"/>
      <c r="Q1038" s="93"/>
      <c r="S1038" s="12">
        <v>30</v>
      </c>
      <c r="T1038" s="26">
        <v>4000</v>
      </c>
      <c r="U1038" s="12">
        <f t="shared" si="28"/>
        <v>120000</v>
      </c>
    </row>
    <row r="1039" spans="1:21">
      <c r="A1039" s="17">
        <v>8</v>
      </c>
      <c r="B1039" s="81" t="s">
        <v>87</v>
      </c>
      <c r="C1039" s="82" t="s">
        <v>87</v>
      </c>
      <c r="D1039" s="82" t="s">
        <v>87</v>
      </c>
      <c r="E1039" s="82" t="s">
        <v>87</v>
      </c>
      <c r="F1039" s="82" t="s">
        <v>87</v>
      </c>
      <c r="G1039" s="83" t="s">
        <v>87</v>
      </c>
      <c r="H1039" s="30" t="s">
        <v>25</v>
      </c>
      <c r="I1039" s="84">
        <v>1</v>
      </c>
      <c r="J1039" s="85">
        <v>1</v>
      </c>
      <c r="K1039" s="86">
        <v>1</v>
      </c>
      <c r="L1039" s="94"/>
      <c r="M1039" s="95"/>
      <c r="N1039" s="94">
        <v>1</v>
      </c>
      <c r="O1039" s="95"/>
      <c r="P1039" s="93"/>
      <c r="Q1039" s="93"/>
      <c r="S1039" s="16">
        <v>1</v>
      </c>
      <c r="T1039" s="26">
        <v>31000</v>
      </c>
      <c r="U1039" s="12">
        <f t="shared" si="28"/>
        <v>31000</v>
      </c>
    </row>
    <row r="1040" spans="1:21">
      <c r="A1040" s="17">
        <v>9</v>
      </c>
      <c r="B1040" s="81" t="s">
        <v>88</v>
      </c>
      <c r="C1040" s="82" t="s">
        <v>88</v>
      </c>
      <c r="D1040" s="82" t="s">
        <v>88</v>
      </c>
      <c r="E1040" s="82" t="s">
        <v>88</v>
      </c>
      <c r="F1040" s="82" t="s">
        <v>88</v>
      </c>
      <c r="G1040" s="83" t="s">
        <v>88</v>
      </c>
      <c r="H1040" s="30" t="s">
        <v>25</v>
      </c>
      <c r="I1040" s="84">
        <v>1</v>
      </c>
      <c r="J1040" s="85">
        <v>1</v>
      </c>
      <c r="K1040" s="86">
        <v>1</v>
      </c>
      <c r="L1040" s="87"/>
      <c r="M1040" s="88"/>
      <c r="N1040" s="89"/>
      <c r="O1040" s="90"/>
      <c r="P1040" s="93"/>
      <c r="Q1040" s="93"/>
      <c r="S1040" s="12"/>
      <c r="T1040" s="26">
        <v>30121</v>
      </c>
      <c r="U1040" s="12">
        <f t="shared" si="28"/>
        <v>0</v>
      </c>
    </row>
    <row r="1041" spans="1:22">
      <c r="A1041" s="17">
        <v>10</v>
      </c>
      <c r="B1041" s="81" t="s">
        <v>89</v>
      </c>
      <c r="C1041" s="82"/>
      <c r="D1041" s="82"/>
      <c r="E1041" s="82"/>
      <c r="F1041" s="82"/>
      <c r="G1041" s="83"/>
      <c r="H1041" s="30" t="s">
        <v>98</v>
      </c>
      <c r="I1041" s="84">
        <v>3</v>
      </c>
      <c r="J1041" s="85"/>
      <c r="K1041" s="86"/>
      <c r="L1041" s="87"/>
      <c r="M1041" s="88"/>
      <c r="N1041" s="89">
        <v>3</v>
      </c>
      <c r="O1041" s="90"/>
      <c r="P1041" s="91"/>
      <c r="Q1041" s="92"/>
      <c r="S1041" s="12">
        <v>3</v>
      </c>
      <c r="T1041" s="26">
        <v>14500</v>
      </c>
      <c r="U1041" s="12">
        <f t="shared" si="28"/>
        <v>43500</v>
      </c>
    </row>
    <row r="1042" spans="1:22">
      <c r="A1042" s="17">
        <v>11</v>
      </c>
      <c r="B1042" s="81" t="s">
        <v>90</v>
      </c>
      <c r="C1042" s="82"/>
      <c r="D1042" s="82"/>
      <c r="E1042" s="82"/>
      <c r="F1042" s="82"/>
      <c r="G1042" s="83"/>
      <c r="H1042" s="29" t="s">
        <v>67</v>
      </c>
      <c r="I1042" s="84">
        <v>6</v>
      </c>
      <c r="J1042" s="85"/>
      <c r="K1042" s="86"/>
      <c r="L1042" s="87"/>
      <c r="M1042" s="88"/>
      <c r="N1042" s="89">
        <v>6</v>
      </c>
      <c r="O1042" s="90"/>
      <c r="P1042" s="91"/>
      <c r="Q1042" s="92"/>
      <c r="S1042" s="12">
        <v>6</v>
      </c>
      <c r="T1042" s="26">
        <v>3500</v>
      </c>
      <c r="U1042" s="12">
        <f t="shared" si="28"/>
        <v>21000</v>
      </c>
    </row>
    <row r="1043" spans="1:22">
      <c r="A1043" s="17">
        <v>12</v>
      </c>
      <c r="B1043" s="81" t="s">
        <v>91</v>
      </c>
      <c r="C1043" s="82" t="s">
        <v>89</v>
      </c>
      <c r="D1043" s="82" t="s">
        <v>89</v>
      </c>
      <c r="E1043" s="82" t="s">
        <v>89</v>
      </c>
      <c r="F1043" s="82" t="s">
        <v>89</v>
      </c>
      <c r="G1043" s="83" t="s">
        <v>89</v>
      </c>
      <c r="H1043" s="29" t="s">
        <v>67</v>
      </c>
      <c r="I1043" s="84">
        <v>10</v>
      </c>
      <c r="J1043" s="85">
        <v>10</v>
      </c>
      <c r="K1043" s="86">
        <v>10</v>
      </c>
      <c r="L1043" s="87"/>
      <c r="M1043" s="88"/>
      <c r="N1043" s="89">
        <v>10</v>
      </c>
      <c r="O1043" s="90"/>
      <c r="P1043" s="93"/>
      <c r="Q1043" s="93"/>
      <c r="S1043" s="12">
        <v>10</v>
      </c>
      <c r="T1043" s="26">
        <v>3000</v>
      </c>
      <c r="U1043" s="12">
        <f t="shared" si="28"/>
        <v>30000</v>
      </c>
      <c r="V1043" s="22">
        <f>SUM(U1032:U1043)</f>
        <v>650500</v>
      </c>
    </row>
    <row r="1044" spans="1:22">
      <c r="A1044" s="17" t="s">
        <v>76</v>
      </c>
      <c r="B1044" s="71" t="s">
        <v>92</v>
      </c>
      <c r="C1044" s="72"/>
      <c r="D1044" s="72"/>
      <c r="E1044" s="72"/>
      <c r="F1044" s="72"/>
      <c r="G1044" s="73"/>
      <c r="H1044" s="30" t="s">
        <v>24</v>
      </c>
      <c r="I1044" s="84">
        <v>1</v>
      </c>
      <c r="J1044" s="85">
        <v>10</v>
      </c>
      <c r="K1044" s="86">
        <v>10</v>
      </c>
      <c r="L1044" s="77"/>
      <c r="M1044" s="78"/>
      <c r="N1044" s="77">
        <v>1</v>
      </c>
      <c r="O1044" s="78"/>
      <c r="P1044" s="79"/>
      <c r="Q1044" s="80"/>
      <c r="S1044" s="12">
        <v>1</v>
      </c>
      <c r="T1044" s="25">
        <v>10391</v>
      </c>
      <c r="U1044" s="12">
        <f>S1044*T1044</f>
        <v>10391</v>
      </c>
      <c r="V1044" s="27"/>
    </row>
    <row r="1045" spans="1:22">
      <c r="A1045" s="23" t="s">
        <v>68</v>
      </c>
      <c r="B1045" s="71" t="s">
        <v>93</v>
      </c>
      <c r="C1045" s="72"/>
      <c r="D1045" s="72"/>
      <c r="E1045" s="72"/>
      <c r="F1045" s="72"/>
      <c r="G1045" s="73"/>
      <c r="H1045" s="30" t="s">
        <v>24</v>
      </c>
      <c r="I1045" s="74">
        <v>1</v>
      </c>
      <c r="J1045" s="75"/>
      <c r="K1045" s="76"/>
      <c r="L1045" s="77">
        <f>N1045-N972</f>
        <v>8.6613415455682796E-2</v>
      </c>
      <c r="M1045" s="78"/>
      <c r="N1045" s="77">
        <f>S1045</f>
        <v>0.62602251948801846</v>
      </c>
      <c r="O1045" s="78"/>
      <c r="P1045" s="77"/>
      <c r="Q1045" s="78"/>
      <c r="S1045" s="21">
        <f>V1043*0.01/T1045</f>
        <v>0.62602251948801846</v>
      </c>
      <c r="T1045" s="25">
        <v>10391</v>
      </c>
      <c r="U1045" s="12">
        <f t="shared" ref="U1045:U1046" si="29">S1045*T1045</f>
        <v>6505</v>
      </c>
    </row>
    <row r="1046" spans="1:22">
      <c r="A1046" s="23" t="s">
        <v>69</v>
      </c>
      <c r="B1046" s="58" t="s">
        <v>94</v>
      </c>
      <c r="C1046" s="59" t="s">
        <v>70</v>
      </c>
      <c r="D1046" s="59" t="s">
        <v>70</v>
      </c>
      <c r="E1046" s="59" t="s">
        <v>70</v>
      </c>
      <c r="F1046" s="59" t="s">
        <v>70</v>
      </c>
      <c r="G1046" s="60" t="s">
        <v>70</v>
      </c>
      <c r="H1046" s="30" t="s">
        <v>24</v>
      </c>
      <c r="I1046" s="74">
        <v>1</v>
      </c>
      <c r="J1046" s="75"/>
      <c r="K1046" s="76"/>
      <c r="L1046" s="77">
        <f>N1046-N973</f>
        <v>8.66110339707723E-2</v>
      </c>
      <c r="M1046" s="78"/>
      <c r="N1046" s="77">
        <f>S1046</f>
        <v>0.62600530664430376</v>
      </c>
      <c r="O1046" s="78"/>
      <c r="P1046" s="77"/>
      <c r="Q1046" s="78"/>
      <c r="S1046" s="21">
        <f>V1043*0.07/T1046</f>
        <v>0.62600530664430376</v>
      </c>
      <c r="T1046" s="25">
        <v>72739</v>
      </c>
      <c r="U1046" s="12">
        <f t="shared" si="29"/>
        <v>45535.000000000015</v>
      </c>
    </row>
    <row r="1047" spans="1:22">
      <c r="A1047" s="23" t="s">
        <v>71</v>
      </c>
      <c r="B1047" s="58" t="s">
        <v>95</v>
      </c>
      <c r="C1047" s="59" t="s">
        <v>72</v>
      </c>
      <c r="D1047" s="59" t="s">
        <v>72</v>
      </c>
      <c r="E1047" s="59" t="s">
        <v>72</v>
      </c>
      <c r="F1047" s="59" t="s">
        <v>72</v>
      </c>
      <c r="G1047" s="60" t="s">
        <v>72</v>
      </c>
      <c r="H1047" s="30" t="s">
        <v>24</v>
      </c>
      <c r="I1047" s="74">
        <v>1</v>
      </c>
      <c r="J1047" s="75"/>
      <c r="K1047" s="76"/>
      <c r="L1047" s="77"/>
      <c r="M1047" s="78"/>
      <c r="N1047" s="77">
        <f>S1047</f>
        <v>1</v>
      </c>
      <c r="O1047" s="78"/>
      <c r="P1047" s="77"/>
      <c r="Q1047" s="78"/>
      <c r="S1047" s="21">
        <v>1</v>
      </c>
      <c r="T1047" s="25">
        <v>4156</v>
      </c>
      <c r="U1047" s="12">
        <f>S1047*T1047</f>
        <v>4156</v>
      </c>
    </row>
    <row r="1048" spans="1:22">
      <c r="A1048" s="23" t="s">
        <v>73</v>
      </c>
      <c r="B1048" s="58" t="s">
        <v>96</v>
      </c>
      <c r="C1048" s="59" t="s">
        <v>74</v>
      </c>
      <c r="D1048" s="59" t="s">
        <v>74</v>
      </c>
      <c r="E1048" s="59" t="s">
        <v>74</v>
      </c>
      <c r="F1048" s="59" t="s">
        <v>74</v>
      </c>
      <c r="G1048" s="60" t="s">
        <v>74</v>
      </c>
      <c r="H1048" s="30" t="s">
        <v>24</v>
      </c>
      <c r="I1048" s="74">
        <v>1</v>
      </c>
      <c r="J1048" s="75"/>
      <c r="K1048" s="76"/>
      <c r="L1048" s="77">
        <f>N1048-N975-0.01</f>
        <v>7.550316678395487E-2</v>
      </c>
      <c r="M1048" s="78"/>
      <c r="N1048" s="77">
        <f>S1048</f>
        <v>0.63079433497536941</v>
      </c>
      <c r="O1048" s="78"/>
      <c r="P1048" s="79"/>
      <c r="Q1048" s="80"/>
      <c r="S1048" s="21">
        <f>(V1043+U1044+U1045+U1046+U1047)*0.05/T1048</f>
        <v>0.63079433497536941</v>
      </c>
      <c r="T1048" s="25">
        <v>56840</v>
      </c>
      <c r="U1048" s="12">
        <f>S1048*T1048</f>
        <v>35854.35</v>
      </c>
    </row>
    <row r="1049" spans="1:22">
      <c r="A1049" s="23"/>
      <c r="B1049" s="58"/>
      <c r="C1049" s="59"/>
      <c r="D1049" s="59"/>
      <c r="E1049" s="59"/>
      <c r="F1049" s="59"/>
      <c r="G1049" s="60"/>
      <c r="H1049" s="24"/>
      <c r="I1049" s="58"/>
      <c r="J1049" s="59"/>
      <c r="K1049" s="59"/>
      <c r="L1049" s="58"/>
      <c r="M1049" s="59"/>
      <c r="N1049" s="58"/>
      <c r="O1049" s="59"/>
      <c r="P1049" s="58"/>
      <c r="Q1049" s="60"/>
      <c r="S1049" s="21"/>
      <c r="T1049" s="25"/>
      <c r="U1049" s="28">
        <f>V1043+U1044+U1045+U1046+U1047+U1048</f>
        <v>752941.35</v>
      </c>
    </row>
    <row r="1050" spans="1:22">
      <c r="A1050" s="23"/>
      <c r="B1050" s="58"/>
      <c r="C1050" s="59"/>
      <c r="D1050" s="59"/>
      <c r="E1050" s="59"/>
      <c r="F1050" s="59"/>
      <c r="G1050" s="60"/>
      <c r="H1050" s="23"/>
      <c r="I1050" s="58"/>
      <c r="J1050" s="59"/>
      <c r="K1050" s="59"/>
      <c r="L1050" s="58"/>
      <c r="M1050" s="59"/>
      <c r="N1050" s="58"/>
      <c r="O1050" s="59"/>
      <c r="P1050" s="58"/>
      <c r="Q1050" s="60"/>
      <c r="S1050" s="21"/>
      <c r="T1050" s="16"/>
      <c r="U1050" s="14">
        <v>1193638</v>
      </c>
    </row>
    <row r="1051" spans="1:22">
      <c r="A1051" s="9"/>
      <c r="B1051" s="58"/>
      <c r="C1051" s="59"/>
      <c r="D1051" s="59"/>
      <c r="E1051" s="59"/>
      <c r="F1051" s="59"/>
      <c r="G1051" s="60"/>
      <c r="H1051" s="9"/>
      <c r="I1051" s="58"/>
      <c r="J1051" s="59"/>
      <c r="K1051" s="59"/>
      <c r="L1051" s="58"/>
      <c r="M1051" s="59"/>
      <c r="N1051" s="58"/>
      <c r="O1051" s="59"/>
      <c r="P1051" s="58"/>
      <c r="Q1051" s="60"/>
      <c r="S1051" s="21"/>
      <c r="T1051" s="16"/>
      <c r="U1051" s="15">
        <f>U1049/U1050</f>
        <v>0.6307953919027377</v>
      </c>
    </row>
    <row r="1052" spans="1:22">
      <c r="A1052" s="9"/>
      <c r="B1052" s="58"/>
      <c r="C1052" s="59"/>
      <c r="D1052" s="59"/>
      <c r="E1052" s="59"/>
      <c r="F1052" s="59"/>
      <c r="G1052" s="60"/>
      <c r="H1052" s="9"/>
      <c r="I1052" s="58"/>
      <c r="J1052" s="59"/>
      <c r="K1052" s="59"/>
      <c r="L1052" s="58"/>
      <c r="M1052" s="59"/>
      <c r="N1052" s="58"/>
      <c r="O1052" s="59"/>
      <c r="P1052" s="58"/>
      <c r="Q1052" s="60"/>
      <c r="S1052" s="21"/>
      <c r="T1052" s="16"/>
      <c r="U1052" s="12"/>
    </row>
    <row r="1053" spans="1:22">
      <c r="A1053" s="9"/>
      <c r="B1053" s="58"/>
      <c r="C1053" s="59"/>
      <c r="D1053" s="59"/>
      <c r="E1053" s="59"/>
      <c r="F1053" s="59"/>
      <c r="G1053" s="60"/>
      <c r="H1053" s="9"/>
      <c r="I1053" s="58"/>
      <c r="J1053" s="59"/>
      <c r="K1053" s="59"/>
      <c r="L1053" s="58"/>
      <c r="M1053" s="59"/>
      <c r="N1053" s="58"/>
      <c r="O1053" s="59"/>
      <c r="P1053" s="58"/>
      <c r="Q1053" s="60"/>
      <c r="S1053" s="21"/>
      <c r="T1053" s="16"/>
      <c r="U1053" s="12"/>
    </row>
    <row r="1054" spans="1:22">
      <c r="A1054" s="9"/>
      <c r="B1054" s="58"/>
      <c r="C1054" s="59"/>
      <c r="D1054" s="59"/>
      <c r="E1054" s="59"/>
      <c r="F1054" s="59"/>
      <c r="G1054" s="60"/>
      <c r="H1054" s="9"/>
      <c r="I1054" s="58"/>
      <c r="J1054" s="59"/>
      <c r="K1054" s="59"/>
      <c r="L1054" s="58"/>
      <c r="M1054" s="59"/>
      <c r="N1054" s="58"/>
      <c r="O1054" s="59"/>
      <c r="P1054" s="58"/>
      <c r="Q1054" s="60"/>
      <c r="S1054" s="21"/>
      <c r="T1054" s="16"/>
      <c r="U1054" s="12"/>
    </row>
    <row r="1055" spans="1:22">
      <c r="A1055" s="9"/>
      <c r="B1055" s="58"/>
      <c r="C1055" s="59"/>
      <c r="D1055" s="59"/>
      <c r="E1055" s="59"/>
      <c r="F1055" s="59"/>
      <c r="G1055" s="60"/>
      <c r="H1055" s="9"/>
      <c r="I1055" s="58"/>
      <c r="J1055" s="59"/>
      <c r="K1055" s="59"/>
      <c r="L1055" s="58"/>
      <c r="M1055" s="59"/>
      <c r="N1055" s="58"/>
      <c r="O1055" s="59"/>
      <c r="P1055" s="58"/>
      <c r="Q1055" s="60"/>
      <c r="S1055" s="21"/>
      <c r="T1055" s="16"/>
      <c r="U1055" s="12"/>
    </row>
    <row r="1056" spans="1:22">
      <c r="A1056" s="7"/>
      <c r="B1056" s="61"/>
      <c r="C1056" s="62"/>
      <c r="D1056" s="62"/>
      <c r="E1056" s="62"/>
      <c r="F1056" s="62"/>
      <c r="G1056" s="63"/>
      <c r="H1056" s="9"/>
      <c r="I1056" s="64"/>
      <c r="J1056" s="65"/>
      <c r="K1056" s="66"/>
      <c r="L1056" s="67"/>
      <c r="M1056" s="68"/>
      <c r="N1056" s="67"/>
      <c r="O1056" s="68"/>
      <c r="P1056" s="69"/>
      <c r="Q1056" s="70"/>
      <c r="S1056" s="21"/>
      <c r="T1056" s="16"/>
    </row>
    <row r="1057" spans="1:20">
      <c r="A1057" s="44" t="s">
        <v>29</v>
      </c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T1057" s="20"/>
    </row>
    <row r="1058" spans="1:20">
      <c r="A1058" s="44" t="s">
        <v>30</v>
      </c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T1058" s="20"/>
    </row>
    <row r="1059" spans="1:20">
      <c r="A1059" s="44" t="s">
        <v>31</v>
      </c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T1059" s="20"/>
    </row>
    <row r="1060" spans="1:20">
      <c r="A1060" s="44" t="s">
        <v>32</v>
      </c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T1060" s="20"/>
    </row>
    <row r="1061" spans="1:20">
      <c r="A1061" s="54" t="s">
        <v>33</v>
      </c>
      <c r="B1061" s="54"/>
      <c r="C1061" s="54"/>
      <c r="D1061" s="54"/>
      <c r="E1061" s="54"/>
      <c r="F1061" s="54"/>
      <c r="G1061" s="54"/>
      <c r="H1061" s="54" t="s">
        <v>20</v>
      </c>
      <c r="I1061" s="54"/>
      <c r="J1061" s="54"/>
      <c r="K1061" s="54" t="s">
        <v>34</v>
      </c>
      <c r="L1061" s="54"/>
      <c r="M1061" s="54" t="s">
        <v>35</v>
      </c>
      <c r="N1061" s="54"/>
      <c r="O1061" s="54" t="s">
        <v>36</v>
      </c>
      <c r="P1061" s="54"/>
      <c r="Q1061" s="54"/>
      <c r="T1061" s="20"/>
    </row>
    <row r="1062" spans="1:20">
      <c r="A1062" s="55"/>
      <c r="B1062" s="56"/>
      <c r="C1062" s="56"/>
      <c r="D1062" s="56"/>
      <c r="E1062" s="56"/>
      <c r="F1062" s="56"/>
      <c r="G1062" s="57"/>
      <c r="H1062" s="55"/>
      <c r="I1062" s="56"/>
      <c r="J1062" s="57"/>
      <c r="K1062" s="55"/>
      <c r="L1062" s="56"/>
      <c r="M1062" s="55"/>
      <c r="N1062" s="56"/>
      <c r="O1062" s="55"/>
      <c r="P1062" s="56"/>
      <c r="Q1062" s="57"/>
      <c r="T1062" s="20"/>
    </row>
    <row r="1063" spans="1:20">
      <c r="A1063" s="55"/>
      <c r="B1063" s="56"/>
      <c r="C1063" s="56"/>
      <c r="D1063" s="56"/>
      <c r="E1063" s="56"/>
      <c r="F1063" s="56"/>
      <c r="G1063" s="57"/>
      <c r="H1063" s="55"/>
      <c r="I1063" s="56"/>
      <c r="J1063" s="57"/>
      <c r="K1063" s="55"/>
      <c r="L1063" s="56"/>
      <c r="M1063" s="55"/>
      <c r="N1063" s="56"/>
      <c r="O1063" s="55"/>
      <c r="P1063" s="56"/>
      <c r="Q1063" s="57"/>
      <c r="T1063" s="20"/>
    </row>
    <row r="1064" spans="1:20">
      <c r="A1064" s="53"/>
      <c r="B1064" s="53"/>
      <c r="C1064" s="53"/>
      <c r="D1064" s="53"/>
      <c r="E1064" s="53"/>
      <c r="F1064" s="53"/>
      <c r="G1064" s="53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T1064" s="20"/>
    </row>
    <row r="1065" spans="1:20">
      <c r="A1065" s="53"/>
      <c r="B1065" s="53"/>
      <c r="C1065" s="53"/>
      <c r="D1065" s="53"/>
      <c r="E1065" s="53"/>
      <c r="F1065" s="53"/>
      <c r="G1065" s="53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T1065" s="20"/>
    </row>
    <row r="1066" spans="1:20">
      <c r="A1066" s="44" t="s">
        <v>37</v>
      </c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T1066" s="20"/>
    </row>
    <row r="1067" spans="1:20">
      <c r="A1067" s="46" t="s">
        <v>38</v>
      </c>
      <c r="B1067" s="46"/>
      <c r="C1067" s="47" t="s">
        <v>39</v>
      </c>
      <c r="D1067" s="48"/>
      <c r="E1067" s="48"/>
      <c r="F1067" s="47" t="s">
        <v>40</v>
      </c>
      <c r="G1067" s="48"/>
      <c r="H1067" s="49"/>
      <c r="I1067" s="46" t="s">
        <v>41</v>
      </c>
      <c r="J1067" s="46"/>
      <c r="K1067" s="46"/>
      <c r="L1067" s="46" t="s">
        <v>35</v>
      </c>
      <c r="M1067" s="46"/>
      <c r="N1067" s="46"/>
      <c r="O1067" s="46" t="s">
        <v>36</v>
      </c>
      <c r="P1067" s="46"/>
      <c r="Q1067" s="46"/>
      <c r="T1067" s="20"/>
    </row>
    <row r="1068" spans="1:20">
      <c r="A1068" s="47" t="s">
        <v>42</v>
      </c>
      <c r="B1068" s="49"/>
      <c r="C1068" s="47">
        <v>2</v>
      </c>
      <c r="D1068" s="48"/>
      <c r="E1068" s="49"/>
      <c r="F1068" s="47">
        <f>F995+C1068</f>
        <v>25</v>
      </c>
      <c r="G1068" s="48"/>
      <c r="H1068" s="49"/>
      <c r="I1068" s="47"/>
      <c r="J1068" s="48"/>
      <c r="K1068" s="49"/>
      <c r="L1068" s="47"/>
      <c r="M1068" s="48"/>
      <c r="N1068" s="49"/>
      <c r="O1068" s="47"/>
      <c r="P1068" s="48"/>
      <c r="Q1068" s="49"/>
      <c r="T1068" s="20"/>
    </row>
    <row r="1069" spans="1:20">
      <c r="A1069" s="47" t="s">
        <v>100</v>
      </c>
      <c r="B1069" s="49"/>
      <c r="C1069" s="47"/>
      <c r="D1069" s="48"/>
      <c r="E1069" s="49"/>
      <c r="F1069" s="47">
        <f>F996+C1069</f>
        <v>2</v>
      </c>
      <c r="G1069" s="48"/>
      <c r="H1069" s="49"/>
      <c r="I1069" s="47"/>
      <c r="J1069" s="48"/>
      <c r="K1069" s="49"/>
      <c r="L1069" s="47"/>
      <c r="M1069" s="48"/>
      <c r="N1069" s="49"/>
      <c r="O1069" s="47"/>
      <c r="P1069" s="48"/>
      <c r="Q1069" s="49"/>
      <c r="T1069" s="20"/>
    </row>
    <row r="1070" spans="1:20">
      <c r="A1070" s="47"/>
      <c r="B1070" s="49"/>
      <c r="C1070" s="47"/>
      <c r="D1070" s="48"/>
      <c r="E1070" s="49"/>
      <c r="F1070" s="47"/>
      <c r="G1070" s="48"/>
      <c r="H1070" s="49"/>
      <c r="I1070" s="47"/>
      <c r="J1070" s="48"/>
      <c r="K1070" s="49"/>
      <c r="L1070" s="47"/>
      <c r="M1070" s="48"/>
      <c r="N1070" s="49"/>
      <c r="O1070" s="47"/>
      <c r="P1070" s="48"/>
      <c r="Q1070" s="49"/>
      <c r="T1070" s="20"/>
    </row>
    <row r="1071" spans="1:20">
      <c r="A1071" s="46"/>
      <c r="B1071" s="46"/>
      <c r="C1071" s="47"/>
      <c r="D1071" s="48"/>
      <c r="E1071" s="49"/>
      <c r="F1071" s="47"/>
      <c r="G1071" s="48"/>
      <c r="H1071" s="49"/>
      <c r="I1071" s="47"/>
      <c r="J1071" s="48"/>
      <c r="K1071" s="49"/>
      <c r="L1071" s="47"/>
      <c r="M1071" s="48"/>
      <c r="N1071" s="49"/>
      <c r="O1071" s="47"/>
      <c r="P1071" s="48"/>
      <c r="Q1071" s="49"/>
      <c r="T1071" s="20"/>
    </row>
    <row r="1072" spans="1:20">
      <c r="A1072" s="46"/>
      <c r="B1072" s="46"/>
      <c r="C1072" s="47"/>
      <c r="D1072" s="48"/>
      <c r="E1072" s="49"/>
      <c r="F1072" s="47"/>
      <c r="G1072" s="48"/>
      <c r="H1072" s="49"/>
      <c r="I1072" s="47"/>
      <c r="J1072" s="48"/>
      <c r="K1072" s="49"/>
      <c r="L1072" s="47"/>
      <c r="M1072" s="48"/>
      <c r="N1072" s="49"/>
      <c r="O1072" s="47"/>
      <c r="P1072" s="48"/>
      <c r="Q1072" s="49"/>
      <c r="T1072" s="20"/>
    </row>
    <row r="1073" spans="1:20">
      <c r="A1073" s="50" t="s">
        <v>43</v>
      </c>
      <c r="B1073" s="51"/>
      <c r="C1073" s="51"/>
      <c r="D1073" s="51"/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2"/>
      <c r="T1073" s="20"/>
    </row>
    <row r="1074" spans="1:20">
      <c r="A1074" s="38" t="s">
        <v>44</v>
      </c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40"/>
      <c r="T1074" s="20"/>
    </row>
    <row r="1075" spans="1:20">
      <c r="A1075" s="41" t="s">
        <v>45</v>
      </c>
      <c r="B1075" s="42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3"/>
      <c r="T1075" s="20"/>
    </row>
    <row r="1076" spans="1:20">
      <c r="A1076" s="50" t="s">
        <v>46</v>
      </c>
      <c r="B1076" s="51"/>
      <c r="C1076" s="51"/>
      <c r="D1076" s="51"/>
      <c r="E1076" s="51"/>
      <c r="F1076" s="51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2"/>
      <c r="T1076" s="20"/>
    </row>
    <row r="1077" spans="1:20">
      <c r="A1077" s="38" t="s">
        <v>47</v>
      </c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40"/>
      <c r="T1077" s="20"/>
    </row>
    <row r="1078" spans="1:20">
      <c r="A1078" s="38" t="s">
        <v>48</v>
      </c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40"/>
      <c r="T1078" s="20"/>
    </row>
    <row r="1079" spans="1:20">
      <c r="A1079" s="38" t="s">
        <v>49</v>
      </c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40"/>
      <c r="T1079" s="20"/>
    </row>
    <row r="1080" spans="1:20">
      <c r="A1080" s="38" t="s">
        <v>50</v>
      </c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40"/>
      <c r="T1080" s="20"/>
    </row>
    <row r="1081" spans="1:20">
      <c r="A1081" s="38" t="s">
        <v>51</v>
      </c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40"/>
      <c r="T1081" s="20"/>
    </row>
    <row r="1082" spans="1:20">
      <c r="A1082" s="41" t="s">
        <v>52</v>
      </c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3"/>
      <c r="T1082" s="20"/>
    </row>
    <row r="1083" spans="1:20">
      <c r="A1083" s="44" t="s">
        <v>53</v>
      </c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T1083" s="20"/>
    </row>
    <row r="1084" spans="1:20">
      <c r="A1084" s="44" t="s">
        <v>54</v>
      </c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T1084" s="20"/>
    </row>
    <row r="1085" spans="1:20">
      <c r="A1085" s="44" t="s">
        <v>99</v>
      </c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T1085" s="20"/>
    </row>
    <row r="1086" spans="1:20">
      <c r="A1086" s="44" t="s">
        <v>55</v>
      </c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T1086" s="20"/>
    </row>
    <row r="1087" spans="1:20">
      <c r="A1087" s="45" t="s">
        <v>56</v>
      </c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T1087" s="20"/>
    </row>
    <row r="1088" spans="1:20">
      <c r="A1088" s="37" t="s">
        <v>57</v>
      </c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T1088" s="20"/>
    </row>
    <row r="1089" spans="1:21">
      <c r="A1089" s="37" t="s">
        <v>58</v>
      </c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T1089" s="20"/>
    </row>
    <row r="1090" spans="1:21">
      <c r="A1090" s="37" t="s">
        <v>59</v>
      </c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T1090" s="20"/>
    </row>
    <row r="1091" spans="1:21">
      <c r="A1091" s="37" t="s">
        <v>60</v>
      </c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T1091" s="20"/>
    </row>
    <row r="1092" spans="1:21">
      <c r="A1092" s="37" t="s">
        <v>61</v>
      </c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T1092" s="20"/>
    </row>
    <row r="1093" spans="1:21">
      <c r="A1093" s="37" t="s">
        <v>62</v>
      </c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T1093" s="20"/>
    </row>
    <row r="1094" spans="1:21">
      <c r="A1094" s="37" t="s">
        <v>63</v>
      </c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T1094" s="20"/>
    </row>
    <row r="1095" spans="1:21">
      <c r="A1095" s="37" t="s">
        <v>75</v>
      </c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T1095" s="20"/>
    </row>
    <row r="1096" spans="1:21" ht="39" customHeight="1">
      <c r="B1096" s="120" t="s">
        <v>0</v>
      </c>
      <c r="C1096" s="120"/>
      <c r="D1096" s="120"/>
      <c r="E1096" s="120"/>
      <c r="F1096" s="120"/>
      <c r="G1096" s="120"/>
      <c r="H1096" s="120"/>
      <c r="I1096" s="120"/>
      <c r="J1096" s="120"/>
      <c r="K1096" s="120"/>
      <c r="L1096" s="120"/>
      <c r="M1096" s="120"/>
      <c r="N1096" s="120"/>
      <c r="O1096" s="120"/>
      <c r="P1096" s="120"/>
      <c r="Q1096" s="120"/>
      <c r="T1096" s="20"/>
    </row>
    <row r="1097" spans="1:21">
      <c r="B1097" s="6" t="s">
        <v>1</v>
      </c>
      <c r="C1097" s="121" t="s">
        <v>2</v>
      </c>
      <c r="D1097" s="121"/>
      <c r="E1097" s="1" t="s">
        <v>3</v>
      </c>
      <c r="F1097" s="121" t="s">
        <v>4</v>
      </c>
      <c r="G1097" s="121"/>
      <c r="H1097" s="1" t="s">
        <v>3</v>
      </c>
      <c r="I1097" s="1"/>
      <c r="J1097" s="121" t="s">
        <v>5</v>
      </c>
      <c r="K1097" s="121"/>
      <c r="L1097" s="121"/>
      <c r="M1097" s="122">
        <f>M1024+1</f>
        <v>46242</v>
      </c>
      <c r="N1097" s="122"/>
      <c r="O1097" s="122"/>
      <c r="P1097" s="123"/>
      <c r="Q1097" s="123"/>
      <c r="T1097" s="20"/>
    </row>
    <row r="1098" spans="1:21">
      <c r="A1098" s="96" t="s">
        <v>6</v>
      </c>
      <c r="B1098" s="96"/>
      <c r="C1098" s="124" t="s">
        <v>79</v>
      </c>
      <c r="D1098" s="125"/>
      <c r="E1098" s="125"/>
      <c r="F1098" s="125"/>
      <c r="G1098" s="125"/>
      <c r="H1098" s="125"/>
      <c r="I1098" s="126"/>
      <c r="J1098" s="127" t="s">
        <v>7</v>
      </c>
      <c r="K1098" s="128"/>
      <c r="L1098" s="128"/>
      <c r="M1098" s="129"/>
      <c r="N1098" s="130" t="s">
        <v>78</v>
      </c>
      <c r="O1098" s="130"/>
      <c r="P1098" s="130"/>
      <c r="Q1098" s="131"/>
      <c r="T1098" s="20"/>
    </row>
    <row r="1099" spans="1:21">
      <c r="A1099" s="96" t="s">
        <v>8</v>
      </c>
      <c r="B1099" s="96"/>
      <c r="C1099" s="4">
        <v>30</v>
      </c>
      <c r="D1099" s="3" t="s">
        <v>9</v>
      </c>
      <c r="E1099" s="127" t="s">
        <v>10</v>
      </c>
      <c r="F1099" s="129"/>
      <c r="G1099" s="127">
        <f>G1026+1</f>
        <v>16</v>
      </c>
      <c r="H1099" s="128"/>
      <c r="I1099" s="3" t="s">
        <v>9</v>
      </c>
      <c r="J1099" s="96" t="s">
        <v>11</v>
      </c>
      <c r="K1099" s="96"/>
      <c r="L1099" s="5">
        <f>C1099-G1099</f>
        <v>14</v>
      </c>
      <c r="M1099" s="2" t="s">
        <v>9</v>
      </c>
      <c r="N1099" s="96" t="s">
        <v>12</v>
      </c>
      <c r="O1099" s="96"/>
      <c r="P1099" s="2"/>
      <c r="Q1099" s="3" t="s">
        <v>9</v>
      </c>
      <c r="T1099" s="20"/>
    </row>
    <row r="1100" spans="1:21">
      <c r="A1100" s="96" t="s">
        <v>13</v>
      </c>
      <c r="B1100" s="96"/>
      <c r="C1100" s="132">
        <v>46227</v>
      </c>
      <c r="D1100" s="132"/>
      <c r="E1100" s="132"/>
      <c r="F1100" s="132"/>
      <c r="G1100" s="132"/>
      <c r="H1100" s="132"/>
      <c r="I1100" s="132"/>
      <c r="J1100" s="127" t="s">
        <v>14</v>
      </c>
      <c r="K1100" s="128"/>
      <c r="L1100" s="128"/>
      <c r="M1100" s="129"/>
      <c r="N1100" s="133">
        <v>46256</v>
      </c>
      <c r="O1100" s="134"/>
      <c r="P1100" s="134"/>
      <c r="Q1100" s="135"/>
      <c r="T1100" s="20"/>
    </row>
    <row r="1101" spans="1:21">
      <c r="A1101" s="96" t="s">
        <v>15</v>
      </c>
      <c r="B1101" s="96"/>
      <c r="C1101" s="97">
        <v>64</v>
      </c>
      <c r="D1101" s="98"/>
      <c r="E1101" s="98"/>
      <c r="F1101" s="98"/>
      <c r="G1101" s="98"/>
      <c r="H1101" s="99" t="s">
        <v>16</v>
      </c>
      <c r="I1101" s="100"/>
      <c r="J1101" s="101" t="s">
        <v>17</v>
      </c>
      <c r="K1101" s="101"/>
      <c r="L1101" s="101"/>
      <c r="M1101" s="101"/>
      <c r="N1101" s="102">
        <f>U1124</f>
        <v>0.66357166075476814</v>
      </c>
      <c r="O1101" s="102"/>
      <c r="P1101" s="102"/>
      <c r="Q1101" s="102"/>
      <c r="T1101" s="20"/>
    </row>
    <row r="1102" spans="1:21">
      <c r="A1102" s="103" t="s">
        <v>18</v>
      </c>
      <c r="B1102" s="104"/>
      <c r="C1102" s="104"/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5"/>
      <c r="T1102" s="20"/>
    </row>
    <row r="1103" spans="1:21">
      <c r="A1103" s="7"/>
      <c r="B1103" s="106" t="s">
        <v>19</v>
      </c>
      <c r="C1103" s="107"/>
      <c r="D1103" s="107"/>
      <c r="E1103" s="107"/>
      <c r="F1103" s="107"/>
      <c r="G1103" s="108"/>
      <c r="H1103" s="8" t="s">
        <v>20</v>
      </c>
      <c r="I1103" s="109" t="s">
        <v>21</v>
      </c>
      <c r="J1103" s="110"/>
      <c r="K1103" s="111"/>
      <c r="L1103" s="109" t="s">
        <v>28</v>
      </c>
      <c r="M1103" s="111"/>
      <c r="N1103" s="106" t="s">
        <v>22</v>
      </c>
      <c r="O1103" s="112"/>
      <c r="P1103" s="113" t="s">
        <v>23</v>
      </c>
      <c r="Q1103" s="113"/>
      <c r="S1103" s="18" t="s">
        <v>22</v>
      </c>
      <c r="T1103" s="19" t="s">
        <v>64</v>
      </c>
      <c r="U1103" s="13" t="s">
        <v>27</v>
      </c>
    </row>
    <row r="1104" spans="1:21">
      <c r="A1104" s="17" t="s">
        <v>65</v>
      </c>
      <c r="B1104" s="114" t="s">
        <v>66</v>
      </c>
      <c r="C1104" s="115"/>
      <c r="D1104" s="115"/>
      <c r="E1104" s="115"/>
      <c r="F1104" s="115"/>
      <c r="G1104" s="116"/>
      <c r="H1104" s="17"/>
      <c r="I1104" s="117"/>
      <c r="J1104" s="118"/>
      <c r="K1104" s="119"/>
      <c r="L1104" s="77"/>
      <c r="M1104" s="78"/>
      <c r="N1104" s="77"/>
      <c r="O1104" s="78"/>
      <c r="P1104" s="93"/>
      <c r="Q1104" s="93"/>
      <c r="S1104" s="16"/>
      <c r="T1104" s="16"/>
      <c r="U1104" s="16" t="s">
        <v>26</v>
      </c>
    </row>
    <row r="1105" spans="1:22">
      <c r="A1105" s="17">
        <v>1</v>
      </c>
      <c r="B1105" s="81" t="s">
        <v>80</v>
      </c>
      <c r="C1105" s="82"/>
      <c r="D1105" s="82"/>
      <c r="E1105" s="82"/>
      <c r="F1105" s="82"/>
      <c r="G1105" s="83"/>
      <c r="H1105" s="29" t="s">
        <v>67</v>
      </c>
      <c r="I1105" s="84">
        <v>18</v>
      </c>
      <c r="J1105" s="85"/>
      <c r="K1105" s="86"/>
      <c r="L1105" s="87"/>
      <c r="M1105" s="88"/>
      <c r="N1105" s="89"/>
      <c r="O1105" s="90"/>
      <c r="P1105" s="93"/>
      <c r="Q1105" s="93"/>
      <c r="S1105" s="12"/>
      <c r="T1105" s="26">
        <v>18000</v>
      </c>
      <c r="U1105" s="12">
        <f>S1105*T1105</f>
        <v>0</v>
      </c>
    </row>
    <row r="1106" spans="1:22" ht="32.1" customHeight="1">
      <c r="A1106" s="17">
        <v>2</v>
      </c>
      <c r="B1106" s="81" t="s">
        <v>81</v>
      </c>
      <c r="C1106" s="82" t="s">
        <v>81</v>
      </c>
      <c r="D1106" s="82" t="s">
        <v>81</v>
      </c>
      <c r="E1106" s="82" t="s">
        <v>81</v>
      </c>
      <c r="F1106" s="82" t="s">
        <v>81</v>
      </c>
      <c r="G1106" s="83" t="s">
        <v>81</v>
      </c>
      <c r="H1106" s="29" t="s">
        <v>97</v>
      </c>
      <c r="I1106" s="84">
        <v>166</v>
      </c>
      <c r="J1106" s="85"/>
      <c r="K1106" s="86"/>
      <c r="L1106" s="87">
        <v>46</v>
      </c>
      <c r="M1106" s="88"/>
      <c r="N1106" s="89">
        <v>166</v>
      </c>
      <c r="O1106" s="90"/>
      <c r="P1106" s="93"/>
      <c r="Q1106" s="93"/>
      <c r="S1106" s="12">
        <v>166</v>
      </c>
      <c r="T1106" s="26">
        <v>750</v>
      </c>
      <c r="U1106" s="12">
        <f t="shared" ref="U1106:U1116" si="30">S1106*T1106</f>
        <v>124500</v>
      </c>
    </row>
    <row r="1107" spans="1:22">
      <c r="A1107" s="17">
        <v>3</v>
      </c>
      <c r="B1107" s="81" t="s">
        <v>82</v>
      </c>
      <c r="C1107" s="82" t="s">
        <v>82</v>
      </c>
      <c r="D1107" s="82" t="s">
        <v>82</v>
      </c>
      <c r="E1107" s="82" t="s">
        <v>82</v>
      </c>
      <c r="F1107" s="82" t="s">
        <v>82</v>
      </c>
      <c r="G1107" s="83" t="s">
        <v>82</v>
      </c>
      <c r="H1107" s="29" t="s">
        <v>97</v>
      </c>
      <c r="I1107" s="84">
        <v>540</v>
      </c>
      <c r="J1107" s="85">
        <v>540</v>
      </c>
      <c r="K1107" s="86">
        <v>540</v>
      </c>
      <c r="L1107" s="87"/>
      <c r="M1107" s="88"/>
      <c r="N1107" s="89">
        <v>540</v>
      </c>
      <c r="O1107" s="90"/>
      <c r="P1107" s="93"/>
      <c r="Q1107" s="93"/>
      <c r="S1107" s="12">
        <v>540</v>
      </c>
      <c r="T1107" s="26">
        <v>340</v>
      </c>
      <c r="U1107" s="12">
        <f t="shared" si="30"/>
        <v>183600</v>
      </c>
    </row>
    <row r="1108" spans="1:22">
      <c r="A1108" s="17">
        <v>4</v>
      </c>
      <c r="B1108" s="81" t="s">
        <v>83</v>
      </c>
      <c r="C1108" s="82" t="s">
        <v>83</v>
      </c>
      <c r="D1108" s="82" t="s">
        <v>83</v>
      </c>
      <c r="E1108" s="82" t="s">
        <v>83</v>
      </c>
      <c r="F1108" s="82" t="s">
        <v>83</v>
      </c>
      <c r="G1108" s="83" t="s">
        <v>83</v>
      </c>
      <c r="H1108" s="29" t="s">
        <v>67</v>
      </c>
      <c r="I1108" s="84">
        <v>20</v>
      </c>
      <c r="J1108" s="85">
        <v>20</v>
      </c>
      <c r="K1108" s="86">
        <v>20</v>
      </c>
      <c r="L1108" s="87"/>
      <c r="M1108" s="88"/>
      <c r="N1108" s="89">
        <v>20</v>
      </c>
      <c r="O1108" s="90"/>
      <c r="P1108" s="93"/>
      <c r="Q1108" s="93"/>
      <c r="S1108" s="12">
        <v>20</v>
      </c>
      <c r="T1108" s="26">
        <v>1250</v>
      </c>
      <c r="U1108" s="12">
        <f t="shared" si="30"/>
        <v>25000</v>
      </c>
    </row>
    <row r="1109" spans="1:22" ht="32.1" customHeight="1">
      <c r="A1109" s="17">
        <v>5</v>
      </c>
      <c r="B1109" s="81" t="s">
        <v>84</v>
      </c>
      <c r="C1109" s="82" t="s">
        <v>84</v>
      </c>
      <c r="D1109" s="82" t="s">
        <v>84</v>
      </c>
      <c r="E1109" s="82" t="s">
        <v>84</v>
      </c>
      <c r="F1109" s="82" t="s">
        <v>84</v>
      </c>
      <c r="G1109" s="83" t="s">
        <v>84</v>
      </c>
      <c r="H1109" s="29" t="s">
        <v>97</v>
      </c>
      <c r="I1109" s="84">
        <v>28</v>
      </c>
      <c r="J1109" s="85">
        <v>28</v>
      </c>
      <c r="K1109" s="86">
        <v>28</v>
      </c>
      <c r="L1109" s="87"/>
      <c r="M1109" s="88"/>
      <c r="N1109" s="89">
        <v>28</v>
      </c>
      <c r="O1109" s="90"/>
      <c r="P1109" s="93"/>
      <c r="Q1109" s="93"/>
      <c r="S1109" s="12">
        <v>28</v>
      </c>
      <c r="T1109" s="26">
        <v>1800</v>
      </c>
      <c r="U1109" s="12">
        <f t="shared" si="30"/>
        <v>50400</v>
      </c>
    </row>
    <row r="1110" spans="1:22">
      <c r="A1110" s="17">
        <v>6</v>
      </c>
      <c r="B1110" s="81" t="s">
        <v>85</v>
      </c>
      <c r="C1110" s="82" t="s">
        <v>85</v>
      </c>
      <c r="D1110" s="82" t="s">
        <v>85</v>
      </c>
      <c r="E1110" s="82" t="s">
        <v>85</v>
      </c>
      <c r="F1110" s="82" t="s">
        <v>85</v>
      </c>
      <c r="G1110" s="83" t="s">
        <v>85</v>
      </c>
      <c r="H1110" s="29" t="s">
        <v>97</v>
      </c>
      <c r="I1110" s="84">
        <v>14</v>
      </c>
      <c r="J1110" s="85">
        <v>14</v>
      </c>
      <c r="K1110" s="86">
        <v>14</v>
      </c>
      <c r="L1110" s="87"/>
      <c r="M1110" s="88"/>
      <c r="N1110" s="89">
        <v>14</v>
      </c>
      <c r="O1110" s="90"/>
      <c r="P1110" s="79"/>
      <c r="Q1110" s="80"/>
      <c r="S1110" s="12">
        <v>14</v>
      </c>
      <c r="T1110" s="26">
        <v>4000</v>
      </c>
      <c r="U1110" s="12">
        <f t="shared" si="30"/>
        <v>56000</v>
      </c>
    </row>
    <row r="1111" spans="1:22">
      <c r="A1111" s="17">
        <v>7</v>
      </c>
      <c r="B1111" s="81" t="s">
        <v>86</v>
      </c>
      <c r="C1111" s="82" t="s">
        <v>86</v>
      </c>
      <c r="D1111" s="82" t="s">
        <v>86</v>
      </c>
      <c r="E1111" s="82" t="s">
        <v>86</v>
      </c>
      <c r="F1111" s="82" t="s">
        <v>86</v>
      </c>
      <c r="G1111" s="83" t="s">
        <v>86</v>
      </c>
      <c r="H1111" s="29" t="s">
        <v>97</v>
      </c>
      <c r="I1111" s="84">
        <v>30</v>
      </c>
      <c r="J1111" s="85">
        <v>30</v>
      </c>
      <c r="K1111" s="86">
        <v>30</v>
      </c>
      <c r="L1111" s="87"/>
      <c r="M1111" s="88"/>
      <c r="N1111" s="89">
        <v>30</v>
      </c>
      <c r="O1111" s="90"/>
      <c r="P1111" s="93"/>
      <c r="Q1111" s="93"/>
      <c r="S1111" s="12">
        <v>30</v>
      </c>
      <c r="T1111" s="26">
        <v>4000</v>
      </c>
      <c r="U1111" s="12">
        <f t="shared" si="30"/>
        <v>120000</v>
      </c>
    </row>
    <row r="1112" spans="1:22">
      <c r="A1112" s="17">
        <v>8</v>
      </c>
      <c r="B1112" s="81" t="s">
        <v>87</v>
      </c>
      <c r="C1112" s="82" t="s">
        <v>87</v>
      </c>
      <c r="D1112" s="82" t="s">
        <v>87</v>
      </c>
      <c r="E1112" s="82" t="s">
        <v>87</v>
      </c>
      <c r="F1112" s="82" t="s">
        <v>87</v>
      </c>
      <c r="G1112" s="83" t="s">
        <v>87</v>
      </c>
      <c r="H1112" s="30" t="s">
        <v>25</v>
      </c>
      <c r="I1112" s="84">
        <v>1</v>
      </c>
      <c r="J1112" s="85">
        <v>1</v>
      </c>
      <c r="K1112" s="86">
        <v>1</v>
      </c>
      <c r="L1112" s="94"/>
      <c r="M1112" s="95"/>
      <c r="N1112" s="94">
        <v>1</v>
      </c>
      <c r="O1112" s="95"/>
      <c r="P1112" s="93"/>
      <c r="Q1112" s="93"/>
      <c r="S1112" s="16">
        <v>1</v>
      </c>
      <c r="T1112" s="26">
        <v>31000</v>
      </c>
      <c r="U1112" s="12">
        <f t="shared" si="30"/>
        <v>31000</v>
      </c>
    </row>
    <row r="1113" spans="1:22">
      <c r="A1113" s="17">
        <v>9</v>
      </c>
      <c r="B1113" s="81" t="s">
        <v>88</v>
      </c>
      <c r="C1113" s="82" t="s">
        <v>88</v>
      </c>
      <c r="D1113" s="82" t="s">
        <v>88</v>
      </c>
      <c r="E1113" s="82" t="s">
        <v>88</v>
      </c>
      <c r="F1113" s="82" t="s">
        <v>88</v>
      </c>
      <c r="G1113" s="83" t="s">
        <v>88</v>
      </c>
      <c r="H1113" s="30" t="s">
        <v>25</v>
      </c>
      <c r="I1113" s="84">
        <v>1</v>
      </c>
      <c r="J1113" s="85">
        <v>1</v>
      </c>
      <c r="K1113" s="86">
        <v>1</v>
      </c>
      <c r="L1113" s="87"/>
      <c r="M1113" s="88"/>
      <c r="N1113" s="89"/>
      <c r="O1113" s="90"/>
      <c r="P1113" s="93"/>
      <c r="Q1113" s="93"/>
      <c r="S1113" s="12"/>
      <c r="T1113" s="26">
        <v>30121</v>
      </c>
      <c r="U1113" s="12">
        <f t="shared" si="30"/>
        <v>0</v>
      </c>
    </row>
    <row r="1114" spans="1:22">
      <c r="A1114" s="17">
        <v>10</v>
      </c>
      <c r="B1114" s="81" t="s">
        <v>89</v>
      </c>
      <c r="C1114" s="82"/>
      <c r="D1114" s="82"/>
      <c r="E1114" s="82"/>
      <c r="F1114" s="82"/>
      <c r="G1114" s="83"/>
      <c r="H1114" s="30" t="s">
        <v>98</v>
      </c>
      <c r="I1114" s="84">
        <v>3</v>
      </c>
      <c r="J1114" s="85"/>
      <c r="K1114" s="86"/>
      <c r="L1114" s="87"/>
      <c r="M1114" s="88"/>
      <c r="N1114" s="89">
        <v>3</v>
      </c>
      <c r="O1114" s="90"/>
      <c r="P1114" s="91"/>
      <c r="Q1114" s="92"/>
      <c r="S1114" s="12">
        <v>3</v>
      </c>
      <c r="T1114" s="26">
        <v>14500</v>
      </c>
      <c r="U1114" s="12">
        <f t="shared" si="30"/>
        <v>43500</v>
      </c>
    </row>
    <row r="1115" spans="1:22">
      <c r="A1115" s="17">
        <v>11</v>
      </c>
      <c r="B1115" s="81" t="s">
        <v>90</v>
      </c>
      <c r="C1115" s="82"/>
      <c r="D1115" s="82"/>
      <c r="E1115" s="82"/>
      <c r="F1115" s="82"/>
      <c r="G1115" s="83"/>
      <c r="H1115" s="29" t="s">
        <v>67</v>
      </c>
      <c r="I1115" s="84">
        <v>6</v>
      </c>
      <c r="J1115" s="85"/>
      <c r="K1115" s="86"/>
      <c r="L1115" s="87"/>
      <c r="M1115" s="88"/>
      <c r="N1115" s="89">
        <v>6</v>
      </c>
      <c r="O1115" s="90"/>
      <c r="P1115" s="91"/>
      <c r="Q1115" s="92"/>
      <c r="S1115" s="12">
        <v>6</v>
      </c>
      <c r="T1115" s="26">
        <v>3500</v>
      </c>
      <c r="U1115" s="12">
        <f t="shared" si="30"/>
        <v>21000</v>
      </c>
    </row>
    <row r="1116" spans="1:22">
      <c r="A1116" s="17">
        <v>12</v>
      </c>
      <c r="B1116" s="81" t="s">
        <v>91</v>
      </c>
      <c r="C1116" s="82" t="s">
        <v>89</v>
      </c>
      <c r="D1116" s="82" t="s">
        <v>89</v>
      </c>
      <c r="E1116" s="82" t="s">
        <v>89</v>
      </c>
      <c r="F1116" s="82" t="s">
        <v>89</v>
      </c>
      <c r="G1116" s="83" t="s">
        <v>89</v>
      </c>
      <c r="H1116" s="29" t="s">
        <v>67</v>
      </c>
      <c r="I1116" s="84">
        <v>10</v>
      </c>
      <c r="J1116" s="85">
        <v>10</v>
      </c>
      <c r="K1116" s="86">
        <v>10</v>
      </c>
      <c r="L1116" s="87"/>
      <c r="M1116" s="88"/>
      <c r="N1116" s="89">
        <v>10</v>
      </c>
      <c r="O1116" s="90"/>
      <c r="P1116" s="93"/>
      <c r="Q1116" s="93"/>
      <c r="S1116" s="12">
        <v>10</v>
      </c>
      <c r="T1116" s="26">
        <v>3000</v>
      </c>
      <c r="U1116" s="12">
        <f t="shared" si="30"/>
        <v>30000</v>
      </c>
      <c r="V1116" s="22">
        <f>SUM(U1105:U1116)</f>
        <v>685000</v>
      </c>
    </row>
    <row r="1117" spans="1:22">
      <c r="A1117" s="17" t="s">
        <v>76</v>
      </c>
      <c r="B1117" s="71" t="s">
        <v>92</v>
      </c>
      <c r="C1117" s="72"/>
      <c r="D1117" s="72"/>
      <c r="E1117" s="72"/>
      <c r="F1117" s="72"/>
      <c r="G1117" s="73"/>
      <c r="H1117" s="30" t="s">
        <v>24</v>
      </c>
      <c r="I1117" s="84">
        <v>1</v>
      </c>
      <c r="J1117" s="85">
        <v>10</v>
      </c>
      <c r="K1117" s="86">
        <v>10</v>
      </c>
      <c r="L1117" s="77"/>
      <c r="M1117" s="78"/>
      <c r="N1117" s="77">
        <v>1</v>
      </c>
      <c r="O1117" s="78"/>
      <c r="P1117" s="79"/>
      <c r="Q1117" s="80"/>
      <c r="S1117" s="12">
        <v>1</v>
      </c>
      <c r="T1117" s="25">
        <v>10391</v>
      </c>
      <c r="U1117" s="12">
        <f>S1117*T1117</f>
        <v>10391</v>
      </c>
      <c r="V1117" s="27"/>
    </row>
    <row r="1118" spans="1:22">
      <c r="A1118" s="23" t="s">
        <v>68</v>
      </c>
      <c r="B1118" s="71" t="s">
        <v>93</v>
      </c>
      <c r="C1118" s="72"/>
      <c r="D1118" s="72"/>
      <c r="E1118" s="72"/>
      <c r="F1118" s="72"/>
      <c r="G1118" s="73"/>
      <c r="H1118" s="30" t="s">
        <v>24</v>
      </c>
      <c r="I1118" s="74">
        <v>1</v>
      </c>
      <c r="J1118" s="75"/>
      <c r="K1118" s="76"/>
      <c r="L1118" s="77">
        <f>N1118-N1045</f>
        <v>3.320180925801175E-2</v>
      </c>
      <c r="M1118" s="78"/>
      <c r="N1118" s="77">
        <f>S1118</f>
        <v>0.65922432874603021</v>
      </c>
      <c r="O1118" s="78"/>
      <c r="P1118" s="77"/>
      <c r="Q1118" s="78"/>
      <c r="S1118" s="21">
        <f>V1116*0.01/T1118</f>
        <v>0.65922432874603021</v>
      </c>
      <c r="T1118" s="25">
        <v>10391</v>
      </c>
      <c r="U1118" s="12">
        <f t="shared" ref="U1118:U1119" si="31">S1118*T1118</f>
        <v>6850</v>
      </c>
    </row>
    <row r="1119" spans="1:22">
      <c r="A1119" s="23" t="s">
        <v>69</v>
      </c>
      <c r="B1119" s="58" t="s">
        <v>94</v>
      </c>
      <c r="C1119" s="59" t="s">
        <v>70</v>
      </c>
      <c r="D1119" s="59" t="s">
        <v>70</v>
      </c>
      <c r="E1119" s="59" t="s">
        <v>70</v>
      </c>
      <c r="F1119" s="59" t="s">
        <v>70</v>
      </c>
      <c r="G1119" s="60" t="s">
        <v>70</v>
      </c>
      <c r="H1119" s="30" t="s">
        <v>24</v>
      </c>
      <c r="I1119" s="74">
        <v>1</v>
      </c>
      <c r="J1119" s="75"/>
      <c r="K1119" s="76"/>
      <c r="L1119" s="77">
        <f>N1119-N1046</f>
        <v>3.3200896355462639E-2</v>
      </c>
      <c r="M1119" s="78"/>
      <c r="N1119" s="77">
        <f>S1119</f>
        <v>0.6592062029997664</v>
      </c>
      <c r="O1119" s="78"/>
      <c r="P1119" s="77"/>
      <c r="Q1119" s="78"/>
      <c r="S1119" s="21">
        <f>V1116*0.07/T1119</f>
        <v>0.6592062029997664</v>
      </c>
      <c r="T1119" s="25">
        <v>72739</v>
      </c>
      <c r="U1119" s="12">
        <f t="shared" si="31"/>
        <v>47950.000000000007</v>
      </c>
    </row>
    <row r="1120" spans="1:22">
      <c r="A1120" s="23" t="s">
        <v>71</v>
      </c>
      <c r="B1120" s="58" t="s">
        <v>95</v>
      </c>
      <c r="C1120" s="59" t="s">
        <v>72</v>
      </c>
      <c r="D1120" s="59" t="s">
        <v>72</v>
      </c>
      <c r="E1120" s="59" t="s">
        <v>72</v>
      </c>
      <c r="F1120" s="59" t="s">
        <v>72</v>
      </c>
      <c r="G1120" s="60" t="s">
        <v>72</v>
      </c>
      <c r="H1120" s="30" t="s">
        <v>24</v>
      </c>
      <c r="I1120" s="74">
        <v>1</v>
      </c>
      <c r="J1120" s="75"/>
      <c r="K1120" s="76"/>
      <c r="L1120" s="77"/>
      <c r="M1120" s="78"/>
      <c r="N1120" s="77">
        <f>S1120</f>
        <v>1</v>
      </c>
      <c r="O1120" s="78"/>
      <c r="P1120" s="77"/>
      <c r="Q1120" s="78"/>
      <c r="S1120" s="21">
        <v>1</v>
      </c>
      <c r="T1120" s="25">
        <v>4156</v>
      </c>
      <c r="U1120" s="12">
        <f>S1120*T1120</f>
        <v>4156</v>
      </c>
    </row>
    <row r="1121" spans="1:21">
      <c r="A1121" s="23" t="s">
        <v>73</v>
      </c>
      <c r="B1121" s="58" t="s">
        <v>96</v>
      </c>
      <c r="C1121" s="59" t="s">
        <v>74</v>
      </c>
      <c r="D1121" s="59" t="s">
        <v>74</v>
      </c>
      <c r="E1121" s="59" t="s">
        <v>74</v>
      </c>
      <c r="F1121" s="59" t="s">
        <v>74</v>
      </c>
      <c r="G1121" s="60" t="s">
        <v>74</v>
      </c>
      <c r="H1121" s="30" t="s">
        <v>24</v>
      </c>
      <c r="I1121" s="74">
        <v>1</v>
      </c>
      <c r="J1121" s="75"/>
      <c r="K1121" s="76"/>
      <c r="L1121" s="77">
        <f>N1121-N1048</f>
        <v>3.2776213933849441E-2</v>
      </c>
      <c r="M1121" s="78"/>
      <c r="N1121" s="77">
        <f>S1121</f>
        <v>0.66357054890921885</v>
      </c>
      <c r="O1121" s="78"/>
      <c r="P1121" s="79"/>
      <c r="Q1121" s="80"/>
      <c r="S1121" s="21">
        <f>(V1116+U1117+U1118+U1119+U1120)*0.05/T1121</f>
        <v>0.66357054890921885</v>
      </c>
      <c r="T1121" s="25">
        <v>56840</v>
      </c>
      <c r="U1121" s="12">
        <f>S1121*T1121</f>
        <v>37717.35</v>
      </c>
    </row>
    <row r="1122" spans="1:21">
      <c r="A1122" s="23"/>
      <c r="B1122" s="58"/>
      <c r="C1122" s="59"/>
      <c r="D1122" s="59"/>
      <c r="E1122" s="59"/>
      <c r="F1122" s="59"/>
      <c r="G1122" s="60"/>
      <c r="H1122" s="24"/>
      <c r="I1122" s="58"/>
      <c r="J1122" s="59"/>
      <c r="K1122" s="59"/>
      <c r="L1122" s="58"/>
      <c r="M1122" s="59"/>
      <c r="N1122" s="58"/>
      <c r="O1122" s="59"/>
      <c r="P1122" s="58"/>
      <c r="Q1122" s="60"/>
      <c r="S1122" s="21"/>
      <c r="T1122" s="25"/>
      <c r="U1122" s="28">
        <f>V1116+U1117+U1118+U1119+U1120+U1121</f>
        <v>792064.35</v>
      </c>
    </row>
    <row r="1123" spans="1:21">
      <c r="A1123" s="23"/>
      <c r="B1123" s="58"/>
      <c r="C1123" s="59"/>
      <c r="D1123" s="59"/>
      <c r="E1123" s="59"/>
      <c r="F1123" s="59"/>
      <c r="G1123" s="60"/>
      <c r="H1123" s="23"/>
      <c r="I1123" s="58"/>
      <c r="J1123" s="59"/>
      <c r="K1123" s="59"/>
      <c r="L1123" s="58"/>
      <c r="M1123" s="59"/>
      <c r="N1123" s="58"/>
      <c r="O1123" s="59"/>
      <c r="P1123" s="58"/>
      <c r="Q1123" s="60"/>
      <c r="S1123" s="21"/>
      <c r="T1123" s="16"/>
      <c r="U1123" s="14">
        <v>1193638</v>
      </c>
    </row>
    <row r="1124" spans="1:21">
      <c r="A1124" s="9"/>
      <c r="B1124" s="58"/>
      <c r="C1124" s="59"/>
      <c r="D1124" s="59"/>
      <c r="E1124" s="59"/>
      <c r="F1124" s="59"/>
      <c r="G1124" s="60"/>
      <c r="H1124" s="9"/>
      <c r="I1124" s="58"/>
      <c r="J1124" s="59"/>
      <c r="K1124" s="59"/>
      <c r="L1124" s="58"/>
      <c r="M1124" s="59"/>
      <c r="N1124" s="58"/>
      <c r="O1124" s="59"/>
      <c r="P1124" s="58"/>
      <c r="Q1124" s="60"/>
      <c r="S1124" s="21"/>
      <c r="T1124" s="16"/>
      <c r="U1124" s="15">
        <f>U1122/U1123</f>
        <v>0.66357166075476814</v>
      </c>
    </row>
    <row r="1125" spans="1:21">
      <c r="A1125" s="9"/>
      <c r="B1125" s="58"/>
      <c r="C1125" s="59"/>
      <c r="D1125" s="59"/>
      <c r="E1125" s="59"/>
      <c r="F1125" s="59"/>
      <c r="G1125" s="60"/>
      <c r="H1125" s="9"/>
      <c r="I1125" s="58"/>
      <c r="J1125" s="59"/>
      <c r="K1125" s="59"/>
      <c r="L1125" s="58"/>
      <c r="M1125" s="59"/>
      <c r="N1125" s="58"/>
      <c r="O1125" s="59"/>
      <c r="P1125" s="58"/>
      <c r="Q1125" s="60"/>
      <c r="S1125" s="21"/>
      <c r="T1125" s="16"/>
      <c r="U1125" s="12"/>
    </row>
    <row r="1126" spans="1:21">
      <c r="A1126" s="9"/>
      <c r="B1126" s="58"/>
      <c r="C1126" s="59"/>
      <c r="D1126" s="59"/>
      <c r="E1126" s="59"/>
      <c r="F1126" s="59"/>
      <c r="G1126" s="60"/>
      <c r="H1126" s="9"/>
      <c r="I1126" s="58"/>
      <c r="J1126" s="59"/>
      <c r="K1126" s="59"/>
      <c r="L1126" s="58"/>
      <c r="M1126" s="59"/>
      <c r="N1126" s="58"/>
      <c r="O1126" s="59"/>
      <c r="P1126" s="58"/>
      <c r="Q1126" s="60"/>
      <c r="S1126" s="21"/>
      <c r="T1126" s="16"/>
      <c r="U1126" s="12"/>
    </row>
    <row r="1127" spans="1:21">
      <c r="A1127" s="9"/>
      <c r="B1127" s="58"/>
      <c r="C1127" s="59"/>
      <c r="D1127" s="59"/>
      <c r="E1127" s="59"/>
      <c r="F1127" s="59"/>
      <c r="G1127" s="60"/>
      <c r="H1127" s="9"/>
      <c r="I1127" s="58"/>
      <c r="J1127" s="59"/>
      <c r="K1127" s="59"/>
      <c r="L1127" s="58"/>
      <c r="M1127" s="59"/>
      <c r="N1127" s="58"/>
      <c r="O1127" s="59"/>
      <c r="P1127" s="58"/>
      <c r="Q1127" s="60"/>
      <c r="S1127" s="21"/>
      <c r="T1127" s="16"/>
      <c r="U1127" s="12"/>
    </row>
    <row r="1128" spans="1:21">
      <c r="A1128" s="9"/>
      <c r="B1128" s="58"/>
      <c r="C1128" s="59"/>
      <c r="D1128" s="59"/>
      <c r="E1128" s="59"/>
      <c r="F1128" s="59"/>
      <c r="G1128" s="60"/>
      <c r="H1128" s="9"/>
      <c r="I1128" s="58"/>
      <c r="J1128" s="59"/>
      <c r="K1128" s="59"/>
      <c r="L1128" s="58"/>
      <c r="M1128" s="59"/>
      <c r="N1128" s="58"/>
      <c r="O1128" s="59"/>
      <c r="P1128" s="58"/>
      <c r="Q1128" s="60"/>
      <c r="S1128" s="21"/>
      <c r="T1128" s="16"/>
      <c r="U1128" s="12"/>
    </row>
    <row r="1129" spans="1:21">
      <c r="A1129" s="7"/>
      <c r="B1129" s="61"/>
      <c r="C1129" s="62"/>
      <c r="D1129" s="62"/>
      <c r="E1129" s="62"/>
      <c r="F1129" s="62"/>
      <c r="G1129" s="63"/>
      <c r="H1129" s="9"/>
      <c r="I1129" s="64"/>
      <c r="J1129" s="65"/>
      <c r="K1129" s="66"/>
      <c r="L1129" s="67"/>
      <c r="M1129" s="68"/>
      <c r="N1129" s="67"/>
      <c r="O1129" s="68"/>
      <c r="P1129" s="69"/>
      <c r="Q1129" s="70"/>
      <c r="S1129" s="21"/>
      <c r="T1129" s="16"/>
    </row>
    <row r="1130" spans="1:21">
      <c r="A1130" s="44" t="s">
        <v>29</v>
      </c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T1130" s="20"/>
    </row>
    <row r="1131" spans="1:21">
      <c r="A1131" s="44" t="s">
        <v>30</v>
      </c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T1131" s="20"/>
    </row>
    <row r="1132" spans="1:21">
      <c r="A1132" s="44" t="s">
        <v>31</v>
      </c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T1132" s="20"/>
    </row>
    <row r="1133" spans="1:21">
      <c r="A1133" s="44" t="s">
        <v>32</v>
      </c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T1133" s="20"/>
    </row>
    <row r="1134" spans="1:21">
      <c r="A1134" s="54" t="s">
        <v>33</v>
      </c>
      <c r="B1134" s="54"/>
      <c r="C1134" s="54"/>
      <c r="D1134" s="54"/>
      <c r="E1134" s="54"/>
      <c r="F1134" s="54"/>
      <c r="G1134" s="54"/>
      <c r="H1134" s="54" t="s">
        <v>20</v>
      </c>
      <c r="I1134" s="54"/>
      <c r="J1134" s="54"/>
      <c r="K1134" s="54" t="s">
        <v>34</v>
      </c>
      <c r="L1134" s="54"/>
      <c r="M1134" s="54" t="s">
        <v>35</v>
      </c>
      <c r="N1134" s="54"/>
      <c r="O1134" s="54" t="s">
        <v>36</v>
      </c>
      <c r="P1134" s="54"/>
      <c r="Q1134" s="54"/>
      <c r="T1134" s="20"/>
    </row>
    <row r="1135" spans="1:21">
      <c r="A1135" s="55"/>
      <c r="B1135" s="56"/>
      <c r="C1135" s="56"/>
      <c r="D1135" s="56"/>
      <c r="E1135" s="56"/>
      <c r="F1135" s="56"/>
      <c r="G1135" s="57"/>
      <c r="H1135" s="55"/>
      <c r="I1135" s="56"/>
      <c r="J1135" s="57"/>
      <c r="K1135" s="55"/>
      <c r="L1135" s="56"/>
      <c r="M1135" s="55"/>
      <c r="N1135" s="56"/>
      <c r="O1135" s="55"/>
      <c r="P1135" s="56"/>
      <c r="Q1135" s="57"/>
      <c r="T1135" s="20"/>
    </row>
    <row r="1136" spans="1:21">
      <c r="A1136" s="55"/>
      <c r="B1136" s="56"/>
      <c r="C1136" s="56"/>
      <c r="D1136" s="56"/>
      <c r="E1136" s="56"/>
      <c r="F1136" s="56"/>
      <c r="G1136" s="57"/>
      <c r="H1136" s="55"/>
      <c r="I1136" s="56"/>
      <c r="J1136" s="57"/>
      <c r="K1136" s="55"/>
      <c r="L1136" s="56"/>
      <c r="M1136" s="55"/>
      <c r="N1136" s="56"/>
      <c r="O1136" s="55"/>
      <c r="P1136" s="56"/>
      <c r="Q1136" s="57"/>
      <c r="T1136" s="20"/>
    </row>
    <row r="1137" spans="1:20">
      <c r="A1137" s="53"/>
      <c r="B1137" s="53"/>
      <c r="C1137" s="53"/>
      <c r="D1137" s="53"/>
      <c r="E1137" s="53"/>
      <c r="F1137" s="53"/>
      <c r="G1137" s="53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T1137" s="20"/>
    </row>
    <row r="1138" spans="1:20">
      <c r="A1138" s="53"/>
      <c r="B1138" s="53"/>
      <c r="C1138" s="53"/>
      <c r="D1138" s="53"/>
      <c r="E1138" s="53"/>
      <c r="F1138" s="53"/>
      <c r="G1138" s="53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T1138" s="20"/>
    </row>
    <row r="1139" spans="1:20">
      <c r="A1139" s="44" t="s">
        <v>37</v>
      </c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T1139" s="20"/>
    </row>
    <row r="1140" spans="1:20">
      <c r="A1140" s="46" t="s">
        <v>38</v>
      </c>
      <c r="B1140" s="46"/>
      <c r="C1140" s="47" t="s">
        <v>39</v>
      </c>
      <c r="D1140" s="48"/>
      <c r="E1140" s="48"/>
      <c r="F1140" s="47" t="s">
        <v>40</v>
      </c>
      <c r="G1140" s="48"/>
      <c r="H1140" s="49"/>
      <c r="I1140" s="46" t="s">
        <v>41</v>
      </c>
      <c r="J1140" s="46"/>
      <c r="K1140" s="46"/>
      <c r="L1140" s="46" t="s">
        <v>35</v>
      </c>
      <c r="M1140" s="46"/>
      <c r="N1140" s="46"/>
      <c r="O1140" s="46" t="s">
        <v>36</v>
      </c>
      <c r="P1140" s="46"/>
      <c r="Q1140" s="46"/>
      <c r="T1140" s="20"/>
    </row>
    <row r="1141" spans="1:20">
      <c r="A1141" s="47" t="s">
        <v>42</v>
      </c>
      <c r="B1141" s="49"/>
      <c r="C1141" s="47">
        <v>1</v>
      </c>
      <c r="D1141" s="48"/>
      <c r="E1141" s="49"/>
      <c r="F1141" s="47">
        <f>F1068+C1141</f>
        <v>26</v>
      </c>
      <c r="G1141" s="48"/>
      <c r="H1141" s="49"/>
      <c r="I1141" s="47"/>
      <c r="J1141" s="48"/>
      <c r="K1141" s="49"/>
      <c r="L1141" s="47"/>
      <c r="M1141" s="48"/>
      <c r="N1141" s="49"/>
      <c r="O1141" s="47"/>
      <c r="P1141" s="48"/>
      <c r="Q1141" s="49"/>
      <c r="T1141" s="20"/>
    </row>
    <row r="1142" spans="1:20">
      <c r="A1142" s="47" t="s">
        <v>100</v>
      </c>
      <c r="B1142" s="49"/>
      <c r="C1142" s="47"/>
      <c r="D1142" s="48"/>
      <c r="E1142" s="49"/>
      <c r="F1142" s="47">
        <f>F1069+C1142</f>
        <v>2</v>
      </c>
      <c r="G1142" s="48"/>
      <c r="H1142" s="49"/>
      <c r="I1142" s="47"/>
      <c r="J1142" s="48"/>
      <c r="K1142" s="49"/>
      <c r="L1142" s="47"/>
      <c r="M1142" s="48"/>
      <c r="N1142" s="49"/>
      <c r="O1142" s="47"/>
      <c r="P1142" s="48"/>
      <c r="Q1142" s="49"/>
      <c r="T1142" s="20"/>
    </row>
    <row r="1143" spans="1:20">
      <c r="A1143" s="47"/>
      <c r="B1143" s="49"/>
      <c r="C1143" s="47"/>
      <c r="D1143" s="48"/>
      <c r="E1143" s="49"/>
      <c r="F1143" s="47"/>
      <c r="G1143" s="48"/>
      <c r="H1143" s="49"/>
      <c r="I1143" s="47"/>
      <c r="J1143" s="48"/>
      <c r="K1143" s="49"/>
      <c r="L1143" s="47"/>
      <c r="M1143" s="48"/>
      <c r="N1143" s="49"/>
      <c r="O1143" s="47"/>
      <c r="P1143" s="48"/>
      <c r="Q1143" s="49"/>
      <c r="T1143" s="20"/>
    </row>
    <row r="1144" spans="1:20">
      <c r="A1144" s="46"/>
      <c r="B1144" s="46"/>
      <c r="C1144" s="47"/>
      <c r="D1144" s="48"/>
      <c r="E1144" s="49"/>
      <c r="F1144" s="47"/>
      <c r="G1144" s="48"/>
      <c r="H1144" s="49"/>
      <c r="I1144" s="47"/>
      <c r="J1144" s="48"/>
      <c r="K1144" s="49"/>
      <c r="L1144" s="47"/>
      <c r="M1144" s="48"/>
      <c r="N1144" s="49"/>
      <c r="O1144" s="47"/>
      <c r="P1144" s="48"/>
      <c r="Q1144" s="49"/>
      <c r="T1144" s="20"/>
    </row>
    <row r="1145" spans="1:20">
      <c r="A1145" s="46"/>
      <c r="B1145" s="46"/>
      <c r="C1145" s="47"/>
      <c r="D1145" s="48"/>
      <c r="E1145" s="49"/>
      <c r="F1145" s="47"/>
      <c r="G1145" s="48"/>
      <c r="H1145" s="49"/>
      <c r="I1145" s="47"/>
      <c r="J1145" s="48"/>
      <c r="K1145" s="49"/>
      <c r="L1145" s="47"/>
      <c r="M1145" s="48"/>
      <c r="N1145" s="49"/>
      <c r="O1145" s="47"/>
      <c r="P1145" s="48"/>
      <c r="Q1145" s="49"/>
      <c r="T1145" s="20"/>
    </row>
    <row r="1146" spans="1:20">
      <c r="A1146" s="50" t="s">
        <v>43</v>
      </c>
      <c r="B1146" s="51"/>
      <c r="C1146" s="51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2"/>
      <c r="T1146" s="20"/>
    </row>
    <row r="1147" spans="1:20">
      <c r="A1147" s="38" t="s">
        <v>44</v>
      </c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40"/>
      <c r="T1147" s="20"/>
    </row>
    <row r="1148" spans="1:20">
      <c r="A1148" s="41" t="s">
        <v>45</v>
      </c>
      <c r="B1148" s="42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  <c r="P1148" s="42"/>
      <c r="Q1148" s="43"/>
      <c r="T1148" s="20"/>
    </row>
    <row r="1149" spans="1:20">
      <c r="A1149" s="50" t="s">
        <v>46</v>
      </c>
      <c r="B1149" s="51"/>
      <c r="C1149" s="51"/>
      <c r="D1149" s="51"/>
      <c r="E1149" s="51"/>
      <c r="F1149" s="51"/>
      <c r="G1149" s="51"/>
      <c r="H1149" s="51"/>
      <c r="I1149" s="51"/>
      <c r="J1149" s="51"/>
      <c r="K1149" s="51"/>
      <c r="L1149" s="51"/>
      <c r="M1149" s="51"/>
      <c r="N1149" s="51"/>
      <c r="O1149" s="51"/>
      <c r="P1149" s="51"/>
      <c r="Q1149" s="52"/>
      <c r="T1149" s="20"/>
    </row>
    <row r="1150" spans="1:20">
      <c r="A1150" s="38" t="s">
        <v>47</v>
      </c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40"/>
      <c r="T1150" s="20"/>
    </row>
    <row r="1151" spans="1:20">
      <c r="A1151" s="38" t="s">
        <v>48</v>
      </c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40"/>
      <c r="T1151" s="20"/>
    </row>
    <row r="1152" spans="1:20">
      <c r="A1152" s="38" t="s">
        <v>49</v>
      </c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40"/>
      <c r="T1152" s="20"/>
    </row>
    <row r="1153" spans="1:20">
      <c r="A1153" s="38" t="s">
        <v>50</v>
      </c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40"/>
      <c r="T1153" s="20"/>
    </row>
    <row r="1154" spans="1:20">
      <c r="A1154" s="38" t="s">
        <v>51</v>
      </c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40"/>
      <c r="T1154" s="20"/>
    </row>
    <row r="1155" spans="1:20">
      <c r="A1155" s="41" t="s">
        <v>52</v>
      </c>
      <c r="B1155" s="42"/>
      <c r="C1155" s="42"/>
      <c r="D1155" s="42"/>
      <c r="E1155" s="42"/>
      <c r="F1155" s="42"/>
      <c r="G1155" s="42"/>
      <c r="H1155" s="42"/>
      <c r="I1155" s="42"/>
      <c r="J1155" s="42"/>
      <c r="K1155" s="42"/>
      <c r="L1155" s="42"/>
      <c r="M1155" s="42"/>
      <c r="N1155" s="42"/>
      <c r="O1155" s="42"/>
      <c r="P1155" s="42"/>
      <c r="Q1155" s="43"/>
      <c r="T1155" s="20"/>
    </row>
    <row r="1156" spans="1:20">
      <c r="A1156" s="44" t="s">
        <v>53</v>
      </c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T1156" s="20"/>
    </row>
    <row r="1157" spans="1:20">
      <c r="A1157" s="44" t="s">
        <v>54</v>
      </c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T1157" s="20"/>
    </row>
    <row r="1158" spans="1:20">
      <c r="A1158" s="44" t="s">
        <v>99</v>
      </c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T1158" s="20"/>
    </row>
    <row r="1159" spans="1:20">
      <c r="A1159" s="44" t="s">
        <v>55</v>
      </c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T1159" s="20"/>
    </row>
    <row r="1160" spans="1:20">
      <c r="A1160" s="45" t="s">
        <v>56</v>
      </c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T1160" s="20"/>
    </row>
    <row r="1161" spans="1:20">
      <c r="A1161" s="37" t="s">
        <v>57</v>
      </c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T1161" s="20"/>
    </row>
    <row r="1162" spans="1:20">
      <c r="A1162" s="37" t="s">
        <v>58</v>
      </c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T1162" s="20"/>
    </row>
    <row r="1163" spans="1:20">
      <c r="A1163" s="37" t="s">
        <v>59</v>
      </c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T1163" s="20"/>
    </row>
    <row r="1164" spans="1:20">
      <c r="A1164" s="37" t="s">
        <v>60</v>
      </c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T1164" s="20"/>
    </row>
    <row r="1165" spans="1:20">
      <c r="A1165" s="37" t="s">
        <v>61</v>
      </c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T1165" s="20"/>
    </row>
    <row r="1166" spans="1:20">
      <c r="A1166" s="37" t="s">
        <v>62</v>
      </c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T1166" s="20"/>
    </row>
    <row r="1167" spans="1:20">
      <c r="A1167" s="37" t="s">
        <v>63</v>
      </c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T1167" s="20"/>
    </row>
    <row r="1168" spans="1:20">
      <c r="A1168" s="37" t="s">
        <v>75</v>
      </c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T1168" s="20"/>
    </row>
    <row r="1169" spans="1:21" ht="39" customHeight="1">
      <c r="B1169" s="120" t="s">
        <v>0</v>
      </c>
      <c r="C1169" s="120"/>
      <c r="D1169" s="120"/>
      <c r="E1169" s="120"/>
      <c r="F1169" s="120"/>
      <c r="G1169" s="120"/>
      <c r="H1169" s="120"/>
      <c r="I1169" s="120"/>
      <c r="J1169" s="120"/>
      <c r="K1169" s="120"/>
      <c r="L1169" s="120"/>
      <c r="M1169" s="120"/>
      <c r="N1169" s="120"/>
      <c r="O1169" s="120"/>
      <c r="P1169" s="120"/>
      <c r="Q1169" s="120"/>
      <c r="T1169" s="20"/>
    </row>
    <row r="1170" spans="1:21">
      <c r="B1170" s="6" t="s">
        <v>1</v>
      </c>
      <c r="C1170" s="121" t="s">
        <v>2</v>
      </c>
      <c r="D1170" s="121"/>
      <c r="E1170" s="1" t="s">
        <v>3</v>
      </c>
      <c r="F1170" s="121" t="s">
        <v>4</v>
      </c>
      <c r="G1170" s="121"/>
      <c r="H1170" s="1" t="s">
        <v>3</v>
      </c>
      <c r="I1170" s="1"/>
      <c r="J1170" s="121" t="s">
        <v>5</v>
      </c>
      <c r="K1170" s="121"/>
      <c r="L1170" s="121"/>
      <c r="M1170" s="122">
        <f>M1097+1</f>
        <v>46243</v>
      </c>
      <c r="N1170" s="122"/>
      <c r="O1170" s="122"/>
      <c r="P1170" s="123"/>
      <c r="Q1170" s="123"/>
      <c r="T1170" s="20"/>
    </row>
    <row r="1171" spans="1:21">
      <c r="A1171" s="96" t="s">
        <v>6</v>
      </c>
      <c r="B1171" s="96"/>
      <c r="C1171" s="124" t="s">
        <v>79</v>
      </c>
      <c r="D1171" s="125"/>
      <c r="E1171" s="125"/>
      <c r="F1171" s="125"/>
      <c r="G1171" s="125"/>
      <c r="H1171" s="125"/>
      <c r="I1171" s="126"/>
      <c r="J1171" s="127" t="s">
        <v>7</v>
      </c>
      <c r="K1171" s="128"/>
      <c r="L1171" s="128"/>
      <c r="M1171" s="129"/>
      <c r="N1171" s="130" t="s">
        <v>78</v>
      </c>
      <c r="O1171" s="130"/>
      <c r="P1171" s="130"/>
      <c r="Q1171" s="131"/>
      <c r="T1171" s="20"/>
    </row>
    <row r="1172" spans="1:21">
      <c r="A1172" s="96" t="s">
        <v>8</v>
      </c>
      <c r="B1172" s="96"/>
      <c r="C1172" s="4">
        <v>30</v>
      </c>
      <c r="D1172" s="3" t="s">
        <v>9</v>
      </c>
      <c r="E1172" s="127" t="s">
        <v>10</v>
      </c>
      <c r="F1172" s="129"/>
      <c r="G1172" s="127">
        <f>G1099+1</f>
        <v>17</v>
      </c>
      <c r="H1172" s="128"/>
      <c r="I1172" s="3" t="s">
        <v>9</v>
      </c>
      <c r="J1172" s="96" t="s">
        <v>11</v>
      </c>
      <c r="K1172" s="96"/>
      <c r="L1172" s="5">
        <f>C1172-G1172</f>
        <v>13</v>
      </c>
      <c r="M1172" s="2" t="s">
        <v>9</v>
      </c>
      <c r="N1172" s="96" t="s">
        <v>12</v>
      </c>
      <c r="O1172" s="96"/>
      <c r="P1172" s="2"/>
      <c r="Q1172" s="3" t="s">
        <v>9</v>
      </c>
      <c r="T1172" s="20"/>
    </row>
    <row r="1173" spans="1:21">
      <c r="A1173" s="96" t="s">
        <v>13</v>
      </c>
      <c r="B1173" s="96"/>
      <c r="C1173" s="132">
        <v>46227</v>
      </c>
      <c r="D1173" s="132"/>
      <c r="E1173" s="132"/>
      <c r="F1173" s="132"/>
      <c r="G1173" s="132"/>
      <c r="H1173" s="132"/>
      <c r="I1173" s="132"/>
      <c r="J1173" s="127" t="s">
        <v>14</v>
      </c>
      <c r="K1173" s="128"/>
      <c r="L1173" s="128"/>
      <c r="M1173" s="129"/>
      <c r="N1173" s="133">
        <v>46256</v>
      </c>
      <c r="O1173" s="134"/>
      <c r="P1173" s="134"/>
      <c r="Q1173" s="135"/>
      <c r="T1173" s="20"/>
    </row>
    <row r="1174" spans="1:21">
      <c r="A1174" s="96" t="s">
        <v>15</v>
      </c>
      <c r="B1174" s="96"/>
      <c r="C1174" s="97"/>
      <c r="D1174" s="98"/>
      <c r="E1174" s="98"/>
      <c r="F1174" s="98"/>
      <c r="G1174" s="98"/>
      <c r="H1174" s="99" t="s">
        <v>16</v>
      </c>
      <c r="I1174" s="100"/>
      <c r="J1174" s="101" t="s">
        <v>17</v>
      </c>
      <c r="K1174" s="101"/>
      <c r="L1174" s="101"/>
      <c r="M1174" s="101"/>
      <c r="N1174" s="102">
        <f>U1197</f>
        <v>0.66357166075476814</v>
      </c>
      <c r="O1174" s="102"/>
      <c r="P1174" s="102"/>
      <c r="Q1174" s="102"/>
      <c r="T1174" s="20"/>
    </row>
    <row r="1175" spans="1:21">
      <c r="A1175" s="103" t="s">
        <v>18</v>
      </c>
      <c r="B1175" s="104"/>
      <c r="C1175" s="104"/>
      <c r="D1175" s="104"/>
      <c r="E1175" s="104"/>
      <c r="F1175" s="104"/>
      <c r="G1175" s="104"/>
      <c r="H1175" s="104"/>
      <c r="I1175" s="104"/>
      <c r="J1175" s="104"/>
      <c r="K1175" s="104"/>
      <c r="L1175" s="104"/>
      <c r="M1175" s="104"/>
      <c r="N1175" s="104"/>
      <c r="O1175" s="104"/>
      <c r="P1175" s="104"/>
      <c r="Q1175" s="105"/>
      <c r="T1175" s="20"/>
    </row>
    <row r="1176" spans="1:21">
      <c r="A1176" s="7"/>
      <c r="B1176" s="106" t="s">
        <v>19</v>
      </c>
      <c r="C1176" s="107"/>
      <c r="D1176" s="107"/>
      <c r="E1176" s="107"/>
      <c r="F1176" s="107"/>
      <c r="G1176" s="108"/>
      <c r="H1176" s="8" t="s">
        <v>20</v>
      </c>
      <c r="I1176" s="109" t="s">
        <v>21</v>
      </c>
      <c r="J1176" s="110"/>
      <c r="K1176" s="111"/>
      <c r="L1176" s="109" t="s">
        <v>28</v>
      </c>
      <c r="M1176" s="111"/>
      <c r="N1176" s="106" t="s">
        <v>22</v>
      </c>
      <c r="O1176" s="112"/>
      <c r="P1176" s="113" t="s">
        <v>23</v>
      </c>
      <c r="Q1176" s="113"/>
      <c r="S1176" s="18" t="s">
        <v>22</v>
      </c>
      <c r="T1176" s="19" t="s">
        <v>64</v>
      </c>
      <c r="U1176" s="13" t="s">
        <v>27</v>
      </c>
    </row>
    <row r="1177" spans="1:21">
      <c r="A1177" s="17" t="s">
        <v>65</v>
      </c>
      <c r="B1177" s="114" t="s">
        <v>66</v>
      </c>
      <c r="C1177" s="115"/>
      <c r="D1177" s="115"/>
      <c r="E1177" s="115"/>
      <c r="F1177" s="115"/>
      <c r="G1177" s="116"/>
      <c r="H1177" s="17"/>
      <c r="I1177" s="117"/>
      <c r="J1177" s="118"/>
      <c r="K1177" s="119"/>
      <c r="L1177" s="77"/>
      <c r="M1177" s="78"/>
      <c r="N1177" s="77"/>
      <c r="O1177" s="78"/>
      <c r="P1177" s="93"/>
      <c r="Q1177" s="93"/>
      <c r="S1177" s="16"/>
      <c r="T1177" s="16"/>
      <c r="U1177" s="16" t="s">
        <v>26</v>
      </c>
    </row>
    <row r="1178" spans="1:21">
      <c r="A1178" s="17">
        <v>1</v>
      </c>
      <c r="B1178" s="81" t="s">
        <v>80</v>
      </c>
      <c r="C1178" s="82"/>
      <c r="D1178" s="82"/>
      <c r="E1178" s="82"/>
      <c r="F1178" s="82"/>
      <c r="G1178" s="83"/>
      <c r="H1178" s="29" t="s">
        <v>67</v>
      </c>
      <c r="I1178" s="84">
        <v>18</v>
      </c>
      <c r="J1178" s="85"/>
      <c r="K1178" s="86"/>
      <c r="L1178" s="87"/>
      <c r="M1178" s="88"/>
      <c r="N1178" s="89"/>
      <c r="O1178" s="90"/>
      <c r="P1178" s="93"/>
      <c r="Q1178" s="93"/>
      <c r="S1178" s="12"/>
      <c r="T1178" s="26">
        <v>18000</v>
      </c>
      <c r="U1178" s="12">
        <f>S1178*T1178</f>
        <v>0</v>
      </c>
    </row>
    <row r="1179" spans="1:21" ht="32.1" customHeight="1">
      <c r="A1179" s="17">
        <v>2</v>
      </c>
      <c r="B1179" s="81" t="s">
        <v>81</v>
      </c>
      <c r="C1179" s="82" t="s">
        <v>81</v>
      </c>
      <c r="D1179" s="82" t="s">
        <v>81</v>
      </c>
      <c r="E1179" s="82" t="s">
        <v>81</v>
      </c>
      <c r="F1179" s="82" t="s">
        <v>81</v>
      </c>
      <c r="G1179" s="83" t="s">
        <v>81</v>
      </c>
      <c r="H1179" s="29" t="s">
        <v>97</v>
      </c>
      <c r="I1179" s="84">
        <v>166</v>
      </c>
      <c r="J1179" s="85"/>
      <c r="K1179" s="86"/>
      <c r="L1179" s="87"/>
      <c r="M1179" s="88"/>
      <c r="N1179" s="89">
        <v>166</v>
      </c>
      <c r="O1179" s="90"/>
      <c r="P1179" s="93"/>
      <c r="Q1179" s="93"/>
      <c r="S1179" s="12">
        <v>166</v>
      </c>
      <c r="T1179" s="26">
        <v>750</v>
      </c>
      <c r="U1179" s="12">
        <f t="shared" ref="U1179:U1189" si="32">S1179*T1179</f>
        <v>124500</v>
      </c>
    </row>
    <row r="1180" spans="1:21">
      <c r="A1180" s="17">
        <v>3</v>
      </c>
      <c r="B1180" s="81" t="s">
        <v>82</v>
      </c>
      <c r="C1180" s="82" t="s">
        <v>82</v>
      </c>
      <c r="D1180" s="82" t="s">
        <v>82</v>
      </c>
      <c r="E1180" s="82" t="s">
        <v>82</v>
      </c>
      <c r="F1180" s="82" t="s">
        <v>82</v>
      </c>
      <c r="G1180" s="83" t="s">
        <v>82</v>
      </c>
      <c r="H1180" s="29" t="s">
        <v>97</v>
      </c>
      <c r="I1180" s="84">
        <v>540</v>
      </c>
      <c r="J1180" s="85">
        <v>540</v>
      </c>
      <c r="K1180" s="86">
        <v>540</v>
      </c>
      <c r="L1180" s="87"/>
      <c r="M1180" s="88"/>
      <c r="N1180" s="89">
        <v>540</v>
      </c>
      <c r="O1180" s="90"/>
      <c r="P1180" s="93"/>
      <c r="Q1180" s="93"/>
      <c r="S1180" s="12">
        <v>540</v>
      </c>
      <c r="T1180" s="26">
        <v>340</v>
      </c>
      <c r="U1180" s="12">
        <f t="shared" si="32"/>
        <v>183600</v>
      </c>
    </row>
    <row r="1181" spans="1:21">
      <c r="A1181" s="17">
        <v>4</v>
      </c>
      <c r="B1181" s="81" t="s">
        <v>83</v>
      </c>
      <c r="C1181" s="82" t="s">
        <v>83</v>
      </c>
      <c r="D1181" s="82" t="s">
        <v>83</v>
      </c>
      <c r="E1181" s="82" t="s">
        <v>83</v>
      </c>
      <c r="F1181" s="82" t="s">
        <v>83</v>
      </c>
      <c r="G1181" s="83" t="s">
        <v>83</v>
      </c>
      <c r="H1181" s="29" t="s">
        <v>67</v>
      </c>
      <c r="I1181" s="84">
        <v>20</v>
      </c>
      <c r="J1181" s="85">
        <v>20</v>
      </c>
      <c r="K1181" s="86">
        <v>20</v>
      </c>
      <c r="L1181" s="87"/>
      <c r="M1181" s="88"/>
      <c r="N1181" s="89">
        <v>20</v>
      </c>
      <c r="O1181" s="90"/>
      <c r="P1181" s="93"/>
      <c r="Q1181" s="93"/>
      <c r="S1181" s="12">
        <v>20</v>
      </c>
      <c r="T1181" s="26">
        <v>1250</v>
      </c>
      <c r="U1181" s="12">
        <f t="shared" si="32"/>
        <v>25000</v>
      </c>
    </row>
    <row r="1182" spans="1:21" ht="32.1" customHeight="1">
      <c r="A1182" s="17">
        <v>5</v>
      </c>
      <c r="B1182" s="81" t="s">
        <v>84</v>
      </c>
      <c r="C1182" s="82" t="s">
        <v>84</v>
      </c>
      <c r="D1182" s="82" t="s">
        <v>84</v>
      </c>
      <c r="E1182" s="82" t="s">
        <v>84</v>
      </c>
      <c r="F1182" s="82" t="s">
        <v>84</v>
      </c>
      <c r="G1182" s="83" t="s">
        <v>84</v>
      </c>
      <c r="H1182" s="29" t="s">
        <v>97</v>
      </c>
      <c r="I1182" s="84">
        <v>28</v>
      </c>
      <c r="J1182" s="85">
        <v>28</v>
      </c>
      <c r="K1182" s="86">
        <v>28</v>
      </c>
      <c r="L1182" s="87"/>
      <c r="M1182" s="88"/>
      <c r="N1182" s="89">
        <v>28</v>
      </c>
      <c r="O1182" s="90"/>
      <c r="P1182" s="93"/>
      <c r="Q1182" s="93"/>
      <c r="S1182" s="12">
        <v>28</v>
      </c>
      <c r="T1182" s="26">
        <v>1800</v>
      </c>
      <c r="U1182" s="12">
        <f t="shared" si="32"/>
        <v>50400</v>
      </c>
    </row>
    <row r="1183" spans="1:21">
      <c r="A1183" s="17">
        <v>6</v>
      </c>
      <c r="B1183" s="81" t="s">
        <v>85</v>
      </c>
      <c r="C1183" s="82" t="s">
        <v>85</v>
      </c>
      <c r="D1183" s="82" t="s">
        <v>85</v>
      </c>
      <c r="E1183" s="82" t="s">
        <v>85</v>
      </c>
      <c r="F1183" s="82" t="s">
        <v>85</v>
      </c>
      <c r="G1183" s="83" t="s">
        <v>85</v>
      </c>
      <c r="H1183" s="29" t="s">
        <v>97</v>
      </c>
      <c r="I1183" s="84">
        <v>14</v>
      </c>
      <c r="J1183" s="85">
        <v>14</v>
      </c>
      <c r="K1183" s="86">
        <v>14</v>
      </c>
      <c r="L1183" s="87"/>
      <c r="M1183" s="88"/>
      <c r="N1183" s="89">
        <v>14</v>
      </c>
      <c r="O1183" s="90"/>
      <c r="P1183" s="79"/>
      <c r="Q1183" s="80"/>
      <c r="S1183" s="12">
        <v>14</v>
      </c>
      <c r="T1183" s="26">
        <v>4000</v>
      </c>
      <c r="U1183" s="12">
        <f t="shared" si="32"/>
        <v>56000</v>
      </c>
    </row>
    <row r="1184" spans="1:21">
      <c r="A1184" s="17">
        <v>7</v>
      </c>
      <c r="B1184" s="81" t="s">
        <v>86</v>
      </c>
      <c r="C1184" s="82" t="s">
        <v>86</v>
      </c>
      <c r="D1184" s="82" t="s">
        <v>86</v>
      </c>
      <c r="E1184" s="82" t="s">
        <v>86</v>
      </c>
      <c r="F1184" s="82" t="s">
        <v>86</v>
      </c>
      <c r="G1184" s="83" t="s">
        <v>86</v>
      </c>
      <c r="H1184" s="29" t="s">
        <v>97</v>
      </c>
      <c r="I1184" s="84">
        <v>30</v>
      </c>
      <c r="J1184" s="85">
        <v>30</v>
      </c>
      <c r="K1184" s="86">
        <v>30</v>
      </c>
      <c r="L1184" s="87"/>
      <c r="M1184" s="88"/>
      <c r="N1184" s="89">
        <v>30</v>
      </c>
      <c r="O1184" s="90"/>
      <c r="P1184" s="93"/>
      <c r="Q1184" s="93"/>
      <c r="S1184" s="12">
        <v>30</v>
      </c>
      <c r="T1184" s="26">
        <v>4000</v>
      </c>
      <c r="U1184" s="12">
        <f t="shared" si="32"/>
        <v>120000</v>
      </c>
    </row>
    <row r="1185" spans="1:22">
      <c r="A1185" s="17">
        <v>8</v>
      </c>
      <c r="B1185" s="81" t="s">
        <v>87</v>
      </c>
      <c r="C1185" s="82" t="s">
        <v>87</v>
      </c>
      <c r="D1185" s="82" t="s">
        <v>87</v>
      </c>
      <c r="E1185" s="82" t="s">
        <v>87</v>
      </c>
      <c r="F1185" s="82" t="s">
        <v>87</v>
      </c>
      <c r="G1185" s="83" t="s">
        <v>87</v>
      </c>
      <c r="H1185" s="30" t="s">
        <v>25</v>
      </c>
      <c r="I1185" s="84">
        <v>1</v>
      </c>
      <c r="J1185" s="85">
        <v>1</v>
      </c>
      <c r="K1185" s="86">
        <v>1</v>
      </c>
      <c r="L1185" s="94"/>
      <c r="M1185" s="95"/>
      <c r="N1185" s="94">
        <v>1</v>
      </c>
      <c r="O1185" s="95"/>
      <c r="P1185" s="93"/>
      <c r="Q1185" s="93"/>
      <c r="S1185" s="16">
        <v>1</v>
      </c>
      <c r="T1185" s="26">
        <v>31000</v>
      </c>
      <c r="U1185" s="12">
        <f t="shared" si="32"/>
        <v>31000</v>
      </c>
    </row>
    <row r="1186" spans="1:22">
      <c r="A1186" s="17">
        <v>9</v>
      </c>
      <c r="B1186" s="81" t="s">
        <v>88</v>
      </c>
      <c r="C1186" s="82" t="s">
        <v>88</v>
      </c>
      <c r="D1186" s="82" t="s">
        <v>88</v>
      </c>
      <c r="E1186" s="82" t="s">
        <v>88</v>
      </c>
      <c r="F1186" s="82" t="s">
        <v>88</v>
      </c>
      <c r="G1186" s="83" t="s">
        <v>88</v>
      </c>
      <c r="H1186" s="30" t="s">
        <v>25</v>
      </c>
      <c r="I1186" s="84">
        <v>1</v>
      </c>
      <c r="J1186" s="85">
        <v>1</v>
      </c>
      <c r="K1186" s="86">
        <v>1</v>
      </c>
      <c r="L1186" s="87"/>
      <c r="M1186" s="88"/>
      <c r="N1186" s="89"/>
      <c r="O1186" s="90"/>
      <c r="P1186" s="93"/>
      <c r="Q1186" s="93"/>
      <c r="S1186" s="12"/>
      <c r="T1186" s="26">
        <v>30121</v>
      </c>
      <c r="U1186" s="12">
        <f t="shared" si="32"/>
        <v>0</v>
      </c>
    </row>
    <row r="1187" spans="1:22">
      <c r="A1187" s="17">
        <v>10</v>
      </c>
      <c r="B1187" s="81" t="s">
        <v>89</v>
      </c>
      <c r="C1187" s="82"/>
      <c r="D1187" s="82"/>
      <c r="E1187" s="82"/>
      <c r="F1187" s="82"/>
      <c r="G1187" s="83"/>
      <c r="H1187" s="30" t="s">
        <v>98</v>
      </c>
      <c r="I1187" s="84">
        <v>3</v>
      </c>
      <c r="J1187" s="85"/>
      <c r="K1187" s="86"/>
      <c r="L1187" s="87"/>
      <c r="M1187" s="88"/>
      <c r="N1187" s="89">
        <v>3</v>
      </c>
      <c r="O1187" s="90"/>
      <c r="P1187" s="91"/>
      <c r="Q1187" s="92"/>
      <c r="S1187" s="12">
        <v>3</v>
      </c>
      <c r="T1187" s="26">
        <v>14500</v>
      </c>
      <c r="U1187" s="12">
        <f t="shared" si="32"/>
        <v>43500</v>
      </c>
    </row>
    <row r="1188" spans="1:22">
      <c r="A1188" s="17">
        <v>11</v>
      </c>
      <c r="B1188" s="81" t="s">
        <v>90</v>
      </c>
      <c r="C1188" s="82"/>
      <c r="D1188" s="82"/>
      <c r="E1188" s="82"/>
      <c r="F1188" s="82"/>
      <c r="G1188" s="83"/>
      <c r="H1188" s="29" t="s">
        <v>67</v>
      </c>
      <c r="I1188" s="84">
        <v>6</v>
      </c>
      <c r="J1188" s="85"/>
      <c r="K1188" s="86"/>
      <c r="L1188" s="87"/>
      <c r="M1188" s="88"/>
      <c r="N1188" s="89">
        <v>6</v>
      </c>
      <c r="O1188" s="90"/>
      <c r="P1188" s="91"/>
      <c r="Q1188" s="92"/>
      <c r="S1188" s="12">
        <v>6</v>
      </c>
      <c r="T1188" s="26">
        <v>3500</v>
      </c>
      <c r="U1188" s="12">
        <f t="shared" si="32"/>
        <v>21000</v>
      </c>
    </row>
    <row r="1189" spans="1:22">
      <c r="A1189" s="17">
        <v>12</v>
      </c>
      <c r="B1189" s="81" t="s">
        <v>91</v>
      </c>
      <c r="C1189" s="82" t="s">
        <v>89</v>
      </c>
      <c r="D1189" s="82" t="s">
        <v>89</v>
      </c>
      <c r="E1189" s="82" t="s">
        <v>89</v>
      </c>
      <c r="F1189" s="82" t="s">
        <v>89</v>
      </c>
      <c r="G1189" s="83" t="s">
        <v>89</v>
      </c>
      <c r="H1189" s="29" t="s">
        <v>67</v>
      </c>
      <c r="I1189" s="84">
        <v>10</v>
      </c>
      <c r="J1189" s="85">
        <v>10</v>
      </c>
      <c r="K1189" s="86">
        <v>10</v>
      </c>
      <c r="L1189" s="87"/>
      <c r="M1189" s="88"/>
      <c r="N1189" s="89">
        <v>10</v>
      </c>
      <c r="O1189" s="90"/>
      <c r="P1189" s="93"/>
      <c r="Q1189" s="93"/>
      <c r="S1189" s="12">
        <v>10</v>
      </c>
      <c r="T1189" s="26">
        <v>3000</v>
      </c>
      <c r="U1189" s="12">
        <f t="shared" si="32"/>
        <v>30000</v>
      </c>
      <c r="V1189" s="22">
        <f>SUM(U1178:U1189)</f>
        <v>685000</v>
      </c>
    </row>
    <row r="1190" spans="1:22">
      <c r="A1190" s="17" t="s">
        <v>76</v>
      </c>
      <c r="B1190" s="71" t="s">
        <v>92</v>
      </c>
      <c r="C1190" s="72"/>
      <c r="D1190" s="72"/>
      <c r="E1190" s="72"/>
      <c r="F1190" s="72"/>
      <c r="G1190" s="73"/>
      <c r="H1190" s="30" t="s">
        <v>24</v>
      </c>
      <c r="I1190" s="84">
        <v>1</v>
      </c>
      <c r="J1190" s="85">
        <v>10</v>
      </c>
      <c r="K1190" s="86">
        <v>10</v>
      </c>
      <c r="L1190" s="77"/>
      <c r="M1190" s="78"/>
      <c r="N1190" s="77">
        <v>1</v>
      </c>
      <c r="O1190" s="78"/>
      <c r="P1190" s="79"/>
      <c r="Q1190" s="80"/>
      <c r="S1190" s="12">
        <v>1</v>
      </c>
      <c r="T1190" s="25">
        <v>10391</v>
      </c>
      <c r="U1190" s="12">
        <f>S1190*T1190</f>
        <v>10391</v>
      </c>
      <c r="V1190" s="27"/>
    </row>
    <row r="1191" spans="1:22">
      <c r="A1191" s="23" t="s">
        <v>68</v>
      </c>
      <c r="B1191" s="71" t="s">
        <v>93</v>
      </c>
      <c r="C1191" s="72"/>
      <c r="D1191" s="72"/>
      <c r="E1191" s="72"/>
      <c r="F1191" s="72"/>
      <c r="G1191" s="73"/>
      <c r="H1191" s="30" t="s">
        <v>24</v>
      </c>
      <c r="I1191" s="74">
        <v>1</v>
      </c>
      <c r="J1191" s="75"/>
      <c r="K1191" s="76"/>
      <c r="L1191" s="77">
        <f>N1191-N1118</f>
        <v>0</v>
      </c>
      <c r="M1191" s="78"/>
      <c r="N1191" s="77">
        <f>S1191</f>
        <v>0.65922432874603021</v>
      </c>
      <c r="O1191" s="78"/>
      <c r="P1191" s="77"/>
      <c r="Q1191" s="78"/>
      <c r="S1191" s="21">
        <f>V1189*0.01/T1191</f>
        <v>0.65922432874603021</v>
      </c>
      <c r="T1191" s="25">
        <v>10391</v>
      </c>
      <c r="U1191" s="12">
        <f t="shared" ref="U1191:U1192" si="33">S1191*T1191</f>
        <v>6850</v>
      </c>
    </row>
    <row r="1192" spans="1:22">
      <c r="A1192" s="23" t="s">
        <v>69</v>
      </c>
      <c r="B1192" s="58" t="s">
        <v>94</v>
      </c>
      <c r="C1192" s="59" t="s">
        <v>70</v>
      </c>
      <c r="D1192" s="59" t="s">
        <v>70</v>
      </c>
      <c r="E1192" s="59" t="s">
        <v>70</v>
      </c>
      <c r="F1192" s="59" t="s">
        <v>70</v>
      </c>
      <c r="G1192" s="60" t="s">
        <v>70</v>
      </c>
      <c r="H1192" s="30" t="s">
        <v>24</v>
      </c>
      <c r="I1192" s="74">
        <v>1</v>
      </c>
      <c r="J1192" s="75"/>
      <c r="K1192" s="76"/>
      <c r="L1192" s="77">
        <f>N1192-N1119</f>
        <v>0</v>
      </c>
      <c r="M1192" s="78"/>
      <c r="N1192" s="77">
        <f>S1192</f>
        <v>0.6592062029997664</v>
      </c>
      <c r="O1192" s="78"/>
      <c r="P1192" s="77"/>
      <c r="Q1192" s="78"/>
      <c r="S1192" s="21">
        <f>V1189*0.07/T1192</f>
        <v>0.6592062029997664</v>
      </c>
      <c r="T1192" s="25">
        <v>72739</v>
      </c>
      <c r="U1192" s="12">
        <f t="shared" si="33"/>
        <v>47950.000000000007</v>
      </c>
    </row>
    <row r="1193" spans="1:22">
      <c r="A1193" s="23" t="s">
        <v>71</v>
      </c>
      <c r="B1193" s="58" t="s">
        <v>95</v>
      </c>
      <c r="C1193" s="59" t="s">
        <v>72</v>
      </c>
      <c r="D1193" s="59" t="s">
        <v>72</v>
      </c>
      <c r="E1193" s="59" t="s">
        <v>72</v>
      </c>
      <c r="F1193" s="59" t="s">
        <v>72</v>
      </c>
      <c r="G1193" s="60" t="s">
        <v>72</v>
      </c>
      <c r="H1193" s="30" t="s">
        <v>24</v>
      </c>
      <c r="I1193" s="74">
        <v>1</v>
      </c>
      <c r="J1193" s="75"/>
      <c r="K1193" s="76"/>
      <c r="L1193" s="77"/>
      <c r="M1193" s="78"/>
      <c r="N1193" s="77">
        <f>S1193</f>
        <v>1</v>
      </c>
      <c r="O1193" s="78"/>
      <c r="P1193" s="77"/>
      <c r="Q1193" s="78"/>
      <c r="S1193" s="21">
        <v>1</v>
      </c>
      <c r="T1193" s="25">
        <v>4156</v>
      </c>
      <c r="U1193" s="12">
        <f>S1193*T1193</f>
        <v>4156</v>
      </c>
    </row>
    <row r="1194" spans="1:22">
      <c r="A1194" s="23" t="s">
        <v>73</v>
      </c>
      <c r="B1194" s="58" t="s">
        <v>96</v>
      </c>
      <c r="C1194" s="59" t="s">
        <v>74</v>
      </c>
      <c r="D1194" s="59" t="s">
        <v>74</v>
      </c>
      <c r="E1194" s="59" t="s">
        <v>74</v>
      </c>
      <c r="F1194" s="59" t="s">
        <v>74</v>
      </c>
      <c r="G1194" s="60" t="s">
        <v>74</v>
      </c>
      <c r="H1194" s="30" t="s">
        <v>24</v>
      </c>
      <c r="I1194" s="74">
        <v>1</v>
      </c>
      <c r="J1194" s="75"/>
      <c r="K1194" s="76"/>
      <c r="L1194" s="77">
        <f>N1194-N1121</f>
        <v>0</v>
      </c>
      <c r="M1194" s="78"/>
      <c r="N1194" s="77">
        <f>S1194</f>
        <v>0.66357054890921885</v>
      </c>
      <c r="O1194" s="78"/>
      <c r="P1194" s="79"/>
      <c r="Q1194" s="80"/>
      <c r="S1194" s="21">
        <f>(V1189+U1190+U1191+U1192+U1193)*0.05/T1194</f>
        <v>0.66357054890921885</v>
      </c>
      <c r="T1194" s="25">
        <v>56840</v>
      </c>
      <c r="U1194" s="12">
        <f>S1194*T1194</f>
        <v>37717.35</v>
      </c>
    </row>
    <row r="1195" spans="1:22">
      <c r="A1195" s="23"/>
      <c r="B1195" s="58"/>
      <c r="C1195" s="59"/>
      <c r="D1195" s="59"/>
      <c r="E1195" s="59"/>
      <c r="F1195" s="59"/>
      <c r="G1195" s="60"/>
      <c r="H1195" s="24"/>
      <c r="I1195" s="58"/>
      <c r="J1195" s="59"/>
      <c r="K1195" s="59"/>
      <c r="L1195" s="58"/>
      <c r="M1195" s="59"/>
      <c r="N1195" s="58"/>
      <c r="O1195" s="59"/>
      <c r="P1195" s="58"/>
      <c r="Q1195" s="60"/>
      <c r="S1195" s="21"/>
      <c r="T1195" s="25"/>
      <c r="U1195" s="28">
        <f>V1189+U1190+U1191+U1192+U1193+U1194</f>
        <v>792064.35</v>
      </c>
    </row>
    <row r="1196" spans="1:22">
      <c r="A1196" s="23"/>
      <c r="B1196" s="58"/>
      <c r="C1196" s="59"/>
      <c r="D1196" s="59"/>
      <c r="E1196" s="59"/>
      <c r="F1196" s="59"/>
      <c r="G1196" s="60"/>
      <c r="H1196" s="23"/>
      <c r="I1196" s="58"/>
      <c r="J1196" s="59"/>
      <c r="K1196" s="59"/>
      <c r="L1196" s="58"/>
      <c r="M1196" s="59"/>
      <c r="N1196" s="58"/>
      <c r="O1196" s="59"/>
      <c r="P1196" s="58"/>
      <c r="Q1196" s="60"/>
      <c r="S1196" s="21"/>
      <c r="T1196" s="16"/>
      <c r="U1196" s="14">
        <v>1193638</v>
      </c>
    </row>
    <row r="1197" spans="1:22">
      <c r="A1197" s="9"/>
      <c r="B1197" s="58"/>
      <c r="C1197" s="59"/>
      <c r="D1197" s="59"/>
      <c r="E1197" s="59"/>
      <c r="F1197" s="59"/>
      <c r="G1197" s="60"/>
      <c r="H1197" s="9"/>
      <c r="I1197" s="58"/>
      <c r="J1197" s="59"/>
      <c r="K1197" s="59"/>
      <c r="L1197" s="58"/>
      <c r="M1197" s="59"/>
      <c r="N1197" s="58"/>
      <c r="O1197" s="59"/>
      <c r="P1197" s="58"/>
      <c r="Q1197" s="60"/>
      <c r="S1197" s="21"/>
      <c r="T1197" s="16"/>
      <c r="U1197" s="15">
        <f>U1195/U1196</f>
        <v>0.66357166075476814</v>
      </c>
    </row>
    <row r="1198" spans="1:22">
      <c r="A1198" s="9"/>
      <c r="B1198" s="58"/>
      <c r="C1198" s="59"/>
      <c r="D1198" s="59"/>
      <c r="E1198" s="59"/>
      <c r="F1198" s="59"/>
      <c r="G1198" s="60"/>
      <c r="H1198" s="9"/>
      <c r="I1198" s="58"/>
      <c r="J1198" s="59"/>
      <c r="K1198" s="59"/>
      <c r="L1198" s="58"/>
      <c r="M1198" s="59"/>
      <c r="N1198" s="58"/>
      <c r="O1198" s="59"/>
      <c r="P1198" s="58"/>
      <c r="Q1198" s="60"/>
      <c r="S1198" s="21"/>
      <c r="T1198" s="16"/>
      <c r="U1198" s="12"/>
    </row>
    <row r="1199" spans="1:22">
      <c r="A1199" s="9"/>
      <c r="B1199" s="58"/>
      <c r="C1199" s="59"/>
      <c r="D1199" s="59"/>
      <c r="E1199" s="59"/>
      <c r="F1199" s="59"/>
      <c r="G1199" s="60"/>
      <c r="H1199" s="9"/>
      <c r="I1199" s="58"/>
      <c r="J1199" s="59"/>
      <c r="K1199" s="59"/>
      <c r="L1199" s="58"/>
      <c r="M1199" s="59"/>
      <c r="N1199" s="58"/>
      <c r="O1199" s="59"/>
      <c r="P1199" s="58"/>
      <c r="Q1199" s="60"/>
      <c r="S1199" s="21"/>
      <c r="T1199" s="16"/>
      <c r="U1199" s="12"/>
    </row>
    <row r="1200" spans="1:22">
      <c r="A1200" s="9"/>
      <c r="B1200" s="58"/>
      <c r="C1200" s="59"/>
      <c r="D1200" s="59"/>
      <c r="E1200" s="59"/>
      <c r="F1200" s="59"/>
      <c r="G1200" s="60"/>
      <c r="H1200" s="9"/>
      <c r="I1200" s="58"/>
      <c r="J1200" s="59"/>
      <c r="K1200" s="59"/>
      <c r="L1200" s="58"/>
      <c r="M1200" s="59"/>
      <c r="N1200" s="58"/>
      <c r="O1200" s="59"/>
      <c r="P1200" s="58"/>
      <c r="Q1200" s="60"/>
      <c r="S1200" s="21"/>
      <c r="T1200" s="16"/>
      <c r="U1200" s="12"/>
    </row>
    <row r="1201" spans="1:21">
      <c r="A1201" s="9"/>
      <c r="B1201" s="58"/>
      <c r="C1201" s="59"/>
      <c r="D1201" s="59"/>
      <c r="E1201" s="59"/>
      <c r="F1201" s="59"/>
      <c r="G1201" s="60"/>
      <c r="H1201" s="9"/>
      <c r="I1201" s="58"/>
      <c r="J1201" s="59"/>
      <c r="K1201" s="59"/>
      <c r="L1201" s="58"/>
      <c r="M1201" s="59"/>
      <c r="N1201" s="58"/>
      <c r="O1201" s="59"/>
      <c r="P1201" s="58"/>
      <c r="Q1201" s="60"/>
      <c r="S1201" s="21"/>
      <c r="T1201" s="16"/>
      <c r="U1201" s="12"/>
    </row>
    <row r="1202" spans="1:21">
      <c r="A1202" s="7"/>
      <c r="B1202" s="61"/>
      <c r="C1202" s="62"/>
      <c r="D1202" s="62"/>
      <c r="E1202" s="62"/>
      <c r="F1202" s="62"/>
      <c r="G1202" s="63"/>
      <c r="H1202" s="9"/>
      <c r="I1202" s="64"/>
      <c r="J1202" s="65"/>
      <c r="K1202" s="66"/>
      <c r="L1202" s="67"/>
      <c r="M1202" s="68"/>
      <c r="N1202" s="67"/>
      <c r="O1202" s="68"/>
      <c r="P1202" s="69"/>
      <c r="Q1202" s="70"/>
      <c r="S1202" s="21"/>
      <c r="T1202" s="16"/>
    </row>
    <row r="1203" spans="1:21">
      <c r="A1203" s="44" t="s">
        <v>29</v>
      </c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T1203" s="20"/>
    </row>
    <row r="1204" spans="1:21">
      <c r="A1204" s="44" t="s">
        <v>30</v>
      </c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T1204" s="20"/>
    </row>
    <row r="1205" spans="1:21">
      <c r="A1205" s="44" t="s">
        <v>31</v>
      </c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T1205" s="20"/>
    </row>
    <row r="1206" spans="1:21">
      <c r="A1206" s="44" t="s">
        <v>32</v>
      </c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T1206" s="20"/>
    </row>
    <row r="1207" spans="1:21">
      <c r="A1207" s="54" t="s">
        <v>33</v>
      </c>
      <c r="B1207" s="54"/>
      <c r="C1207" s="54"/>
      <c r="D1207" s="54"/>
      <c r="E1207" s="54"/>
      <c r="F1207" s="54"/>
      <c r="G1207" s="54"/>
      <c r="H1207" s="54" t="s">
        <v>20</v>
      </c>
      <c r="I1207" s="54"/>
      <c r="J1207" s="54"/>
      <c r="K1207" s="54" t="s">
        <v>34</v>
      </c>
      <c r="L1207" s="54"/>
      <c r="M1207" s="54" t="s">
        <v>35</v>
      </c>
      <c r="N1207" s="54"/>
      <c r="O1207" s="54" t="s">
        <v>36</v>
      </c>
      <c r="P1207" s="54"/>
      <c r="Q1207" s="54"/>
      <c r="T1207" s="20"/>
    </row>
    <row r="1208" spans="1:21">
      <c r="A1208" s="55"/>
      <c r="B1208" s="56"/>
      <c r="C1208" s="56"/>
      <c r="D1208" s="56"/>
      <c r="E1208" s="56"/>
      <c r="F1208" s="56"/>
      <c r="G1208" s="57"/>
      <c r="H1208" s="55"/>
      <c r="I1208" s="56"/>
      <c r="J1208" s="57"/>
      <c r="K1208" s="55"/>
      <c r="L1208" s="56"/>
      <c r="M1208" s="55"/>
      <c r="N1208" s="56"/>
      <c r="O1208" s="55"/>
      <c r="P1208" s="56"/>
      <c r="Q1208" s="57"/>
      <c r="T1208" s="20"/>
    </row>
    <row r="1209" spans="1:21">
      <c r="A1209" s="55"/>
      <c r="B1209" s="56"/>
      <c r="C1209" s="56"/>
      <c r="D1209" s="56"/>
      <c r="E1209" s="56"/>
      <c r="F1209" s="56"/>
      <c r="G1209" s="57"/>
      <c r="H1209" s="55"/>
      <c r="I1209" s="56"/>
      <c r="J1209" s="57"/>
      <c r="K1209" s="55"/>
      <c r="L1209" s="56"/>
      <c r="M1209" s="55"/>
      <c r="N1209" s="56"/>
      <c r="O1209" s="55"/>
      <c r="P1209" s="56"/>
      <c r="Q1209" s="57"/>
      <c r="T1209" s="20"/>
    </row>
    <row r="1210" spans="1:21">
      <c r="A1210" s="53"/>
      <c r="B1210" s="53"/>
      <c r="C1210" s="53"/>
      <c r="D1210" s="53"/>
      <c r="E1210" s="53"/>
      <c r="F1210" s="53"/>
      <c r="G1210" s="53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T1210" s="20"/>
    </row>
    <row r="1211" spans="1:21">
      <c r="A1211" s="53"/>
      <c r="B1211" s="53"/>
      <c r="C1211" s="53"/>
      <c r="D1211" s="53"/>
      <c r="E1211" s="53"/>
      <c r="F1211" s="53"/>
      <c r="G1211" s="53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T1211" s="20"/>
    </row>
    <row r="1212" spans="1:21">
      <c r="A1212" s="44" t="s">
        <v>37</v>
      </c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T1212" s="20"/>
    </row>
    <row r="1213" spans="1:21">
      <c r="A1213" s="46" t="s">
        <v>38</v>
      </c>
      <c r="B1213" s="46"/>
      <c r="C1213" s="47" t="s">
        <v>39</v>
      </c>
      <c r="D1213" s="48"/>
      <c r="E1213" s="48"/>
      <c r="F1213" s="47" t="s">
        <v>40</v>
      </c>
      <c r="G1213" s="48"/>
      <c r="H1213" s="49"/>
      <c r="I1213" s="46" t="s">
        <v>41</v>
      </c>
      <c r="J1213" s="46"/>
      <c r="K1213" s="46"/>
      <c r="L1213" s="46" t="s">
        <v>35</v>
      </c>
      <c r="M1213" s="46"/>
      <c r="N1213" s="46"/>
      <c r="O1213" s="46" t="s">
        <v>36</v>
      </c>
      <c r="P1213" s="46"/>
      <c r="Q1213" s="46"/>
      <c r="T1213" s="20"/>
    </row>
    <row r="1214" spans="1:21">
      <c r="A1214" s="47" t="s">
        <v>42</v>
      </c>
      <c r="B1214" s="49"/>
      <c r="C1214" s="47"/>
      <c r="D1214" s="48"/>
      <c r="E1214" s="49"/>
      <c r="F1214" s="47">
        <f>F1141+C1214</f>
        <v>26</v>
      </c>
      <c r="G1214" s="48"/>
      <c r="H1214" s="49"/>
      <c r="I1214" s="47"/>
      <c r="J1214" s="48"/>
      <c r="K1214" s="49"/>
      <c r="L1214" s="47"/>
      <c r="M1214" s="48"/>
      <c r="N1214" s="49"/>
      <c r="O1214" s="47"/>
      <c r="P1214" s="48"/>
      <c r="Q1214" s="49"/>
      <c r="T1214" s="20"/>
    </row>
    <row r="1215" spans="1:21">
      <c r="A1215" s="47" t="s">
        <v>100</v>
      </c>
      <c r="B1215" s="49"/>
      <c r="C1215" s="47"/>
      <c r="D1215" s="48"/>
      <c r="E1215" s="49"/>
      <c r="F1215" s="47">
        <f>F1142+C1215</f>
        <v>2</v>
      </c>
      <c r="G1215" s="48"/>
      <c r="H1215" s="49"/>
      <c r="I1215" s="47"/>
      <c r="J1215" s="48"/>
      <c r="K1215" s="49"/>
      <c r="L1215" s="47"/>
      <c r="M1215" s="48"/>
      <c r="N1215" s="49"/>
      <c r="O1215" s="47"/>
      <c r="P1215" s="48"/>
      <c r="Q1215" s="49"/>
      <c r="T1215" s="20"/>
    </row>
    <row r="1216" spans="1:21">
      <c r="A1216" s="47"/>
      <c r="B1216" s="49"/>
      <c r="C1216" s="47"/>
      <c r="D1216" s="48"/>
      <c r="E1216" s="49"/>
      <c r="F1216" s="47"/>
      <c r="G1216" s="48"/>
      <c r="H1216" s="49"/>
      <c r="I1216" s="47"/>
      <c r="J1216" s="48"/>
      <c r="K1216" s="49"/>
      <c r="L1216" s="47"/>
      <c r="M1216" s="48"/>
      <c r="N1216" s="49"/>
      <c r="O1216" s="47"/>
      <c r="P1216" s="48"/>
      <c r="Q1216" s="49"/>
      <c r="T1216" s="20"/>
    </row>
    <row r="1217" spans="1:20">
      <c r="A1217" s="46"/>
      <c r="B1217" s="46"/>
      <c r="C1217" s="47"/>
      <c r="D1217" s="48"/>
      <c r="E1217" s="49"/>
      <c r="F1217" s="47"/>
      <c r="G1217" s="48"/>
      <c r="H1217" s="49"/>
      <c r="I1217" s="47"/>
      <c r="J1217" s="48"/>
      <c r="K1217" s="49"/>
      <c r="L1217" s="47"/>
      <c r="M1217" s="48"/>
      <c r="N1217" s="49"/>
      <c r="O1217" s="47"/>
      <c r="P1217" s="48"/>
      <c r="Q1217" s="49"/>
      <c r="T1217" s="20"/>
    </row>
    <row r="1218" spans="1:20">
      <c r="A1218" s="46"/>
      <c r="B1218" s="46"/>
      <c r="C1218" s="47"/>
      <c r="D1218" s="48"/>
      <c r="E1218" s="49"/>
      <c r="F1218" s="47"/>
      <c r="G1218" s="48"/>
      <c r="H1218" s="49"/>
      <c r="I1218" s="47"/>
      <c r="J1218" s="48"/>
      <c r="K1218" s="49"/>
      <c r="L1218" s="47"/>
      <c r="M1218" s="48"/>
      <c r="N1218" s="49"/>
      <c r="O1218" s="47"/>
      <c r="P1218" s="48"/>
      <c r="Q1218" s="49"/>
      <c r="T1218" s="20"/>
    </row>
    <row r="1219" spans="1:20">
      <c r="A1219" s="50" t="s">
        <v>43</v>
      </c>
      <c r="B1219" s="51"/>
      <c r="C1219" s="51"/>
      <c r="D1219" s="51"/>
      <c r="E1219" s="51"/>
      <c r="F1219" s="51"/>
      <c r="G1219" s="51"/>
      <c r="H1219" s="51"/>
      <c r="I1219" s="51"/>
      <c r="J1219" s="51"/>
      <c r="K1219" s="51"/>
      <c r="L1219" s="51"/>
      <c r="M1219" s="51"/>
      <c r="N1219" s="51"/>
      <c r="O1219" s="51"/>
      <c r="P1219" s="51"/>
      <c r="Q1219" s="52"/>
      <c r="T1219" s="20"/>
    </row>
    <row r="1220" spans="1:20">
      <c r="A1220" s="38" t="s">
        <v>44</v>
      </c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40"/>
      <c r="T1220" s="20"/>
    </row>
    <row r="1221" spans="1:20">
      <c r="A1221" s="41" t="s">
        <v>45</v>
      </c>
      <c r="B1221" s="42"/>
      <c r="C1221" s="42"/>
      <c r="D1221" s="42"/>
      <c r="E1221" s="42"/>
      <c r="F1221" s="42"/>
      <c r="G1221" s="42"/>
      <c r="H1221" s="42"/>
      <c r="I1221" s="42"/>
      <c r="J1221" s="42"/>
      <c r="K1221" s="42"/>
      <c r="L1221" s="42"/>
      <c r="M1221" s="42"/>
      <c r="N1221" s="42"/>
      <c r="O1221" s="42"/>
      <c r="P1221" s="42"/>
      <c r="Q1221" s="43"/>
      <c r="T1221" s="20"/>
    </row>
    <row r="1222" spans="1:20">
      <c r="A1222" s="50" t="s">
        <v>46</v>
      </c>
      <c r="B1222" s="51"/>
      <c r="C1222" s="51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2"/>
      <c r="T1222" s="20"/>
    </row>
    <row r="1223" spans="1:20">
      <c r="A1223" s="38" t="s">
        <v>47</v>
      </c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40"/>
      <c r="T1223" s="20"/>
    </row>
    <row r="1224" spans="1:20">
      <c r="A1224" s="38" t="s">
        <v>48</v>
      </c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40"/>
      <c r="T1224" s="20"/>
    </row>
    <row r="1225" spans="1:20">
      <c r="A1225" s="38" t="s">
        <v>49</v>
      </c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40"/>
      <c r="T1225" s="20"/>
    </row>
    <row r="1226" spans="1:20">
      <c r="A1226" s="38" t="s">
        <v>50</v>
      </c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40"/>
      <c r="T1226" s="20"/>
    </row>
    <row r="1227" spans="1:20">
      <c r="A1227" s="38" t="s">
        <v>51</v>
      </c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40"/>
      <c r="T1227" s="20"/>
    </row>
    <row r="1228" spans="1:20">
      <c r="A1228" s="41" t="s">
        <v>52</v>
      </c>
      <c r="B1228" s="42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3"/>
      <c r="T1228" s="20"/>
    </row>
    <row r="1229" spans="1:20">
      <c r="A1229" s="44" t="s">
        <v>53</v>
      </c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T1229" s="20"/>
    </row>
    <row r="1230" spans="1:20">
      <c r="A1230" s="44" t="s">
        <v>54</v>
      </c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T1230" s="20"/>
    </row>
    <row r="1231" spans="1:20">
      <c r="A1231" s="44" t="s">
        <v>101</v>
      </c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T1231" s="20"/>
    </row>
    <row r="1232" spans="1:20">
      <c r="A1232" s="44" t="s">
        <v>55</v>
      </c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T1232" s="20"/>
    </row>
    <row r="1233" spans="1:20">
      <c r="A1233" s="45" t="s">
        <v>56</v>
      </c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T1233" s="20"/>
    </row>
    <row r="1234" spans="1:20">
      <c r="A1234" s="37" t="s">
        <v>57</v>
      </c>
      <c r="B1234" s="37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T1234" s="20"/>
    </row>
    <row r="1235" spans="1:20">
      <c r="A1235" s="37" t="s">
        <v>58</v>
      </c>
      <c r="B1235" s="37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  <c r="P1235" s="37"/>
      <c r="Q1235" s="37"/>
      <c r="T1235" s="20"/>
    </row>
    <row r="1236" spans="1:20">
      <c r="A1236" s="37" t="s">
        <v>59</v>
      </c>
      <c r="B1236" s="37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  <c r="P1236" s="37"/>
      <c r="Q1236" s="37"/>
      <c r="T1236" s="20"/>
    </row>
    <row r="1237" spans="1:20">
      <c r="A1237" s="37" t="s">
        <v>60</v>
      </c>
      <c r="B1237" s="37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  <c r="P1237" s="37"/>
      <c r="Q1237" s="37"/>
      <c r="T1237" s="20"/>
    </row>
    <row r="1238" spans="1:20">
      <c r="A1238" s="37" t="s">
        <v>61</v>
      </c>
      <c r="B1238" s="37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T1238" s="20"/>
    </row>
    <row r="1239" spans="1:20">
      <c r="A1239" s="37" t="s">
        <v>62</v>
      </c>
      <c r="B1239" s="37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T1239" s="20"/>
    </row>
    <row r="1240" spans="1:20">
      <c r="A1240" s="37" t="s">
        <v>63</v>
      </c>
      <c r="B1240" s="37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  <c r="P1240" s="37"/>
      <c r="Q1240" s="37"/>
      <c r="T1240" s="20"/>
    </row>
    <row r="1241" spans="1:20">
      <c r="A1241" s="37" t="s">
        <v>75</v>
      </c>
      <c r="B1241" s="37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T1241" s="20"/>
    </row>
    <row r="1242" spans="1:20" ht="39" customHeight="1">
      <c r="B1242" s="120" t="s">
        <v>0</v>
      </c>
      <c r="C1242" s="120"/>
      <c r="D1242" s="120"/>
      <c r="E1242" s="120"/>
      <c r="F1242" s="120"/>
      <c r="G1242" s="120"/>
      <c r="H1242" s="120"/>
      <c r="I1242" s="120"/>
      <c r="J1242" s="120"/>
      <c r="K1242" s="120"/>
      <c r="L1242" s="120"/>
      <c r="M1242" s="120"/>
      <c r="N1242" s="120"/>
      <c r="O1242" s="120"/>
      <c r="P1242" s="120"/>
      <c r="Q1242" s="120"/>
      <c r="T1242" s="20"/>
    </row>
    <row r="1243" spans="1:20">
      <c r="B1243" s="6" t="s">
        <v>1</v>
      </c>
      <c r="C1243" s="121" t="s">
        <v>2</v>
      </c>
      <c r="D1243" s="121"/>
      <c r="E1243" s="1" t="s">
        <v>3</v>
      </c>
      <c r="F1243" s="121" t="s">
        <v>4</v>
      </c>
      <c r="G1243" s="121"/>
      <c r="H1243" s="1" t="s">
        <v>3</v>
      </c>
      <c r="I1243" s="1"/>
      <c r="J1243" s="121" t="s">
        <v>5</v>
      </c>
      <c r="K1243" s="121"/>
      <c r="L1243" s="121"/>
      <c r="M1243" s="122">
        <f>M1170+1</f>
        <v>46244</v>
      </c>
      <c r="N1243" s="122"/>
      <c r="O1243" s="122"/>
      <c r="P1243" s="123"/>
      <c r="Q1243" s="123"/>
      <c r="T1243" s="20"/>
    </row>
    <row r="1244" spans="1:20">
      <c r="A1244" s="96" t="s">
        <v>6</v>
      </c>
      <c r="B1244" s="96"/>
      <c r="C1244" s="124" t="s">
        <v>79</v>
      </c>
      <c r="D1244" s="125"/>
      <c r="E1244" s="125"/>
      <c r="F1244" s="125"/>
      <c r="G1244" s="125"/>
      <c r="H1244" s="125"/>
      <c r="I1244" s="126"/>
      <c r="J1244" s="127" t="s">
        <v>7</v>
      </c>
      <c r="K1244" s="128"/>
      <c r="L1244" s="128"/>
      <c r="M1244" s="129"/>
      <c r="N1244" s="130" t="s">
        <v>78</v>
      </c>
      <c r="O1244" s="130"/>
      <c r="P1244" s="130"/>
      <c r="Q1244" s="131"/>
      <c r="T1244" s="20"/>
    </row>
    <row r="1245" spans="1:20">
      <c r="A1245" s="96" t="s">
        <v>8</v>
      </c>
      <c r="B1245" s="96"/>
      <c r="C1245" s="4">
        <v>30</v>
      </c>
      <c r="D1245" s="3" t="s">
        <v>9</v>
      </c>
      <c r="E1245" s="127" t="s">
        <v>10</v>
      </c>
      <c r="F1245" s="129"/>
      <c r="G1245" s="127">
        <f>G1172+1</f>
        <v>18</v>
      </c>
      <c r="H1245" s="128"/>
      <c r="I1245" s="3" t="s">
        <v>9</v>
      </c>
      <c r="J1245" s="96" t="s">
        <v>11</v>
      </c>
      <c r="K1245" s="96"/>
      <c r="L1245" s="35">
        <f>C1245-G1245</f>
        <v>12</v>
      </c>
      <c r="M1245" s="2" t="s">
        <v>9</v>
      </c>
      <c r="N1245" s="96" t="s">
        <v>12</v>
      </c>
      <c r="O1245" s="96"/>
      <c r="P1245" s="2"/>
      <c r="Q1245" s="3" t="s">
        <v>9</v>
      </c>
      <c r="T1245" s="20"/>
    </row>
    <row r="1246" spans="1:20">
      <c r="A1246" s="96" t="s">
        <v>13</v>
      </c>
      <c r="B1246" s="96"/>
      <c r="C1246" s="132">
        <v>46227</v>
      </c>
      <c r="D1246" s="132"/>
      <c r="E1246" s="132"/>
      <c r="F1246" s="132"/>
      <c r="G1246" s="132"/>
      <c r="H1246" s="132"/>
      <c r="I1246" s="132"/>
      <c r="J1246" s="127" t="s">
        <v>14</v>
      </c>
      <c r="K1246" s="128"/>
      <c r="L1246" s="128"/>
      <c r="M1246" s="129"/>
      <c r="N1246" s="133">
        <v>46256</v>
      </c>
      <c r="O1246" s="134"/>
      <c r="P1246" s="134"/>
      <c r="Q1246" s="135"/>
      <c r="T1246" s="20"/>
    </row>
    <row r="1247" spans="1:20">
      <c r="A1247" s="96" t="s">
        <v>15</v>
      </c>
      <c r="B1247" s="96"/>
      <c r="C1247" s="97"/>
      <c r="D1247" s="98"/>
      <c r="E1247" s="98"/>
      <c r="F1247" s="98"/>
      <c r="G1247" s="98"/>
      <c r="H1247" s="99" t="s">
        <v>16</v>
      </c>
      <c r="I1247" s="100"/>
      <c r="J1247" s="101" t="s">
        <v>17</v>
      </c>
      <c r="K1247" s="101"/>
      <c r="L1247" s="101"/>
      <c r="M1247" s="101"/>
      <c r="N1247" s="102">
        <f>U1270</f>
        <v>0.66357166075476814</v>
      </c>
      <c r="O1247" s="102"/>
      <c r="P1247" s="102"/>
      <c r="Q1247" s="102"/>
      <c r="T1247" s="20"/>
    </row>
    <row r="1248" spans="1:20">
      <c r="A1248" s="103" t="s">
        <v>18</v>
      </c>
      <c r="B1248" s="104"/>
      <c r="C1248" s="104"/>
      <c r="D1248" s="104"/>
      <c r="E1248" s="104"/>
      <c r="F1248" s="104"/>
      <c r="G1248" s="104"/>
      <c r="H1248" s="104"/>
      <c r="I1248" s="104"/>
      <c r="J1248" s="104"/>
      <c r="K1248" s="104"/>
      <c r="L1248" s="104"/>
      <c r="M1248" s="104"/>
      <c r="N1248" s="104"/>
      <c r="O1248" s="104"/>
      <c r="P1248" s="104"/>
      <c r="Q1248" s="105"/>
      <c r="T1248" s="20"/>
    </row>
    <row r="1249" spans="1:22">
      <c r="A1249" s="7"/>
      <c r="B1249" s="106" t="s">
        <v>19</v>
      </c>
      <c r="C1249" s="107"/>
      <c r="D1249" s="107"/>
      <c r="E1249" s="107"/>
      <c r="F1249" s="107"/>
      <c r="G1249" s="108"/>
      <c r="H1249" s="8" t="s">
        <v>20</v>
      </c>
      <c r="I1249" s="109" t="s">
        <v>21</v>
      </c>
      <c r="J1249" s="110"/>
      <c r="K1249" s="111"/>
      <c r="L1249" s="109" t="s">
        <v>28</v>
      </c>
      <c r="M1249" s="111"/>
      <c r="N1249" s="106" t="s">
        <v>22</v>
      </c>
      <c r="O1249" s="112"/>
      <c r="P1249" s="113" t="s">
        <v>23</v>
      </c>
      <c r="Q1249" s="113"/>
      <c r="S1249" s="33" t="s">
        <v>22</v>
      </c>
      <c r="T1249" s="34" t="s">
        <v>64</v>
      </c>
      <c r="U1249" s="13" t="s">
        <v>27</v>
      </c>
    </row>
    <row r="1250" spans="1:22">
      <c r="A1250" s="17" t="s">
        <v>65</v>
      </c>
      <c r="B1250" s="114" t="s">
        <v>66</v>
      </c>
      <c r="C1250" s="115"/>
      <c r="D1250" s="115"/>
      <c r="E1250" s="115"/>
      <c r="F1250" s="115"/>
      <c r="G1250" s="116"/>
      <c r="H1250" s="17"/>
      <c r="I1250" s="117"/>
      <c r="J1250" s="118"/>
      <c r="K1250" s="119"/>
      <c r="L1250" s="77"/>
      <c r="M1250" s="78"/>
      <c r="N1250" s="77"/>
      <c r="O1250" s="78"/>
      <c r="P1250" s="93"/>
      <c r="Q1250" s="93"/>
      <c r="S1250" s="16"/>
      <c r="T1250" s="16"/>
      <c r="U1250" s="16" t="s">
        <v>26</v>
      </c>
    </row>
    <row r="1251" spans="1:22">
      <c r="A1251" s="17">
        <v>1</v>
      </c>
      <c r="B1251" s="81" t="s">
        <v>80</v>
      </c>
      <c r="C1251" s="82"/>
      <c r="D1251" s="82"/>
      <c r="E1251" s="82"/>
      <c r="F1251" s="82"/>
      <c r="G1251" s="83"/>
      <c r="H1251" s="29" t="s">
        <v>67</v>
      </c>
      <c r="I1251" s="84">
        <v>18</v>
      </c>
      <c r="J1251" s="85"/>
      <c r="K1251" s="86"/>
      <c r="L1251" s="87"/>
      <c r="M1251" s="88"/>
      <c r="N1251" s="89"/>
      <c r="O1251" s="90"/>
      <c r="P1251" s="93"/>
      <c r="Q1251" s="93"/>
      <c r="S1251" s="12"/>
      <c r="T1251" s="26">
        <v>18000</v>
      </c>
      <c r="U1251" s="12">
        <f>S1251*T1251</f>
        <v>0</v>
      </c>
    </row>
    <row r="1252" spans="1:22" ht="32.1" customHeight="1">
      <c r="A1252" s="17">
        <v>2</v>
      </c>
      <c r="B1252" s="81" t="s">
        <v>81</v>
      </c>
      <c r="C1252" s="82" t="s">
        <v>81</v>
      </c>
      <c r="D1252" s="82" t="s">
        <v>81</v>
      </c>
      <c r="E1252" s="82" t="s">
        <v>81</v>
      </c>
      <c r="F1252" s="82" t="s">
        <v>81</v>
      </c>
      <c r="G1252" s="83" t="s">
        <v>81</v>
      </c>
      <c r="H1252" s="29" t="s">
        <v>97</v>
      </c>
      <c r="I1252" s="84">
        <v>166</v>
      </c>
      <c r="J1252" s="85"/>
      <c r="K1252" s="86"/>
      <c r="L1252" s="87"/>
      <c r="M1252" s="88"/>
      <c r="N1252" s="89">
        <v>166</v>
      </c>
      <c r="O1252" s="90"/>
      <c r="P1252" s="93"/>
      <c r="Q1252" s="93"/>
      <c r="S1252" s="12">
        <v>166</v>
      </c>
      <c r="T1252" s="26">
        <v>750</v>
      </c>
      <c r="U1252" s="12">
        <f t="shared" ref="U1252:U1262" si="34">S1252*T1252</f>
        <v>124500</v>
      </c>
    </row>
    <row r="1253" spans="1:22">
      <c r="A1253" s="17">
        <v>3</v>
      </c>
      <c r="B1253" s="81" t="s">
        <v>82</v>
      </c>
      <c r="C1253" s="82" t="s">
        <v>82</v>
      </c>
      <c r="D1253" s="82" t="s">
        <v>82</v>
      </c>
      <c r="E1253" s="82" t="s">
        <v>82</v>
      </c>
      <c r="F1253" s="82" t="s">
        <v>82</v>
      </c>
      <c r="G1253" s="83" t="s">
        <v>82</v>
      </c>
      <c r="H1253" s="29" t="s">
        <v>97</v>
      </c>
      <c r="I1253" s="84">
        <v>540</v>
      </c>
      <c r="J1253" s="85">
        <v>540</v>
      </c>
      <c r="K1253" s="86">
        <v>540</v>
      </c>
      <c r="L1253" s="87"/>
      <c r="M1253" s="88"/>
      <c r="N1253" s="89">
        <v>540</v>
      </c>
      <c r="O1253" s="90"/>
      <c r="P1253" s="93"/>
      <c r="Q1253" s="93"/>
      <c r="S1253" s="12">
        <v>540</v>
      </c>
      <c r="T1253" s="26">
        <v>340</v>
      </c>
      <c r="U1253" s="12">
        <f t="shared" si="34"/>
        <v>183600</v>
      </c>
    </row>
    <row r="1254" spans="1:22">
      <c r="A1254" s="17">
        <v>4</v>
      </c>
      <c r="B1254" s="81" t="s">
        <v>83</v>
      </c>
      <c r="C1254" s="82" t="s">
        <v>83</v>
      </c>
      <c r="D1254" s="82" t="s">
        <v>83</v>
      </c>
      <c r="E1254" s="82" t="s">
        <v>83</v>
      </c>
      <c r="F1254" s="82" t="s">
        <v>83</v>
      </c>
      <c r="G1254" s="83" t="s">
        <v>83</v>
      </c>
      <c r="H1254" s="29" t="s">
        <v>67</v>
      </c>
      <c r="I1254" s="84">
        <v>20</v>
      </c>
      <c r="J1254" s="85">
        <v>20</v>
      </c>
      <c r="K1254" s="86">
        <v>20</v>
      </c>
      <c r="L1254" s="87"/>
      <c r="M1254" s="88"/>
      <c r="N1254" s="89">
        <v>20</v>
      </c>
      <c r="O1254" s="90"/>
      <c r="P1254" s="93"/>
      <c r="Q1254" s="93"/>
      <c r="S1254" s="12">
        <v>20</v>
      </c>
      <c r="T1254" s="26">
        <v>1250</v>
      </c>
      <c r="U1254" s="12">
        <f t="shared" si="34"/>
        <v>25000</v>
      </c>
    </row>
    <row r="1255" spans="1:22" ht="32.1" customHeight="1">
      <c r="A1255" s="17">
        <v>5</v>
      </c>
      <c r="B1255" s="81" t="s">
        <v>84</v>
      </c>
      <c r="C1255" s="82" t="s">
        <v>84</v>
      </c>
      <c r="D1255" s="82" t="s">
        <v>84</v>
      </c>
      <c r="E1255" s="82" t="s">
        <v>84</v>
      </c>
      <c r="F1255" s="82" t="s">
        <v>84</v>
      </c>
      <c r="G1255" s="83" t="s">
        <v>84</v>
      </c>
      <c r="H1255" s="29" t="s">
        <v>97</v>
      </c>
      <c r="I1255" s="84">
        <v>28</v>
      </c>
      <c r="J1255" s="85">
        <v>28</v>
      </c>
      <c r="K1255" s="86">
        <v>28</v>
      </c>
      <c r="L1255" s="87"/>
      <c r="M1255" s="88"/>
      <c r="N1255" s="89">
        <v>28</v>
      </c>
      <c r="O1255" s="90"/>
      <c r="P1255" s="93"/>
      <c r="Q1255" s="93"/>
      <c r="S1255" s="12">
        <v>28</v>
      </c>
      <c r="T1255" s="26">
        <v>1800</v>
      </c>
      <c r="U1255" s="12">
        <f t="shared" si="34"/>
        <v>50400</v>
      </c>
    </row>
    <row r="1256" spans="1:22">
      <c r="A1256" s="17">
        <v>6</v>
      </c>
      <c r="B1256" s="81" t="s">
        <v>85</v>
      </c>
      <c r="C1256" s="82" t="s">
        <v>85</v>
      </c>
      <c r="D1256" s="82" t="s">
        <v>85</v>
      </c>
      <c r="E1256" s="82" t="s">
        <v>85</v>
      </c>
      <c r="F1256" s="82" t="s">
        <v>85</v>
      </c>
      <c r="G1256" s="83" t="s">
        <v>85</v>
      </c>
      <c r="H1256" s="29" t="s">
        <v>97</v>
      </c>
      <c r="I1256" s="84">
        <v>14</v>
      </c>
      <c r="J1256" s="85">
        <v>14</v>
      </c>
      <c r="K1256" s="86">
        <v>14</v>
      </c>
      <c r="L1256" s="87"/>
      <c r="M1256" s="88"/>
      <c r="N1256" s="89">
        <v>14</v>
      </c>
      <c r="O1256" s="90"/>
      <c r="P1256" s="79"/>
      <c r="Q1256" s="80"/>
      <c r="S1256" s="12">
        <v>14</v>
      </c>
      <c r="T1256" s="26">
        <v>4000</v>
      </c>
      <c r="U1256" s="12">
        <f t="shared" si="34"/>
        <v>56000</v>
      </c>
    </row>
    <row r="1257" spans="1:22">
      <c r="A1257" s="17">
        <v>7</v>
      </c>
      <c r="B1257" s="81" t="s">
        <v>86</v>
      </c>
      <c r="C1257" s="82" t="s">
        <v>86</v>
      </c>
      <c r="D1257" s="82" t="s">
        <v>86</v>
      </c>
      <c r="E1257" s="82" t="s">
        <v>86</v>
      </c>
      <c r="F1257" s="82" t="s">
        <v>86</v>
      </c>
      <c r="G1257" s="83" t="s">
        <v>86</v>
      </c>
      <c r="H1257" s="29" t="s">
        <v>97</v>
      </c>
      <c r="I1257" s="84">
        <v>30</v>
      </c>
      <c r="J1257" s="85">
        <v>30</v>
      </c>
      <c r="K1257" s="86">
        <v>30</v>
      </c>
      <c r="L1257" s="87"/>
      <c r="M1257" s="88"/>
      <c r="N1257" s="89">
        <v>30</v>
      </c>
      <c r="O1257" s="90"/>
      <c r="P1257" s="93"/>
      <c r="Q1257" s="93"/>
      <c r="S1257" s="12">
        <v>30</v>
      </c>
      <c r="T1257" s="26">
        <v>4000</v>
      </c>
      <c r="U1257" s="12">
        <f t="shared" si="34"/>
        <v>120000</v>
      </c>
    </row>
    <row r="1258" spans="1:22">
      <c r="A1258" s="17">
        <v>8</v>
      </c>
      <c r="B1258" s="81" t="s">
        <v>87</v>
      </c>
      <c r="C1258" s="82" t="s">
        <v>87</v>
      </c>
      <c r="D1258" s="82" t="s">
        <v>87</v>
      </c>
      <c r="E1258" s="82" t="s">
        <v>87</v>
      </c>
      <c r="F1258" s="82" t="s">
        <v>87</v>
      </c>
      <c r="G1258" s="83" t="s">
        <v>87</v>
      </c>
      <c r="H1258" s="30" t="s">
        <v>25</v>
      </c>
      <c r="I1258" s="84">
        <v>1</v>
      </c>
      <c r="J1258" s="85">
        <v>1</v>
      </c>
      <c r="K1258" s="86">
        <v>1</v>
      </c>
      <c r="L1258" s="94"/>
      <c r="M1258" s="95"/>
      <c r="N1258" s="94">
        <v>1</v>
      </c>
      <c r="O1258" s="95"/>
      <c r="P1258" s="93"/>
      <c r="Q1258" s="93"/>
      <c r="S1258" s="16">
        <v>1</v>
      </c>
      <c r="T1258" s="26">
        <v>31000</v>
      </c>
      <c r="U1258" s="12">
        <f t="shared" si="34"/>
        <v>31000</v>
      </c>
    </row>
    <row r="1259" spans="1:22">
      <c r="A1259" s="17">
        <v>9</v>
      </c>
      <c r="B1259" s="81" t="s">
        <v>88</v>
      </c>
      <c r="C1259" s="82" t="s">
        <v>88</v>
      </c>
      <c r="D1259" s="82" t="s">
        <v>88</v>
      </c>
      <c r="E1259" s="82" t="s">
        <v>88</v>
      </c>
      <c r="F1259" s="82" t="s">
        <v>88</v>
      </c>
      <c r="G1259" s="83" t="s">
        <v>88</v>
      </c>
      <c r="H1259" s="30" t="s">
        <v>25</v>
      </c>
      <c r="I1259" s="84">
        <v>1</v>
      </c>
      <c r="J1259" s="85">
        <v>1</v>
      </c>
      <c r="K1259" s="86">
        <v>1</v>
      </c>
      <c r="L1259" s="87"/>
      <c r="M1259" s="88"/>
      <c r="N1259" s="89"/>
      <c r="O1259" s="90"/>
      <c r="P1259" s="93"/>
      <c r="Q1259" s="93"/>
      <c r="S1259" s="12"/>
      <c r="T1259" s="26">
        <v>30121</v>
      </c>
      <c r="U1259" s="12">
        <f t="shared" si="34"/>
        <v>0</v>
      </c>
    </row>
    <row r="1260" spans="1:22">
      <c r="A1260" s="17">
        <v>10</v>
      </c>
      <c r="B1260" s="81" t="s">
        <v>89</v>
      </c>
      <c r="C1260" s="82"/>
      <c r="D1260" s="82"/>
      <c r="E1260" s="82"/>
      <c r="F1260" s="82"/>
      <c r="G1260" s="83"/>
      <c r="H1260" s="30" t="s">
        <v>98</v>
      </c>
      <c r="I1260" s="84">
        <v>3</v>
      </c>
      <c r="J1260" s="85"/>
      <c r="K1260" s="86"/>
      <c r="L1260" s="87"/>
      <c r="M1260" s="88"/>
      <c r="N1260" s="89">
        <v>3</v>
      </c>
      <c r="O1260" s="90"/>
      <c r="P1260" s="91"/>
      <c r="Q1260" s="92"/>
      <c r="S1260" s="12">
        <v>3</v>
      </c>
      <c r="T1260" s="26">
        <v>14500</v>
      </c>
      <c r="U1260" s="12">
        <f t="shared" si="34"/>
        <v>43500</v>
      </c>
    </row>
    <row r="1261" spans="1:22">
      <c r="A1261" s="17">
        <v>11</v>
      </c>
      <c r="B1261" s="81" t="s">
        <v>90</v>
      </c>
      <c r="C1261" s="82"/>
      <c r="D1261" s="82"/>
      <c r="E1261" s="82"/>
      <c r="F1261" s="82"/>
      <c r="G1261" s="83"/>
      <c r="H1261" s="29" t="s">
        <v>67</v>
      </c>
      <c r="I1261" s="84">
        <v>6</v>
      </c>
      <c r="J1261" s="85"/>
      <c r="K1261" s="86"/>
      <c r="L1261" s="87"/>
      <c r="M1261" s="88"/>
      <c r="N1261" s="89">
        <v>6</v>
      </c>
      <c r="O1261" s="90"/>
      <c r="P1261" s="91"/>
      <c r="Q1261" s="92"/>
      <c r="S1261" s="12">
        <v>6</v>
      </c>
      <c r="T1261" s="26">
        <v>3500</v>
      </c>
      <c r="U1261" s="12">
        <f t="shared" si="34"/>
        <v>21000</v>
      </c>
    </row>
    <row r="1262" spans="1:22">
      <c r="A1262" s="17">
        <v>12</v>
      </c>
      <c r="B1262" s="81" t="s">
        <v>91</v>
      </c>
      <c r="C1262" s="82" t="s">
        <v>89</v>
      </c>
      <c r="D1262" s="82" t="s">
        <v>89</v>
      </c>
      <c r="E1262" s="82" t="s">
        <v>89</v>
      </c>
      <c r="F1262" s="82" t="s">
        <v>89</v>
      </c>
      <c r="G1262" s="83" t="s">
        <v>89</v>
      </c>
      <c r="H1262" s="29" t="s">
        <v>67</v>
      </c>
      <c r="I1262" s="84">
        <v>10</v>
      </c>
      <c r="J1262" s="85">
        <v>10</v>
      </c>
      <c r="K1262" s="86">
        <v>10</v>
      </c>
      <c r="L1262" s="87"/>
      <c r="M1262" s="88"/>
      <c r="N1262" s="89">
        <v>10</v>
      </c>
      <c r="O1262" s="90"/>
      <c r="P1262" s="93"/>
      <c r="Q1262" s="93"/>
      <c r="S1262" s="12">
        <v>10</v>
      </c>
      <c r="T1262" s="26">
        <v>3000</v>
      </c>
      <c r="U1262" s="12">
        <f t="shared" si="34"/>
        <v>30000</v>
      </c>
      <c r="V1262" s="22">
        <f>SUM(U1251:U1262)</f>
        <v>685000</v>
      </c>
    </row>
    <row r="1263" spans="1:22">
      <c r="A1263" s="17" t="s">
        <v>76</v>
      </c>
      <c r="B1263" s="71" t="s">
        <v>92</v>
      </c>
      <c r="C1263" s="72"/>
      <c r="D1263" s="72"/>
      <c r="E1263" s="72"/>
      <c r="F1263" s="72"/>
      <c r="G1263" s="73"/>
      <c r="H1263" s="30" t="s">
        <v>24</v>
      </c>
      <c r="I1263" s="84">
        <v>1</v>
      </c>
      <c r="J1263" s="85">
        <v>10</v>
      </c>
      <c r="K1263" s="86">
        <v>10</v>
      </c>
      <c r="L1263" s="77"/>
      <c r="M1263" s="78"/>
      <c r="N1263" s="77">
        <v>1</v>
      </c>
      <c r="O1263" s="78"/>
      <c r="P1263" s="79"/>
      <c r="Q1263" s="80"/>
      <c r="S1263" s="12">
        <v>1</v>
      </c>
      <c r="T1263" s="25">
        <v>10391</v>
      </c>
      <c r="U1263" s="12">
        <f>S1263*T1263</f>
        <v>10391</v>
      </c>
      <c r="V1263" s="27"/>
    </row>
    <row r="1264" spans="1:22">
      <c r="A1264" s="23" t="s">
        <v>68</v>
      </c>
      <c r="B1264" s="71" t="s">
        <v>93</v>
      </c>
      <c r="C1264" s="72"/>
      <c r="D1264" s="72"/>
      <c r="E1264" s="72"/>
      <c r="F1264" s="72"/>
      <c r="G1264" s="73"/>
      <c r="H1264" s="30" t="s">
        <v>24</v>
      </c>
      <c r="I1264" s="74">
        <v>1</v>
      </c>
      <c r="J1264" s="75"/>
      <c r="K1264" s="76"/>
      <c r="L1264" s="77">
        <f>N1264-N1191</f>
        <v>0</v>
      </c>
      <c r="M1264" s="78"/>
      <c r="N1264" s="77">
        <f>S1264</f>
        <v>0.65922432874603021</v>
      </c>
      <c r="O1264" s="78"/>
      <c r="P1264" s="77"/>
      <c r="Q1264" s="78"/>
      <c r="S1264" s="21">
        <f>V1262*0.01/T1264</f>
        <v>0.65922432874603021</v>
      </c>
      <c r="T1264" s="25">
        <v>10391</v>
      </c>
      <c r="U1264" s="12">
        <f t="shared" ref="U1264:U1265" si="35">S1264*T1264</f>
        <v>6850</v>
      </c>
    </row>
    <row r="1265" spans="1:21">
      <c r="A1265" s="23" t="s">
        <v>69</v>
      </c>
      <c r="B1265" s="58" t="s">
        <v>94</v>
      </c>
      <c r="C1265" s="59" t="s">
        <v>70</v>
      </c>
      <c r="D1265" s="59" t="s">
        <v>70</v>
      </c>
      <c r="E1265" s="59" t="s">
        <v>70</v>
      </c>
      <c r="F1265" s="59" t="s">
        <v>70</v>
      </c>
      <c r="G1265" s="60" t="s">
        <v>70</v>
      </c>
      <c r="H1265" s="30" t="s">
        <v>24</v>
      </c>
      <c r="I1265" s="74">
        <v>1</v>
      </c>
      <c r="J1265" s="75"/>
      <c r="K1265" s="76"/>
      <c r="L1265" s="77">
        <f>N1265-N1192</f>
        <v>0</v>
      </c>
      <c r="M1265" s="78"/>
      <c r="N1265" s="77">
        <f>S1265</f>
        <v>0.6592062029997664</v>
      </c>
      <c r="O1265" s="78"/>
      <c r="P1265" s="77"/>
      <c r="Q1265" s="78"/>
      <c r="S1265" s="21">
        <f>V1262*0.07/T1265</f>
        <v>0.6592062029997664</v>
      </c>
      <c r="T1265" s="25">
        <v>72739</v>
      </c>
      <c r="U1265" s="12">
        <f t="shared" si="35"/>
        <v>47950.000000000007</v>
      </c>
    </row>
    <row r="1266" spans="1:21">
      <c r="A1266" s="23" t="s">
        <v>71</v>
      </c>
      <c r="B1266" s="58" t="s">
        <v>95</v>
      </c>
      <c r="C1266" s="59" t="s">
        <v>72</v>
      </c>
      <c r="D1266" s="59" t="s">
        <v>72</v>
      </c>
      <c r="E1266" s="59" t="s">
        <v>72</v>
      </c>
      <c r="F1266" s="59" t="s">
        <v>72</v>
      </c>
      <c r="G1266" s="60" t="s">
        <v>72</v>
      </c>
      <c r="H1266" s="30" t="s">
        <v>24</v>
      </c>
      <c r="I1266" s="74">
        <v>1</v>
      </c>
      <c r="J1266" s="75"/>
      <c r="K1266" s="76"/>
      <c r="L1266" s="77"/>
      <c r="M1266" s="78"/>
      <c r="N1266" s="77">
        <f>S1266</f>
        <v>1</v>
      </c>
      <c r="O1266" s="78"/>
      <c r="P1266" s="77"/>
      <c r="Q1266" s="78"/>
      <c r="S1266" s="21">
        <v>1</v>
      </c>
      <c r="T1266" s="25">
        <v>4156</v>
      </c>
      <c r="U1266" s="12">
        <f>S1266*T1266</f>
        <v>4156</v>
      </c>
    </row>
    <row r="1267" spans="1:21">
      <c r="A1267" s="23" t="s">
        <v>73</v>
      </c>
      <c r="B1267" s="58" t="s">
        <v>96</v>
      </c>
      <c r="C1267" s="59" t="s">
        <v>74</v>
      </c>
      <c r="D1267" s="59" t="s">
        <v>74</v>
      </c>
      <c r="E1267" s="59" t="s">
        <v>74</v>
      </c>
      <c r="F1267" s="59" t="s">
        <v>74</v>
      </c>
      <c r="G1267" s="60" t="s">
        <v>74</v>
      </c>
      <c r="H1267" s="30" t="s">
        <v>24</v>
      </c>
      <c r="I1267" s="74">
        <v>1</v>
      </c>
      <c r="J1267" s="75"/>
      <c r="K1267" s="76"/>
      <c r="L1267" s="77">
        <f>N1267-N1194</f>
        <v>0</v>
      </c>
      <c r="M1267" s="78"/>
      <c r="N1267" s="77">
        <f>S1267</f>
        <v>0.66357054890921885</v>
      </c>
      <c r="O1267" s="78"/>
      <c r="P1267" s="79"/>
      <c r="Q1267" s="80"/>
      <c r="S1267" s="21">
        <f>(V1262+U1263+U1264+U1265+U1266)*0.05/T1267</f>
        <v>0.66357054890921885</v>
      </c>
      <c r="T1267" s="25">
        <v>56840</v>
      </c>
      <c r="U1267" s="12">
        <f>S1267*T1267</f>
        <v>37717.35</v>
      </c>
    </row>
    <row r="1268" spans="1:21">
      <c r="A1268" s="23"/>
      <c r="B1268" s="58"/>
      <c r="C1268" s="59"/>
      <c r="D1268" s="59"/>
      <c r="E1268" s="59"/>
      <c r="F1268" s="59"/>
      <c r="G1268" s="60"/>
      <c r="H1268" s="24"/>
      <c r="I1268" s="58"/>
      <c r="J1268" s="59"/>
      <c r="K1268" s="59"/>
      <c r="L1268" s="58"/>
      <c r="M1268" s="59"/>
      <c r="N1268" s="58"/>
      <c r="O1268" s="59"/>
      <c r="P1268" s="58"/>
      <c r="Q1268" s="60"/>
      <c r="S1268" s="21"/>
      <c r="T1268" s="25"/>
      <c r="U1268" s="28">
        <f>V1262+U1263+U1264+U1265+U1266+U1267</f>
        <v>792064.35</v>
      </c>
    </row>
    <row r="1269" spans="1:21">
      <c r="A1269" s="23"/>
      <c r="B1269" s="58"/>
      <c r="C1269" s="59"/>
      <c r="D1269" s="59"/>
      <c r="E1269" s="59"/>
      <c r="F1269" s="59"/>
      <c r="G1269" s="60"/>
      <c r="H1269" s="23"/>
      <c r="I1269" s="58"/>
      <c r="J1269" s="59"/>
      <c r="K1269" s="59"/>
      <c r="L1269" s="58"/>
      <c r="M1269" s="59"/>
      <c r="N1269" s="58"/>
      <c r="O1269" s="59"/>
      <c r="P1269" s="58"/>
      <c r="Q1269" s="60"/>
      <c r="S1269" s="21"/>
      <c r="T1269" s="16"/>
      <c r="U1269" s="14">
        <v>1193638</v>
      </c>
    </row>
    <row r="1270" spans="1:21">
      <c r="A1270" s="9"/>
      <c r="B1270" s="58"/>
      <c r="C1270" s="59"/>
      <c r="D1270" s="59"/>
      <c r="E1270" s="59"/>
      <c r="F1270" s="59"/>
      <c r="G1270" s="60"/>
      <c r="H1270" s="9"/>
      <c r="I1270" s="58"/>
      <c r="J1270" s="59"/>
      <c r="K1270" s="59"/>
      <c r="L1270" s="58"/>
      <c r="M1270" s="59"/>
      <c r="N1270" s="58"/>
      <c r="O1270" s="59"/>
      <c r="P1270" s="58"/>
      <c r="Q1270" s="60"/>
      <c r="S1270" s="21"/>
      <c r="T1270" s="16"/>
      <c r="U1270" s="15">
        <f>U1268/U1269</f>
        <v>0.66357166075476814</v>
      </c>
    </row>
    <row r="1271" spans="1:21">
      <c r="A1271" s="9"/>
      <c r="B1271" s="58"/>
      <c r="C1271" s="59"/>
      <c r="D1271" s="59"/>
      <c r="E1271" s="59"/>
      <c r="F1271" s="59"/>
      <c r="G1271" s="60"/>
      <c r="H1271" s="9"/>
      <c r="I1271" s="58"/>
      <c r="J1271" s="59"/>
      <c r="K1271" s="59"/>
      <c r="L1271" s="58"/>
      <c r="M1271" s="59"/>
      <c r="N1271" s="58"/>
      <c r="O1271" s="59"/>
      <c r="P1271" s="58"/>
      <c r="Q1271" s="60"/>
      <c r="S1271" s="21"/>
      <c r="T1271" s="16"/>
      <c r="U1271" s="12"/>
    </row>
    <row r="1272" spans="1:21">
      <c r="A1272" s="9"/>
      <c r="B1272" s="58"/>
      <c r="C1272" s="59"/>
      <c r="D1272" s="59"/>
      <c r="E1272" s="59"/>
      <c r="F1272" s="59"/>
      <c r="G1272" s="60"/>
      <c r="H1272" s="9"/>
      <c r="I1272" s="58"/>
      <c r="J1272" s="59"/>
      <c r="K1272" s="59"/>
      <c r="L1272" s="58"/>
      <c r="M1272" s="59"/>
      <c r="N1272" s="58"/>
      <c r="O1272" s="59"/>
      <c r="P1272" s="58"/>
      <c r="Q1272" s="60"/>
      <c r="S1272" s="21"/>
      <c r="T1272" s="16"/>
      <c r="U1272" s="12"/>
    </row>
    <row r="1273" spans="1:21">
      <c r="A1273" s="9"/>
      <c r="B1273" s="58"/>
      <c r="C1273" s="59"/>
      <c r="D1273" s="59"/>
      <c r="E1273" s="59"/>
      <c r="F1273" s="59"/>
      <c r="G1273" s="60"/>
      <c r="H1273" s="9"/>
      <c r="I1273" s="58"/>
      <c r="J1273" s="59"/>
      <c r="K1273" s="59"/>
      <c r="L1273" s="58"/>
      <c r="M1273" s="59"/>
      <c r="N1273" s="58"/>
      <c r="O1273" s="59"/>
      <c r="P1273" s="58"/>
      <c r="Q1273" s="60"/>
      <c r="S1273" s="21"/>
      <c r="T1273" s="16"/>
      <c r="U1273" s="12"/>
    </row>
    <row r="1274" spans="1:21">
      <c r="A1274" s="9"/>
      <c r="B1274" s="58"/>
      <c r="C1274" s="59"/>
      <c r="D1274" s="59"/>
      <c r="E1274" s="59"/>
      <c r="F1274" s="59"/>
      <c r="G1274" s="60"/>
      <c r="H1274" s="9"/>
      <c r="I1274" s="58"/>
      <c r="J1274" s="59"/>
      <c r="K1274" s="59"/>
      <c r="L1274" s="58"/>
      <c r="M1274" s="59"/>
      <c r="N1274" s="58"/>
      <c r="O1274" s="59"/>
      <c r="P1274" s="58"/>
      <c r="Q1274" s="60"/>
      <c r="S1274" s="21"/>
      <c r="T1274" s="16"/>
      <c r="U1274" s="12"/>
    </row>
    <row r="1275" spans="1:21">
      <c r="A1275" s="7"/>
      <c r="B1275" s="61"/>
      <c r="C1275" s="62"/>
      <c r="D1275" s="62"/>
      <c r="E1275" s="62"/>
      <c r="F1275" s="62"/>
      <c r="G1275" s="63"/>
      <c r="H1275" s="9"/>
      <c r="I1275" s="64"/>
      <c r="J1275" s="65"/>
      <c r="K1275" s="66"/>
      <c r="L1275" s="67"/>
      <c r="M1275" s="68"/>
      <c r="N1275" s="67"/>
      <c r="O1275" s="68"/>
      <c r="P1275" s="69"/>
      <c r="Q1275" s="70"/>
      <c r="S1275" s="21"/>
      <c r="T1275" s="16"/>
    </row>
    <row r="1276" spans="1:21">
      <c r="A1276" s="44" t="s">
        <v>29</v>
      </c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T1276" s="20"/>
    </row>
    <row r="1277" spans="1:21">
      <c r="A1277" s="44" t="s">
        <v>30</v>
      </c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T1277" s="20"/>
    </row>
    <row r="1278" spans="1:21">
      <c r="A1278" s="44" t="s">
        <v>31</v>
      </c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T1278" s="20"/>
    </row>
    <row r="1279" spans="1:21">
      <c r="A1279" s="44" t="s">
        <v>32</v>
      </c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T1279" s="20"/>
    </row>
    <row r="1280" spans="1:21">
      <c r="A1280" s="54" t="s">
        <v>33</v>
      </c>
      <c r="B1280" s="54"/>
      <c r="C1280" s="54"/>
      <c r="D1280" s="54"/>
      <c r="E1280" s="54"/>
      <c r="F1280" s="54"/>
      <c r="G1280" s="54"/>
      <c r="H1280" s="54" t="s">
        <v>20</v>
      </c>
      <c r="I1280" s="54"/>
      <c r="J1280" s="54"/>
      <c r="K1280" s="54" t="s">
        <v>34</v>
      </c>
      <c r="L1280" s="54"/>
      <c r="M1280" s="54" t="s">
        <v>35</v>
      </c>
      <c r="N1280" s="54"/>
      <c r="O1280" s="54" t="s">
        <v>36</v>
      </c>
      <c r="P1280" s="54"/>
      <c r="Q1280" s="54"/>
      <c r="T1280" s="20"/>
    </row>
    <row r="1281" spans="1:20">
      <c r="A1281" s="55"/>
      <c r="B1281" s="56"/>
      <c r="C1281" s="56"/>
      <c r="D1281" s="56"/>
      <c r="E1281" s="56"/>
      <c r="F1281" s="56"/>
      <c r="G1281" s="57"/>
      <c r="H1281" s="55"/>
      <c r="I1281" s="56"/>
      <c r="J1281" s="57"/>
      <c r="K1281" s="55"/>
      <c r="L1281" s="56"/>
      <c r="M1281" s="55"/>
      <c r="N1281" s="56"/>
      <c r="O1281" s="55"/>
      <c r="P1281" s="56"/>
      <c r="Q1281" s="57"/>
      <c r="T1281" s="20"/>
    </row>
    <row r="1282" spans="1:20">
      <c r="A1282" s="55"/>
      <c r="B1282" s="56"/>
      <c r="C1282" s="56"/>
      <c r="D1282" s="56"/>
      <c r="E1282" s="56"/>
      <c r="F1282" s="56"/>
      <c r="G1282" s="57"/>
      <c r="H1282" s="55"/>
      <c r="I1282" s="56"/>
      <c r="J1282" s="57"/>
      <c r="K1282" s="55"/>
      <c r="L1282" s="56"/>
      <c r="M1282" s="55"/>
      <c r="N1282" s="56"/>
      <c r="O1282" s="55"/>
      <c r="P1282" s="56"/>
      <c r="Q1282" s="57"/>
      <c r="T1282" s="20"/>
    </row>
    <row r="1283" spans="1:20">
      <c r="A1283" s="53"/>
      <c r="B1283" s="53"/>
      <c r="C1283" s="53"/>
      <c r="D1283" s="53"/>
      <c r="E1283" s="53"/>
      <c r="F1283" s="53"/>
      <c r="G1283" s="53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T1283" s="20"/>
    </row>
    <row r="1284" spans="1:20">
      <c r="A1284" s="53"/>
      <c r="B1284" s="53"/>
      <c r="C1284" s="53"/>
      <c r="D1284" s="53"/>
      <c r="E1284" s="53"/>
      <c r="F1284" s="53"/>
      <c r="G1284" s="53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T1284" s="20"/>
    </row>
    <row r="1285" spans="1:20">
      <c r="A1285" s="44" t="s">
        <v>37</v>
      </c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T1285" s="20"/>
    </row>
    <row r="1286" spans="1:20">
      <c r="A1286" s="46" t="s">
        <v>38</v>
      </c>
      <c r="B1286" s="46"/>
      <c r="C1286" s="47" t="s">
        <v>39</v>
      </c>
      <c r="D1286" s="48"/>
      <c r="E1286" s="48"/>
      <c r="F1286" s="47" t="s">
        <v>40</v>
      </c>
      <c r="G1286" s="48"/>
      <c r="H1286" s="49"/>
      <c r="I1286" s="46" t="s">
        <v>41</v>
      </c>
      <c r="J1286" s="46"/>
      <c r="K1286" s="46"/>
      <c r="L1286" s="46" t="s">
        <v>35</v>
      </c>
      <c r="M1286" s="46"/>
      <c r="N1286" s="46"/>
      <c r="O1286" s="46" t="s">
        <v>36</v>
      </c>
      <c r="P1286" s="46"/>
      <c r="Q1286" s="46"/>
      <c r="T1286" s="20"/>
    </row>
    <row r="1287" spans="1:20">
      <c r="A1287" s="47" t="s">
        <v>42</v>
      </c>
      <c r="B1287" s="49"/>
      <c r="C1287" s="47"/>
      <c r="D1287" s="48"/>
      <c r="E1287" s="49"/>
      <c r="F1287" s="47">
        <f>F1214+C1287</f>
        <v>26</v>
      </c>
      <c r="G1287" s="48"/>
      <c r="H1287" s="49"/>
      <c r="I1287" s="47"/>
      <c r="J1287" s="48"/>
      <c r="K1287" s="49"/>
      <c r="L1287" s="47"/>
      <c r="M1287" s="48"/>
      <c r="N1287" s="49"/>
      <c r="O1287" s="47"/>
      <c r="P1287" s="48"/>
      <c r="Q1287" s="49"/>
      <c r="T1287" s="20"/>
    </row>
    <row r="1288" spans="1:20">
      <c r="A1288" s="47" t="s">
        <v>100</v>
      </c>
      <c r="B1288" s="49"/>
      <c r="C1288" s="47"/>
      <c r="D1288" s="48"/>
      <c r="E1288" s="49"/>
      <c r="F1288" s="47">
        <f>F1215+C1288</f>
        <v>2</v>
      </c>
      <c r="G1288" s="48"/>
      <c r="H1288" s="49"/>
      <c r="I1288" s="47"/>
      <c r="J1288" s="48"/>
      <c r="K1288" s="49"/>
      <c r="L1288" s="47"/>
      <c r="M1288" s="48"/>
      <c r="N1288" s="49"/>
      <c r="O1288" s="47"/>
      <c r="P1288" s="48"/>
      <c r="Q1288" s="49"/>
      <c r="T1288" s="20"/>
    </row>
    <row r="1289" spans="1:20">
      <c r="A1289" s="47"/>
      <c r="B1289" s="49"/>
      <c r="C1289" s="47"/>
      <c r="D1289" s="48"/>
      <c r="E1289" s="49"/>
      <c r="F1289" s="47"/>
      <c r="G1289" s="48"/>
      <c r="H1289" s="49"/>
      <c r="I1289" s="47"/>
      <c r="J1289" s="48"/>
      <c r="K1289" s="49"/>
      <c r="L1289" s="47"/>
      <c r="M1289" s="48"/>
      <c r="N1289" s="49"/>
      <c r="O1289" s="47"/>
      <c r="P1289" s="48"/>
      <c r="Q1289" s="49"/>
      <c r="T1289" s="20"/>
    </row>
    <row r="1290" spans="1:20">
      <c r="A1290" s="46"/>
      <c r="B1290" s="46"/>
      <c r="C1290" s="47"/>
      <c r="D1290" s="48"/>
      <c r="E1290" s="49"/>
      <c r="F1290" s="47"/>
      <c r="G1290" s="48"/>
      <c r="H1290" s="49"/>
      <c r="I1290" s="47"/>
      <c r="J1290" s="48"/>
      <c r="K1290" s="49"/>
      <c r="L1290" s="47"/>
      <c r="M1290" s="48"/>
      <c r="N1290" s="49"/>
      <c r="O1290" s="47"/>
      <c r="P1290" s="48"/>
      <c r="Q1290" s="49"/>
      <c r="T1290" s="20"/>
    </row>
    <row r="1291" spans="1:20">
      <c r="A1291" s="46"/>
      <c r="B1291" s="46"/>
      <c r="C1291" s="47"/>
      <c r="D1291" s="48"/>
      <c r="E1291" s="49"/>
      <c r="F1291" s="47"/>
      <c r="G1291" s="48"/>
      <c r="H1291" s="49"/>
      <c r="I1291" s="47"/>
      <c r="J1291" s="48"/>
      <c r="K1291" s="49"/>
      <c r="L1291" s="47"/>
      <c r="M1291" s="48"/>
      <c r="N1291" s="49"/>
      <c r="O1291" s="47"/>
      <c r="P1291" s="48"/>
      <c r="Q1291" s="49"/>
      <c r="T1291" s="20"/>
    </row>
    <row r="1292" spans="1:20">
      <c r="A1292" s="50" t="s">
        <v>43</v>
      </c>
      <c r="B1292" s="51"/>
      <c r="C1292" s="51"/>
      <c r="D1292" s="51"/>
      <c r="E1292" s="51"/>
      <c r="F1292" s="51"/>
      <c r="G1292" s="51"/>
      <c r="H1292" s="51"/>
      <c r="I1292" s="51"/>
      <c r="J1292" s="51"/>
      <c r="K1292" s="51"/>
      <c r="L1292" s="51"/>
      <c r="M1292" s="51"/>
      <c r="N1292" s="51"/>
      <c r="O1292" s="51"/>
      <c r="P1292" s="51"/>
      <c r="Q1292" s="52"/>
      <c r="T1292" s="20"/>
    </row>
    <row r="1293" spans="1:20">
      <c r="A1293" s="38" t="s">
        <v>44</v>
      </c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40"/>
      <c r="T1293" s="20"/>
    </row>
    <row r="1294" spans="1:20">
      <c r="A1294" s="41" t="s">
        <v>45</v>
      </c>
      <c r="B1294" s="42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  <c r="P1294" s="42"/>
      <c r="Q1294" s="43"/>
      <c r="T1294" s="20"/>
    </row>
    <row r="1295" spans="1:20">
      <c r="A1295" s="50" t="s">
        <v>46</v>
      </c>
      <c r="B1295" s="51"/>
      <c r="C1295" s="51"/>
      <c r="D1295" s="51"/>
      <c r="E1295" s="51"/>
      <c r="F1295" s="51"/>
      <c r="G1295" s="51"/>
      <c r="H1295" s="51"/>
      <c r="I1295" s="51"/>
      <c r="J1295" s="51"/>
      <c r="K1295" s="51"/>
      <c r="L1295" s="51"/>
      <c r="M1295" s="51"/>
      <c r="N1295" s="51"/>
      <c r="O1295" s="51"/>
      <c r="P1295" s="51"/>
      <c r="Q1295" s="52"/>
      <c r="T1295" s="20"/>
    </row>
    <row r="1296" spans="1:20">
      <c r="A1296" s="38" t="s">
        <v>47</v>
      </c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40"/>
      <c r="T1296" s="20"/>
    </row>
    <row r="1297" spans="1:20">
      <c r="A1297" s="38" t="s">
        <v>48</v>
      </c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40"/>
      <c r="T1297" s="20"/>
    </row>
    <row r="1298" spans="1:20">
      <c r="A1298" s="38" t="s">
        <v>49</v>
      </c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40"/>
      <c r="T1298" s="20"/>
    </row>
    <row r="1299" spans="1:20">
      <c r="A1299" s="38" t="s">
        <v>50</v>
      </c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40"/>
      <c r="T1299" s="20"/>
    </row>
    <row r="1300" spans="1:20">
      <c r="A1300" s="38" t="s">
        <v>51</v>
      </c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40"/>
      <c r="T1300" s="20"/>
    </row>
    <row r="1301" spans="1:20">
      <c r="A1301" s="41" t="s">
        <v>52</v>
      </c>
      <c r="B1301" s="42"/>
      <c r="C1301" s="42"/>
      <c r="D1301" s="42"/>
      <c r="E1301" s="42"/>
      <c r="F1301" s="42"/>
      <c r="G1301" s="42"/>
      <c r="H1301" s="42"/>
      <c r="I1301" s="42"/>
      <c r="J1301" s="42"/>
      <c r="K1301" s="42"/>
      <c r="L1301" s="42"/>
      <c r="M1301" s="42"/>
      <c r="N1301" s="42"/>
      <c r="O1301" s="42"/>
      <c r="P1301" s="42"/>
      <c r="Q1301" s="43"/>
      <c r="T1301" s="20"/>
    </row>
    <row r="1302" spans="1:20">
      <c r="A1302" s="44" t="s">
        <v>53</v>
      </c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T1302" s="20"/>
    </row>
    <row r="1303" spans="1:20">
      <c r="A1303" s="44" t="s">
        <v>54</v>
      </c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T1303" s="20"/>
    </row>
    <row r="1304" spans="1:20">
      <c r="A1304" s="44" t="s">
        <v>101</v>
      </c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T1304" s="20"/>
    </row>
    <row r="1305" spans="1:20">
      <c r="A1305" s="44" t="s">
        <v>55</v>
      </c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T1305" s="20"/>
    </row>
    <row r="1306" spans="1:20">
      <c r="A1306" s="45" t="s">
        <v>56</v>
      </c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T1306" s="20"/>
    </row>
    <row r="1307" spans="1:20">
      <c r="A1307" s="37" t="s">
        <v>57</v>
      </c>
      <c r="B1307" s="37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  <c r="P1307" s="37"/>
      <c r="Q1307" s="37"/>
      <c r="T1307" s="20"/>
    </row>
    <row r="1308" spans="1:20">
      <c r="A1308" s="37" t="s">
        <v>58</v>
      </c>
      <c r="B1308" s="37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T1308" s="20"/>
    </row>
    <row r="1309" spans="1:20">
      <c r="A1309" s="37" t="s">
        <v>59</v>
      </c>
      <c r="B1309" s="37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T1309" s="20"/>
    </row>
    <row r="1310" spans="1:20">
      <c r="A1310" s="37" t="s">
        <v>60</v>
      </c>
      <c r="B1310" s="37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T1310" s="20"/>
    </row>
    <row r="1311" spans="1:20">
      <c r="A1311" s="37" t="s">
        <v>61</v>
      </c>
      <c r="B1311" s="37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  <c r="P1311" s="37"/>
      <c r="Q1311" s="37"/>
      <c r="T1311" s="20"/>
    </row>
    <row r="1312" spans="1:20">
      <c r="A1312" s="37" t="s">
        <v>62</v>
      </c>
      <c r="B1312" s="37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T1312" s="20"/>
    </row>
    <row r="1313" spans="1:21">
      <c r="A1313" s="37" t="s">
        <v>63</v>
      </c>
      <c r="B1313" s="37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T1313" s="20"/>
    </row>
    <row r="1314" spans="1:21">
      <c r="A1314" s="37" t="s">
        <v>75</v>
      </c>
      <c r="B1314" s="37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T1314" s="20"/>
    </row>
    <row r="1315" spans="1:21" ht="39" customHeight="1">
      <c r="B1315" s="120" t="s">
        <v>0</v>
      </c>
      <c r="C1315" s="120"/>
      <c r="D1315" s="120"/>
      <c r="E1315" s="120"/>
      <c r="F1315" s="120"/>
      <c r="G1315" s="120"/>
      <c r="H1315" s="120"/>
      <c r="I1315" s="120"/>
      <c r="J1315" s="120"/>
      <c r="K1315" s="120"/>
      <c r="L1315" s="120"/>
      <c r="M1315" s="120"/>
      <c r="N1315" s="120"/>
      <c r="O1315" s="120"/>
      <c r="P1315" s="120"/>
      <c r="Q1315" s="120"/>
      <c r="T1315" s="20"/>
    </row>
    <row r="1316" spans="1:21">
      <c r="B1316" s="6" t="s">
        <v>1</v>
      </c>
      <c r="C1316" s="121" t="s">
        <v>2</v>
      </c>
      <c r="D1316" s="121"/>
      <c r="E1316" s="1" t="s">
        <v>3</v>
      </c>
      <c r="F1316" s="121" t="s">
        <v>4</v>
      </c>
      <c r="G1316" s="121"/>
      <c r="H1316" s="1" t="s">
        <v>3</v>
      </c>
      <c r="I1316" s="1"/>
      <c r="J1316" s="121" t="s">
        <v>5</v>
      </c>
      <c r="K1316" s="121"/>
      <c r="L1316" s="121"/>
      <c r="M1316" s="122">
        <f>M1243+1</f>
        <v>46245</v>
      </c>
      <c r="N1316" s="122"/>
      <c r="O1316" s="122"/>
      <c r="P1316" s="123"/>
      <c r="Q1316" s="123"/>
      <c r="T1316" s="20"/>
    </row>
    <row r="1317" spans="1:21">
      <c r="A1317" s="96" t="s">
        <v>6</v>
      </c>
      <c r="B1317" s="96"/>
      <c r="C1317" s="124" t="s">
        <v>79</v>
      </c>
      <c r="D1317" s="125"/>
      <c r="E1317" s="125"/>
      <c r="F1317" s="125"/>
      <c r="G1317" s="125"/>
      <c r="H1317" s="125"/>
      <c r="I1317" s="126"/>
      <c r="J1317" s="127" t="s">
        <v>7</v>
      </c>
      <c r="K1317" s="128"/>
      <c r="L1317" s="128"/>
      <c r="M1317" s="129"/>
      <c r="N1317" s="130" t="s">
        <v>78</v>
      </c>
      <c r="O1317" s="130"/>
      <c r="P1317" s="130"/>
      <c r="Q1317" s="131"/>
      <c r="T1317" s="20"/>
    </row>
    <row r="1318" spans="1:21">
      <c r="A1318" s="96" t="s">
        <v>8</v>
      </c>
      <c r="B1318" s="96"/>
      <c r="C1318" s="4">
        <v>30</v>
      </c>
      <c r="D1318" s="3" t="s">
        <v>9</v>
      </c>
      <c r="E1318" s="127" t="s">
        <v>10</v>
      </c>
      <c r="F1318" s="129"/>
      <c r="G1318" s="127">
        <f>G1245+1</f>
        <v>19</v>
      </c>
      <c r="H1318" s="128"/>
      <c r="I1318" s="3" t="s">
        <v>9</v>
      </c>
      <c r="J1318" s="96" t="s">
        <v>11</v>
      </c>
      <c r="K1318" s="96"/>
      <c r="L1318" s="35">
        <f>C1318-G1318</f>
        <v>11</v>
      </c>
      <c r="M1318" s="2" t="s">
        <v>9</v>
      </c>
      <c r="N1318" s="96" t="s">
        <v>12</v>
      </c>
      <c r="O1318" s="96"/>
      <c r="P1318" s="2"/>
      <c r="Q1318" s="3" t="s">
        <v>9</v>
      </c>
      <c r="T1318" s="20"/>
    </row>
    <row r="1319" spans="1:21">
      <c r="A1319" s="96" t="s">
        <v>13</v>
      </c>
      <c r="B1319" s="96"/>
      <c r="C1319" s="132">
        <v>46227</v>
      </c>
      <c r="D1319" s="132"/>
      <c r="E1319" s="132"/>
      <c r="F1319" s="132"/>
      <c r="G1319" s="132"/>
      <c r="H1319" s="132"/>
      <c r="I1319" s="132"/>
      <c r="J1319" s="127" t="s">
        <v>14</v>
      </c>
      <c r="K1319" s="128"/>
      <c r="L1319" s="128"/>
      <c r="M1319" s="129"/>
      <c r="N1319" s="133">
        <v>46256</v>
      </c>
      <c r="O1319" s="134"/>
      <c r="P1319" s="134"/>
      <c r="Q1319" s="135"/>
      <c r="T1319" s="20"/>
    </row>
    <row r="1320" spans="1:21">
      <c r="A1320" s="96" t="s">
        <v>15</v>
      </c>
      <c r="B1320" s="96"/>
      <c r="C1320" s="97"/>
      <c r="D1320" s="98"/>
      <c r="E1320" s="98"/>
      <c r="F1320" s="98"/>
      <c r="G1320" s="98"/>
      <c r="H1320" s="99" t="s">
        <v>16</v>
      </c>
      <c r="I1320" s="100"/>
      <c r="J1320" s="101" t="s">
        <v>17</v>
      </c>
      <c r="K1320" s="101"/>
      <c r="L1320" s="101"/>
      <c r="M1320" s="101"/>
      <c r="N1320" s="102">
        <f>U1343</f>
        <v>0.66357166075476814</v>
      </c>
      <c r="O1320" s="102"/>
      <c r="P1320" s="102"/>
      <c r="Q1320" s="102"/>
      <c r="T1320" s="20"/>
    </row>
    <row r="1321" spans="1:21">
      <c r="A1321" s="103" t="s">
        <v>18</v>
      </c>
      <c r="B1321" s="104"/>
      <c r="C1321" s="104"/>
      <c r="D1321" s="104"/>
      <c r="E1321" s="104"/>
      <c r="F1321" s="104"/>
      <c r="G1321" s="104"/>
      <c r="H1321" s="104"/>
      <c r="I1321" s="104"/>
      <c r="J1321" s="104"/>
      <c r="K1321" s="104"/>
      <c r="L1321" s="104"/>
      <c r="M1321" s="104"/>
      <c r="N1321" s="104"/>
      <c r="O1321" s="104"/>
      <c r="P1321" s="104"/>
      <c r="Q1321" s="105"/>
      <c r="T1321" s="20"/>
    </row>
    <row r="1322" spans="1:21">
      <c r="A1322" s="7"/>
      <c r="B1322" s="106" t="s">
        <v>19</v>
      </c>
      <c r="C1322" s="107"/>
      <c r="D1322" s="107"/>
      <c r="E1322" s="107"/>
      <c r="F1322" s="107"/>
      <c r="G1322" s="108"/>
      <c r="H1322" s="8" t="s">
        <v>20</v>
      </c>
      <c r="I1322" s="109" t="s">
        <v>21</v>
      </c>
      <c r="J1322" s="110"/>
      <c r="K1322" s="111"/>
      <c r="L1322" s="109" t="s">
        <v>28</v>
      </c>
      <c r="M1322" s="111"/>
      <c r="N1322" s="106" t="s">
        <v>22</v>
      </c>
      <c r="O1322" s="112"/>
      <c r="P1322" s="113" t="s">
        <v>23</v>
      </c>
      <c r="Q1322" s="113"/>
      <c r="S1322" s="33" t="s">
        <v>22</v>
      </c>
      <c r="T1322" s="34" t="s">
        <v>64</v>
      </c>
      <c r="U1322" s="13" t="s">
        <v>27</v>
      </c>
    </row>
    <row r="1323" spans="1:21">
      <c r="A1323" s="17" t="s">
        <v>65</v>
      </c>
      <c r="B1323" s="114" t="s">
        <v>66</v>
      </c>
      <c r="C1323" s="115"/>
      <c r="D1323" s="115"/>
      <c r="E1323" s="115"/>
      <c r="F1323" s="115"/>
      <c r="G1323" s="116"/>
      <c r="H1323" s="17"/>
      <c r="I1323" s="117"/>
      <c r="J1323" s="118"/>
      <c r="K1323" s="119"/>
      <c r="L1323" s="77"/>
      <c r="M1323" s="78"/>
      <c r="N1323" s="77"/>
      <c r="O1323" s="78"/>
      <c r="P1323" s="93"/>
      <c r="Q1323" s="93"/>
      <c r="S1323" s="16"/>
      <c r="T1323" s="16"/>
      <c r="U1323" s="16" t="s">
        <v>26</v>
      </c>
    </row>
    <row r="1324" spans="1:21">
      <c r="A1324" s="17">
        <v>1</v>
      </c>
      <c r="B1324" s="81" t="s">
        <v>80</v>
      </c>
      <c r="C1324" s="82"/>
      <c r="D1324" s="82"/>
      <c r="E1324" s="82"/>
      <c r="F1324" s="82"/>
      <c r="G1324" s="83"/>
      <c r="H1324" s="29" t="s">
        <v>67</v>
      </c>
      <c r="I1324" s="84">
        <v>18</v>
      </c>
      <c r="J1324" s="85"/>
      <c r="K1324" s="86"/>
      <c r="L1324" s="87"/>
      <c r="M1324" s="88"/>
      <c r="N1324" s="89"/>
      <c r="O1324" s="90"/>
      <c r="P1324" s="93"/>
      <c r="Q1324" s="93"/>
      <c r="S1324" s="12"/>
      <c r="T1324" s="26">
        <v>18000</v>
      </c>
      <c r="U1324" s="12">
        <f>S1324*T1324</f>
        <v>0</v>
      </c>
    </row>
    <row r="1325" spans="1:21" ht="32.1" customHeight="1">
      <c r="A1325" s="17">
        <v>2</v>
      </c>
      <c r="B1325" s="81" t="s">
        <v>81</v>
      </c>
      <c r="C1325" s="82" t="s">
        <v>81</v>
      </c>
      <c r="D1325" s="82" t="s">
        <v>81</v>
      </c>
      <c r="E1325" s="82" t="s">
        <v>81</v>
      </c>
      <c r="F1325" s="82" t="s">
        <v>81</v>
      </c>
      <c r="G1325" s="83" t="s">
        <v>81</v>
      </c>
      <c r="H1325" s="29" t="s">
        <v>97</v>
      </c>
      <c r="I1325" s="84">
        <v>166</v>
      </c>
      <c r="J1325" s="85"/>
      <c r="K1325" s="86"/>
      <c r="L1325" s="87"/>
      <c r="M1325" s="88"/>
      <c r="N1325" s="89">
        <v>166</v>
      </c>
      <c r="O1325" s="90"/>
      <c r="P1325" s="93"/>
      <c r="Q1325" s="93"/>
      <c r="S1325" s="12">
        <v>166</v>
      </c>
      <c r="T1325" s="26">
        <v>750</v>
      </c>
      <c r="U1325" s="12">
        <f t="shared" ref="U1325:U1335" si="36">S1325*T1325</f>
        <v>124500</v>
      </c>
    </row>
    <row r="1326" spans="1:21">
      <c r="A1326" s="17">
        <v>3</v>
      </c>
      <c r="B1326" s="81" t="s">
        <v>82</v>
      </c>
      <c r="C1326" s="82" t="s">
        <v>82</v>
      </c>
      <c r="D1326" s="82" t="s">
        <v>82</v>
      </c>
      <c r="E1326" s="82" t="s">
        <v>82</v>
      </c>
      <c r="F1326" s="82" t="s">
        <v>82</v>
      </c>
      <c r="G1326" s="83" t="s">
        <v>82</v>
      </c>
      <c r="H1326" s="29" t="s">
        <v>97</v>
      </c>
      <c r="I1326" s="84">
        <v>540</v>
      </c>
      <c r="J1326" s="85">
        <v>540</v>
      </c>
      <c r="K1326" s="86">
        <v>540</v>
      </c>
      <c r="L1326" s="87"/>
      <c r="M1326" s="88"/>
      <c r="N1326" s="89">
        <v>540</v>
      </c>
      <c r="O1326" s="90"/>
      <c r="P1326" s="93"/>
      <c r="Q1326" s="93"/>
      <c r="S1326" s="12">
        <v>540</v>
      </c>
      <c r="T1326" s="26">
        <v>340</v>
      </c>
      <c r="U1326" s="12">
        <f t="shared" si="36"/>
        <v>183600</v>
      </c>
    </row>
    <row r="1327" spans="1:21">
      <c r="A1327" s="17">
        <v>4</v>
      </c>
      <c r="B1327" s="81" t="s">
        <v>83</v>
      </c>
      <c r="C1327" s="82" t="s">
        <v>83</v>
      </c>
      <c r="D1327" s="82" t="s">
        <v>83</v>
      </c>
      <c r="E1327" s="82" t="s">
        <v>83</v>
      </c>
      <c r="F1327" s="82" t="s">
        <v>83</v>
      </c>
      <c r="G1327" s="83" t="s">
        <v>83</v>
      </c>
      <c r="H1327" s="29" t="s">
        <v>67</v>
      </c>
      <c r="I1327" s="84">
        <v>20</v>
      </c>
      <c r="J1327" s="85">
        <v>20</v>
      </c>
      <c r="K1327" s="86">
        <v>20</v>
      </c>
      <c r="L1327" s="87"/>
      <c r="M1327" s="88"/>
      <c r="N1327" s="89">
        <v>20</v>
      </c>
      <c r="O1327" s="90"/>
      <c r="P1327" s="93"/>
      <c r="Q1327" s="93"/>
      <c r="S1327" s="12">
        <v>20</v>
      </c>
      <c r="T1327" s="26">
        <v>1250</v>
      </c>
      <c r="U1327" s="12">
        <f t="shared" si="36"/>
        <v>25000</v>
      </c>
    </row>
    <row r="1328" spans="1:21" ht="32.1" customHeight="1">
      <c r="A1328" s="17">
        <v>5</v>
      </c>
      <c r="B1328" s="81" t="s">
        <v>84</v>
      </c>
      <c r="C1328" s="82" t="s">
        <v>84</v>
      </c>
      <c r="D1328" s="82" t="s">
        <v>84</v>
      </c>
      <c r="E1328" s="82" t="s">
        <v>84</v>
      </c>
      <c r="F1328" s="82" t="s">
        <v>84</v>
      </c>
      <c r="G1328" s="83" t="s">
        <v>84</v>
      </c>
      <c r="H1328" s="29" t="s">
        <v>97</v>
      </c>
      <c r="I1328" s="84">
        <v>28</v>
      </c>
      <c r="J1328" s="85">
        <v>28</v>
      </c>
      <c r="K1328" s="86">
        <v>28</v>
      </c>
      <c r="L1328" s="87"/>
      <c r="M1328" s="88"/>
      <c r="N1328" s="89">
        <v>28</v>
      </c>
      <c r="O1328" s="90"/>
      <c r="P1328" s="93"/>
      <c r="Q1328" s="93"/>
      <c r="S1328" s="12">
        <v>28</v>
      </c>
      <c r="T1328" s="26">
        <v>1800</v>
      </c>
      <c r="U1328" s="12">
        <f t="shared" si="36"/>
        <v>50400</v>
      </c>
    </row>
    <row r="1329" spans="1:22">
      <c r="A1329" s="17">
        <v>6</v>
      </c>
      <c r="B1329" s="81" t="s">
        <v>85</v>
      </c>
      <c r="C1329" s="82" t="s">
        <v>85</v>
      </c>
      <c r="D1329" s="82" t="s">
        <v>85</v>
      </c>
      <c r="E1329" s="82" t="s">
        <v>85</v>
      </c>
      <c r="F1329" s="82" t="s">
        <v>85</v>
      </c>
      <c r="G1329" s="83" t="s">
        <v>85</v>
      </c>
      <c r="H1329" s="29" t="s">
        <v>97</v>
      </c>
      <c r="I1329" s="84">
        <v>14</v>
      </c>
      <c r="J1329" s="85">
        <v>14</v>
      </c>
      <c r="K1329" s="86">
        <v>14</v>
      </c>
      <c r="L1329" s="87"/>
      <c r="M1329" s="88"/>
      <c r="N1329" s="89">
        <v>14</v>
      </c>
      <c r="O1329" s="90"/>
      <c r="P1329" s="79"/>
      <c r="Q1329" s="80"/>
      <c r="S1329" s="12">
        <v>14</v>
      </c>
      <c r="T1329" s="26">
        <v>4000</v>
      </c>
      <c r="U1329" s="12">
        <f t="shared" si="36"/>
        <v>56000</v>
      </c>
    </row>
    <row r="1330" spans="1:22">
      <c r="A1330" s="17">
        <v>7</v>
      </c>
      <c r="B1330" s="81" t="s">
        <v>86</v>
      </c>
      <c r="C1330" s="82" t="s">
        <v>86</v>
      </c>
      <c r="D1330" s="82" t="s">
        <v>86</v>
      </c>
      <c r="E1330" s="82" t="s">
        <v>86</v>
      </c>
      <c r="F1330" s="82" t="s">
        <v>86</v>
      </c>
      <c r="G1330" s="83" t="s">
        <v>86</v>
      </c>
      <c r="H1330" s="29" t="s">
        <v>97</v>
      </c>
      <c r="I1330" s="84">
        <v>30</v>
      </c>
      <c r="J1330" s="85">
        <v>30</v>
      </c>
      <c r="K1330" s="86">
        <v>30</v>
      </c>
      <c r="L1330" s="87"/>
      <c r="M1330" s="88"/>
      <c r="N1330" s="89">
        <v>30</v>
      </c>
      <c r="O1330" s="90"/>
      <c r="P1330" s="93"/>
      <c r="Q1330" s="93"/>
      <c r="S1330" s="12">
        <v>30</v>
      </c>
      <c r="T1330" s="26">
        <v>4000</v>
      </c>
      <c r="U1330" s="12">
        <f t="shared" si="36"/>
        <v>120000</v>
      </c>
    </row>
    <row r="1331" spans="1:22">
      <c r="A1331" s="17">
        <v>8</v>
      </c>
      <c r="B1331" s="81" t="s">
        <v>87</v>
      </c>
      <c r="C1331" s="82" t="s">
        <v>87</v>
      </c>
      <c r="D1331" s="82" t="s">
        <v>87</v>
      </c>
      <c r="E1331" s="82" t="s">
        <v>87</v>
      </c>
      <c r="F1331" s="82" t="s">
        <v>87</v>
      </c>
      <c r="G1331" s="83" t="s">
        <v>87</v>
      </c>
      <c r="H1331" s="30" t="s">
        <v>25</v>
      </c>
      <c r="I1331" s="84">
        <v>1</v>
      </c>
      <c r="J1331" s="85">
        <v>1</v>
      </c>
      <c r="K1331" s="86">
        <v>1</v>
      </c>
      <c r="L1331" s="94"/>
      <c r="M1331" s="95"/>
      <c r="N1331" s="94">
        <v>1</v>
      </c>
      <c r="O1331" s="95"/>
      <c r="P1331" s="93"/>
      <c r="Q1331" s="93"/>
      <c r="S1331" s="16">
        <v>1</v>
      </c>
      <c r="T1331" s="26">
        <v>31000</v>
      </c>
      <c r="U1331" s="12">
        <f t="shared" si="36"/>
        <v>31000</v>
      </c>
    </row>
    <row r="1332" spans="1:22">
      <c r="A1332" s="17">
        <v>9</v>
      </c>
      <c r="B1332" s="81" t="s">
        <v>88</v>
      </c>
      <c r="C1332" s="82" t="s">
        <v>88</v>
      </c>
      <c r="D1332" s="82" t="s">
        <v>88</v>
      </c>
      <c r="E1332" s="82" t="s">
        <v>88</v>
      </c>
      <c r="F1332" s="82" t="s">
        <v>88</v>
      </c>
      <c r="G1332" s="83" t="s">
        <v>88</v>
      </c>
      <c r="H1332" s="30" t="s">
        <v>25</v>
      </c>
      <c r="I1332" s="84">
        <v>1</v>
      </c>
      <c r="J1332" s="85">
        <v>1</v>
      </c>
      <c r="K1332" s="86">
        <v>1</v>
      </c>
      <c r="L1332" s="87"/>
      <c r="M1332" s="88"/>
      <c r="N1332" s="89"/>
      <c r="O1332" s="90"/>
      <c r="P1332" s="93"/>
      <c r="Q1332" s="93"/>
      <c r="S1332" s="12"/>
      <c r="T1332" s="26">
        <v>30121</v>
      </c>
      <c r="U1332" s="12">
        <f t="shared" si="36"/>
        <v>0</v>
      </c>
    </row>
    <row r="1333" spans="1:22">
      <c r="A1333" s="17">
        <v>10</v>
      </c>
      <c r="B1333" s="81" t="s">
        <v>89</v>
      </c>
      <c r="C1333" s="82"/>
      <c r="D1333" s="82"/>
      <c r="E1333" s="82"/>
      <c r="F1333" s="82"/>
      <c r="G1333" s="83"/>
      <c r="H1333" s="30" t="s">
        <v>98</v>
      </c>
      <c r="I1333" s="84">
        <v>3</v>
      </c>
      <c r="J1333" s="85"/>
      <c r="K1333" s="86"/>
      <c r="L1333" s="87"/>
      <c r="M1333" s="88"/>
      <c r="N1333" s="89">
        <v>3</v>
      </c>
      <c r="O1333" s="90"/>
      <c r="P1333" s="91"/>
      <c r="Q1333" s="92"/>
      <c r="S1333" s="12">
        <v>3</v>
      </c>
      <c r="T1333" s="26">
        <v>14500</v>
      </c>
      <c r="U1333" s="12">
        <f t="shared" si="36"/>
        <v>43500</v>
      </c>
    </row>
    <row r="1334" spans="1:22">
      <c r="A1334" s="17">
        <v>11</v>
      </c>
      <c r="B1334" s="81" t="s">
        <v>90</v>
      </c>
      <c r="C1334" s="82"/>
      <c r="D1334" s="82"/>
      <c r="E1334" s="82"/>
      <c r="F1334" s="82"/>
      <c r="G1334" s="83"/>
      <c r="H1334" s="29" t="s">
        <v>67</v>
      </c>
      <c r="I1334" s="84">
        <v>6</v>
      </c>
      <c r="J1334" s="85"/>
      <c r="K1334" s="86"/>
      <c r="L1334" s="87"/>
      <c r="M1334" s="88"/>
      <c r="N1334" s="89">
        <v>6</v>
      </c>
      <c r="O1334" s="90"/>
      <c r="P1334" s="91"/>
      <c r="Q1334" s="92"/>
      <c r="S1334" s="12">
        <v>6</v>
      </c>
      <c r="T1334" s="26">
        <v>3500</v>
      </c>
      <c r="U1334" s="12">
        <f t="shared" si="36"/>
        <v>21000</v>
      </c>
    </row>
    <row r="1335" spans="1:22">
      <c r="A1335" s="17">
        <v>12</v>
      </c>
      <c r="B1335" s="81" t="s">
        <v>91</v>
      </c>
      <c r="C1335" s="82" t="s">
        <v>89</v>
      </c>
      <c r="D1335" s="82" t="s">
        <v>89</v>
      </c>
      <c r="E1335" s="82" t="s">
        <v>89</v>
      </c>
      <c r="F1335" s="82" t="s">
        <v>89</v>
      </c>
      <c r="G1335" s="83" t="s">
        <v>89</v>
      </c>
      <c r="H1335" s="29" t="s">
        <v>67</v>
      </c>
      <c r="I1335" s="84">
        <v>10</v>
      </c>
      <c r="J1335" s="85">
        <v>10</v>
      </c>
      <c r="K1335" s="86">
        <v>10</v>
      </c>
      <c r="L1335" s="87"/>
      <c r="M1335" s="88"/>
      <c r="N1335" s="89">
        <v>10</v>
      </c>
      <c r="O1335" s="90"/>
      <c r="P1335" s="93"/>
      <c r="Q1335" s="93"/>
      <c r="S1335" s="12">
        <v>10</v>
      </c>
      <c r="T1335" s="26">
        <v>3000</v>
      </c>
      <c r="U1335" s="12">
        <f t="shared" si="36"/>
        <v>30000</v>
      </c>
      <c r="V1335" s="22">
        <f>SUM(U1324:U1335)</f>
        <v>685000</v>
      </c>
    </row>
    <row r="1336" spans="1:22">
      <c r="A1336" s="17" t="s">
        <v>76</v>
      </c>
      <c r="B1336" s="71" t="s">
        <v>92</v>
      </c>
      <c r="C1336" s="72"/>
      <c r="D1336" s="72"/>
      <c r="E1336" s="72"/>
      <c r="F1336" s="72"/>
      <c r="G1336" s="73"/>
      <c r="H1336" s="30" t="s">
        <v>24</v>
      </c>
      <c r="I1336" s="84">
        <v>1</v>
      </c>
      <c r="J1336" s="85">
        <v>10</v>
      </c>
      <c r="K1336" s="86">
        <v>10</v>
      </c>
      <c r="L1336" s="77"/>
      <c r="M1336" s="78"/>
      <c r="N1336" s="77">
        <v>1</v>
      </c>
      <c r="O1336" s="78"/>
      <c r="P1336" s="79"/>
      <c r="Q1336" s="80"/>
      <c r="S1336" s="12">
        <v>1</v>
      </c>
      <c r="T1336" s="25">
        <v>10391</v>
      </c>
      <c r="U1336" s="12">
        <f>S1336*T1336</f>
        <v>10391</v>
      </c>
      <c r="V1336" s="27"/>
    </row>
    <row r="1337" spans="1:22">
      <c r="A1337" s="23" t="s">
        <v>68</v>
      </c>
      <c r="B1337" s="71" t="s">
        <v>93</v>
      </c>
      <c r="C1337" s="72"/>
      <c r="D1337" s="72"/>
      <c r="E1337" s="72"/>
      <c r="F1337" s="72"/>
      <c r="G1337" s="73"/>
      <c r="H1337" s="30" t="s">
        <v>24</v>
      </c>
      <c r="I1337" s="74">
        <v>1</v>
      </c>
      <c r="J1337" s="75"/>
      <c r="K1337" s="76"/>
      <c r="L1337" s="77">
        <f>N1337-N1264</f>
        <v>0</v>
      </c>
      <c r="M1337" s="78"/>
      <c r="N1337" s="77">
        <f>S1337</f>
        <v>0.65922432874603021</v>
      </c>
      <c r="O1337" s="78"/>
      <c r="P1337" s="77"/>
      <c r="Q1337" s="78"/>
      <c r="S1337" s="21">
        <f>V1335*0.01/T1337</f>
        <v>0.65922432874603021</v>
      </c>
      <c r="T1337" s="25">
        <v>10391</v>
      </c>
      <c r="U1337" s="12">
        <f t="shared" ref="U1337:U1338" si="37">S1337*T1337</f>
        <v>6850</v>
      </c>
    </row>
    <row r="1338" spans="1:22">
      <c r="A1338" s="23" t="s">
        <v>69</v>
      </c>
      <c r="B1338" s="58" t="s">
        <v>94</v>
      </c>
      <c r="C1338" s="59" t="s">
        <v>70</v>
      </c>
      <c r="D1338" s="59" t="s">
        <v>70</v>
      </c>
      <c r="E1338" s="59" t="s">
        <v>70</v>
      </c>
      <c r="F1338" s="59" t="s">
        <v>70</v>
      </c>
      <c r="G1338" s="60" t="s">
        <v>70</v>
      </c>
      <c r="H1338" s="30" t="s">
        <v>24</v>
      </c>
      <c r="I1338" s="74">
        <v>1</v>
      </c>
      <c r="J1338" s="75"/>
      <c r="K1338" s="76"/>
      <c r="L1338" s="77">
        <f>N1338-N1265</f>
        <v>0</v>
      </c>
      <c r="M1338" s="78"/>
      <c r="N1338" s="77">
        <f>S1338</f>
        <v>0.6592062029997664</v>
      </c>
      <c r="O1338" s="78"/>
      <c r="P1338" s="77"/>
      <c r="Q1338" s="78"/>
      <c r="S1338" s="21">
        <f>V1335*0.07/T1338</f>
        <v>0.6592062029997664</v>
      </c>
      <c r="T1338" s="25">
        <v>72739</v>
      </c>
      <c r="U1338" s="12">
        <f t="shared" si="37"/>
        <v>47950.000000000007</v>
      </c>
    </row>
    <row r="1339" spans="1:22">
      <c r="A1339" s="23" t="s">
        <v>71</v>
      </c>
      <c r="B1339" s="58" t="s">
        <v>95</v>
      </c>
      <c r="C1339" s="59" t="s">
        <v>72</v>
      </c>
      <c r="D1339" s="59" t="s">
        <v>72</v>
      </c>
      <c r="E1339" s="59" t="s">
        <v>72</v>
      </c>
      <c r="F1339" s="59" t="s">
        <v>72</v>
      </c>
      <c r="G1339" s="60" t="s">
        <v>72</v>
      </c>
      <c r="H1339" s="30" t="s">
        <v>24</v>
      </c>
      <c r="I1339" s="74">
        <v>1</v>
      </c>
      <c r="J1339" s="75"/>
      <c r="K1339" s="76"/>
      <c r="L1339" s="77"/>
      <c r="M1339" s="78"/>
      <c r="N1339" s="77">
        <f>S1339</f>
        <v>1</v>
      </c>
      <c r="O1339" s="78"/>
      <c r="P1339" s="77"/>
      <c r="Q1339" s="78"/>
      <c r="S1339" s="21">
        <v>1</v>
      </c>
      <c r="T1339" s="25">
        <v>4156</v>
      </c>
      <c r="U1339" s="12">
        <f>S1339*T1339</f>
        <v>4156</v>
      </c>
    </row>
    <row r="1340" spans="1:22">
      <c r="A1340" s="23" t="s">
        <v>73</v>
      </c>
      <c r="B1340" s="58" t="s">
        <v>96</v>
      </c>
      <c r="C1340" s="59" t="s">
        <v>74</v>
      </c>
      <c r="D1340" s="59" t="s">
        <v>74</v>
      </c>
      <c r="E1340" s="59" t="s">
        <v>74</v>
      </c>
      <c r="F1340" s="59" t="s">
        <v>74</v>
      </c>
      <c r="G1340" s="60" t="s">
        <v>74</v>
      </c>
      <c r="H1340" s="30" t="s">
        <v>24</v>
      </c>
      <c r="I1340" s="74">
        <v>1</v>
      </c>
      <c r="J1340" s="75"/>
      <c r="K1340" s="76"/>
      <c r="L1340" s="77">
        <f>N1340-N1267</f>
        <v>0</v>
      </c>
      <c r="M1340" s="78"/>
      <c r="N1340" s="77">
        <f>S1340</f>
        <v>0.66357054890921885</v>
      </c>
      <c r="O1340" s="78"/>
      <c r="P1340" s="79"/>
      <c r="Q1340" s="80"/>
      <c r="S1340" s="21">
        <f>(V1335+U1336+U1337+U1338+U1339)*0.05/T1340</f>
        <v>0.66357054890921885</v>
      </c>
      <c r="T1340" s="25">
        <v>56840</v>
      </c>
      <c r="U1340" s="12">
        <f>S1340*T1340</f>
        <v>37717.35</v>
      </c>
    </row>
    <row r="1341" spans="1:22">
      <c r="A1341" s="23"/>
      <c r="B1341" s="58"/>
      <c r="C1341" s="59"/>
      <c r="D1341" s="59"/>
      <c r="E1341" s="59"/>
      <c r="F1341" s="59"/>
      <c r="G1341" s="60"/>
      <c r="H1341" s="24"/>
      <c r="I1341" s="58"/>
      <c r="J1341" s="59"/>
      <c r="K1341" s="59"/>
      <c r="L1341" s="58"/>
      <c r="M1341" s="59"/>
      <c r="N1341" s="58"/>
      <c r="O1341" s="59"/>
      <c r="P1341" s="58"/>
      <c r="Q1341" s="60"/>
      <c r="S1341" s="21"/>
      <c r="T1341" s="25"/>
      <c r="U1341" s="28">
        <f>V1335+U1336+U1337+U1338+U1339+U1340</f>
        <v>792064.35</v>
      </c>
    </row>
    <row r="1342" spans="1:22">
      <c r="A1342" s="23"/>
      <c r="B1342" s="58"/>
      <c r="C1342" s="59"/>
      <c r="D1342" s="59"/>
      <c r="E1342" s="59"/>
      <c r="F1342" s="59"/>
      <c r="G1342" s="60"/>
      <c r="H1342" s="23"/>
      <c r="I1342" s="58"/>
      <c r="J1342" s="59"/>
      <c r="K1342" s="59"/>
      <c r="L1342" s="58"/>
      <c r="M1342" s="59"/>
      <c r="N1342" s="58"/>
      <c r="O1342" s="59"/>
      <c r="P1342" s="58"/>
      <c r="Q1342" s="60"/>
      <c r="S1342" s="21"/>
      <c r="T1342" s="16"/>
      <c r="U1342" s="14">
        <v>1193638</v>
      </c>
    </row>
    <row r="1343" spans="1:22">
      <c r="A1343" s="9"/>
      <c r="B1343" s="58"/>
      <c r="C1343" s="59"/>
      <c r="D1343" s="59"/>
      <c r="E1343" s="59"/>
      <c r="F1343" s="59"/>
      <c r="G1343" s="60"/>
      <c r="H1343" s="9"/>
      <c r="I1343" s="58"/>
      <c r="J1343" s="59"/>
      <c r="K1343" s="59"/>
      <c r="L1343" s="58"/>
      <c r="M1343" s="59"/>
      <c r="N1343" s="58"/>
      <c r="O1343" s="59"/>
      <c r="P1343" s="58"/>
      <c r="Q1343" s="60"/>
      <c r="S1343" s="21"/>
      <c r="T1343" s="16"/>
      <c r="U1343" s="15">
        <f>U1341/U1342</f>
        <v>0.66357166075476814</v>
      </c>
    </row>
    <row r="1344" spans="1:22">
      <c r="A1344" s="9"/>
      <c r="B1344" s="58"/>
      <c r="C1344" s="59"/>
      <c r="D1344" s="59"/>
      <c r="E1344" s="59"/>
      <c r="F1344" s="59"/>
      <c r="G1344" s="60"/>
      <c r="H1344" s="9"/>
      <c r="I1344" s="58"/>
      <c r="J1344" s="59"/>
      <c r="K1344" s="59"/>
      <c r="L1344" s="58"/>
      <c r="M1344" s="59"/>
      <c r="N1344" s="58"/>
      <c r="O1344" s="59"/>
      <c r="P1344" s="58"/>
      <c r="Q1344" s="60"/>
      <c r="S1344" s="21"/>
      <c r="T1344" s="16"/>
      <c r="U1344" s="12"/>
    </row>
    <row r="1345" spans="1:21">
      <c r="A1345" s="9"/>
      <c r="B1345" s="58"/>
      <c r="C1345" s="59"/>
      <c r="D1345" s="59"/>
      <c r="E1345" s="59"/>
      <c r="F1345" s="59"/>
      <c r="G1345" s="60"/>
      <c r="H1345" s="9"/>
      <c r="I1345" s="58"/>
      <c r="J1345" s="59"/>
      <c r="K1345" s="59"/>
      <c r="L1345" s="58"/>
      <c r="M1345" s="59"/>
      <c r="N1345" s="58"/>
      <c r="O1345" s="59"/>
      <c r="P1345" s="58"/>
      <c r="Q1345" s="60"/>
      <c r="S1345" s="21"/>
      <c r="T1345" s="16"/>
      <c r="U1345" s="12"/>
    </row>
    <row r="1346" spans="1:21">
      <c r="A1346" s="9"/>
      <c r="B1346" s="58"/>
      <c r="C1346" s="59"/>
      <c r="D1346" s="59"/>
      <c r="E1346" s="59"/>
      <c r="F1346" s="59"/>
      <c r="G1346" s="60"/>
      <c r="H1346" s="9"/>
      <c r="I1346" s="58"/>
      <c r="J1346" s="59"/>
      <c r="K1346" s="59"/>
      <c r="L1346" s="58"/>
      <c r="M1346" s="59"/>
      <c r="N1346" s="58"/>
      <c r="O1346" s="59"/>
      <c r="P1346" s="58"/>
      <c r="Q1346" s="60"/>
      <c r="S1346" s="21"/>
      <c r="T1346" s="16"/>
      <c r="U1346" s="12"/>
    </row>
    <row r="1347" spans="1:21">
      <c r="A1347" s="9"/>
      <c r="B1347" s="58"/>
      <c r="C1347" s="59"/>
      <c r="D1347" s="59"/>
      <c r="E1347" s="59"/>
      <c r="F1347" s="59"/>
      <c r="G1347" s="60"/>
      <c r="H1347" s="9"/>
      <c r="I1347" s="58"/>
      <c r="J1347" s="59"/>
      <c r="K1347" s="59"/>
      <c r="L1347" s="58"/>
      <c r="M1347" s="59"/>
      <c r="N1347" s="58"/>
      <c r="O1347" s="59"/>
      <c r="P1347" s="58"/>
      <c r="Q1347" s="60"/>
      <c r="S1347" s="21"/>
      <c r="T1347" s="16"/>
      <c r="U1347" s="12"/>
    </row>
    <row r="1348" spans="1:21">
      <c r="A1348" s="7"/>
      <c r="B1348" s="61"/>
      <c r="C1348" s="62"/>
      <c r="D1348" s="62"/>
      <c r="E1348" s="62"/>
      <c r="F1348" s="62"/>
      <c r="G1348" s="63"/>
      <c r="H1348" s="9"/>
      <c r="I1348" s="64"/>
      <c r="J1348" s="65"/>
      <c r="K1348" s="66"/>
      <c r="L1348" s="67"/>
      <c r="M1348" s="68"/>
      <c r="N1348" s="67"/>
      <c r="O1348" s="68"/>
      <c r="P1348" s="69"/>
      <c r="Q1348" s="70"/>
      <c r="S1348" s="21"/>
      <c r="T1348" s="16"/>
    </row>
    <row r="1349" spans="1:21">
      <c r="A1349" s="44" t="s">
        <v>29</v>
      </c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T1349" s="20"/>
    </row>
    <row r="1350" spans="1:21">
      <c r="A1350" s="44" t="s">
        <v>30</v>
      </c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T1350" s="20"/>
    </row>
    <row r="1351" spans="1:21">
      <c r="A1351" s="44" t="s">
        <v>31</v>
      </c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T1351" s="20"/>
    </row>
    <row r="1352" spans="1:21">
      <c r="A1352" s="44" t="s">
        <v>32</v>
      </c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T1352" s="20"/>
    </row>
    <row r="1353" spans="1:21">
      <c r="A1353" s="54" t="s">
        <v>33</v>
      </c>
      <c r="B1353" s="54"/>
      <c r="C1353" s="54"/>
      <c r="D1353" s="54"/>
      <c r="E1353" s="54"/>
      <c r="F1353" s="54"/>
      <c r="G1353" s="54"/>
      <c r="H1353" s="54" t="s">
        <v>20</v>
      </c>
      <c r="I1353" s="54"/>
      <c r="J1353" s="54"/>
      <c r="K1353" s="54" t="s">
        <v>34</v>
      </c>
      <c r="L1353" s="54"/>
      <c r="M1353" s="54" t="s">
        <v>35</v>
      </c>
      <c r="N1353" s="54"/>
      <c r="O1353" s="54" t="s">
        <v>36</v>
      </c>
      <c r="P1353" s="54"/>
      <c r="Q1353" s="54"/>
      <c r="T1353" s="20"/>
    </row>
    <row r="1354" spans="1:21">
      <c r="A1354" s="55"/>
      <c r="B1354" s="56"/>
      <c r="C1354" s="56"/>
      <c r="D1354" s="56"/>
      <c r="E1354" s="56"/>
      <c r="F1354" s="56"/>
      <c r="G1354" s="57"/>
      <c r="H1354" s="55"/>
      <c r="I1354" s="56"/>
      <c r="J1354" s="57"/>
      <c r="K1354" s="55"/>
      <c r="L1354" s="56"/>
      <c r="M1354" s="55"/>
      <c r="N1354" s="56"/>
      <c r="O1354" s="55"/>
      <c r="P1354" s="56"/>
      <c r="Q1354" s="57"/>
      <c r="T1354" s="20"/>
    </row>
    <row r="1355" spans="1:21">
      <c r="A1355" s="55"/>
      <c r="B1355" s="56"/>
      <c r="C1355" s="56"/>
      <c r="D1355" s="56"/>
      <c r="E1355" s="56"/>
      <c r="F1355" s="56"/>
      <c r="G1355" s="57"/>
      <c r="H1355" s="55"/>
      <c r="I1355" s="56"/>
      <c r="J1355" s="57"/>
      <c r="K1355" s="55"/>
      <c r="L1355" s="56"/>
      <c r="M1355" s="55"/>
      <c r="N1355" s="56"/>
      <c r="O1355" s="55"/>
      <c r="P1355" s="56"/>
      <c r="Q1355" s="57"/>
      <c r="T1355" s="20"/>
    </row>
    <row r="1356" spans="1:21">
      <c r="A1356" s="53"/>
      <c r="B1356" s="53"/>
      <c r="C1356" s="53"/>
      <c r="D1356" s="53"/>
      <c r="E1356" s="53"/>
      <c r="F1356" s="53"/>
      <c r="G1356" s="53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T1356" s="20"/>
    </row>
    <row r="1357" spans="1:21">
      <c r="A1357" s="53"/>
      <c r="B1357" s="53"/>
      <c r="C1357" s="53"/>
      <c r="D1357" s="53"/>
      <c r="E1357" s="53"/>
      <c r="F1357" s="53"/>
      <c r="G1357" s="53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T1357" s="20"/>
    </row>
    <row r="1358" spans="1:21">
      <c r="A1358" s="44" t="s">
        <v>37</v>
      </c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T1358" s="20"/>
    </row>
    <row r="1359" spans="1:21">
      <c r="A1359" s="46" t="s">
        <v>38</v>
      </c>
      <c r="B1359" s="46"/>
      <c r="C1359" s="47" t="s">
        <v>39</v>
      </c>
      <c r="D1359" s="48"/>
      <c r="E1359" s="48"/>
      <c r="F1359" s="47" t="s">
        <v>40</v>
      </c>
      <c r="G1359" s="48"/>
      <c r="H1359" s="49"/>
      <c r="I1359" s="46" t="s">
        <v>41</v>
      </c>
      <c r="J1359" s="46"/>
      <c r="K1359" s="46"/>
      <c r="L1359" s="46" t="s">
        <v>35</v>
      </c>
      <c r="M1359" s="46"/>
      <c r="N1359" s="46"/>
      <c r="O1359" s="46" t="s">
        <v>36</v>
      </c>
      <c r="P1359" s="46"/>
      <c r="Q1359" s="46"/>
      <c r="T1359" s="20"/>
    </row>
    <row r="1360" spans="1:21">
      <c r="A1360" s="47" t="s">
        <v>42</v>
      </c>
      <c r="B1360" s="49"/>
      <c r="C1360" s="47"/>
      <c r="D1360" s="48"/>
      <c r="E1360" s="49"/>
      <c r="F1360" s="47">
        <f>F1287+C1360</f>
        <v>26</v>
      </c>
      <c r="G1360" s="48"/>
      <c r="H1360" s="49"/>
      <c r="I1360" s="47"/>
      <c r="J1360" s="48"/>
      <c r="K1360" s="49"/>
      <c r="L1360" s="47"/>
      <c r="M1360" s="48"/>
      <c r="N1360" s="49"/>
      <c r="O1360" s="47"/>
      <c r="P1360" s="48"/>
      <c r="Q1360" s="49"/>
      <c r="T1360" s="20"/>
    </row>
    <row r="1361" spans="1:20">
      <c r="A1361" s="47" t="s">
        <v>100</v>
      </c>
      <c r="B1361" s="49"/>
      <c r="C1361" s="47"/>
      <c r="D1361" s="48"/>
      <c r="E1361" s="49"/>
      <c r="F1361" s="47">
        <f>F1288+C1361</f>
        <v>2</v>
      </c>
      <c r="G1361" s="48"/>
      <c r="H1361" s="49"/>
      <c r="I1361" s="47"/>
      <c r="J1361" s="48"/>
      <c r="K1361" s="49"/>
      <c r="L1361" s="47"/>
      <c r="M1361" s="48"/>
      <c r="N1361" s="49"/>
      <c r="O1361" s="47"/>
      <c r="P1361" s="48"/>
      <c r="Q1361" s="49"/>
      <c r="T1361" s="20"/>
    </row>
    <row r="1362" spans="1:20">
      <c r="A1362" s="47"/>
      <c r="B1362" s="49"/>
      <c r="C1362" s="47"/>
      <c r="D1362" s="48"/>
      <c r="E1362" s="49"/>
      <c r="F1362" s="47"/>
      <c r="G1362" s="48"/>
      <c r="H1362" s="49"/>
      <c r="I1362" s="47"/>
      <c r="J1362" s="48"/>
      <c r="K1362" s="49"/>
      <c r="L1362" s="47"/>
      <c r="M1362" s="48"/>
      <c r="N1362" s="49"/>
      <c r="O1362" s="47"/>
      <c r="P1362" s="48"/>
      <c r="Q1362" s="49"/>
      <c r="T1362" s="20"/>
    </row>
    <row r="1363" spans="1:20">
      <c r="A1363" s="46"/>
      <c r="B1363" s="46"/>
      <c r="C1363" s="47"/>
      <c r="D1363" s="48"/>
      <c r="E1363" s="49"/>
      <c r="F1363" s="47"/>
      <c r="G1363" s="48"/>
      <c r="H1363" s="49"/>
      <c r="I1363" s="47"/>
      <c r="J1363" s="48"/>
      <c r="K1363" s="49"/>
      <c r="L1363" s="47"/>
      <c r="M1363" s="48"/>
      <c r="N1363" s="49"/>
      <c r="O1363" s="47"/>
      <c r="P1363" s="48"/>
      <c r="Q1363" s="49"/>
      <c r="T1363" s="20"/>
    </row>
    <row r="1364" spans="1:20">
      <c r="A1364" s="46"/>
      <c r="B1364" s="46"/>
      <c r="C1364" s="47"/>
      <c r="D1364" s="48"/>
      <c r="E1364" s="49"/>
      <c r="F1364" s="47"/>
      <c r="G1364" s="48"/>
      <c r="H1364" s="49"/>
      <c r="I1364" s="47"/>
      <c r="J1364" s="48"/>
      <c r="K1364" s="49"/>
      <c r="L1364" s="47"/>
      <c r="M1364" s="48"/>
      <c r="N1364" s="49"/>
      <c r="O1364" s="47"/>
      <c r="P1364" s="48"/>
      <c r="Q1364" s="49"/>
      <c r="T1364" s="20"/>
    </row>
    <row r="1365" spans="1:20">
      <c r="A1365" s="50" t="s">
        <v>43</v>
      </c>
      <c r="B1365" s="51"/>
      <c r="C1365" s="51"/>
      <c r="D1365" s="51"/>
      <c r="E1365" s="51"/>
      <c r="F1365" s="51"/>
      <c r="G1365" s="51"/>
      <c r="H1365" s="51"/>
      <c r="I1365" s="51"/>
      <c r="J1365" s="51"/>
      <c r="K1365" s="51"/>
      <c r="L1365" s="51"/>
      <c r="M1365" s="51"/>
      <c r="N1365" s="51"/>
      <c r="O1365" s="51"/>
      <c r="P1365" s="51"/>
      <c r="Q1365" s="52"/>
      <c r="T1365" s="20"/>
    </row>
    <row r="1366" spans="1:20">
      <c r="A1366" s="38" t="s">
        <v>44</v>
      </c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40"/>
      <c r="T1366" s="20"/>
    </row>
    <row r="1367" spans="1:20">
      <c r="A1367" s="41" t="s">
        <v>45</v>
      </c>
      <c r="B1367" s="42"/>
      <c r="C1367" s="42"/>
      <c r="D1367" s="42"/>
      <c r="E1367" s="42"/>
      <c r="F1367" s="42"/>
      <c r="G1367" s="42"/>
      <c r="H1367" s="42"/>
      <c r="I1367" s="42"/>
      <c r="J1367" s="42"/>
      <c r="K1367" s="42"/>
      <c r="L1367" s="42"/>
      <c r="M1367" s="42"/>
      <c r="N1367" s="42"/>
      <c r="O1367" s="42"/>
      <c r="P1367" s="42"/>
      <c r="Q1367" s="43"/>
      <c r="T1367" s="20"/>
    </row>
    <row r="1368" spans="1:20">
      <c r="A1368" s="50" t="s">
        <v>46</v>
      </c>
      <c r="B1368" s="51"/>
      <c r="C1368" s="51"/>
      <c r="D1368" s="51"/>
      <c r="E1368" s="51"/>
      <c r="F1368" s="51"/>
      <c r="G1368" s="51"/>
      <c r="H1368" s="51"/>
      <c r="I1368" s="51"/>
      <c r="J1368" s="51"/>
      <c r="K1368" s="51"/>
      <c r="L1368" s="51"/>
      <c r="M1368" s="51"/>
      <c r="N1368" s="51"/>
      <c r="O1368" s="51"/>
      <c r="P1368" s="51"/>
      <c r="Q1368" s="52"/>
      <c r="T1368" s="20"/>
    </row>
    <row r="1369" spans="1:20">
      <c r="A1369" s="38" t="s">
        <v>47</v>
      </c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40"/>
      <c r="T1369" s="20"/>
    </row>
    <row r="1370" spans="1:20">
      <c r="A1370" s="38" t="s">
        <v>48</v>
      </c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40"/>
      <c r="T1370" s="20"/>
    </row>
    <row r="1371" spans="1:20">
      <c r="A1371" s="38" t="s">
        <v>49</v>
      </c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40"/>
      <c r="T1371" s="20"/>
    </row>
    <row r="1372" spans="1:20">
      <c r="A1372" s="38" t="s">
        <v>50</v>
      </c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40"/>
      <c r="T1372" s="20"/>
    </row>
    <row r="1373" spans="1:20">
      <c r="A1373" s="38" t="s">
        <v>51</v>
      </c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40"/>
      <c r="T1373" s="20"/>
    </row>
    <row r="1374" spans="1:20">
      <c r="A1374" s="41" t="s">
        <v>52</v>
      </c>
      <c r="B1374" s="42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  <c r="P1374" s="42"/>
      <c r="Q1374" s="43"/>
      <c r="T1374" s="20"/>
    </row>
    <row r="1375" spans="1:20">
      <c r="A1375" s="44" t="s">
        <v>53</v>
      </c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T1375" s="20"/>
    </row>
    <row r="1376" spans="1:20">
      <c r="A1376" s="44" t="s">
        <v>54</v>
      </c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T1376" s="20"/>
    </row>
    <row r="1377" spans="1:20">
      <c r="A1377" s="44" t="s">
        <v>101</v>
      </c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T1377" s="20"/>
    </row>
    <row r="1378" spans="1:20">
      <c r="A1378" s="44" t="s">
        <v>55</v>
      </c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T1378" s="20"/>
    </row>
    <row r="1379" spans="1:20">
      <c r="A1379" s="45" t="s">
        <v>56</v>
      </c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T1379" s="20"/>
    </row>
    <row r="1380" spans="1:20">
      <c r="A1380" s="37" t="s">
        <v>57</v>
      </c>
      <c r="B1380" s="37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  <c r="M1380" s="37"/>
      <c r="N1380" s="37"/>
      <c r="O1380" s="37"/>
      <c r="P1380" s="37"/>
      <c r="Q1380" s="37"/>
      <c r="T1380" s="20"/>
    </row>
    <row r="1381" spans="1:20">
      <c r="A1381" s="37" t="s">
        <v>58</v>
      </c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T1381" s="20"/>
    </row>
    <row r="1382" spans="1:20">
      <c r="A1382" s="37" t="s">
        <v>59</v>
      </c>
      <c r="B1382" s="37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T1382" s="20"/>
    </row>
    <row r="1383" spans="1:20">
      <c r="A1383" s="37" t="s">
        <v>60</v>
      </c>
      <c r="B1383" s="37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  <c r="P1383" s="37"/>
      <c r="Q1383" s="37"/>
      <c r="T1383" s="20"/>
    </row>
    <row r="1384" spans="1:20">
      <c r="A1384" s="37" t="s">
        <v>61</v>
      </c>
      <c r="B1384" s="37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  <c r="P1384" s="37"/>
      <c r="Q1384" s="37"/>
      <c r="T1384" s="20"/>
    </row>
    <row r="1385" spans="1:20">
      <c r="A1385" s="37" t="s">
        <v>62</v>
      </c>
      <c r="B1385" s="37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  <c r="M1385" s="37"/>
      <c r="N1385" s="37"/>
      <c r="O1385" s="37"/>
      <c r="P1385" s="37"/>
      <c r="Q1385" s="37"/>
      <c r="T1385" s="20"/>
    </row>
    <row r="1386" spans="1:20">
      <c r="A1386" s="37" t="s">
        <v>63</v>
      </c>
      <c r="B1386" s="37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T1386" s="20"/>
    </row>
    <row r="1387" spans="1:20">
      <c r="A1387" s="37" t="s">
        <v>75</v>
      </c>
      <c r="B1387" s="37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/>
      <c r="M1387" s="37"/>
      <c r="N1387" s="37"/>
      <c r="O1387" s="37"/>
      <c r="P1387" s="37"/>
      <c r="Q1387" s="37"/>
      <c r="T1387" s="20"/>
    </row>
    <row r="1388" spans="1:20" ht="39" customHeight="1">
      <c r="B1388" s="120" t="s">
        <v>0</v>
      </c>
      <c r="C1388" s="120"/>
      <c r="D1388" s="120"/>
      <c r="E1388" s="120"/>
      <c r="F1388" s="120"/>
      <c r="G1388" s="120"/>
      <c r="H1388" s="120"/>
      <c r="I1388" s="120"/>
      <c r="J1388" s="120"/>
      <c r="K1388" s="120"/>
      <c r="L1388" s="120"/>
      <c r="M1388" s="120"/>
      <c r="N1388" s="120"/>
      <c r="O1388" s="120"/>
      <c r="P1388" s="120"/>
      <c r="Q1388" s="120"/>
      <c r="T1388" s="20"/>
    </row>
    <row r="1389" spans="1:20">
      <c r="B1389" s="6" t="s">
        <v>1</v>
      </c>
      <c r="C1389" s="121" t="s">
        <v>2</v>
      </c>
      <c r="D1389" s="121"/>
      <c r="E1389" s="1" t="s">
        <v>3</v>
      </c>
      <c r="F1389" s="121" t="s">
        <v>4</v>
      </c>
      <c r="G1389" s="121"/>
      <c r="H1389" s="1" t="s">
        <v>3</v>
      </c>
      <c r="I1389" s="1"/>
      <c r="J1389" s="121" t="s">
        <v>5</v>
      </c>
      <c r="K1389" s="121"/>
      <c r="L1389" s="121"/>
      <c r="M1389" s="122">
        <f>M1316+1</f>
        <v>46246</v>
      </c>
      <c r="N1389" s="122"/>
      <c r="O1389" s="122"/>
      <c r="P1389" s="123"/>
      <c r="Q1389" s="123"/>
      <c r="T1389" s="20"/>
    </row>
    <row r="1390" spans="1:20">
      <c r="A1390" s="96" t="s">
        <v>6</v>
      </c>
      <c r="B1390" s="96"/>
      <c r="C1390" s="124" t="s">
        <v>79</v>
      </c>
      <c r="D1390" s="125"/>
      <c r="E1390" s="125"/>
      <c r="F1390" s="125"/>
      <c r="G1390" s="125"/>
      <c r="H1390" s="125"/>
      <c r="I1390" s="126"/>
      <c r="J1390" s="127" t="s">
        <v>7</v>
      </c>
      <c r="K1390" s="128"/>
      <c r="L1390" s="128"/>
      <c r="M1390" s="129"/>
      <c r="N1390" s="130" t="s">
        <v>78</v>
      </c>
      <c r="O1390" s="130"/>
      <c r="P1390" s="130"/>
      <c r="Q1390" s="131"/>
      <c r="T1390" s="20"/>
    </row>
    <row r="1391" spans="1:20">
      <c r="A1391" s="96" t="s">
        <v>8</v>
      </c>
      <c r="B1391" s="96"/>
      <c r="C1391" s="4">
        <v>30</v>
      </c>
      <c r="D1391" s="3" t="s">
        <v>9</v>
      </c>
      <c r="E1391" s="127" t="s">
        <v>10</v>
      </c>
      <c r="F1391" s="129"/>
      <c r="G1391" s="127">
        <f>G1318+1</f>
        <v>20</v>
      </c>
      <c r="H1391" s="128"/>
      <c r="I1391" s="3" t="s">
        <v>9</v>
      </c>
      <c r="J1391" s="96" t="s">
        <v>11</v>
      </c>
      <c r="K1391" s="96"/>
      <c r="L1391" s="35">
        <f>C1391-G1391</f>
        <v>10</v>
      </c>
      <c r="M1391" s="2" t="s">
        <v>9</v>
      </c>
      <c r="N1391" s="96" t="s">
        <v>12</v>
      </c>
      <c r="O1391" s="96"/>
      <c r="P1391" s="2"/>
      <c r="Q1391" s="3" t="s">
        <v>9</v>
      </c>
      <c r="T1391" s="20"/>
    </row>
    <row r="1392" spans="1:20">
      <c r="A1392" s="96" t="s">
        <v>13</v>
      </c>
      <c r="B1392" s="96"/>
      <c r="C1392" s="132">
        <v>46227</v>
      </c>
      <c r="D1392" s="132"/>
      <c r="E1392" s="132"/>
      <c r="F1392" s="132"/>
      <c r="G1392" s="132"/>
      <c r="H1392" s="132"/>
      <c r="I1392" s="132"/>
      <c r="J1392" s="127" t="s">
        <v>14</v>
      </c>
      <c r="K1392" s="128"/>
      <c r="L1392" s="128"/>
      <c r="M1392" s="129"/>
      <c r="N1392" s="133">
        <v>46256</v>
      </c>
      <c r="O1392" s="134"/>
      <c r="P1392" s="134"/>
      <c r="Q1392" s="135"/>
      <c r="T1392" s="20"/>
    </row>
    <row r="1393" spans="1:22">
      <c r="A1393" s="96" t="s">
        <v>15</v>
      </c>
      <c r="B1393" s="96"/>
      <c r="C1393" s="97">
        <v>78</v>
      </c>
      <c r="D1393" s="98"/>
      <c r="E1393" s="98"/>
      <c r="F1393" s="98"/>
      <c r="G1393" s="98"/>
      <c r="H1393" s="99" t="s">
        <v>16</v>
      </c>
      <c r="I1393" s="100"/>
      <c r="J1393" s="101" t="s">
        <v>17</v>
      </c>
      <c r="K1393" s="101"/>
      <c r="L1393" s="101"/>
      <c r="M1393" s="101"/>
      <c r="N1393" s="102">
        <f>U1416</f>
        <v>0.81747761884256365</v>
      </c>
      <c r="O1393" s="102"/>
      <c r="P1393" s="102"/>
      <c r="Q1393" s="102"/>
      <c r="T1393" s="20"/>
    </row>
    <row r="1394" spans="1:22">
      <c r="A1394" s="103" t="s">
        <v>18</v>
      </c>
      <c r="B1394" s="104"/>
      <c r="C1394" s="104"/>
      <c r="D1394" s="104"/>
      <c r="E1394" s="104"/>
      <c r="F1394" s="104"/>
      <c r="G1394" s="104"/>
      <c r="H1394" s="104"/>
      <c r="I1394" s="104"/>
      <c r="J1394" s="104"/>
      <c r="K1394" s="104"/>
      <c r="L1394" s="104"/>
      <c r="M1394" s="104"/>
      <c r="N1394" s="104"/>
      <c r="O1394" s="104"/>
      <c r="P1394" s="104"/>
      <c r="Q1394" s="105"/>
      <c r="T1394" s="20"/>
    </row>
    <row r="1395" spans="1:22">
      <c r="A1395" s="7"/>
      <c r="B1395" s="106" t="s">
        <v>19</v>
      </c>
      <c r="C1395" s="107"/>
      <c r="D1395" s="107"/>
      <c r="E1395" s="107"/>
      <c r="F1395" s="107"/>
      <c r="G1395" s="108"/>
      <c r="H1395" s="8" t="s">
        <v>20</v>
      </c>
      <c r="I1395" s="109" t="s">
        <v>21</v>
      </c>
      <c r="J1395" s="110"/>
      <c r="K1395" s="111"/>
      <c r="L1395" s="109" t="s">
        <v>28</v>
      </c>
      <c r="M1395" s="111"/>
      <c r="N1395" s="106" t="s">
        <v>22</v>
      </c>
      <c r="O1395" s="112"/>
      <c r="P1395" s="113" t="s">
        <v>23</v>
      </c>
      <c r="Q1395" s="113"/>
      <c r="S1395" s="33" t="s">
        <v>22</v>
      </c>
      <c r="T1395" s="34" t="s">
        <v>64</v>
      </c>
      <c r="U1395" s="13" t="s">
        <v>27</v>
      </c>
    </row>
    <row r="1396" spans="1:22">
      <c r="A1396" s="17" t="s">
        <v>65</v>
      </c>
      <c r="B1396" s="114" t="s">
        <v>66</v>
      </c>
      <c r="C1396" s="115"/>
      <c r="D1396" s="115"/>
      <c r="E1396" s="115"/>
      <c r="F1396" s="115"/>
      <c r="G1396" s="116"/>
      <c r="H1396" s="17"/>
      <c r="I1396" s="117"/>
      <c r="J1396" s="118"/>
      <c r="K1396" s="119"/>
      <c r="L1396" s="77"/>
      <c r="M1396" s="78"/>
      <c r="N1396" s="77"/>
      <c r="O1396" s="78"/>
      <c r="P1396" s="93"/>
      <c r="Q1396" s="93"/>
      <c r="S1396" s="16"/>
      <c r="T1396" s="16"/>
      <c r="U1396" s="16" t="s">
        <v>26</v>
      </c>
    </row>
    <row r="1397" spans="1:22">
      <c r="A1397" s="17">
        <v>1</v>
      </c>
      <c r="B1397" s="81" t="s">
        <v>80</v>
      </c>
      <c r="C1397" s="82"/>
      <c r="D1397" s="82"/>
      <c r="E1397" s="82"/>
      <c r="F1397" s="82"/>
      <c r="G1397" s="83"/>
      <c r="H1397" s="29" t="s">
        <v>67</v>
      </c>
      <c r="I1397" s="84">
        <v>18</v>
      </c>
      <c r="J1397" s="85"/>
      <c r="K1397" s="86"/>
      <c r="L1397" s="87">
        <v>9</v>
      </c>
      <c r="M1397" s="88"/>
      <c r="N1397" s="89">
        <v>9</v>
      </c>
      <c r="O1397" s="90"/>
      <c r="P1397" s="93"/>
      <c r="Q1397" s="93"/>
      <c r="S1397" s="12">
        <v>9</v>
      </c>
      <c r="T1397" s="26">
        <v>18000</v>
      </c>
      <c r="U1397" s="12">
        <f>S1397*T1397</f>
        <v>162000</v>
      </c>
    </row>
    <row r="1398" spans="1:22" ht="32.1" customHeight="1">
      <c r="A1398" s="17">
        <v>2</v>
      </c>
      <c r="B1398" s="81" t="s">
        <v>81</v>
      </c>
      <c r="C1398" s="82" t="s">
        <v>81</v>
      </c>
      <c r="D1398" s="82" t="s">
        <v>81</v>
      </c>
      <c r="E1398" s="82" t="s">
        <v>81</v>
      </c>
      <c r="F1398" s="82" t="s">
        <v>81</v>
      </c>
      <c r="G1398" s="83" t="s">
        <v>81</v>
      </c>
      <c r="H1398" s="29" t="s">
        <v>97</v>
      </c>
      <c r="I1398" s="84">
        <v>166</v>
      </c>
      <c r="J1398" s="85"/>
      <c r="K1398" s="86"/>
      <c r="L1398" s="87"/>
      <c r="M1398" s="88"/>
      <c r="N1398" s="89">
        <v>166</v>
      </c>
      <c r="O1398" s="90"/>
      <c r="P1398" s="93"/>
      <c r="Q1398" s="93"/>
      <c r="S1398" s="12">
        <v>166</v>
      </c>
      <c r="T1398" s="26">
        <v>750</v>
      </c>
      <c r="U1398" s="12">
        <f t="shared" ref="U1398:U1408" si="38">S1398*T1398</f>
        <v>124500</v>
      </c>
    </row>
    <row r="1399" spans="1:22">
      <c r="A1399" s="17">
        <v>3</v>
      </c>
      <c r="B1399" s="81" t="s">
        <v>82</v>
      </c>
      <c r="C1399" s="82" t="s">
        <v>82</v>
      </c>
      <c r="D1399" s="82" t="s">
        <v>82</v>
      </c>
      <c r="E1399" s="82" t="s">
        <v>82</v>
      </c>
      <c r="F1399" s="82" t="s">
        <v>82</v>
      </c>
      <c r="G1399" s="83" t="s">
        <v>82</v>
      </c>
      <c r="H1399" s="29" t="s">
        <v>97</v>
      </c>
      <c r="I1399" s="84">
        <v>540</v>
      </c>
      <c r="J1399" s="85">
        <v>540</v>
      </c>
      <c r="K1399" s="86">
        <v>540</v>
      </c>
      <c r="L1399" s="87"/>
      <c r="M1399" s="88"/>
      <c r="N1399" s="89">
        <v>540</v>
      </c>
      <c r="O1399" s="90"/>
      <c r="P1399" s="93"/>
      <c r="Q1399" s="93"/>
      <c r="S1399" s="12">
        <v>540</v>
      </c>
      <c r="T1399" s="26">
        <v>340</v>
      </c>
      <c r="U1399" s="12">
        <f t="shared" si="38"/>
        <v>183600</v>
      </c>
    </row>
    <row r="1400" spans="1:22">
      <c r="A1400" s="17">
        <v>4</v>
      </c>
      <c r="B1400" s="81" t="s">
        <v>83</v>
      </c>
      <c r="C1400" s="82" t="s">
        <v>83</v>
      </c>
      <c r="D1400" s="82" t="s">
        <v>83</v>
      </c>
      <c r="E1400" s="82" t="s">
        <v>83</v>
      </c>
      <c r="F1400" s="82" t="s">
        <v>83</v>
      </c>
      <c r="G1400" s="83" t="s">
        <v>83</v>
      </c>
      <c r="H1400" s="29" t="s">
        <v>67</v>
      </c>
      <c r="I1400" s="84">
        <v>20</v>
      </c>
      <c r="J1400" s="85">
        <v>20</v>
      </c>
      <c r="K1400" s="86">
        <v>20</v>
      </c>
      <c r="L1400" s="87"/>
      <c r="M1400" s="88"/>
      <c r="N1400" s="89">
        <v>20</v>
      </c>
      <c r="O1400" s="90"/>
      <c r="P1400" s="93"/>
      <c r="Q1400" s="93"/>
      <c r="S1400" s="12">
        <v>20</v>
      </c>
      <c r="T1400" s="26">
        <v>1250</v>
      </c>
      <c r="U1400" s="12">
        <f t="shared" si="38"/>
        <v>25000</v>
      </c>
    </row>
    <row r="1401" spans="1:22" ht="32.1" customHeight="1">
      <c r="A1401" s="17">
        <v>5</v>
      </c>
      <c r="B1401" s="81" t="s">
        <v>84</v>
      </c>
      <c r="C1401" s="82" t="s">
        <v>84</v>
      </c>
      <c r="D1401" s="82" t="s">
        <v>84</v>
      </c>
      <c r="E1401" s="82" t="s">
        <v>84</v>
      </c>
      <c r="F1401" s="82" t="s">
        <v>84</v>
      </c>
      <c r="G1401" s="83" t="s">
        <v>84</v>
      </c>
      <c r="H1401" s="29" t="s">
        <v>97</v>
      </c>
      <c r="I1401" s="84">
        <v>28</v>
      </c>
      <c r="J1401" s="85">
        <v>28</v>
      </c>
      <c r="K1401" s="86">
        <v>28</v>
      </c>
      <c r="L1401" s="87"/>
      <c r="M1401" s="88"/>
      <c r="N1401" s="89">
        <v>28</v>
      </c>
      <c r="O1401" s="90"/>
      <c r="P1401" s="93"/>
      <c r="Q1401" s="93"/>
      <c r="S1401" s="12">
        <v>28</v>
      </c>
      <c r="T1401" s="26">
        <v>1800</v>
      </c>
      <c r="U1401" s="12">
        <f t="shared" si="38"/>
        <v>50400</v>
      </c>
    </row>
    <row r="1402" spans="1:22">
      <c r="A1402" s="17">
        <v>6</v>
      </c>
      <c r="B1402" s="81" t="s">
        <v>85</v>
      </c>
      <c r="C1402" s="82" t="s">
        <v>85</v>
      </c>
      <c r="D1402" s="82" t="s">
        <v>85</v>
      </c>
      <c r="E1402" s="82" t="s">
        <v>85</v>
      </c>
      <c r="F1402" s="82" t="s">
        <v>85</v>
      </c>
      <c r="G1402" s="83" t="s">
        <v>85</v>
      </c>
      <c r="H1402" s="29" t="s">
        <v>97</v>
      </c>
      <c r="I1402" s="84">
        <v>14</v>
      </c>
      <c r="J1402" s="85">
        <v>14</v>
      </c>
      <c r="K1402" s="86">
        <v>14</v>
      </c>
      <c r="L1402" s="87"/>
      <c r="M1402" s="88"/>
      <c r="N1402" s="89">
        <v>14</v>
      </c>
      <c r="O1402" s="90"/>
      <c r="P1402" s="79"/>
      <c r="Q1402" s="80"/>
      <c r="S1402" s="12">
        <v>14</v>
      </c>
      <c r="T1402" s="26">
        <v>4000</v>
      </c>
      <c r="U1402" s="12">
        <f t="shared" si="38"/>
        <v>56000</v>
      </c>
    </row>
    <row r="1403" spans="1:22">
      <c r="A1403" s="17">
        <v>7</v>
      </c>
      <c r="B1403" s="81" t="s">
        <v>86</v>
      </c>
      <c r="C1403" s="82" t="s">
        <v>86</v>
      </c>
      <c r="D1403" s="82" t="s">
        <v>86</v>
      </c>
      <c r="E1403" s="82" t="s">
        <v>86</v>
      </c>
      <c r="F1403" s="82" t="s">
        <v>86</v>
      </c>
      <c r="G1403" s="83" t="s">
        <v>86</v>
      </c>
      <c r="H1403" s="29" t="s">
        <v>97</v>
      </c>
      <c r="I1403" s="84">
        <v>30</v>
      </c>
      <c r="J1403" s="85">
        <v>30</v>
      </c>
      <c r="K1403" s="86">
        <v>30</v>
      </c>
      <c r="L1403" s="87"/>
      <c r="M1403" s="88"/>
      <c r="N1403" s="89">
        <v>30</v>
      </c>
      <c r="O1403" s="90"/>
      <c r="P1403" s="93"/>
      <c r="Q1403" s="93"/>
      <c r="S1403" s="12">
        <v>30</v>
      </c>
      <c r="T1403" s="26">
        <v>4000</v>
      </c>
      <c r="U1403" s="12">
        <f t="shared" si="38"/>
        <v>120000</v>
      </c>
    </row>
    <row r="1404" spans="1:22">
      <c r="A1404" s="17">
        <v>8</v>
      </c>
      <c r="B1404" s="81" t="s">
        <v>87</v>
      </c>
      <c r="C1404" s="82" t="s">
        <v>87</v>
      </c>
      <c r="D1404" s="82" t="s">
        <v>87</v>
      </c>
      <c r="E1404" s="82" t="s">
        <v>87</v>
      </c>
      <c r="F1404" s="82" t="s">
        <v>87</v>
      </c>
      <c r="G1404" s="83" t="s">
        <v>87</v>
      </c>
      <c r="H1404" s="30" t="s">
        <v>25</v>
      </c>
      <c r="I1404" s="84">
        <v>1</v>
      </c>
      <c r="J1404" s="85">
        <v>1</v>
      </c>
      <c r="K1404" s="86">
        <v>1</v>
      </c>
      <c r="L1404" s="94"/>
      <c r="M1404" s="95"/>
      <c r="N1404" s="94">
        <v>1</v>
      </c>
      <c r="O1404" s="95"/>
      <c r="P1404" s="93"/>
      <c r="Q1404" s="93"/>
      <c r="S1404" s="16">
        <v>1</v>
      </c>
      <c r="T1404" s="26">
        <v>31000</v>
      </c>
      <c r="U1404" s="12">
        <f t="shared" si="38"/>
        <v>31000</v>
      </c>
    </row>
    <row r="1405" spans="1:22">
      <c r="A1405" s="17">
        <v>9</v>
      </c>
      <c r="B1405" s="81" t="s">
        <v>88</v>
      </c>
      <c r="C1405" s="82" t="s">
        <v>88</v>
      </c>
      <c r="D1405" s="82" t="s">
        <v>88</v>
      </c>
      <c r="E1405" s="82" t="s">
        <v>88</v>
      </c>
      <c r="F1405" s="82" t="s">
        <v>88</v>
      </c>
      <c r="G1405" s="83" t="s">
        <v>88</v>
      </c>
      <c r="H1405" s="30" t="s">
        <v>25</v>
      </c>
      <c r="I1405" s="84">
        <v>1</v>
      </c>
      <c r="J1405" s="85">
        <v>1</v>
      </c>
      <c r="K1405" s="86">
        <v>1</v>
      </c>
      <c r="L1405" s="87"/>
      <c r="M1405" s="88"/>
      <c r="N1405" s="89"/>
      <c r="O1405" s="90"/>
      <c r="P1405" s="93"/>
      <c r="Q1405" s="93"/>
      <c r="S1405" s="12"/>
      <c r="T1405" s="26">
        <v>30121</v>
      </c>
      <c r="U1405" s="12">
        <f t="shared" si="38"/>
        <v>0</v>
      </c>
    </row>
    <row r="1406" spans="1:22">
      <c r="A1406" s="17">
        <v>10</v>
      </c>
      <c r="B1406" s="81" t="s">
        <v>89</v>
      </c>
      <c r="C1406" s="82"/>
      <c r="D1406" s="82"/>
      <c r="E1406" s="82"/>
      <c r="F1406" s="82"/>
      <c r="G1406" s="83"/>
      <c r="H1406" s="30" t="s">
        <v>98</v>
      </c>
      <c r="I1406" s="84">
        <v>3</v>
      </c>
      <c r="J1406" s="85"/>
      <c r="K1406" s="86"/>
      <c r="L1406" s="87"/>
      <c r="M1406" s="88"/>
      <c r="N1406" s="89">
        <v>3</v>
      </c>
      <c r="O1406" s="90"/>
      <c r="P1406" s="91"/>
      <c r="Q1406" s="92"/>
      <c r="S1406" s="12">
        <v>3</v>
      </c>
      <c r="T1406" s="26">
        <v>14500</v>
      </c>
      <c r="U1406" s="12">
        <f t="shared" si="38"/>
        <v>43500</v>
      </c>
    </row>
    <row r="1407" spans="1:22">
      <c r="A1407" s="17">
        <v>11</v>
      </c>
      <c r="B1407" s="81" t="s">
        <v>90</v>
      </c>
      <c r="C1407" s="82"/>
      <c r="D1407" s="82"/>
      <c r="E1407" s="82"/>
      <c r="F1407" s="82"/>
      <c r="G1407" s="83"/>
      <c r="H1407" s="29" t="s">
        <v>67</v>
      </c>
      <c r="I1407" s="84">
        <v>6</v>
      </c>
      <c r="J1407" s="85"/>
      <c r="K1407" s="86"/>
      <c r="L1407" s="87"/>
      <c r="M1407" s="88"/>
      <c r="N1407" s="89">
        <v>6</v>
      </c>
      <c r="O1407" s="90"/>
      <c r="P1407" s="91"/>
      <c r="Q1407" s="92"/>
      <c r="S1407" s="12">
        <v>6</v>
      </c>
      <c r="T1407" s="26">
        <v>3500</v>
      </c>
      <c r="U1407" s="12">
        <f t="shared" si="38"/>
        <v>21000</v>
      </c>
    </row>
    <row r="1408" spans="1:22">
      <c r="A1408" s="17">
        <v>12</v>
      </c>
      <c r="B1408" s="81" t="s">
        <v>91</v>
      </c>
      <c r="C1408" s="82" t="s">
        <v>89</v>
      </c>
      <c r="D1408" s="82" t="s">
        <v>89</v>
      </c>
      <c r="E1408" s="82" t="s">
        <v>89</v>
      </c>
      <c r="F1408" s="82" t="s">
        <v>89</v>
      </c>
      <c r="G1408" s="83" t="s">
        <v>89</v>
      </c>
      <c r="H1408" s="29" t="s">
        <v>67</v>
      </c>
      <c r="I1408" s="84">
        <v>10</v>
      </c>
      <c r="J1408" s="85">
        <v>10</v>
      </c>
      <c r="K1408" s="86">
        <v>10</v>
      </c>
      <c r="L1408" s="87"/>
      <c r="M1408" s="88"/>
      <c r="N1408" s="89">
        <v>10</v>
      </c>
      <c r="O1408" s="90"/>
      <c r="P1408" s="93"/>
      <c r="Q1408" s="93"/>
      <c r="S1408" s="12">
        <v>10</v>
      </c>
      <c r="T1408" s="26">
        <v>3000</v>
      </c>
      <c r="U1408" s="12">
        <f t="shared" si="38"/>
        <v>30000</v>
      </c>
      <c r="V1408" s="22">
        <f>SUM(U1397:U1408)</f>
        <v>847000</v>
      </c>
    </row>
    <row r="1409" spans="1:22">
      <c r="A1409" s="17" t="s">
        <v>76</v>
      </c>
      <c r="B1409" s="71" t="s">
        <v>92</v>
      </c>
      <c r="C1409" s="72"/>
      <c r="D1409" s="72"/>
      <c r="E1409" s="72"/>
      <c r="F1409" s="72"/>
      <c r="G1409" s="73"/>
      <c r="H1409" s="30" t="s">
        <v>24</v>
      </c>
      <c r="I1409" s="84">
        <v>1</v>
      </c>
      <c r="J1409" s="85">
        <v>10</v>
      </c>
      <c r="K1409" s="86">
        <v>10</v>
      </c>
      <c r="L1409" s="77"/>
      <c r="M1409" s="78"/>
      <c r="N1409" s="77">
        <v>1</v>
      </c>
      <c r="O1409" s="78"/>
      <c r="P1409" s="79"/>
      <c r="Q1409" s="80"/>
      <c r="S1409" s="12">
        <v>1</v>
      </c>
      <c r="T1409" s="25">
        <v>10391</v>
      </c>
      <c r="U1409" s="12">
        <f>S1409*T1409</f>
        <v>10391</v>
      </c>
      <c r="V1409" s="27"/>
    </row>
    <row r="1410" spans="1:22">
      <c r="A1410" s="23" t="s">
        <v>68</v>
      </c>
      <c r="B1410" s="71" t="s">
        <v>93</v>
      </c>
      <c r="C1410" s="72"/>
      <c r="D1410" s="72"/>
      <c r="E1410" s="72"/>
      <c r="F1410" s="72"/>
      <c r="G1410" s="73"/>
      <c r="H1410" s="30" t="s">
        <v>24</v>
      </c>
      <c r="I1410" s="74">
        <v>1</v>
      </c>
      <c r="J1410" s="75"/>
      <c r="K1410" s="76"/>
      <c r="L1410" s="77">
        <f>N1410-N1337</f>
        <v>0.1559041478202291</v>
      </c>
      <c r="M1410" s="78"/>
      <c r="N1410" s="77">
        <f>S1410</f>
        <v>0.81512847656625931</v>
      </c>
      <c r="O1410" s="78"/>
      <c r="P1410" s="77"/>
      <c r="Q1410" s="78"/>
      <c r="S1410" s="21">
        <f>V1408*0.01/T1410</f>
        <v>0.81512847656625931</v>
      </c>
      <c r="T1410" s="25">
        <v>10391</v>
      </c>
      <c r="U1410" s="12">
        <f t="shared" ref="U1410:U1411" si="39">S1410*T1410</f>
        <v>8470</v>
      </c>
    </row>
    <row r="1411" spans="1:22">
      <c r="A1411" s="23" t="s">
        <v>69</v>
      </c>
      <c r="B1411" s="58" t="s">
        <v>94</v>
      </c>
      <c r="C1411" s="59" t="s">
        <v>70</v>
      </c>
      <c r="D1411" s="59" t="s">
        <v>70</v>
      </c>
      <c r="E1411" s="59" t="s">
        <v>70</v>
      </c>
      <c r="F1411" s="59" t="s">
        <v>70</v>
      </c>
      <c r="G1411" s="60" t="s">
        <v>70</v>
      </c>
      <c r="H1411" s="30" t="s">
        <v>24</v>
      </c>
      <c r="I1411" s="74">
        <v>1</v>
      </c>
      <c r="J1411" s="75"/>
      <c r="K1411" s="76"/>
      <c r="L1411" s="77">
        <f>N1411-N1338</f>
        <v>0.15589986114738996</v>
      </c>
      <c r="M1411" s="78"/>
      <c r="N1411" s="77">
        <f>S1411</f>
        <v>0.81510606414715636</v>
      </c>
      <c r="O1411" s="78"/>
      <c r="P1411" s="77"/>
      <c r="Q1411" s="78"/>
      <c r="S1411" s="21">
        <f>V1408*0.07/T1411</f>
        <v>0.81510606414715636</v>
      </c>
      <c r="T1411" s="25">
        <v>72739</v>
      </c>
      <c r="U1411" s="12">
        <f t="shared" si="39"/>
        <v>59290.000000000007</v>
      </c>
    </row>
    <row r="1412" spans="1:22">
      <c r="A1412" s="23" t="s">
        <v>71</v>
      </c>
      <c r="B1412" s="58" t="s">
        <v>95</v>
      </c>
      <c r="C1412" s="59" t="s">
        <v>72</v>
      </c>
      <c r="D1412" s="59" t="s">
        <v>72</v>
      </c>
      <c r="E1412" s="59" t="s">
        <v>72</v>
      </c>
      <c r="F1412" s="59" t="s">
        <v>72</v>
      </c>
      <c r="G1412" s="60" t="s">
        <v>72</v>
      </c>
      <c r="H1412" s="30" t="s">
        <v>24</v>
      </c>
      <c r="I1412" s="74">
        <v>1</v>
      </c>
      <c r="J1412" s="75"/>
      <c r="K1412" s="76"/>
      <c r="L1412" s="77"/>
      <c r="M1412" s="78"/>
      <c r="N1412" s="77">
        <f>S1412</f>
        <v>1</v>
      </c>
      <c r="O1412" s="78"/>
      <c r="P1412" s="77"/>
      <c r="Q1412" s="78"/>
      <c r="S1412" s="21">
        <v>1</v>
      </c>
      <c r="T1412" s="25">
        <v>4156</v>
      </c>
      <c r="U1412" s="12">
        <f>S1412*T1412</f>
        <v>4156</v>
      </c>
    </row>
    <row r="1413" spans="1:22">
      <c r="A1413" s="23" t="s">
        <v>73</v>
      </c>
      <c r="B1413" s="58" t="s">
        <v>96</v>
      </c>
      <c r="C1413" s="59" t="s">
        <v>74</v>
      </c>
      <c r="D1413" s="59" t="s">
        <v>74</v>
      </c>
      <c r="E1413" s="59" t="s">
        <v>74</v>
      </c>
      <c r="F1413" s="59" t="s">
        <v>74</v>
      </c>
      <c r="G1413" s="60" t="s">
        <v>74</v>
      </c>
      <c r="H1413" s="30" t="s">
        <v>24</v>
      </c>
      <c r="I1413" s="74">
        <v>1</v>
      </c>
      <c r="J1413" s="75"/>
      <c r="K1413" s="76"/>
      <c r="L1413" s="77">
        <f>N1413-N1340+0.01</f>
        <v>0.16390570021111905</v>
      </c>
      <c r="M1413" s="78"/>
      <c r="N1413" s="77">
        <f>S1413</f>
        <v>0.81747624912033789</v>
      </c>
      <c r="O1413" s="78"/>
      <c r="P1413" s="79"/>
      <c r="Q1413" s="80"/>
      <c r="S1413" s="21">
        <f>(V1408+U1409+U1410+U1411+U1412)*0.05/T1413</f>
        <v>0.81747624912033789</v>
      </c>
      <c r="T1413" s="25">
        <v>56840</v>
      </c>
      <c r="U1413" s="12">
        <f>S1413*T1413</f>
        <v>46465.350000000006</v>
      </c>
    </row>
    <row r="1414" spans="1:22">
      <c r="A1414" s="23"/>
      <c r="B1414" s="58"/>
      <c r="C1414" s="59"/>
      <c r="D1414" s="59"/>
      <c r="E1414" s="59"/>
      <c r="F1414" s="59"/>
      <c r="G1414" s="60"/>
      <c r="H1414" s="24"/>
      <c r="I1414" s="58"/>
      <c r="J1414" s="59"/>
      <c r="K1414" s="59"/>
      <c r="L1414" s="58"/>
      <c r="M1414" s="59"/>
      <c r="N1414" s="58"/>
      <c r="O1414" s="59"/>
      <c r="P1414" s="58"/>
      <c r="Q1414" s="60"/>
      <c r="S1414" s="21"/>
      <c r="T1414" s="25"/>
      <c r="U1414" s="28">
        <f>V1408+U1409+U1410+U1411+U1412+U1413</f>
        <v>975772.35</v>
      </c>
    </row>
    <row r="1415" spans="1:22">
      <c r="A1415" s="23"/>
      <c r="B1415" s="58"/>
      <c r="C1415" s="59"/>
      <c r="D1415" s="59"/>
      <c r="E1415" s="59"/>
      <c r="F1415" s="59"/>
      <c r="G1415" s="60"/>
      <c r="H1415" s="23"/>
      <c r="I1415" s="58"/>
      <c r="J1415" s="59"/>
      <c r="K1415" s="59"/>
      <c r="L1415" s="58"/>
      <c r="M1415" s="59"/>
      <c r="N1415" s="58"/>
      <c r="O1415" s="59"/>
      <c r="P1415" s="58"/>
      <c r="Q1415" s="60"/>
      <c r="S1415" s="21"/>
      <c r="T1415" s="16"/>
      <c r="U1415" s="14">
        <v>1193638</v>
      </c>
    </row>
    <row r="1416" spans="1:22">
      <c r="A1416" s="9"/>
      <c r="B1416" s="58"/>
      <c r="C1416" s="59"/>
      <c r="D1416" s="59"/>
      <c r="E1416" s="59"/>
      <c r="F1416" s="59"/>
      <c r="G1416" s="60"/>
      <c r="H1416" s="9"/>
      <c r="I1416" s="58"/>
      <c r="J1416" s="59"/>
      <c r="K1416" s="59"/>
      <c r="L1416" s="58"/>
      <c r="M1416" s="59"/>
      <c r="N1416" s="58"/>
      <c r="O1416" s="59"/>
      <c r="P1416" s="58"/>
      <c r="Q1416" s="60"/>
      <c r="S1416" s="21"/>
      <c r="T1416" s="16"/>
      <c r="U1416" s="15">
        <f>U1414/U1415</f>
        <v>0.81747761884256365</v>
      </c>
    </row>
    <row r="1417" spans="1:22">
      <c r="A1417" s="9"/>
      <c r="B1417" s="58"/>
      <c r="C1417" s="59"/>
      <c r="D1417" s="59"/>
      <c r="E1417" s="59"/>
      <c r="F1417" s="59"/>
      <c r="G1417" s="60"/>
      <c r="H1417" s="9"/>
      <c r="I1417" s="58"/>
      <c r="J1417" s="59"/>
      <c r="K1417" s="59"/>
      <c r="L1417" s="58"/>
      <c r="M1417" s="59"/>
      <c r="N1417" s="58"/>
      <c r="O1417" s="59"/>
      <c r="P1417" s="58"/>
      <c r="Q1417" s="60"/>
      <c r="S1417" s="21"/>
      <c r="T1417" s="16"/>
      <c r="U1417" s="12"/>
    </row>
    <row r="1418" spans="1:22">
      <c r="A1418" s="9"/>
      <c r="B1418" s="58"/>
      <c r="C1418" s="59"/>
      <c r="D1418" s="59"/>
      <c r="E1418" s="59"/>
      <c r="F1418" s="59"/>
      <c r="G1418" s="60"/>
      <c r="H1418" s="9"/>
      <c r="I1418" s="58"/>
      <c r="J1418" s="59"/>
      <c r="K1418" s="59"/>
      <c r="L1418" s="58"/>
      <c r="M1418" s="59"/>
      <c r="N1418" s="58"/>
      <c r="O1418" s="59"/>
      <c r="P1418" s="58"/>
      <c r="Q1418" s="60"/>
      <c r="S1418" s="21"/>
      <c r="T1418" s="16"/>
      <c r="U1418" s="12"/>
    </row>
    <row r="1419" spans="1:22">
      <c r="A1419" s="9"/>
      <c r="B1419" s="58"/>
      <c r="C1419" s="59"/>
      <c r="D1419" s="59"/>
      <c r="E1419" s="59"/>
      <c r="F1419" s="59"/>
      <c r="G1419" s="60"/>
      <c r="H1419" s="9"/>
      <c r="I1419" s="58"/>
      <c r="J1419" s="59"/>
      <c r="K1419" s="59"/>
      <c r="L1419" s="58"/>
      <c r="M1419" s="59"/>
      <c r="N1419" s="58"/>
      <c r="O1419" s="59"/>
      <c r="P1419" s="58"/>
      <c r="Q1419" s="60"/>
      <c r="S1419" s="21"/>
      <c r="T1419" s="16"/>
      <c r="U1419" s="12"/>
    </row>
    <row r="1420" spans="1:22">
      <c r="A1420" s="9"/>
      <c r="B1420" s="58"/>
      <c r="C1420" s="59"/>
      <c r="D1420" s="59"/>
      <c r="E1420" s="59"/>
      <c r="F1420" s="59"/>
      <c r="G1420" s="60"/>
      <c r="H1420" s="9"/>
      <c r="I1420" s="58"/>
      <c r="J1420" s="59"/>
      <c r="K1420" s="59"/>
      <c r="L1420" s="58"/>
      <c r="M1420" s="59"/>
      <c r="N1420" s="58"/>
      <c r="O1420" s="59"/>
      <c r="P1420" s="58"/>
      <c r="Q1420" s="60"/>
      <c r="S1420" s="21"/>
      <c r="T1420" s="16"/>
      <c r="U1420" s="12"/>
    </row>
    <row r="1421" spans="1:22">
      <c r="A1421" s="7"/>
      <c r="B1421" s="61"/>
      <c r="C1421" s="62"/>
      <c r="D1421" s="62"/>
      <c r="E1421" s="62"/>
      <c r="F1421" s="62"/>
      <c r="G1421" s="63"/>
      <c r="H1421" s="9"/>
      <c r="I1421" s="64"/>
      <c r="J1421" s="65"/>
      <c r="K1421" s="66"/>
      <c r="L1421" s="67"/>
      <c r="M1421" s="68"/>
      <c r="N1421" s="67"/>
      <c r="O1421" s="68"/>
      <c r="P1421" s="69"/>
      <c r="Q1421" s="70"/>
      <c r="S1421" s="21"/>
      <c r="T1421" s="16"/>
    </row>
    <row r="1422" spans="1:22">
      <c r="A1422" s="44" t="s">
        <v>29</v>
      </c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T1422" s="20"/>
    </row>
    <row r="1423" spans="1:22">
      <c r="A1423" s="44" t="s">
        <v>30</v>
      </c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T1423" s="20"/>
    </row>
    <row r="1424" spans="1:22">
      <c r="A1424" s="44" t="s">
        <v>31</v>
      </c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T1424" s="20"/>
    </row>
    <row r="1425" spans="1:20">
      <c r="A1425" s="44" t="s">
        <v>32</v>
      </c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T1425" s="20"/>
    </row>
    <row r="1426" spans="1:20">
      <c r="A1426" s="54" t="s">
        <v>33</v>
      </c>
      <c r="B1426" s="54"/>
      <c r="C1426" s="54"/>
      <c r="D1426" s="54"/>
      <c r="E1426" s="54"/>
      <c r="F1426" s="54"/>
      <c r="G1426" s="54"/>
      <c r="H1426" s="54" t="s">
        <v>20</v>
      </c>
      <c r="I1426" s="54"/>
      <c r="J1426" s="54"/>
      <c r="K1426" s="54" t="s">
        <v>34</v>
      </c>
      <c r="L1426" s="54"/>
      <c r="M1426" s="54" t="s">
        <v>35</v>
      </c>
      <c r="N1426" s="54"/>
      <c r="O1426" s="54" t="s">
        <v>36</v>
      </c>
      <c r="P1426" s="54"/>
      <c r="Q1426" s="54"/>
      <c r="T1426" s="20"/>
    </row>
    <row r="1427" spans="1:20">
      <c r="A1427" s="55"/>
      <c r="B1427" s="56"/>
      <c r="C1427" s="56"/>
      <c r="D1427" s="56"/>
      <c r="E1427" s="56"/>
      <c r="F1427" s="56"/>
      <c r="G1427" s="57"/>
      <c r="H1427" s="55"/>
      <c r="I1427" s="56"/>
      <c r="J1427" s="57"/>
      <c r="K1427" s="55"/>
      <c r="L1427" s="56"/>
      <c r="M1427" s="55"/>
      <c r="N1427" s="56"/>
      <c r="O1427" s="55"/>
      <c r="P1427" s="56"/>
      <c r="Q1427" s="57"/>
      <c r="T1427" s="20"/>
    </row>
    <row r="1428" spans="1:20">
      <c r="A1428" s="55"/>
      <c r="B1428" s="56"/>
      <c r="C1428" s="56"/>
      <c r="D1428" s="56"/>
      <c r="E1428" s="56"/>
      <c r="F1428" s="56"/>
      <c r="G1428" s="57"/>
      <c r="H1428" s="55"/>
      <c r="I1428" s="56"/>
      <c r="J1428" s="57"/>
      <c r="K1428" s="55"/>
      <c r="L1428" s="56"/>
      <c r="M1428" s="55"/>
      <c r="N1428" s="56"/>
      <c r="O1428" s="55"/>
      <c r="P1428" s="56"/>
      <c r="Q1428" s="57"/>
      <c r="T1428" s="20"/>
    </row>
    <row r="1429" spans="1:20">
      <c r="A1429" s="53"/>
      <c r="B1429" s="53"/>
      <c r="C1429" s="53"/>
      <c r="D1429" s="53"/>
      <c r="E1429" s="53"/>
      <c r="F1429" s="53"/>
      <c r="G1429" s="53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T1429" s="20"/>
    </row>
    <row r="1430" spans="1:20">
      <c r="A1430" s="53"/>
      <c r="B1430" s="53"/>
      <c r="C1430" s="53"/>
      <c r="D1430" s="53"/>
      <c r="E1430" s="53"/>
      <c r="F1430" s="53"/>
      <c r="G1430" s="53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T1430" s="20"/>
    </row>
    <row r="1431" spans="1:20">
      <c r="A1431" s="44" t="s">
        <v>37</v>
      </c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T1431" s="20"/>
    </row>
    <row r="1432" spans="1:20">
      <c r="A1432" s="46" t="s">
        <v>38</v>
      </c>
      <c r="B1432" s="46"/>
      <c r="C1432" s="47" t="s">
        <v>39</v>
      </c>
      <c r="D1432" s="48"/>
      <c r="E1432" s="48"/>
      <c r="F1432" s="47" t="s">
        <v>40</v>
      </c>
      <c r="G1432" s="48"/>
      <c r="H1432" s="49"/>
      <c r="I1432" s="46" t="s">
        <v>41</v>
      </c>
      <c r="J1432" s="46"/>
      <c r="K1432" s="46"/>
      <c r="L1432" s="46" t="s">
        <v>35</v>
      </c>
      <c r="M1432" s="46"/>
      <c r="N1432" s="46"/>
      <c r="O1432" s="46" t="s">
        <v>36</v>
      </c>
      <c r="P1432" s="46"/>
      <c r="Q1432" s="46"/>
      <c r="T1432" s="20"/>
    </row>
    <row r="1433" spans="1:20">
      <c r="A1433" s="47" t="s">
        <v>42</v>
      </c>
      <c r="B1433" s="49"/>
      <c r="C1433" s="47">
        <v>2</v>
      </c>
      <c r="D1433" s="48"/>
      <c r="E1433" s="49"/>
      <c r="F1433" s="47">
        <f>F1360+C1433</f>
        <v>28</v>
      </c>
      <c r="G1433" s="48"/>
      <c r="H1433" s="49"/>
      <c r="I1433" s="47"/>
      <c r="J1433" s="48"/>
      <c r="K1433" s="49"/>
      <c r="L1433" s="47"/>
      <c r="M1433" s="48"/>
      <c r="N1433" s="49"/>
      <c r="O1433" s="47"/>
      <c r="P1433" s="48"/>
      <c r="Q1433" s="49"/>
      <c r="T1433" s="20"/>
    </row>
    <row r="1434" spans="1:20">
      <c r="A1434" s="47" t="s">
        <v>100</v>
      </c>
      <c r="B1434" s="49"/>
      <c r="C1434" s="47"/>
      <c r="D1434" s="48"/>
      <c r="E1434" s="49"/>
      <c r="F1434" s="47">
        <f>F1361+C1434</f>
        <v>2</v>
      </c>
      <c r="G1434" s="48"/>
      <c r="H1434" s="49"/>
      <c r="I1434" s="47"/>
      <c r="J1434" s="48"/>
      <c r="K1434" s="49"/>
      <c r="L1434" s="47"/>
      <c r="M1434" s="48"/>
      <c r="N1434" s="49"/>
      <c r="O1434" s="47"/>
      <c r="P1434" s="48"/>
      <c r="Q1434" s="49"/>
      <c r="T1434" s="20"/>
    </row>
    <row r="1435" spans="1:20">
      <c r="A1435" s="47"/>
      <c r="B1435" s="49"/>
      <c r="C1435" s="47"/>
      <c r="D1435" s="48"/>
      <c r="E1435" s="49"/>
      <c r="F1435" s="47"/>
      <c r="G1435" s="48"/>
      <c r="H1435" s="49"/>
      <c r="I1435" s="47"/>
      <c r="J1435" s="48"/>
      <c r="K1435" s="49"/>
      <c r="L1435" s="47"/>
      <c r="M1435" s="48"/>
      <c r="N1435" s="49"/>
      <c r="O1435" s="47"/>
      <c r="P1435" s="48"/>
      <c r="Q1435" s="49"/>
      <c r="T1435" s="20"/>
    </row>
    <row r="1436" spans="1:20">
      <c r="A1436" s="46"/>
      <c r="B1436" s="46"/>
      <c r="C1436" s="47"/>
      <c r="D1436" s="48"/>
      <c r="E1436" s="49"/>
      <c r="F1436" s="47"/>
      <c r="G1436" s="48"/>
      <c r="H1436" s="49"/>
      <c r="I1436" s="47"/>
      <c r="J1436" s="48"/>
      <c r="K1436" s="49"/>
      <c r="L1436" s="47"/>
      <c r="M1436" s="48"/>
      <c r="N1436" s="49"/>
      <c r="O1436" s="47"/>
      <c r="P1436" s="48"/>
      <c r="Q1436" s="49"/>
      <c r="T1436" s="20"/>
    </row>
    <row r="1437" spans="1:20">
      <c r="A1437" s="46"/>
      <c r="B1437" s="46"/>
      <c r="C1437" s="47"/>
      <c r="D1437" s="48"/>
      <c r="E1437" s="49"/>
      <c r="F1437" s="47"/>
      <c r="G1437" s="48"/>
      <c r="H1437" s="49"/>
      <c r="I1437" s="47"/>
      <c r="J1437" s="48"/>
      <c r="K1437" s="49"/>
      <c r="L1437" s="47"/>
      <c r="M1437" s="48"/>
      <c r="N1437" s="49"/>
      <c r="O1437" s="47"/>
      <c r="P1437" s="48"/>
      <c r="Q1437" s="49"/>
      <c r="T1437" s="20"/>
    </row>
    <row r="1438" spans="1:20">
      <c r="A1438" s="50" t="s">
        <v>43</v>
      </c>
      <c r="B1438" s="51"/>
      <c r="C1438" s="51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2"/>
      <c r="T1438" s="20"/>
    </row>
    <row r="1439" spans="1:20">
      <c r="A1439" s="38" t="s">
        <v>44</v>
      </c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40"/>
      <c r="T1439" s="20"/>
    </row>
    <row r="1440" spans="1:20">
      <c r="A1440" s="41" t="s">
        <v>45</v>
      </c>
      <c r="B1440" s="42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  <c r="P1440" s="42"/>
      <c r="Q1440" s="43"/>
      <c r="T1440" s="20"/>
    </row>
    <row r="1441" spans="1:20">
      <c r="A1441" s="50" t="s">
        <v>46</v>
      </c>
      <c r="B1441" s="51"/>
      <c r="C1441" s="51"/>
      <c r="D1441" s="51"/>
      <c r="E1441" s="51"/>
      <c r="F1441" s="51"/>
      <c r="G1441" s="51"/>
      <c r="H1441" s="51"/>
      <c r="I1441" s="51"/>
      <c r="J1441" s="51"/>
      <c r="K1441" s="51"/>
      <c r="L1441" s="51"/>
      <c r="M1441" s="51"/>
      <c r="N1441" s="51"/>
      <c r="O1441" s="51"/>
      <c r="P1441" s="51"/>
      <c r="Q1441" s="52"/>
      <c r="T1441" s="20"/>
    </row>
    <row r="1442" spans="1:20">
      <c r="A1442" s="38" t="s">
        <v>47</v>
      </c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40"/>
      <c r="T1442" s="20"/>
    </row>
    <row r="1443" spans="1:20">
      <c r="A1443" s="38" t="s">
        <v>48</v>
      </c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40"/>
      <c r="T1443" s="20"/>
    </row>
    <row r="1444" spans="1:20">
      <c r="A1444" s="38" t="s">
        <v>49</v>
      </c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40"/>
      <c r="T1444" s="20"/>
    </row>
    <row r="1445" spans="1:20">
      <c r="A1445" s="38" t="s">
        <v>50</v>
      </c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40"/>
      <c r="T1445" s="20"/>
    </row>
    <row r="1446" spans="1:20">
      <c r="A1446" s="38" t="s">
        <v>51</v>
      </c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40"/>
      <c r="T1446" s="20"/>
    </row>
    <row r="1447" spans="1:20">
      <c r="A1447" s="41" t="s">
        <v>52</v>
      </c>
      <c r="B1447" s="42"/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  <c r="O1447" s="42"/>
      <c r="P1447" s="42"/>
      <c r="Q1447" s="43"/>
      <c r="T1447" s="20"/>
    </row>
    <row r="1448" spans="1:20">
      <c r="A1448" s="44" t="s">
        <v>53</v>
      </c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T1448" s="20"/>
    </row>
    <row r="1449" spans="1:20">
      <c r="A1449" s="44" t="s">
        <v>54</v>
      </c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T1449" s="20"/>
    </row>
    <row r="1450" spans="1:20">
      <c r="A1450" s="44" t="s">
        <v>99</v>
      </c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T1450" s="20"/>
    </row>
    <row r="1451" spans="1:20">
      <c r="A1451" s="44" t="s">
        <v>55</v>
      </c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T1451" s="20"/>
    </row>
    <row r="1452" spans="1:20">
      <c r="A1452" s="45" t="s">
        <v>56</v>
      </c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T1452" s="20"/>
    </row>
    <row r="1453" spans="1:20">
      <c r="A1453" s="37" t="s">
        <v>57</v>
      </c>
      <c r="B1453" s="37"/>
      <c r="C1453" s="37"/>
      <c r="D1453" s="37"/>
      <c r="E1453" s="37"/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T1453" s="20"/>
    </row>
    <row r="1454" spans="1:20">
      <c r="A1454" s="37" t="s">
        <v>58</v>
      </c>
      <c r="B1454" s="37"/>
      <c r="C1454" s="37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T1454" s="20"/>
    </row>
    <row r="1455" spans="1:20">
      <c r="A1455" s="37" t="s">
        <v>59</v>
      </c>
      <c r="B1455" s="37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T1455" s="20"/>
    </row>
    <row r="1456" spans="1:20">
      <c r="A1456" s="37" t="s">
        <v>60</v>
      </c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T1456" s="20"/>
    </row>
    <row r="1457" spans="1:21">
      <c r="A1457" s="37" t="s">
        <v>61</v>
      </c>
      <c r="B1457" s="37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T1457" s="20"/>
    </row>
    <row r="1458" spans="1:21">
      <c r="A1458" s="37" t="s">
        <v>62</v>
      </c>
      <c r="B1458" s="37"/>
      <c r="C1458" s="37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T1458" s="20"/>
    </row>
    <row r="1459" spans="1:21">
      <c r="A1459" s="37" t="s">
        <v>63</v>
      </c>
      <c r="B1459" s="37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T1459" s="20"/>
    </row>
    <row r="1460" spans="1:21">
      <c r="A1460" s="37" t="s">
        <v>75</v>
      </c>
      <c r="B1460" s="37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T1460" s="20"/>
    </row>
    <row r="1461" spans="1:21" ht="39" customHeight="1">
      <c r="B1461" s="120" t="s">
        <v>0</v>
      </c>
      <c r="C1461" s="120"/>
      <c r="D1461" s="120"/>
      <c r="E1461" s="120"/>
      <c r="F1461" s="120"/>
      <c r="G1461" s="120"/>
      <c r="H1461" s="120"/>
      <c r="I1461" s="120"/>
      <c r="J1461" s="120"/>
      <c r="K1461" s="120"/>
      <c r="L1461" s="120"/>
      <c r="M1461" s="120"/>
      <c r="N1461" s="120"/>
      <c r="O1461" s="120"/>
      <c r="P1461" s="120"/>
      <c r="Q1461" s="120"/>
      <c r="T1461" s="20"/>
    </row>
    <row r="1462" spans="1:21">
      <c r="B1462" s="6" t="s">
        <v>1</v>
      </c>
      <c r="C1462" s="121" t="s">
        <v>2</v>
      </c>
      <c r="D1462" s="121"/>
      <c r="E1462" s="1" t="s">
        <v>3</v>
      </c>
      <c r="F1462" s="121" t="s">
        <v>4</v>
      </c>
      <c r="G1462" s="121"/>
      <c r="H1462" s="1" t="s">
        <v>3</v>
      </c>
      <c r="I1462" s="1"/>
      <c r="J1462" s="121" t="s">
        <v>5</v>
      </c>
      <c r="K1462" s="121"/>
      <c r="L1462" s="121"/>
      <c r="M1462" s="122">
        <f>M1389+1</f>
        <v>46247</v>
      </c>
      <c r="N1462" s="122"/>
      <c r="O1462" s="122"/>
      <c r="P1462" s="123"/>
      <c r="Q1462" s="123"/>
      <c r="T1462" s="20"/>
    </row>
    <row r="1463" spans="1:21">
      <c r="A1463" s="96" t="s">
        <v>6</v>
      </c>
      <c r="B1463" s="96"/>
      <c r="C1463" s="124" t="s">
        <v>79</v>
      </c>
      <c r="D1463" s="125"/>
      <c r="E1463" s="125"/>
      <c r="F1463" s="125"/>
      <c r="G1463" s="125"/>
      <c r="H1463" s="125"/>
      <c r="I1463" s="126"/>
      <c r="J1463" s="127" t="s">
        <v>7</v>
      </c>
      <c r="K1463" s="128"/>
      <c r="L1463" s="128"/>
      <c r="M1463" s="129"/>
      <c r="N1463" s="130" t="s">
        <v>78</v>
      </c>
      <c r="O1463" s="130"/>
      <c r="P1463" s="130"/>
      <c r="Q1463" s="131"/>
      <c r="T1463" s="20"/>
    </row>
    <row r="1464" spans="1:21">
      <c r="A1464" s="96" t="s">
        <v>8</v>
      </c>
      <c r="B1464" s="96"/>
      <c r="C1464" s="4">
        <v>30</v>
      </c>
      <c r="D1464" s="3" t="s">
        <v>9</v>
      </c>
      <c r="E1464" s="127" t="s">
        <v>10</v>
      </c>
      <c r="F1464" s="129"/>
      <c r="G1464" s="127">
        <f>G1391+1</f>
        <v>21</v>
      </c>
      <c r="H1464" s="128"/>
      <c r="I1464" s="3" t="s">
        <v>9</v>
      </c>
      <c r="J1464" s="96" t="s">
        <v>11</v>
      </c>
      <c r="K1464" s="96"/>
      <c r="L1464" s="35">
        <f>C1464-G1464</f>
        <v>9</v>
      </c>
      <c r="M1464" s="2" t="s">
        <v>9</v>
      </c>
      <c r="N1464" s="96" t="s">
        <v>12</v>
      </c>
      <c r="O1464" s="96"/>
      <c r="P1464" s="2"/>
      <c r="Q1464" s="3" t="s">
        <v>9</v>
      </c>
      <c r="T1464" s="20"/>
    </row>
    <row r="1465" spans="1:21">
      <c r="A1465" s="96" t="s">
        <v>13</v>
      </c>
      <c r="B1465" s="96"/>
      <c r="C1465" s="132">
        <v>46227</v>
      </c>
      <c r="D1465" s="132"/>
      <c r="E1465" s="132"/>
      <c r="F1465" s="132"/>
      <c r="G1465" s="132"/>
      <c r="H1465" s="132"/>
      <c r="I1465" s="132"/>
      <c r="J1465" s="127" t="s">
        <v>14</v>
      </c>
      <c r="K1465" s="128"/>
      <c r="L1465" s="128"/>
      <c r="M1465" s="129"/>
      <c r="N1465" s="133">
        <v>46256</v>
      </c>
      <c r="O1465" s="134"/>
      <c r="P1465" s="134"/>
      <c r="Q1465" s="135"/>
      <c r="T1465" s="20"/>
    </row>
    <row r="1466" spans="1:21">
      <c r="A1466" s="96" t="s">
        <v>15</v>
      </c>
      <c r="B1466" s="96"/>
      <c r="C1466" s="97">
        <v>92</v>
      </c>
      <c r="D1466" s="98"/>
      <c r="E1466" s="98"/>
      <c r="F1466" s="98"/>
      <c r="G1466" s="98"/>
      <c r="H1466" s="99" t="s">
        <v>16</v>
      </c>
      <c r="I1466" s="100"/>
      <c r="J1466" s="101" t="s">
        <v>17</v>
      </c>
      <c r="K1466" s="101"/>
      <c r="L1466" s="101"/>
      <c r="M1466" s="101"/>
      <c r="N1466" s="102">
        <f>U1489</f>
        <v>0.97138357693035915</v>
      </c>
      <c r="O1466" s="102"/>
      <c r="P1466" s="102"/>
      <c r="Q1466" s="102"/>
      <c r="T1466" s="20"/>
    </row>
    <row r="1467" spans="1:21">
      <c r="A1467" s="103" t="s">
        <v>18</v>
      </c>
      <c r="B1467" s="104"/>
      <c r="C1467" s="104"/>
      <c r="D1467" s="104"/>
      <c r="E1467" s="104"/>
      <c r="F1467" s="104"/>
      <c r="G1467" s="104"/>
      <c r="H1467" s="104"/>
      <c r="I1467" s="104"/>
      <c r="J1467" s="104"/>
      <c r="K1467" s="104"/>
      <c r="L1467" s="104"/>
      <c r="M1467" s="104"/>
      <c r="N1467" s="104"/>
      <c r="O1467" s="104"/>
      <c r="P1467" s="104"/>
      <c r="Q1467" s="105"/>
      <c r="T1467" s="20"/>
    </row>
    <row r="1468" spans="1:21">
      <c r="A1468" s="7"/>
      <c r="B1468" s="106" t="s">
        <v>19</v>
      </c>
      <c r="C1468" s="107"/>
      <c r="D1468" s="107"/>
      <c r="E1468" s="107"/>
      <c r="F1468" s="107"/>
      <c r="G1468" s="108"/>
      <c r="H1468" s="8" t="s">
        <v>20</v>
      </c>
      <c r="I1468" s="109" t="s">
        <v>21</v>
      </c>
      <c r="J1468" s="110"/>
      <c r="K1468" s="111"/>
      <c r="L1468" s="109" t="s">
        <v>28</v>
      </c>
      <c r="M1468" s="111"/>
      <c r="N1468" s="106" t="s">
        <v>22</v>
      </c>
      <c r="O1468" s="112"/>
      <c r="P1468" s="113" t="s">
        <v>23</v>
      </c>
      <c r="Q1468" s="113"/>
      <c r="S1468" s="33" t="s">
        <v>22</v>
      </c>
      <c r="T1468" s="34" t="s">
        <v>64</v>
      </c>
      <c r="U1468" s="13" t="s">
        <v>27</v>
      </c>
    </row>
    <row r="1469" spans="1:21">
      <c r="A1469" s="17" t="s">
        <v>65</v>
      </c>
      <c r="B1469" s="114" t="s">
        <v>66</v>
      </c>
      <c r="C1469" s="115"/>
      <c r="D1469" s="115"/>
      <c r="E1469" s="115"/>
      <c r="F1469" s="115"/>
      <c r="G1469" s="116"/>
      <c r="H1469" s="17"/>
      <c r="I1469" s="117"/>
      <c r="J1469" s="118"/>
      <c r="K1469" s="119"/>
      <c r="L1469" s="77"/>
      <c r="M1469" s="78"/>
      <c r="N1469" s="77"/>
      <c r="O1469" s="78"/>
      <c r="P1469" s="93"/>
      <c r="Q1469" s="93"/>
      <c r="S1469" s="16"/>
      <c r="T1469" s="16"/>
      <c r="U1469" s="16" t="s">
        <v>26</v>
      </c>
    </row>
    <row r="1470" spans="1:21">
      <c r="A1470" s="17">
        <v>1</v>
      </c>
      <c r="B1470" s="81" t="s">
        <v>80</v>
      </c>
      <c r="C1470" s="82"/>
      <c r="D1470" s="82"/>
      <c r="E1470" s="82"/>
      <c r="F1470" s="82"/>
      <c r="G1470" s="83"/>
      <c r="H1470" s="29" t="s">
        <v>67</v>
      </c>
      <c r="I1470" s="84">
        <v>18</v>
      </c>
      <c r="J1470" s="85"/>
      <c r="K1470" s="86"/>
      <c r="L1470" s="87">
        <v>9</v>
      </c>
      <c r="M1470" s="88"/>
      <c r="N1470" s="89">
        <v>18</v>
      </c>
      <c r="O1470" s="90"/>
      <c r="P1470" s="93"/>
      <c r="Q1470" s="93"/>
      <c r="S1470" s="12">
        <v>18</v>
      </c>
      <c r="T1470" s="26">
        <v>18000</v>
      </c>
      <c r="U1470" s="12">
        <f>S1470*T1470</f>
        <v>324000</v>
      </c>
    </row>
    <row r="1471" spans="1:21" ht="32.1" customHeight="1">
      <c r="A1471" s="17">
        <v>2</v>
      </c>
      <c r="B1471" s="81" t="s">
        <v>81</v>
      </c>
      <c r="C1471" s="82" t="s">
        <v>81</v>
      </c>
      <c r="D1471" s="82" t="s">
        <v>81</v>
      </c>
      <c r="E1471" s="82" t="s">
        <v>81</v>
      </c>
      <c r="F1471" s="82" t="s">
        <v>81</v>
      </c>
      <c r="G1471" s="83" t="s">
        <v>81</v>
      </c>
      <c r="H1471" s="29" t="s">
        <v>97</v>
      </c>
      <c r="I1471" s="84">
        <v>166</v>
      </c>
      <c r="J1471" s="85"/>
      <c r="K1471" s="86"/>
      <c r="L1471" s="87"/>
      <c r="M1471" s="88"/>
      <c r="N1471" s="89">
        <v>166</v>
      </c>
      <c r="O1471" s="90"/>
      <c r="P1471" s="93"/>
      <c r="Q1471" s="93"/>
      <c r="S1471" s="12">
        <v>166</v>
      </c>
      <c r="T1471" s="26">
        <v>750</v>
      </c>
      <c r="U1471" s="12">
        <f t="shared" ref="U1471:U1481" si="40">S1471*T1471</f>
        <v>124500</v>
      </c>
    </row>
    <row r="1472" spans="1:21">
      <c r="A1472" s="17">
        <v>3</v>
      </c>
      <c r="B1472" s="81" t="s">
        <v>82</v>
      </c>
      <c r="C1472" s="82" t="s">
        <v>82</v>
      </c>
      <c r="D1472" s="82" t="s">
        <v>82</v>
      </c>
      <c r="E1472" s="82" t="s">
        <v>82</v>
      </c>
      <c r="F1472" s="82" t="s">
        <v>82</v>
      </c>
      <c r="G1472" s="83" t="s">
        <v>82</v>
      </c>
      <c r="H1472" s="29" t="s">
        <v>97</v>
      </c>
      <c r="I1472" s="84">
        <v>540</v>
      </c>
      <c r="J1472" s="85">
        <v>540</v>
      </c>
      <c r="K1472" s="86">
        <v>540</v>
      </c>
      <c r="L1472" s="87"/>
      <c r="M1472" s="88"/>
      <c r="N1472" s="89">
        <v>540</v>
      </c>
      <c r="O1472" s="90"/>
      <c r="P1472" s="93"/>
      <c r="Q1472" s="93"/>
      <c r="S1472" s="12">
        <v>540</v>
      </c>
      <c r="T1472" s="26">
        <v>340</v>
      </c>
      <c r="U1472" s="12">
        <f t="shared" si="40"/>
        <v>183600</v>
      </c>
    </row>
    <row r="1473" spans="1:22">
      <c r="A1473" s="17">
        <v>4</v>
      </c>
      <c r="B1473" s="81" t="s">
        <v>83</v>
      </c>
      <c r="C1473" s="82" t="s">
        <v>83</v>
      </c>
      <c r="D1473" s="82" t="s">
        <v>83</v>
      </c>
      <c r="E1473" s="82" t="s">
        <v>83</v>
      </c>
      <c r="F1473" s="82" t="s">
        <v>83</v>
      </c>
      <c r="G1473" s="83" t="s">
        <v>83</v>
      </c>
      <c r="H1473" s="29" t="s">
        <v>67</v>
      </c>
      <c r="I1473" s="84">
        <v>20</v>
      </c>
      <c r="J1473" s="85">
        <v>20</v>
      </c>
      <c r="K1473" s="86">
        <v>20</v>
      </c>
      <c r="L1473" s="87"/>
      <c r="M1473" s="88"/>
      <c r="N1473" s="89">
        <v>20</v>
      </c>
      <c r="O1473" s="90"/>
      <c r="P1473" s="93"/>
      <c r="Q1473" s="93"/>
      <c r="S1473" s="12">
        <v>20</v>
      </c>
      <c r="T1473" s="26">
        <v>1250</v>
      </c>
      <c r="U1473" s="12">
        <f t="shared" si="40"/>
        <v>25000</v>
      </c>
    </row>
    <row r="1474" spans="1:22" ht="31.5" customHeight="1">
      <c r="A1474" s="17">
        <v>5</v>
      </c>
      <c r="B1474" s="81" t="s">
        <v>84</v>
      </c>
      <c r="C1474" s="82" t="s">
        <v>84</v>
      </c>
      <c r="D1474" s="82" t="s">
        <v>84</v>
      </c>
      <c r="E1474" s="82" t="s">
        <v>84</v>
      </c>
      <c r="F1474" s="82" t="s">
        <v>84</v>
      </c>
      <c r="G1474" s="83" t="s">
        <v>84</v>
      </c>
      <c r="H1474" s="29" t="s">
        <v>97</v>
      </c>
      <c r="I1474" s="84">
        <v>28</v>
      </c>
      <c r="J1474" s="85">
        <v>28</v>
      </c>
      <c r="K1474" s="86">
        <v>28</v>
      </c>
      <c r="L1474" s="87"/>
      <c r="M1474" s="88"/>
      <c r="N1474" s="89">
        <v>28</v>
      </c>
      <c r="O1474" s="90"/>
      <c r="P1474" s="93"/>
      <c r="Q1474" s="93"/>
      <c r="S1474" s="12">
        <v>28</v>
      </c>
      <c r="T1474" s="26">
        <v>1800</v>
      </c>
      <c r="U1474" s="12">
        <f t="shared" si="40"/>
        <v>50400</v>
      </c>
    </row>
    <row r="1475" spans="1:22">
      <c r="A1475" s="17">
        <v>6</v>
      </c>
      <c r="B1475" s="81" t="s">
        <v>85</v>
      </c>
      <c r="C1475" s="82" t="s">
        <v>85</v>
      </c>
      <c r="D1475" s="82" t="s">
        <v>85</v>
      </c>
      <c r="E1475" s="82" t="s">
        <v>85</v>
      </c>
      <c r="F1475" s="82" t="s">
        <v>85</v>
      </c>
      <c r="G1475" s="83" t="s">
        <v>85</v>
      </c>
      <c r="H1475" s="29" t="s">
        <v>97</v>
      </c>
      <c r="I1475" s="84">
        <v>14</v>
      </c>
      <c r="J1475" s="85">
        <v>14</v>
      </c>
      <c r="K1475" s="86">
        <v>14</v>
      </c>
      <c r="L1475" s="87"/>
      <c r="M1475" s="88"/>
      <c r="N1475" s="89">
        <v>14</v>
      </c>
      <c r="O1475" s="90"/>
      <c r="P1475" s="79"/>
      <c r="Q1475" s="80"/>
      <c r="S1475" s="12">
        <v>14</v>
      </c>
      <c r="T1475" s="26">
        <v>4000</v>
      </c>
      <c r="U1475" s="12">
        <f t="shared" si="40"/>
        <v>56000</v>
      </c>
    </row>
    <row r="1476" spans="1:22">
      <c r="A1476" s="17">
        <v>7</v>
      </c>
      <c r="B1476" s="81" t="s">
        <v>86</v>
      </c>
      <c r="C1476" s="82" t="s">
        <v>86</v>
      </c>
      <c r="D1476" s="82" t="s">
        <v>86</v>
      </c>
      <c r="E1476" s="82" t="s">
        <v>86</v>
      </c>
      <c r="F1476" s="82" t="s">
        <v>86</v>
      </c>
      <c r="G1476" s="83" t="s">
        <v>86</v>
      </c>
      <c r="H1476" s="29" t="s">
        <v>97</v>
      </c>
      <c r="I1476" s="84">
        <v>30</v>
      </c>
      <c r="J1476" s="85">
        <v>30</v>
      </c>
      <c r="K1476" s="86">
        <v>30</v>
      </c>
      <c r="L1476" s="87"/>
      <c r="M1476" s="88"/>
      <c r="N1476" s="89">
        <v>30</v>
      </c>
      <c r="O1476" s="90"/>
      <c r="P1476" s="93"/>
      <c r="Q1476" s="93"/>
      <c r="S1476" s="12">
        <v>30</v>
      </c>
      <c r="T1476" s="26">
        <v>4000</v>
      </c>
      <c r="U1476" s="12">
        <f t="shared" si="40"/>
        <v>120000</v>
      </c>
    </row>
    <row r="1477" spans="1:22">
      <c r="A1477" s="17">
        <v>8</v>
      </c>
      <c r="B1477" s="81" t="s">
        <v>87</v>
      </c>
      <c r="C1477" s="82" t="s">
        <v>87</v>
      </c>
      <c r="D1477" s="82" t="s">
        <v>87</v>
      </c>
      <c r="E1477" s="82" t="s">
        <v>87</v>
      </c>
      <c r="F1477" s="82" t="s">
        <v>87</v>
      </c>
      <c r="G1477" s="83" t="s">
        <v>87</v>
      </c>
      <c r="H1477" s="30" t="s">
        <v>25</v>
      </c>
      <c r="I1477" s="84">
        <v>1</v>
      </c>
      <c r="J1477" s="85">
        <v>1</v>
      </c>
      <c r="K1477" s="86">
        <v>1</v>
      </c>
      <c r="L1477" s="94"/>
      <c r="M1477" s="95"/>
      <c r="N1477" s="94">
        <v>1</v>
      </c>
      <c r="O1477" s="95"/>
      <c r="P1477" s="93"/>
      <c r="Q1477" s="93"/>
      <c r="S1477" s="16">
        <v>1</v>
      </c>
      <c r="T1477" s="26">
        <v>31000</v>
      </c>
      <c r="U1477" s="12">
        <f t="shared" si="40"/>
        <v>31000</v>
      </c>
    </row>
    <row r="1478" spans="1:22">
      <c r="A1478" s="17">
        <v>9</v>
      </c>
      <c r="B1478" s="81" t="s">
        <v>88</v>
      </c>
      <c r="C1478" s="82" t="s">
        <v>88</v>
      </c>
      <c r="D1478" s="82" t="s">
        <v>88</v>
      </c>
      <c r="E1478" s="82" t="s">
        <v>88</v>
      </c>
      <c r="F1478" s="82" t="s">
        <v>88</v>
      </c>
      <c r="G1478" s="83" t="s">
        <v>88</v>
      </c>
      <c r="H1478" s="30" t="s">
        <v>25</v>
      </c>
      <c r="I1478" s="84">
        <v>1</v>
      </c>
      <c r="J1478" s="85">
        <v>1</v>
      </c>
      <c r="K1478" s="86">
        <v>1</v>
      </c>
      <c r="L1478" s="87"/>
      <c r="M1478" s="88"/>
      <c r="N1478" s="89"/>
      <c r="O1478" s="90"/>
      <c r="P1478" s="93"/>
      <c r="Q1478" s="93"/>
      <c r="S1478" s="12"/>
      <c r="T1478" s="26">
        <v>30121</v>
      </c>
      <c r="U1478" s="12">
        <f t="shared" si="40"/>
        <v>0</v>
      </c>
    </row>
    <row r="1479" spans="1:22">
      <c r="A1479" s="17">
        <v>10</v>
      </c>
      <c r="B1479" s="81" t="s">
        <v>89</v>
      </c>
      <c r="C1479" s="82"/>
      <c r="D1479" s="82"/>
      <c r="E1479" s="82"/>
      <c r="F1479" s="82"/>
      <c r="G1479" s="83"/>
      <c r="H1479" s="30" t="s">
        <v>98</v>
      </c>
      <c r="I1479" s="84">
        <v>3</v>
      </c>
      <c r="J1479" s="85"/>
      <c r="K1479" s="86"/>
      <c r="L1479" s="87"/>
      <c r="M1479" s="88"/>
      <c r="N1479" s="89">
        <v>3</v>
      </c>
      <c r="O1479" s="90"/>
      <c r="P1479" s="91"/>
      <c r="Q1479" s="92"/>
      <c r="S1479" s="12">
        <v>3</v>
      </c>
      <c r="T1479" s="26">
        <v>14500</v>
      </c>
      <c r="U1479" s="12">
        <f t="shared" si="40"/>
        <v>43500</v>
      </c>
    </row>
    <row r="1480" spans="1:22">
      <c r="A1480" s="17">
        <v>11</v>
      </c>
      <c r="B1480" s="81" t="s">
        <v>90</v>
      </c>
      <c r="C1480" s="82"/>
      <c r="D1480" s="82"/>
      <c r="E1480" s="82"/>
      <c r="F1480" s="82"/>
      <c r="G1480" s="83"/>
      <c r="H1480" s="29" t="s">
        <v>67</v>
      </c>
      <c r="I1480" s="84">
        <v>6</v>
      </c>
      <c r="J1480" s="85"/>
      <c r="K1480" s="86"/>
      <c r="L1480" s="87"/>
      <c r="M1480" s="88"/>
      <c r="N1480" s="89">
        <v>6</v>
      </c>
      <c r="O1480" s="90"/>
      <c r="P1480" s="91"/>
      <c r="Q1480" s="92"/>
      <c r="S1480" s="12">
        <v>6</v>
      </c>
      <c r="T1480" s="26">
        <v>3500</v>
      </c>
      <c r="U1480" s="12">
        <f t="shared" si="40"/>
        <v>21000</v>
      </c>
    </row>
    <row r="1481" spans="1:22">
      <c r="A1481" s="17">
        <v>12</v>
      </c>
      <c r="B1481" s="81" t="s">
        <v>91</v>
      </c>
      <c r="C1481" s="82" t="s">
        <v>89</v>
      </c>
      <c r="D1481" s="82" t="s">
        <v>89</v>
      </c>
      <c r="E1481" s="82" t="s">
        <v>89</v>
      </c>
      <c r="F1481" s="82" t="s">
        <v>89</v>
      </c>
      <c r="G1481" s="83" t="s">
        <v>89</v>
      </c>
      <c r="H1481" s="29" t="s">
        <v>67</v>
      </c>
      <c r="I1481" s="84">
        <v>10</v>
      </c>
      <c r="J1481" s="85">
        <v>10</v>
      </c>
      <c r="K1481" s="86">
        <v>10</v>
      </c>
      <c r="L1481" s="87"/>
      <c r="M1481" s="88"/>
      <c r="N1481" s="89">
        <v>10</v>
      </c>
      <c r="O1481" s="90"/>
      <c r="P1481" s="93"/>
      <c r="Q1481" s="93"/>
      <c r="S1481" s="12">
        <v>10</v>
      </c>
      <c r="T1481" s="26">
        <v>3000</v>
      </c>
      <c r="U1481" s="12">
        <f t="shared" si="40"/>
        <v>30000</v>
      </c>
      <c r="V1481" s="22">
        <f>SUM(U1470:U1481)</f>
        <v>1009000</v>
      </c>
    </row>
    <row r="1482" spans="1:22">
      <c r="A1482" s="17" t="s">
        <v>76</v>
      </c>
      <c r="B1482" s="71" t="s">
        <v>92</v>
      </c>
      <c r="C1482" s="72"/>
      <c r="D1482" s="72"/>
      <c r="E1482" s="72"/>
      <c r="F1482" s="72"/>
      <c r="G1482" s="73"/>
      <c r="H1482" s="30" t="s">
        <v>24</v>
      </c>
      <c r="I1482" s="84">
        <v>1</v>
      </c>
      <c r="J1482" s="85">
        <v>10</v>
      </c>
      <c r="K1482" s="86">
        <v>10</v>
      </c>
      <c r="L1482" s="77"/>
      <c r="M1482" s="78"/>
      <c r="N1482" s="77">
        <v>1</v>
      </c>
      <c r="O1482" s="78"/>
      <c r="P1482" s="79"/>
      <c r="Q1482" s="80"/>
      <c r="S1482" s="12">
        <v>1</v>
      </c>
      <c r="T1482" s="25">
        <v>10391</v>
      </c>
      <c r="U1482" s="12">
        <f>S1482*T1482</f>
        <v>10391</v>
      </c>
      <c r="V1482" s="27"/>
    </row>
    <row r="1483" spans="1:22">
      <c r="A1483" s="23" t="s">
        <v>68</v>
      </c>
      <c r="B1483" s="71" t="s">
        <v>93</v>
      </c>
      <c r="C1483" s="72"/>
      <c r="D1483" s="72"/>
      <c r="E1483" s="72"/>
      <c r="F1483" s="72"/>
      <c r="G1483" s="73"/>
      <c r="H1483" s="30" t="s">
        <v>24</v>
      </c>
      <c r="I1483" s="74">
        <v>1</v>
      </c>
      <c r="J1483" s="75"/>
      <c r="K1483" s="76"/>
      <c r="L1483" s="77">
        <f>N1483-N1410-0.01</f>
        <v>0.14590414782022898</v>
      </c>
      <c r="M1483" s="78"/>
      <c r="N1483" s="77">
        <f>S1483</f>
        <v>0.9710326243864883</v>
      </c>
      <c r="O1483" s="78"/>
      <c r="P1483" s="77"/>
      <c r="Q1483" s="78"/>
      <c r="S1483" s="21">
        <f>V1481*0.01/T1483</f>
        <v>0.9710326243864883</v>
      </c>
      <c r="T1483" s="25">
        <v>10391</v>
      </c>
      <c r="U1483" s="12">
        <f t="shared" ref="U1483:U1484" si="41">S1483*T1483</f>
        <v>10090</v>
      </c>
    </row>
    <row r="1484" spans="1:22">
      <c r="A1484" s="23" t="s">
        <v>69</v>
      </c>
      <c r="B1484" s="58" t="s">
        <v>94</v>
      </c>
      <c r="C1484" s="59" t="s">
        <v>70</v>
      </c>
      <c r="D1484" s="59" t="s">
        <v>70</v>
      </c>
      <c r="E1484" s="59" t="s">
        <v>70</v>
      </c>
      <c r="F1484" s="59" t="s">
        <v>70</v>
      </c>
      <c r="G1484" s="60" t="s">
        <v>70</v>
      </c>
      <c r="H1484" s="30" t="s">
        <v>24</v>
      </c>
      <c r="I1484" s="74">
        <v>1</v>
      </c>
      <c r="J1484" s="75"/>
      <c r="K1484" s="76"/>
      <c r="L1484" s="77">
        <f>N1484-N1411-0.01</f>
        <v>0.14589986114738984</v>
      </c>
      <c r="M1484" s="78"/>
      <c r="N1484" s="77">
        <f>S1484</f>
        <v>0.97100592529454621</v>
      </c>
      <c r="O1484" s="78"/>
      <c r="P1484" s="77"/>
      <c r="Q1484" s="78"/>
      <c r="S1484" s="21">
        <f>V1481*0.07/T1484</f>
        <v>0.97100592529454621</v>
      </c>
      <c r="T1484" s="25">
        <v>72739</v>
      </c>
      <c r="U1484" s="12">
        <f t="shared" si="41"/>
        <v>70630</v>
      </c>
    </row>
    <row r="1485" spans="1:22">
      <c r="A1485" s="23" t="s">
        <v>71</v>
      </c>
      <c r="B1485" s="58" t="s">
        <v>95</v>
      </c>
      <c r="C1485" s="59" t="s">
        <v>72</v>
      </c>
      <c r="D1485" s="59" t="s">
        <v>72</v>
      </c>
      <c r="E1485" s="59" t="s">
        <v>72</v>
      </c>
      <c r="F1485" s="59" t="s">
        <v>72</v>
      </c>
      <c r="G1485" s="60" t="s">
        <v>72</v>
      </c>
      <c r="H1485" s="30" t="s">
        <v>24</v>
      </c>
      <c r="I1485" s="74">
        <v>1</v>
      </c>
      <c r="J1485" s="75"/>
      <c r="K1485" s="76"/>
      <c r="L1485" s="77"/>
      <c r="M1485" s="78"/>
      <c r="N1485" s="77">
        <f>S1485</f>
        <v>1</v>
      </c>
      <c r="O1485" s="78"/>
      <c r="P1485" s="77"/>
      <c r="Q1485" s="78"/>
      <c r="S1485" s="21">
        <v>1</v>
      </c>
      <c r="T1485" s="25">
        <v>4156</v>
      </c>
      <c r="U1485" s="12">
        <f>S1485*T1485</f>
        <v>4156</v>
      </c>
    </row>
    <row r="1486" spans="1:22">
      <c r="A1486" s="23" t="s">
        <v>73</v>
      </c>
      <c r="B1486" s="58" t="s">
        <v>96</v>
      </c>
      <c r="C1486" s="59" t="s">
        <v>74</v>
      </c>
      <c r="D1486" s="59" t="s">
        <v>74</v>
      </c>
      <c r="E1486" s="59" t="s">
        <v>74</v>
      </c>
      <c r="F1486" s="59" t="s">
        <v>74</v>
      </c>
      <c r="G1486" s="60" t="s">
        <v>74</v>
      </c>
      <c r="H1486" s="30" t="s">
        <v>24</v>
      </c>
      <c r="I1486" s="74">
        <v>1</v>
      </c>
      <c r="J1486" s="75"/>
      <c r="K1486" s="76"/>
      <c r="L1486" s="77">
        <f>N1486-N1413</f>
        <v>0.15390570021111893</v>
      </c>
      <c r="M1486" s="78"/>
      <c r="N1486" s="77">
        <f>S1486</f>
        <v>0.97138194933145683</v>
      </c>
      <c r="O1486" s="78"/>
      <c r="P1486" s="79"/>
      <c r="Q1486" s="80"/>
      <c r="S1486" s="21">
        <f>(V1481+U1482+U1483+U1484+U1485)*0.05/T1486</f>
        <v>0.97138194933145683</v>
      </c>
      <c r="T1486" s="25">
        <v>56840</v>
      </c>
      <c r="U1486" s="12">
        <f>S1486*T1486</f>
        <v>55213.350000000006</v>
      </c>
    </row>
    <row r="1487" spans="1:22">
      <c r="A1487" s="23"/>
      <c r="B1487" s="58"/>
      <c r="C1487" s="59"/>
      <c r="D1487" s="59"/>
      <c r="E1487" s="59"/>
      <c r="F1487" s="59"/>
      <c r="G1487" s="60"/>
      <c r="H1487" s="24"/>
      <c r="I1487" s="58"/>
      <c r="J1487" s="59"/>
      <c r="K1487" s="59"/>
      <c r="L1487" s="58"/>
      <c r="M1487" s="59"/>
      <c r="N1487" s="58"/>
      <c r="O1487" s="59"/>
      <c r="P1487" s="58"/>
      <c r="Q1487" s="60"/>
      <c r="S1487" s="21"/>
      <c r="T1487" s="25"/>
      <c r="U1487" s="28">
        <f>V1481+U1482+U1483+U1484+U1485+U1486</f>
        <v>1159480.3500000001</v>
      </c>
    </row>
    <row r="1488" spans="1:22">
      <c r="A1488" s="23"/>
      <c r="B1488" s="58"/>
      <c r="C1488" s="59"/>
      <c r="D1488" s="59"/>
      <c r="E1488" s="59"/>
      <c r="F1488" s="59"/>
      <c r="G1488" s="60"/>
      <c r="H1488" s="23"/>
      <c r="I1488" s="58"/>
      <c r="J1488" s="59"/>
      <c r="K1488" s="59"/>
      <c r="L1488" s="58"/>
      <c r="M1488" s="59"/>
      <c r="N1488" s="58"/>
      <c r="O1488" s="59"/>
      <c r="P1488" s="58"/>
      <c r="Q1488" s="60"/>
      <c r="S1488" s="21"/>
      <c r="T1488" s="16"/>
      <c r="U1488" s="14">
        <v>1193638</v>
      </c>
    </row>
    <row r="1489" spans="1:21">
      <c r="A1489" s="9"/>
      <c r="B1489" s="58"/>
      <c r="C1489" s="59"/>
      <c r="D1489" s="59"/>
      <c r="E1489" s="59"/>
      <c r="F1489" s="59"/>
      <c r="G1489" s="60"/>
      <c r="H1489" s="9"/>
      <c r="I1489" s="58"/>
      <c r="J1489" s="59"/>
      <c r="K1489" s="59"/>
      <c r="L1489" s="58"/>
      <c r="M1489" s="59"/>
      <c r="N1489" s="58"/>
      <c r="O1489" s="59"/>
      <c r="P1489" s="58"/>
      <c r="Q1489" s="60"/>
      <c r="S1489" s="21"/>
      <c r="T1489" s="16"/>
      <c r="U1489" s="15">
        <f>U1487/U1488</f>
        <v>0.97138357693035915</v>
      </c>
    </row>
    <row r="1490" spans="1:21">
      <c r="A1490" s="9"/>
      <c r="B1490" s="58"/>
      <c r="C1490" s="59"/>
      <c r="D1490" s="59"/>
      <c r="E1490" s="59"/>
      <c r="F1490" s="59"/>
      <c r="G1490" s="60"/>
      <c r="H1490" s="9"/>
      <c r="I1490" s="58"/>
      <c r="J1490" s="59"/>
      <c r="K1490" s="59"/>
      <c r="L1490" s="58"/>
      <c r="M1490" s="59"/>
      <c r="N1490" s="58"/>
      <c r="O1490" s="59"/>
      <c r="P1490" s="58"/>
      <c r="Q1490" s="60"/>
      <c r="S1490" s="21"/>
      <c r="T1490" s="16"/>
      <c r="U1490" s="12"/>
    </row>
    <row r="1491" spans="1:21">
      <c r="A1491" s="9"/>
      <c r="B1491" s="58"/>
      <c r="C1491" s="59"/>
      <c r="D1491" s="59"/>
      <c r="E1491" s="59"/>
      <c r="F1491" s="59"/>
      <c r="G1491" s="60"/>
      <c r="H1491" s="9"/>
      <c r="I1491" s="58"/>
      <c r="J1491" s="59"/>
      <c r="K1491" s="59"/>
      <c r="L1491" s="58"/>
      <c r="M1491" s="59"/>
      <c r="N1491" s="58"/>
      <c r="O1491" s="59"/>
      <c r="P1491" s="58"/>
      <c r="Q1491" s="60"/>
      <c r="S1491" s="21"/>
      <c r="T1491" s="16"/>
      <c r="U1491" s="12"/>
    </row>
    <row r="1492" spans="1:21">
      <c r="A1492" s="9"/>
      <c r="B1492" s="58"/>
      <c r="C1492" s="59"/>
      <c r="D1492" s="59"/>
      <c r="E1492" s="59"/>
      <c r="F1492" s="59"/>
      <c r="G1492" s="60"/>
      <c r="H1492" s="9"/>
      <c r="I1492" s="58"/>
      <c r="J1492" s="59"/>
      <c r="K1492" s="59"/>
      <c r="L1492" s="58"/>
      <c r="M1492" s="59"/>
      <c r="N1492" s="58"/>
      <c r="O1492" s="59"/>
      <c r="P1492" s="58"/>
      <c r="Q1492" s="60"/>
      <c r="S1492" s="21"/>
      <c r="T1492" s="16"/>
      <c r="U1492" s="12"/>
    </row>
    <row r="1493" spans="1:21">
      <c r="A1493" s="9"/>
      <c r="B1493" s="58"/>
      <c r="C1493" s="59"/>
      <c r="D1493" s="59"/>
      <c r="E1493" s="59"/>
      <c r="F1493" s="59"/>
      <c r="G1493" s="60"/>
      <c r="H1493" s="9"/>
      <c r="I1493" s="58"/>
      <c r="J1493" s="59"/>
      <c r="K1493" s="59"/>
      <c r="L1493" s="58"/>
      <c r="M1493" s="59"/>
      <c r="N1493" s="58"/>
      <c r="O1493" s="59"/>
      <c r="P1493" s="58"/>
      <c r="Q1493" s="60"/>
      <c r="S1493" s="21"/>
      <c r="T1493" s="16"/>
      <c r="U1493" s="12"/>
    </row>
    <row r="1494" spans="1:21">
      <c r="A1494" s="7"/>
      <c r="B1494" s="61"/>
      <c r="C1494" s="62"/>
      <c r="D1494" s="62"/>
      <c r="E1494" s="62"/>
      <c r="F1494" s="62"/>
      <c r="G1494" s="63"/>
      <c r="H1494" s="9"/>
      <c r="I1494" s="64"/>
      <c r="J1494" s="65"/>
      <c r="K1494" s="66"/>
      <c r="L1494" s="67"/>
      <c r="M1494" s="68"/>
      <c r="N1494" s="67"/>
      <c r="O1494" s="68"/>
      <c r="P1494" s="69"/>
      <c r="Q1494" s="70"/>
      <c r="S1494" s="21"/>
      <c r="T1494" s="16"/>
    </row>
    <row r="1495" spans="1:21">
      <c r="A1495" s="44" t="s">
        <v>29</v>
      </c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T1495" s="20"/>
    </row>
    <row r="1496" spans="1:21">
      <c r="A1496" s="44" t="s">
        <v>30</v>
      </c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T1496" s="20"/>
    </row>
    <row r="1497" spans="1:21">
      <c r="A1497" s="44" t="s">
        <v>31</v>
      </c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T1497" s="20"/>
    </row>
    <row r="1498" spans="1:21">
      <c r="A1498" s="44" t="s">
        <v>32</v>
      </c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T1498" s="20"/>
    </row>
    <row r="1499" spans="1:21">
      <c r="A1499" s="54" t="s">
        <v>33</v>
      </c>
      <c r="B1499" s="54"/>
      <c r="C1499" s="54"/>
      <c r="D1499" s="54"/>
      <c r="E1499" s="54"/>
      <c r="F1499" s="54"/>
      <c r="G1499" s="54"/>
      <c r="H1499" s="54" t="s">
        <v>20</v>
      </c>
      <c r="I1499" s="54"/>
      <c r="J1499" s="54"/>
      <c r="K1499" s="54" t="s">
        <v>34</v>
      </c>
      <c r="L1499" s="54"/>
      <c r="M1499" s="54" t="s">
        <v>35</v>
      </c>
      <c r="N1499" s="54"/>
      <c r="O1499" s="54" t="s">
        <v>36</v>
      </c>
      <c r="P1499" s="54"/>
      <c r="Q1499" s="54"/>
      <c r="T1499" s="20"/>
    </row>
    <row r="1500" spans="1:21">
      <c r="A1500" s="55"/>
      <c r="B1500" s="56"/>
      <c r="C1500" s="56"/>
      <c r="D1500" s="56"/>
      <c r="E1500" s="56"/>
      <c r="F1500" s="56"/>
      <c r="G1500" s="57"/>
      <c r="H1500" s="55"/>
      <c r="I1500" s="56"/>
      <c r="J1500" s="57"/>
      <c r="K1500" s="55"/>
      <c r="L1500" s="56"/>
      <c r="M1500" s="55"/>
      <c r="N1500" s="56"/>
      <c r="O1500" s="55"/>
      <c r="P1500" s="56"/>
      <c r="Q1500" s="57"/>
      <c r="T1500" s="20"/>
    </row>
    <row r="1501" spans="1:21">
      <c r="A1501" s="55"/>
      <c r="B1501" s="56"/>
      <c r="C1501" s="56"/>
      <c r="D1501" s="56"/>
      <c r="E1501" s="56"/>
      <c r="F1501" s="56"/>
      <c r="G1501" s="57"/>
      <c r="H1501" s="55"/>
      <c r="I1501" s="56"/>
      <c r="J1501" s="57"/>
      <c r="K1501" s="55"/>
      <c r="L1501" s="56"/>
      <c r="M1501" s="55"/>
      <c r="N1501" s="56"/>
      <c r="O1501" s="55"/>
      <c r="P1501" s="56"/>
      <c r="Q1501" s="57"/>
      <c r="T1501" s="20"/>
    </row>
    <row r="1502" spans="1:21">
      <c r="A1502" s="53"/>
      <c r="B1502" s="53"/>
      <c r="C1502" s="53"/>
      <c r="D1502" s="53"/>
      <c r="E1502" s="53"/>
      <c r="F1502" s="53"/>
      <c r="G1502" s="53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T1502" s="20"/>
    </row>
    <row r="1503" spans="1:21">
      <c r="A1503" s="53"/>
      <c r="B1503" s="53"/>
      <c r="C1503" s="53"/>
      <c r="D1503" s="53"/>
      <c r="E1503" s="53"/>
      <c r="F1503" s="53"/>
      <c r="G1503" s="53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T1503" s="20"/>
    </row>
    <row r="1504" spans="1:21">
      <c r="A1504" s="44" t="s">
        <v>37</v>
      </c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T1504" s="20"/>
    </row>
    <row r="1505" spans="1:20">
      <c r="A1505" s="46" t="s">
        <v>38</v>
      </c>
      <c r="B1505" s="46"/>
      <c r="C1505" s="47" t="s">
        <v>39</v>
      </c>
      <c r="D1505" s="48"/>
      <c r="E1505" s="48"/>
      <c r="F1505" s="47" t="s">
        <v>40</v>
      </c>
      <c r="G1505" s="48"/>
      <c r="H1505" s="49"/>
      <c r="I1505" s="46" t="s">
        <v>41</v>
      </c>
      <c r="J1505" s="46"/>
      <c r="K1505" s="46"/>
      <c r="L1505" s="46" t="s">
        <v>35</v>
      </c>
      <c r="M1505" s="46"/>
      <c r="N1505" s="46"/>
      <c r="O1505" s="46" t="s">
        <v>36</v>
      </c>
      <c r="P1505" s="46"/>
      <c r="Q1505" s="46"/>
      <c r="T1505" s="20"/>
    </row>
    <row r="1506" spans="1:20">
      <c r="A1506" s="47" t="s">
        <v>42</v>
      </c>
      <c r="B1506" s="49"/>
      <c r="C1506" s="47">
        <v>2</v>
      </c>
      <c r="D1506" s="48"/>
      <c r="E1506" s="49"/>
      <c r="F1506" s="47">
        <f>F1433+C1506</f>
        <v>30</v>
      </c>
      <c r="G1506" s="48"/>
      <c r="H1506" s="49"/>
      <c r="I1506" s="47"/>
      <c r="J1506" s="48"/>
      <c r="K1506" s="49"/>
      <c r="L1506" s="47"/>
      <c r="M1506" s="48"/>
      <c r="N1506" s="49"/>
      <c r="O1506" s="47"/>
      <c r="P1506" s="48"/>
      <c r="Q1506" s="49"/>
      <c r="T1506" s="20"/>
    </row>
    <row r="1507" spans="1:20">
      <c r="A1507" s="47" t="s">
        <v>100</v>
      </c>
      <c r="B1507" s="49"/>
      <c r="C1507" s="47"/>
      <c r="D1507" s="48"/>
      <c r="E1507" s="49"/>
      <c r="F1507" s="47">
        <f>F1434+C1507</f>
        <v>2</v>
      </c>
      <c r="G1507" s="48"/>
      <c r="H1507" s="49"/>
      <c r="I1507" s="47"/>
      <c r="J1507" s="48"/>
      <c r="K1507" s="49"/>
      <c r="L1507" s="47"/>
      <c r="M1507" s="48"/>
      <c r="N1507" s="49"/>
      <c r="O1507" s="47"/>
      <c r="P1507" s="48"/>
      <c r="Q1507" s="49"/>
      <c r="T1507" s="20"/>
    </row>
    <row r="1508" spans="1:20">
      <c r="A1508" s="47"/>
      <c r="B1508" s="49"/>
      <c r="C1508" s="47"/>
      <c r="D1508" s="48"/>
      <c r="E1508" s="49"/>
      <c r="F1508" s="47"/>
      <c r="G1508" s="48"/>
      <c r="H1508" s="49"/>
      <c r="I1508" s="47"/>
      <c r="J1508" s="48"/>
      <c r="K1508" s="49"/>
      <c r="L1508" s="47"/>
      <c r="M1508" s="48"/>
      <c r="N1508" s="49"/>
      <c r="O1508" s="47"/>
      <c r="P1508" s="48"/>
      <c r="Q1508" s="49"/>
      <c r="T1508" s="20"/>
    </row>
    <row r="1509" spans="1:20">
      <c r="A1509" s="46"/>
      <c r="B1509" s="46"/>
      <c r="C1509" s="47"/>
      <c r="D1509" s="48"/>
      <c r="E1509" s="49"/>
      <c r="F1509" s="47"/>
      <c r="G1509" s="48"/>
      <c r="H1509" s="49"/>
      <c r="I1509" s="47"/>
      <c r="J1509" s="48"/>
      <c r="K1509" s="49"/>
      <c r="L1509" s="47"/>
      <c r="M1509" s="48"/>
      <c r="N1509" s="49"/>
      <c r="O1509" s="47"/>
      <c r="P1509" s="48"/>
      <c r="Q1509" s="49"/>
      <c r="T1509" s="20"/>
    </row>
    <row r="1510" spans="1:20">
      <c r="A1510" s="46"/>
      <c r="B1510" s="46"/>
      <c r="C1510" s="47"/>
      <c r="D1510" s="48"/>
      <c r="E1510" s="49"/>
      <c r="F1510" s="47"/>
      <c r="G1510" s="48"/>
      <c r="H1510" s="49"/>
      <c r="I1510" s="47"/>
      <c r="J1510" s="48"/>
      <c r="K1510" s="49"/>
      <c r="L1510" s="47"/>
      <c r="M1510" s="48"/>
      <c r="N1510" s="49"/>
      <c r="O1510" s="47"/>
      <c r="P1510" s="48"/>
      <c r="Q1510" s="49"/>
      <c r="T1510" s="20"/>
    </row>
    <row r="1511" spans="1:20">
      <c r="A1511" s="50" t="s">
        <v>43</v>
      </c>
      <c r="B1511" s="51"/>
      <c r="C1511" s="51"/>
      <c r="D1511" s="51"/>
      <c r="E1511" s="51"/>
      <c r="F1511" s="51"/>
      <c r="G1511" s="51"/>
      <c r="H1511" s="51"/>
      <c r="I1511" s="51"/>
      <c r="J1511" s="51"/>
      <c r="K1511" s="51"/>
      <c r="L1511" s="51"/>
      <c r="M1511" s="51"/>
      <c r="N1511" s="51"/>
      <c r="O1511" s="51"/>
      <c r="P1511" s="51"/>
      <c r="Q1511" s="52"/>
      <c r="T1511" s="20"/>
    </row>
    <row r="1512" spans="1:20">
      <c r="A1512" s="38" t="s">
        <v>44</v>
      </c>
      <c r="B1512" s="39"/>
      <c r="C1512" s="39"/>
      <c r="D1512" s="39"/>
      <c r="E1512" s="39"/>
      <c r="F1512" s="39"/>
      <c r="G1512" s="39"/>
      <c r="H1512" s="39"/>
      <c r="I1512" s="39"/>
      <c r="J1512" s="39"/>
      <c r="K1512" s="39"/>
      <c r="L1512" s="39"/>
      <c r="M1512" s="39"/>
      <c r="N1512" s="39"/>
      <c r="O1512" s="39"/>
      <c r="P1512" s="39"/>
      <c r="Q1512" s="40"/>
      <c r="T1512" s="20"/>
    </row>
    <row r="1513" spans="1:20">
      <c r="A1513" s="41" t="s">
        <v>45</v>
      </c>
      <c r="B1513" s="42"/>
      <c r="C1513" s="42"/>
      <c r="D1513" s="42"/>
      <c r="E1513" s="42"/>
      <c r="F1513" s="42"/>
      <c r="G1513" s="42"/>
      <c r="H1513" s="42"/>
      <c r="I1513" s="42"/>
      <c r="J1513" s="42"/>
      <c r="K1513" s="42"/>
      <c r="L1513" s="42"/>
      <c r="M1513" s="42"/>
      <c r="N1513" s="42"/>
      <c r="O1513" s="42"/>
      <c r="P1513" s="42"/>
      <c r="Q1513" s="43"/>
      <c r="T1513" s="20"/>
    </row>
    <row r="1514" spans="1:20">
      <c r="A1514" s="50" t="s">
        <v>46</v>
      </c>
      <c r="B1514" s="51"/>
      <c r="C1514" s="51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2"/>
      <c r="T1514" s="20"/>
    </row>
    <row r="1515" spans="1:20">
      <c r="A1515" s="38" t="s">
        <v>47</v>
      </c>
      <c r="B1515" s="39"/>
      <c r="C1515" s="39"/>
      <c r="D1515" s="39"/>
      <c r="E1515" s="39"/>
      <c r="F1515" s="39"/>
      <c r="G1515" s="39"/>
      <c r="H1515" s="39"/>
      <c r="I1515" s="39"/>
      <c r="J1515" s="39"/>
      <c r="K1515" s="39"/>
      <c r="L1515" s="39"/>
      <c r="M1515" s="39"/>
      <c r="N1515" s="39"/>
      <c r="O1515" s="39"/>
      <c r="P1515" s="39"/>
      <c r="Q1515" s="40"/>
      <c r="T1515" s="20"/>
    </row>
    <row r="1516" spans="1:20">
      <c r="A1516" s="38" t="s">
        <v>48</v>
      </c>
      <c r="B1516" s="39"/>
      <c r="C1516" s="39"/>
      <c r="D1516" s="39"/>
      <c r="E1516" s="39"/>
      <c r="F1516" s="39"/>
      <c r="G1516" s="39"/>
      <c r="H1516" s="39"/>
      <c r="I1516" s="39"/>
      <c r="J1516" s="39"/>
      <c r="K1516" s="39"/>
      <c r="L1516" s="39"/>
      <c r="M1516" s="39"/>
      <c r="N1516" s="39"/>
      <c r="O1516" s="39"/>
      <c r="P1516" s="39"/>
      <c r="Q1516" s="40"/>
      <c r="T1516" s="20"/>
    </row>
    <row r="1517" spans="1:20">
      <c r="A1517" s="38" t="s">
        <v>49</v>
      </c>
      <c r="B1517" s="39"/>
      <c r="C1517" s="39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40"/>
      <c r="T1517" s="20"/>
    </row>
    <row r="1518" spans="1:20">
      <c r="A1518" s="38" t="s">
        <v>50</v>
      </c>
      <c r="B1518" s="39"/>
      <c r="C1518" s="39"/>
      <c r="D1518" s="39"/>
      <c r="E1518" s="39"/>
      <c r="F1518" s="39"/>
      <c r="G1518" s="39"/>
      <c r="H1518" s="39"/>
      <c r="I1518" s="39"/>
      <c r="J1518" s="39"/>
      <c r="K1518" s="39"/>
      <c r="L1518" s="39"/>
      <c r="M1518" s="39"/>
      <c r="N1518" s="39"/>
      <c r="O1518" s="39"/>
      <c r="P1518" s="39"/>
      <c r="Q1518" s="40"/>
      <c r="T1518" s="20"/>
    </row>
    <row r="1519" spans="1:20">
      <c r="A1519" s="38" t="s">
        <v>51</v>
      </c>
      <c r="B1519" s="39"/>
      <c r="C1519" s="39"/>
      <c r="D1519" s="39"/>
      <c r="E1519" s="39"/>
      <c r="F1519" s="39"/>
      <c r="G1519" s="39"/>
      <c r="H1519" s="39"/>
      <c r="I1519" s="39"/>
      <c r="J1519" s="39"/>
      <c r="K1519" s="39"/>
      <c r="L1519" s="39"/>
      <c r="M1519" s="39"/>
      <c r="N1519" s="39"/>
      <c r="O1519" s="39"/>
      <c r="P1519" s="39"/>
      <c r="Q1519" s="40"/>
      <c r="T1519" s="20"/>
    </row>
    <row r="1520" spans="1:20">
      <c r="A1520" s="41" t="s">
        <v>52</v>
      </c>
      <c r="B1520" s="42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  <c r="P1520" s="42"/>
      <c r="Q1520" s="43"/>
      <c r="T1520" s="20"/>
    </row>
    <row r="1521" spans="1:20">
      <c r="A1521" s="44" t="s">
        <v>53</v>
      </c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T1521" s="20"/>
    </row>
    <row r="1522" spans="1:20">
      <c r="A1522" s="44" t="s">
        <v>54</v>
      </c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T1522" s="20"/>
    </row>
    <row r="1523" spans="1:20">
      <c r="A1523" s="44" t="s">
        <v>99</v>
      </c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T1523" s="20"/>
    </row>
    <row r="1524" spans="1:20">
      <c r="A1524" s="44" t="s">
        <v>55</v>
      </c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T1524" s="20"/>
    </row>
    <row r="1525" spans="1:20">
      <c r="A1525" s="45" t="s">
        <v>56</v>
      </c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T1525" s="20"/>
    </row>
    <row r="1526" spans="1:20">
      <c r="A1526" s="37" t="s">
        <v>57</v>
      </c>
      <c r="B1526" s="37"/>
      <c r="C1526" s="37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T1526" s="20"/>
    </row>
    <row r="1527" spans="1:20">
      <c r="A1527" s="37" t="s">
        <v>58</v>
      </c>
      <c r="B1527" s="37"/>
      <c r="C1527" s="37"/>
      <c r="D1527" s="37"/>
      <c r="E1527" s="37"/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  <c r="P1527" s="37"/>
      <c r="Q1527" s="37"/>
      <c r="T1527" s="20"/>
    </row>
    <row r="1528" spans="1:20">
      <c r="A1528" s="37" t="s">
        <v>59</v>
      </c>
      <c r="B1528" s="37"/>
      <c r="C1528" s="37"/>
      <c r="D1528" s="37"/>
      <c r="E1528" s="37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T1528" s="20"/>
    </row>
    <row r="1529" spans="1:20">
      <c r="A1529" s="37" t="s">
        <v>60</v>
      </c>
      <c r="B1529" s="37"/>
      <c r="C1529" s="37"/>
      <c r="D1529" s="37"/>
      <c r="E1529" s="37"/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  <c r="P1529" s="37"/>
      <c r="Q1529" s="37"/>
      <c r="T1529" s="20"/>
    </row>
    <row r="1530" spans="1:20">
      <c r="A1530" s="37" t="s">
        <v>61</v>
      </c>
      <c r="B1530" s="37"/>
      <c r="C1530" s="37"/>
      <c r="D1530" s="37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T1530" s="20"/>
    </row>
    <row r="1531" spans="1:20">
      <c r="A1531" s="37" t="s">
        <v>62</v>
      </c>
      <c r="B1531" s="37"/>
      <c r="C1531" s="37"/>
      <c r="D1531" s="37"/>
      <c r="E1531" s="37"/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  <c r="P1531" s="37"/>
      <c r="Q1531" s="37"/>
      <c r="T1531" s="20"/>
    </row>
    <row r="1532" spans="1:20">
      <c r="A1532" s="37" t="s">
        <v>63</v>
      </c>
      <c r="B1532" s="37"/>
      <c r="C1532" s="37"/>
      <c r="D1532" s="37"/>
      <c r="E1532" s="37"/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  <c r="P1532" s="37"/>
      <c r="Q1532" s="37"/>
      <c r="T1532" s="20"/>
    </row>
    <row r="1533" spans="1:20">
      <c r="A1533" s="37" t="s">
        <v>75</v>
      </c>
      <c r="B1533" s="37"/>
      <c r="C1533" s="37"/>
      <c r="D1533" s="37"/>
      <c r="E1533" s="37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T1533" s="20"/>
    </row>
    <row r="1534" spans="1:20" ht="39" customHeight="1">
      <c r="B1534" s="120" t="s">
        <v>0</v>
      </c>
      <c r="C1534" s="120"/>
      <c r="D1534" s="120"/>
      <c r="E1534" s="120"/>
      <c r="F1534" s="120"/>
      <c r="G1534" s="120"/>
      <c r="H1534" s="120"/>
      <c r="I1534" s="120"/>
      <c r="J1534" s="120"/>
      <c r="K1534" s="120"/>
      <c r="L1534" s="120"/>
      <c r="M1534" s="120"/>
      <c r="N1534" s="120"/>
      <c r="O1534" s="120"/>
      <c r="P1534" s="120"/>
      <c r="Q1534" s="120"/>
      <c r="T1534" s="20"/>
    </row>
    <row r="1535" spans="1:20">
      <c r="B1535" s="6" t="s">
        <v>1</v>
      </c>
      <c r="C1535" s="121" t="s">
        <v>2</v>
      </c>
      <c r="D1535" s="121"/>
      <c r="E1535" s="1" t="s">
        <v>3</v>
      </c>
      <c r="F1535" s="121" t="s">
        <v>4</v>
      </c>
      <c r="G1535" s="121"/>
      <c r="H1535" s="1" t="s">
        <v>3</v>
      </c>
      <c r="I1535" s="1"/>
      <c r="J1535" s="121" t="s">
        <v>5</v>
      </c>
      <c r="K1535" s="121"/>
      <c r="L1535" s="121"/>
      <c r="M1535" s="122">
        <f>M1462+1</f>
        <v>46248</v>
      </c>
      <c r="N1535" s="122"/>
      <c r="O1535" s="122"/>
      <c r="P1535" s="123"/>
      <c r="Q1535" s="123"/>
      <c r="T1535" s="20"/>
    </row>
    <row r="1536" spans="1:20">
      <c r="A1536" s="96" t="s">
        <v>6</v>
      </c>
      <c r="B1536" s="96"/>
      <c r="C1536" s="124" t="s">
        <v>79</v>
      </c>
      <c r="D1536" s="125"/>
      <c r="E1536" s="125"/>
      <c r="F1536" s="125"/>
      <c r="G1536" s="125"/>
      <c r="H1536" s="125"/>
      <c r="I1536" s="126"/>
      <c r="J1536" s="127" t="s">
        <v>7</v>
      </c>
      <c r="K1536" s="128"/>
      <c r="L1536" s="128"/>
      <c r="M1536" s="129"/>
      <c r="N1536" s="130" t="s">
        <v>78</v>
      </c>
      <c r="O1536" s="130"/>
      <c r="P1536" s="130"/>
      <c r="Q1536" s="131"/>
      <c r="T1536" s="20"/>
    </row>
    <row r="1537" spans="1:21">
      <c r="A1537" s="96" t="s">
        <v>8</v>
      </c>
      <c r="B1537" s="96"/>
      <c r="C1537" s="4">
        <v>30</v>
      </c>
      <c r="D1537" s="3" t="s">
        <v>9</v>
      </c>
      <c r="E1537" s="127" t="s">
        <v>10</v>
      </c>
      <c r="F1537" s="129"/>
      <c r="G1537" s="127">
        <f>G1464+1</f>
        <v>22</v>
      </c>
      <c r="H1537" s="128"/>
      <c r="I1537" s="3" t="s">
        <v>9</v>
      </c>
      <c r="J1537" s="96" t="s">
        <v>11</v>
      </c>
      <c r="K1537" s="96"/>
      <c r="L1537" s="35">
        <f>C1537-G1537</f>
        <v>8</v>
      </c>
      <c r="M1537" s="2" t="s">
        <v>9</v>
      </c>
      <c r="N1537" s="96" t="s">
        <v>12</v>
      </c>
      <c r="O1537" s="96"/>
      <c r="P1537" s="2"/>
      <c r="Q1537" s="3" t="s">
        <v>9</v>
      </c>
      <c r="T1537" s="20"/>
    </row>
    <row r="1538" spans="1:21">
      <c r="A1538" s="96" t="s">
        <v>13</v>
      </c>
      <c r="B1538" s="96"/>
      <c r="C1538" s="132">
        <v>46227</v>
      </c>
      <c r="D1538" s="132"/>
      <c r="E1538" s="132"/>
      <c r="F1538" s="132"/>
      <c r="G1538" s="132"/>
      <c r="H1538" s="132"/>
      <c r="I1538" s="132"/>
      <c r="J1538" s="127" t="s">
        <v>14</v>
      </c>
      <c r="K1538" s="128"/>
      <c r="L1538" s="128"/>
      <c r="M1538" s="129"/>
      <c r="N1538" s="133">
        <v>46256</v>
      </c>
      <c r="O1538" s="134"/>
      <c r="P1538" s="134"/>
      <c r="Q1538" s="135"/>
      <c r="T1538" s="20"/>
    </row>
    <row r="1539" spans="1:21">
      <c r="A1539" s="96" t="s">
        <v>15</v>
      </c>
      <c r="B1539" s="96"/>
      <c r="C1539" s="97">
        <v>92</v>
      </c>
      <c r="D1539" s="98"/>
      <c r="E1539" s="98"/>
      <c r="F1539" s="98"/>
      <c r="G1539" s="98"/>
      <c r="H1539" s="99" t="s">
        <v>16</v>
      </c>
      <c r="I1539" s="100"/>
      <c r="J1539" s="101" t="s">
        <v>17</v>
      </c>
      <c r="K1539" s="101"/>
      <c r="L1539" s="101"/>
      <c r="M1539" s="101"/>
      <c r="N1539" s="102">
        <f>U1562</f>
        <v>0.97138357693035915</v>
      </c>
      <c r="O1539" s="102"/>
      <c r="P1539" s="102"/>
      <c r="Q1539" s="102"/>
      <c r="T1539" s="20"/>
    </row>
    <row r="1540" spans="1:21">
      <c r="A1540" s="103" t="s">
        <v>18</v>
      </c>
      <c r="B1540" s="104"/>
      <c r="C1540" s="104"/>
      <c r="D1540" s="104"/>
      <c r="E1540" s="104"/>
      <c r="F1540" s="104"/>
      <c r="G1540" s="104"/>
      <c r="H1540" s="104"/>
      <c r="I1540" s="104"/>
      <c r="J1540" s="104"/>
      <c r="K1540" s="104"/>
      <c r="L1540" s="104"/>
      <c r="M1540" s="104"/>
      <c r="N1540" s="104"/>
      <c r="O1540" s="104"/>
      <c r="P1540" s="104"/>
      <c r="Q1540" s="105"/>
      <c r="T1540" s="20"/>
    </row>
    <row r="1541" spans="1:21">
      <c r="A1541" s="7"/>
      <c r="B1541" s="106" t="s">
        <v>19</v>
      </c>
      <c r="C1541" s="107"/>
      <c r="D1541" s="107"/>
      <c r="E1541" s="107"/>
      <c r="F1541" s="107"/>
      <c r="G1541" s="108"/>
      <c r="H1541" s="8" t="s">
        <v>20</v>
      </c>
      <c r="I1541" s="109" t="s">
        <v>21</v>
      </c>
      <c r="J1541" s="110"/>
      <c r="K1541" s="111"/>
      <c r="L1541" s="109" t="s">
        <v>28</v>
      </c>
      <c r="M1541" s="111"/>
      <c r="N1541" s="106" t="s">
        <v>22</v>
      </c>
      <c r="O1541" s="112"/>
      <c r="P1541" s="113" t="s">
        <v>23</v>
      </c>
      <c r="Q1541" s="113"/>
      <c r="S1541" s="33" t="s">
        <v>22</v>
      </c>
      <c r="T1541" s="34" t="s">
        <v>64</v>
      </c>
      <c r="U1541" s="13" t="s">
        <v>27</v>
      </c>
    </row>
    <row r="1542" spans="1:21">
      <c r="A1542" s="17" t="s">
        <v>65</v>
      </c>
      <c r="B1542" s="114" t="s">
        <v>66</v>
      </c>
      <c r="C1542" s="115"/>
      <c r="D1542" s="115"/>
      <c r="E1542" s="115"/>
      <c r="F1542" s="115"/>
      <c r="G1542" s="116"/>
      <c r="H1542" s="17"/>
      <c r="I1542" s="117"/>
      <c r="J1542" s="118"/>
      <c r="K1542" s="119"/>
      <c r="L1542" s="77"/>
      <c r="M1542" s="78"/>
      <c r="N1542" s="77"/>
      <c r="O1542" s="78"/>
      <c r="P1542" s="93"/>
      <c r="Q1542" s="93"/>
      <c r="S1542" s="16"/>
      <c r="T1542" s="16"/>
      <c r="U1542" s="16" t="s">
        <v>26</v>
      </c>
    </row>
    <row r="1543" spans="1:21">
      <c r="A1543" s="17">
        <v>1</v>
      </c>
      <c r="B1543" s="81" t="s">
        <v>80</v>
      </c>
      <c r="C1543" s="82"/>
      <c r="D1543" s="82"/>
      <c r="E1543" s="82"/>
      <c r="F1543" s="82"/>
      <c r="G1543" s="83"/>
      <c r="H1543" s="29" t="s">
        <v>67</v>
      </c>
      <c r="I1543" s="84">
        <v>18</v>
      </c>
      <c r="J1543" s="85"/>
      <c r="K1543" s="86"/>
      <c r="L1543" s="87"/>
      <c r="M1543" s="88"/>
      <c r="N1543" s="89">
        <v>18</v>
      </c>
      <c r="O1543" s="90"/>
      <c r="P1543" s="93"/>
      <c r="Q1543" s="93"/>
      <c r="S1543" s="12">
        <v>18</v>
      </c>
      <c r="T1543" s="26">
        <v>18000</v>
      </c>
      <c r="U1543" s="12">
        <f>S1543*T1543</f>
        <v>324000</v>
      </c>
    </row>
    <row r="1544" spans="1:21" ht="32.1" customHeight="1">
      <c r="A1544" s="17">
        <v>2</v>
      </c>
      <c r="B1544" s="81" t="s">
        <v>81</v>
      </c>
      <c r="C1544" s="82" t="s">
        <v>81</v>
      </c>
      <c r="D1544" s="82" t="s">
        <v>81</v>
      </c>
      <c r="E1544" s="82" t="s">
        <v>81</v>
      </c>
      <c r="F1544" s="82" t="s">
        <v>81</v>
      </c>
      <c r="G1544" s="83" t="s">
        <v>81</v>
      </c>
      <c r="H1544" s="29" t="s">
        <v>97</v>
      </c>
      <c r="I1544" s="84">
        <v>166</v>
      </c>
      <c r="J1544" s="85"/>
      <c r="K1544" s="86"/>
      <c r="L1544" s="87"/>
      <c r="M1544" s="88"/>
      <c r="N1544" s="89">
        <v>166</v>
      </c>
      <c r="O1544" s="90"/>
      <c r="P1544" s="93"/>
      <c r="Q1544" s="93"/>
      <c r="S1544" s="12">
        <v>166</v>
      </c>
      <c r="T1544" s="26">
        <v>750</v>
      </c>
      <c r="U1544" s="12">
        <f t="shared" ref="U1544:U1554" si="42">S1544*T1544</f>
        <v>124500</v>
      </c>
    </row>
    <row r="1545" spans="1:21">
      <c r="A1545" s="17">
        <v>3</v>
      </c>
      <c r="B1545" s="81" t="s">
        <v>82</v>
      </c>
      <c r="C1545" s="82" t="s">
        <v>82</v>
      </c>
      <c r="D1545" s="82" t="s">
        <v>82</v>
      </c>
      <c r="E1545" s="82" t="s">
        <v>82</v>
      </c>
      <c r="F1545" s="82" t="s">
        <v>82</v>
      </c>
      <c r="G1545" s="83" t="s">
        <v>82</v>
      </c>
      <c r="H1545" s="29" t="s">
        <v>97</v>
      </c>
      <c r="I1545" s="84">
        <v>540</v>
      </c>
      <c r="J1545" s="85">
        <v>540</v>
      </c>
      <c r="K1545" s="86">
        <v>540</v>
      </c>
      <c r="L1545" s="87"/>
      <c r="M1545" s="88"/>
      <c r="N1545" s="89">
        <v>540</v>
      </c>
      <c r="O1545" s="90"/>
      <c r="P1545" s="93"/>
      <c r="Q1545" s="93"/>
      <c r="S1545" s="12">
        <v>540</v>
      </c>
      <c r="T1545" s="26">
        <v>340</v>
      </c>
      <c r="U1545" s="12">
        <f t="shared" si="42"/>
        <v>183600</v>
      </c>
    </row>
    <row r="1546" spans="1:21">
      <c r="A1546" s="17">
        <v>4</v>
      </c>
      <c r="B1546" s="81" t="s">
        <v>83</v>
      </c>
      <c r="C1546" s="82" t="s">
        <v>83</v>
      </c>
      <c r="D1546" s="82" t="s">
        <v>83</v>
      </c>
      <c r="E1546" s="82" t="s">
        <v>83</v>
      </c>
      <c r="F1546" s="82" t="s">
        <v>83</v>
      </c>
      <c r="G1546" s="83" t="s">
        <v>83</v>
      </c>
      <c r="H1546" s="29" t="s">
        <v>67</v>
      </c>
      <c r="I1546" s="84">
        <v>20</v>
      </c>
      <c r="J1546" s="85">
        <v>20</v>
      </c>
      <c r="K1546" s="86">
        <v>20</v>
      </c>
      <c r="L1546" s="87"/>
      <c r="M1546" s="88"/>
      <c r="N1546" s="89">
        <v>20</v>
      </c>
      <c r="O1546" s="90"/>
      <c r="P1546" s="93"/>
      <c r="Q1546" s="93"/>
      <c r="S1546" s="12">
        <v>20</v>
      </c>
      <c r="T1546" s="26">
        <v>1250</v>
      </c>
      <c r="U1546" s="12">
        <f t="shared" si="42"/>
        <v>25000</v>
      </c>
    </row>
    <row r="1547" spans="1:21" ht="31.5" customHeight="1">
      <c r="A1547" s="17">
        <v>5</v>
      </c>
      <c r="B1547" s="81" t="s">
        <v>84</v>
      </c>
      <c r="C1547" s="82" t="s">
        <v>84</v>
      </c>
      <c r="D1547" s="82" t="s">
        <v>84</v>
      </c>
      <c r="E1547" s="82" t="s">
        <v>84</v>
      </c>
      <c r="F1547" s="82" t="s">
        <v>84</v>
      </c>
      <c r="G1547" s="83" t="s">
        <v>84</v>
      </c>
      <c r="H1547" s="29" t="s">
        <v>97</v>
      </c>
      <c r="I1547" s="84">
        <v>28</v>
      </c>
      <c r="J1547" s="85">
        <v>28</v>
      </c>
      <c r="K1547" s="86">
        <v>28</v>
      </c>
      <c r="L1547" s="87"/>
      <c r="M1547" s="88"/>
      <c r="N1547" s="89">
        <v>28</v>
      </c>
      <c r="O1547" s="90"/>
      <c r="P1547" s="93"/>
      <c r="Q1547" s="93"/>
      <c r="S1547" s="12">
        <v>28</v>
      </c>
      <c r="T1547" s="26">
        <v>1800</v>
      </c>
      <c r="U1547" s="12">
        <f t="shared" si="42"/>
        <v>50400</v>
      </c>
    </row>
    <row r="1548" spans="1:21">
      <c r="A1548" s="17">
        <v>6</v>
      </c>
      <c r="B1548" s="81" t="s">
        <v>85</v>
      </c>
      <c r="C1548" s="82" t="s">
        <v>85</v>
      </c>
      <c r="D1548" s="82" t="s">
        <v>85</v>
      </c>
      <c r="E1548" s="82" t="s">
        <v>85</v>
      </c>
      <c r="F1548" s="82" t="s">
        <v>85</v>
      </c>
      <c r="G1548" s="83" t="s">
        <v>85</v>
      </c>
      <c r="H1548" s="29" t="s">
        <v>97</v>
      </c>
      <c r="I1548" s="84">
        <v>14</v>
      </c>
      <c r="J1548" s="85">
        <v>14</v>
      </c>
      <c r="K1548" s="86">
        <v>14</v>
      </c>
      <c r="L1548" s="87"/>
      <c r="M1548" s="88"/>
      <c r="N1548" s="89">
        <v>14</v>
      </c>
      <c r="O1548" s="90"/>
      <c r="P1548" s="79"/>
      <c r="Q1548" s="80"/>
      <c r="S1548" s="12">
        <v>14</v>
      </c>
      <c r="T1548" s="26">
        <v>4000</v>
      </c>
      <c r="U1548" s="12">
        <f t="shared" si="42"/>
        <v>56000</v>
      </c>
    </row>
    <row r="1549" spans="1:21">
      <c r="A1549" s="17">
        <v>7</v>
      </c>
      <c r="B1549" s="81" t="s">
        <v>86</v>
      </c>
      <c r="C1549" s="82" t="s">
        <v>86</v>
      </c>
      <c r="D1549" s="82" t="s">
        <v>86</v>
      </c>
      <c r="E1549" s="82" t="s">
        <v>86</v>
      </c>
      <c r="F1549" s="82" t="s">
        <v>86</v>
      </c>
      <c r="G1549" s="83" t="s">
        <v>86</v>
      </c>
      <c r="H1549" s="29" t="s">
        <v>97</v>
      </c>
      <c r="I1549" s="84">
        <v>30</v>
      </c>
      <c r="J1549" s="85">
        <v>30</v>
      </c>
      <c r="K1549" s="86">
        <v>30</v>
      </c>
      <c r="L1549" s="87"/>
      <c r="M1549" s="88"/>
      <c r="N1549" s="89">
        <v>30</v>
      </c>
      <c r="O1549" s="90"/>
      <c r="P1549" s="93"/>
      <c r="Q1549" s="93"/>
      <c r="S1549" s="12">
        <v>30</v>
      </c>
      <c r="T1549" s="26">
        <v>4000</v>
      </c>
      <c r="U1549" s="12">
        <f t="shared" si="42"/>
        <v>120000</v>
      </c>
    </row>
    <row r="1550" spans="1:21">
      <c r="A1550" s="17">
        <v>8</v>
      </c>
      <c r="B1550" s="81" t="s">
        <v>87</v>
      </c>
      <c r="C1550" s="82" t="s">
        <v>87</v>
      </c>
      <c r="D1550" s="82" t="s">
        <v>87</v>
      </c>
      <c r="E1550" s="82" t="s">
        <v>87</v>
      </c>
      <c r="F1550" s="82" t="s">
        <v>87</v>
      </c>
      <c r="G1550" s="83" t="s">
        <v>87</v>
      </c>
      <c r="H1550" s="30" t="s">
        <v>25</v>
      </c>
      <c r="I1550" s="84">
        <v>1</v>
      </c>
      <c r="J1550" s="85">
        <v>1</v>
      </c>
      <c r="K1550" s="86">
        <v>1</v>
      </c>
      <c r="L1550" s="94"/>
      <c r="M1550" s="95"/>
      <c r="N1550" s="94">
        <v>1</v>
      </c>
      <c r="O1550" s="95"/>
      <c r="P1550" s="93"/>
      <c r="Q1550" s="93"/>
      <c r="S1550" s="16">
        <v>1</v>
      </c>
      <c r="T1550" s="26">
        <v>31000</v>
      </c>
      <c r="U1550" s="12">
        <f t="shared" si="42"/>
        <v>31000</v>
      </c>
    </row>
    <row r="1551" spans="1:21">
      <c r="A1551" s="17">
        <v>9</v>
      </c>
      <c r="B1551" s="81" t="s">
        <v>88</v>
      </c>
      <c r="C1551" s="82" t="s">
        <v>88</v>
      </c>
      <c r="D1551" s="82" t="s">
        <v>88</v>
      </c>
      <c r="E1551" s="82" t="s">
        <v>88</v>
      </c>
      <c r="F1551" s="82" t="s">
        <v>88</v>
      </c>
      <c r="G1551" s="83" t="s">
        <v>88</v>
      </c>
      <c r="H1551" s="30" t="s">
        <v>25</v>
      </c>
      <c r="I1551" s="84">
        <v>1</v>
      </c>
      <c r="J1551" s="85">
        <v>1</v>
      </c>
      <c r="K1551" s="86">
        <v>1</v>
      </c>
      <c r="L1551" s="87"/>
      <c r="M1551" s="88"/>
      <c r="N1551" s="89"/>
      <c r="O1551" s="90"/>
      <c r="P1551" s="93"/>
      <c r="Q1551" s="93"/>
      <c r="S1551" s="12"/>
      <c r="T1551" s="26">
        <v>30121</v>
      </c>
      <c r="U1551" s="12">
        <f t="shared" si="42"/>
        <v>0</v>
      </c>
    </row>
    <row r="1552" spans="1:21">
      <c r="A1552" s="17">
        <v>10</v>
      </c>
      <c r="B1552" s="81" t="s">
        <v>89</v>
      </c>
      <c r="C1552" s="82"/>
      <c r="D1552" s="82"/>
      <c r="E1552" s="82"/>
      <c r="F1552" s="82"/>
      <c r="G1552" s="83"/>
      <c r="H1552" s="30" t="s">
        <v>98</v>
      </c>
      <c r="I1552" s="84">
        <v>3</v>
      </c>
      <c r="J1552" s="85"/>
      <c r="K1552" s="86"/>
      <c r="L1552" s="87"/>
      <c r="M1552" s="88"/>
      <c r="N1552" s="89">
        <v>3</v>
      </c>
      <c r="O1552" s="90"/>
      <c r="P1552" s="91"/>
      <c r="Q1552" s="92"/>
      <c r="S1552" s="12">
        <v>3</v>
      </c>
      <c r="T1552" s="26">
        <v>14500</v>
      </c>
      <c r="U1552" s="12">
        <f t="shared" si="42"/>
        <v>43500</v>
      </c>
    </row>
    <row r="1553" spans="1:22">
      <c r="A1553" s="17">
        <v>11</v>
      </c>
      <c r="B1553" s="81" t="s">
        <v>90</v>
      </c>
      <c r="C1553" s="82"/>
      <c r="D1553" s="82"/>
      <c r="E1553" s="82"/>
      <c r="F1553" s="82"/>
      <c r="G1553" s="83"/>
      <c r="H1553" s="29" t="s">
        <v>67</v>
      </c>
      <c r="I1553" s="84">
        <v>6</v>
      </c>
      <c r="J1553" s="85"/>
      <c r="K1553" s="86"/>
      <c r="L1553" s="87"/>
      <c r="M1553" s="88"/>
      <c r="N1553" s="89">
        <v>6</v>
      </c>
      <c r="O1553" s="90"/>
      <c r="P1553" s="91"/>
      <c r="Q1553" s="92"/>
      <c r="S1553" s="12">
        <v>6</v>
      </c>
      <c r="T1553" s="26">
        <v>3500</v>
      </c>
      <c r="U1553" s="12">
        <f t="shared" si="42"/>
        <v>21000</v>
      </c>
    </row>
    <row r="1554" spans="1:22">
      <c r="A1554" s="17">
        <v>12</v>
      </c>
      <c r="B1554" s="81" t="s">
        <v>91</v>
      </c>
      <c r="C1554" s="82" t="s">
        <v>89</v>
      </c>
      <c r="D1554" s="82" t="s">
        <v>89</v>
      </c>
      <c r="E1554" s="82" t="s">
        <v>89</v>
      </c>
      <c r="F1554" s="82" t="s">
        <v>89</v>
      </c>
      <c r="G1554" s="83" t="s">
        <v>89</v>
      </c>
      <c r="H1554" s="29" t="s">
        <v>67</v>
      </c>
      <c r="I1554" s="84">
        <v>10</v>
      </c>
      <c r="J1554" s="85">
        <v>10</v>
      </c>
      <c r="K1554" s="86">
        <v>10</v>
      </c>
      <c r="L1554" s="87"/>
      <c r="M1554" s="88"/>
      <c r="N1554" s="89">
        <v>10</v>
      </c>
      <c r="O1554" s="90"/>
      <c r="P1554" s="93"/>
      <c r="Q1554" s="93"/>
      <c r="S1554" s="12">
        <v>10</v>
      </c>
      <c r="T1554" s="26">
        <v>3000</v>
      </c>
      <c r="U1554" s="12">
        <f t="shared" si="42"/>
        <v>30000</v>
      </c>
      <c r="V1554" s="22">
        <f>SUM(U1543:U1554)</f>
        <v>1009000</v>
      </c>
    </row>
    <row r="1555" spans="1:22">
      <c r="A1555" s="17" t="s">
        <v>76</v>
      </c>
      <c r="B1555" s="71" t="s">
        <v>92</v>
      </c>
      <c r="C1555" s="72"/>
      <c r="D1555" s="72"/>
      <c r="E1555" s="72"/>
      <c r="F1555" s="72"/>
      <c r="G1555" s="73"/>
      <c r="H1555" s="30" t="s">
        <v>24</v>
      </c>
      <c r="I1555" s="84">
        <v>1</v>
      </c>
      <c r="J1555" s="85">
        <v>10</v>
      </c>
      <c r="K1555" s="86">
        <v>10</v>
      </c>
      <c r="L1555" s="77"/>
      <c r="M1555" s="78"/>
      <c r="N1555" s="77">
        <v>1</v>
      </c>
      <c r="O1555" s="78"/>
      <c r="P1555" s="79"/>
      <c r="Q1555" s="80"/>
      <c r="S1555" s="12">
        <v>1</v>
      </c>
      <c r="T1555" s="25">
        <v>10391</v>
      </c>
      <c r="U1555" s="12">
        <f>S1555*T1555</f>
        <v>10391</v>
      </c>
      <c r="V1555" s="27"/>
    </row>
    <row r="1556" spans="1:22">
      <c r="A1556" s="23" t="s">
        <v>68</v>
      </c>
      <c r="B1556" s="71" t="s">
        <v>93</v>
      </c>
      <c r="C1556" s="72"/>
      <c r="D1556" s="72"/>
      <c r="E1556" s="72"/>
      <c r="F1556" s="72"/>
      <c r="G1556" s="73"/>
      <c r="H1556" s="30" t="s">
        <v>24</v>
      </c>
      <c r="I1556" s="74">
        <v>1</v>
      </c>
      <c r="J1556" s="75"/>
      <c r="K1556" s="76"/>
      <c r="L1556" s="77">
        <f>N1556-N1483</f>
        <v>0</v>
      </c>
      <c r="M1556" s="78"/>
      <c r="N1556" s="77">
        <f>S1556</f>
        <v>0.9710326243864883</v>
      </c>
      <c r="O1556" s="78"/>
      <c r="P1556" s="77"/>
      <c r="Q1556" s="78"/>
      <c r="S1556" s="21">
        <f>V1554*0.01/T1556</f>
        <v>0.9710326243864883</v>
      </c>
      <c r="T1556" s="25">
        <v>10391</v>
      </c>
      <c r="U1556" s="12">
        <f t="shared" ref="U1556:U1557" si="43">S1556*T1556</f>
        <v>10090</v>
      </c>
    </row>
    <row r="1557" spans="1:22">
      <c r="A1557" s="23" t="s">
        <v>69</v>
      </c>
      <c r="B1557" s="58" t="s">
        <v>94</v>
      </c>
      <c r="C1557" s="59" t="s">
        <v>70</v>
      </c>
      <c r="D1557" s="59" t="s">
        <v>70</v>
      </c>
      <c r="E1557" s="59" t="s">
        <v>70</v>
      </c>
      <c r="F1557" s="59" t="s">
        <v>70</v>
      </c>
      <c r="G1557" s="60" t="s">
        <v>70</v>
      </c>
      <c r="H1557" s="30" t="s">
        <v>24</v>
      </c>
      <c r="I1557" s="74">
        <v>1</v>
      </c>
      <c r="J1557" s="75"/>
      <c r="K1557" s="76"/>
      <c r="L1557" s="77">
        <f>N1557-N1484</f>
        <v>0</v>
      </c>
      <c r="M1557" s="78"/>
      <c r="N1557" s="77">
        <f>S1557</f>
        <v>0.97100592529454621</v>
      </c>
      <c r="O1557" s="78"/>
      <c r="P1557" s="77"/>
      <c r="Q1557" s="78"/>
      <c r="S1557" s="21">
        <f>V1554*0.07/T1557</f>
        <v>0.97100592529454621</v>
      </c>
      <c r="T1557" s="25">
        <v>72739</v>
      </c>
      <c r="U1557" s="12">
        <f t="shared" si="43"/>
        <v>70630</v>
      </c>
    </row>
    <row r="1558" spans="1:22">
      <c r="A1558" s="23" t="s">
        <v>71</v>
      </c>
      <c r="B1558" s="58" t="s">
        <v>95</v>
      </c>
      <c r="C1558" s="59" t="s">
        <v>72</v>
      </c>
      <c r="D1558" s="59" t="s">
        <v>72</v>
      </c>
      <c r="E1558" s="59" t="s">
        <v>72</v>
      </c>
      <c r="F1558" s="59" t="s">
        <v>72</v>
      </c>
      <c r="G1558" s="60" t="s">
        <v>72</v>
      </c>
      <c r="H1558" s="30" t="s">
        <v>24</v>
      </c>
      <c r="I1558" s="74">
        <v>1</v>
      </c>
      <c r="J1558" s="75"/>
      <c r="K1558" s="76"/>
      <c r="L1558" s="77"/>
      <c r="M1558" s="78"/>
      <c r="N1558" s="77">
        <f>S1558</f>
        <v>1</v>
      </c>
      <c r="O1558" s="78"/>
      <c r="P1558" s="77"/>
      <c r="Q1558" s="78"/>
      <c r="S1558" s="21">
        <v>1</v>
      </c>
      <c r="T1558" s="25">
        <v>4156</v>
      </c>
      <c r="U1558" s="12">
        <f>S1558*T1558</f>
        <v>4156</v>
      </c>
    </row>
    <row r="1559" spans="1:22">
      <c r="A1559" s="23" t="s">
        <v>73</v>
      </c>
      <c r="B1559" s="58" t="s">
        <v>96</v>
      </c>
      <c r="C1559" s="59" t="s">
        <v>74</v>
      </c>
      <c r="D1559" s="59" t="s">
        <v>74</v>
      </c>
      <c r="E1559" s="59" t="s">
        <v>74</v>
      </c>
      <c r="F1559" s="59" t="s">
        <v>74</v>
      </c>
      <c r="G1559" s="60" t="s">
        <v>74</v>
      </c>
      <c r="H1559" s="30" t="s">
        <v>24</v>
      </c>
      <c r="I1559" s="74">
        <v>1</v>
      </c>
      <c r="J1559" s="75"/>
      <c r="K1559" s="76"/>
      <c r="L1559" s="77">
        <f>N1559-N1486</f>
        <v>0</v>
      </c>
      <c r="M1559" s="78"/>
      <c r="N1559" s="77">
        <f>S1559</f>
        <v>0.97138194933145683</v>
      </c>
      <c r="O1559" s="78"/>
      <c r="P1559" s="79"/>
      <c r="Q1559" s="80"/>
      <c r="S1559" s="21">
        <f>(V1554+U1555+U1556+U1557+U1558)*0.05/T1559</f>
        <v>0.97138194933145683</v>
      </c>
      <c r="T1559" s="25">
        <v>56840</v>
      </c>
      <c r="U1559" s="12">
        <f>S1559*T1559</f>
        <v>55213.350000000006</v>
      </c>
    </row>
    <row r="1560" spans="1:22">
      <c r="A1560" s="23"/>
      <c r="B1560" s="58"/>
      <c r="C1560" s="59"/>
      <c r="D1560" s="59"/>
      <c r="E1560" s="59"/>
      <c r="F1560" s="59"/>
      <c r="G1560" s="60"/>
      <c r="H1560" s="24"/>
      <c r="I1560" s="58"/>
      <c r="J1560" s="59"/>
      <c r="K1560" s="59"/>
      <c r="L1560" s="58"/>
      <c r="M1560" s="59"/>
      <c r="N1560" s="58"/>
      <c r="O1560" s="59"/>
      <c r="P1560" s="58"/>
      <c r="Q1560" s="60"/>
      <c r="S1560" s="21"/>
      <c r="T1560" s="25"/>
      <c r="U1560" s="28">
        <f>V1554+U1555+U1556+U1557+U1558+U1559</f>
        <v>1159480.3500000001</v>
      </c>
    </row>
    <row r="1561" spans="1:22">
      <c r="A1561" s="23"/>
      <c r="B1561" s="58"/>
      <c r="C1561" s="59"/>
      <c r="D1561" s="59"/>
      <c r="E1561" s="59"/>
      <c r="F1561" s="59"/>
      <c r="G1561" s="60"/>
      <c r="H1561" s="23"/>
      <c r="I1561" s="58"/>
      <c r="J1561" s="59"/>
      <c r="K1561" s="59"/>
      <c r="L1561" s="58"/>
      <c r="M1561" s="59"/>
      <c r="N1561" s="58"/>
      <c r="O1561" s="59"/>
      <c r="P1561" s="58"/>
      <c r="Q1561" s="60"/>
      <c r="S1561" s="21"/>
      <c r="T1561" s="16"/>
      <c r="U1561" s="14">
        <v>1193638</v>
      </c>
    </row>
    <row r="1562" spans="1:22">
      <c r="A1562" s="9"/>
      <c r="B1562" s="58"/>
      <c r="C1562" s="59"/>
      <c r="D1562" s="59"/>
      <c r="E1562" s="59"/>
      <c r="F1562" s="59"/>
      <c r="G1562" s="60"/>
      <c r="H1562" s="9"/>
      <c r="I1562" s="58"/>
      <c r="J1562" s="59"/>
      <c r="K1562" s="59"/>
      <c r="L1562" s="58"/>
      <c r="M1562" s="59"/>
      <c r="N1562" s="58"/>
      <c r="O1562" s="59"/>
      <c r="P1562" s="58"/>
      <c r="Q1562" s="60"/>
      <c r="S1562" s="21"/>
      <c r="T1562" s="16"/>
      <c r="U1562" s="15">
        <f>U1560/U1561</f>
        <v>0.97138357693035915</v>
      </c>
    </row>
    <row r="1563" spans="1:22">
      <c r="A1563" s="9"/>
      <c r="B1563" s="58"/>
      <c r="C1563" s="59"/>
      <c r="D1563" s="59"/>
      <c r="E1563" s="59"/>
      <c r="F1563" s="59"/>
      <c r="G1563" s="60"/>
      <c r="H1563" s="9"/>
      <c r="I1563" s="58"/>
      <c r="J1563" s="59"/>
      <c r="K1563" s="59"/>
      <c r="L1563" s="58"/>
      <c r="M1563" s="59"/>
      <c r="N1563" s="58"/>
      <c r="O1563" s="59"/>
      <c r="P1563" s="58"/>
      <c r="Q1563" s="60"/>
      <c r="S1563" s="21"/>
      <c r="T1563" s="16"/>
      <c r="U1563" s="12"/>
    </row>
    <row r="1564" spans="1:22">
      <c r="A1564" s="9"/>
      <c r="B1564" s="58"/>
      <c r="C1564" s="59"/>
      <c r="D1564" s="59"/>
      <c r="E1564" s="59"/>
      <c r="F1564" s="59"/>
      <c r="G1564" s="60"/>
      <c r="H1564" s="9"/>
      <c r="I1564" s="58"/>
      <c r="J1564" s="59"/>
      <c r="K1564" s="59"/>
      <c r="L1564" s="58"/>
      <c r="M1564" s="59"/>
      <c r="N1564" s="58"/>
      <c r="O1564" s="59"/>
      <c r="P1564" s="58"/>
      <c r="Q1564" s="60"/>
      <c r="S1564" s="21"/>
      <c r="T1564" s="16"/>
      <c r="U1564" s="12"/>
    </row>
    <row r="1565" spans="1:22">
      <c r="A1565" s="9"/>
      <c r="B1565" s="58"/>
      <c r="C1565" s="59"/>
      <c r="D1565" s="59"/>
      <c r="E1565" s="59"/>
      <c r="F1565" s="59"/>
      <c r="G1565" s="60"/>
      <c r="H1565" s="9"/>
      <c r="I1565" s="58"/>
      <c r="J1565" s="59"/>
      <c r="K1565" s="59"/>
      <c r="L1565" s="58"/>
      <c r="M1565" s="59"/>
      <c r="N1565" s="58"/>
      <c r="O1565" s="59"/>
      <c r="P1565" s="58"/>
      <c r="Q1565" s="60"/>
      <c r="S1565" s="21"/>
      <c r="T1565" s="16"/>
      <c r="U1565" s="12"/>
    </row>
    <row r="1566" spans="1:22">
      <c r="A1566" s="9"/>
      <c r="B1566" s="58"/>
      <c r="C1566" s="59"/>
      <c r="D1566" s="59"/>
      <c r="E1566" s="59"/>
      <c r="F1566" s="59"/>
      <c r="G1566" s="60"/>
      <c r="H1566" s="9"/>
      <c r="I1566" s="58"/>
      <c r="J1566" s="59"/>
      <c r="K1566" s="59"/>
      <c r="L1566" s="58"/>
      <c r="M1566" s="59"/>
      <c r="N1566" s="58"/>
      <c r="O1566" s="59"/>
      <c r="P1566" s="58"/>
      <c r="Q1566" s="60"/>
      <c r="S1566" s="21"/>
      <c r="T1566" s="16"/>
      <c r="U1566" s="12"/>
    </row>
    <row r="1567" spans="1:22">
      <c r="A1567" s="7"/>
      <c r="B1567" s="61"/>
      <c r="C1567" s="62"/>
      <c r="D1567" s="62"/>
      <c r="E1567" s="62"/>
      <c r="F1567" s="62"/>
      <c r="G1567" s="63"/>
      <c r="H1567" s="9"/>
      <c r="I1567" s="64"/>
      <c r="J1567" s="65"/>
      <c r="K1567" s="66"/>
      <c r="L1567" s="67"/>
      <c r="M1567" s="68"/>
      <c r="N1567" s="67"/>
      <c r="O1567" s="68"/>
      <c r="P1567" s="69"/>
      <c r="Q1567" s="70"/>
      <c r="S1567" s="21"/>
      <c r="T1567" s="16"/>
    </row>
    <row r="1568" spans="1:22">
      <c r="A1568" s="44" t="s">
        <v>29</v>
      </c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T1568" s="20"/>
    </row>
    <row r="1569" spans="1:20">
      <c r="A1569" s="44" t="s">
        <v>30</v>
      </c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T1569" s="20"/>
    </row>
    <row r="1570" spans="1:20">
      <c r="A1570" s="44" t="s">
        <v>31</v>
      </c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T1570" s="20"/>
    </row>
    <row r="1571" spans="1:20">
      <c r="A1571" s="44" t="s">
        <v>32</v>
      </c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T1571" s="20"/>
    </row>
    <row r="1572" spans="1:20">
      <c r="A1572" s="54" t="s">
        <v>33</v>
      </c>
      <c r="B1572" s="54"/>
      <c r="C1572" s="54"/>
      <c r="D1572" s="54"/>
      <c r="E1572" s="54"/>
      <c r="F1572" s="54"/>
      <c r="G1572" s="54"/>
      <c r="H1572" s="54" t="s">
        <v>20</v>
      </c>
      <c r="I1572" s="54"/>
      <c r="J1572" s="54"/>
      <c r="K1572" s="54" t="s">
        <v>34</v>
      </c>
      <c r="L1572" s="54"/>
      <c r="M1572" s="54" t="s">
        <v>35</v>
      </c>
      <c r="N1572" s="54"/>
      <c r="O1572" s="54" t="s">
        <v>36</v>
      </c>
      <c r="P1572" s="54"/>
      <c r="Q1572" s="54"/>
      <c r="T1572" s="20"/>
    </row>
    <row r="1573" spans="1:20">
      <c r="A1573" s="55"/>
      <c r="B1573" s="56"/>
      <c r="C1573" s="56"/>
      <c r="D1573" s="56"/>
      <c r="E1573" s="56"/>
      <c r="F1573" s="56"/>
      <c r="G1573" s="57"/>
      <c r="H1573" s="55"/>
      <c r="I1573" s="56"/>
      <c r="J1573" s="57"/>
      <c r="K1573" s="55"/>
      <c r="L1573" s="56"/>
      <c r="M1573" s="55"/>
      <c r="N1573" s="56"/>
      <c r="O1573" s="55"/>
      <c r="P1573" s="56"/>
      <c r="Q1573" s="57"/>
      <c r="T1573" s="20"/>
    </row>
    <row r="1574" spans="1:20">
      <c r="A1574" s="55"/>
      <c r="B1574" s="56"/>
      <c r="C1574" s="56"/>
      <c r="D1574" s="56"/>
      <c r="E1574" s="56"/>
      <c r="F1574" s="56"/>
      <c r="G1574" s="57"/>
      <c r="H1574" s="55"/>
      <c r="I1574" s="56"/>
      <c r="J1574" s="57"/>
      <c r="K1574" s="55"/>
      <c r="L1574" s="56"/>
      <c r="M1574" s="55"/>
      <c r="N1574" s="56"/>
      <c r="O1574" s="55"/>
      <c r="P1574" s="56"/>
      <c r="Q1574" s="57"/>
      <c r="T1574" s="20"/>
    </row>
    <row r="1575" spans="1:20">
      <c r="A1575" s="53"/>
      <c r="B1575" s="53"/>
      <c r="C1575" s="53"/>
      <c r="D1575" s="53"/>
      <c r="E1575" s="53"/>
      <c r="F1575" s="53"/>
      <c r="G1575" s="53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T1575" s="20"/>
    </row>
    <row r="1576" spans="1:20">
      <c r="A1576" s="53"/>
      <c r="B1576" s="53"/>
      <c r="C1576" s="53"/>
      <c r="D1576" s="53"/>
      <c r="E1576" s="53"/>
      <c r="F1576" s="53"/>
      <c r="G1576" s="53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T1576" s="20"/>
    </row>
    <row r="1577" spans="1:20">
      <c r="A1577" s="44" t="s">
        <v>37</v>
      </c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T1577" s="20"/>
    </row>
    <row r="1578" spans="1:20">
      <c r="A1578" s="46" t="s">
        <v>38</v>
      </c>
      <c r="B1578" s="46"/>
      <c r="C1578" s="47" t="s">
        <v>39</v>
      </c>
      <c r="D1578" s="48"/>
      <c r="E1578" s="48"/>
      <c r="F1578" s="47" t="s">
        <v>40</v>
      </c>
      <c r="G1578" s="48"/>
      <c r="H1578" s="49"/>
      <c r="I1578" s="46" t="s">
        <v>41</v>
      </c>
      <c r="J1578" s="46"/>
      <c r="K1578" s="46"/>
      <c r="L1578" s="46" t="s">
        <v>35</v>
      </c>
      <c r="M1578" s="46"/>
      <c r="N1578" s="46"/>
      <c r="O1578" s="46" t="s">
        <v>36</v>
      </c>
      <c r="P1578" s="46"/>
      <c r="Q1578" s="46"/>
      <c r="T1578" s="20"/>
    </row>
    <row r="1579" spans="1:20">
      <c r="A1579" s="47" t="s">
        <v>42</v>
      </c>
      <c r="B1579" s="49"/>
      <c r="C1579" s="47"/>
      <c r="D1579" s="48"/>
      <c r="E1579" s="49"/>
      <c r="F1579" s="47">
        <f>F1506+C1579</f>
        <v>30</v>
      </c>
      <c r="G1579" s="48"/>
      <c r="H1579" s="49"/>
      <c r="I1579" s="47"/>
      <c r="J1579" s="48"/>
      <c r="K1579" s="49"/>
      <c r="L1579" s="47"/>
      <c r="M1579" s="48"/>
      <c r="N1579" s="49"/>
      <c r="O1579" s="47"/>
      <c r="P1579" s="48"/>
      <c r="Q1579" s="49"/>
      <c r="T1579" s="20"/>
    </row>
    <row r="1580" spans="1:20">
      <c r="A1580" s="47" t="s">
        <v>100</v>
      </c>
      <c r="B1580" s="49"/>
      <c r="C1580" s="47"/>
      <c r="D1580" s="48"/>
      <c r="E1580" s="49"/>
      <c r="F1580" s="47">
        <f>F1507+C1580</f>
        <v>2</v>
      </c>
      <c r="G1580" s="48"/>
      <c r="H1580" s="49"/>
      <c r="I1580" s="47"/>
      <c r="J1580" s="48"/>
      <c r="K1580" s="49"/>
      <c r="L1580" s="47"/>
      <c r="M1580" s="48"/>
      <c r="N1580" s="49"/>
      <c r="O1580" s="47"/>
      <c r="P1580" s="48"/>
      <c r="Q1580" s="49"/>
      <c r="T1580" s="20"/>
    </row>
    <row r="1581" spans="1:20">
      <c r="A1581" s="47"/>
      <c r="B1581" s="49"/>
      <c r="C1581" s="47"/>
      <c r="D1581" s="48"/>
      <c r="E1581" s="49"/>
      <c r="F1581" s="47"/>
      <c r="G1581" s="48"/>
      <c r="H1581" s="49"/>
      <c r="I1581" s="47"/>
      <c r="J1581" s="48"/>
      <c r="K1581" s="49"/>
      <c r="L1581" s="47"/>
      <c r="M1581" s="48"/>
      <c r="N1581" s="49"/>
      <c r="O1581" s="47"/>
      <c r="P1581" s="48"/>
      <c r="Q1581" s="49"/>
      <c r="T1581" s="20"/>
    </row>
    <row r="1582" spans="1:20">
      <c r="A1582" s="46"/>
      <c r="B1582" s="46"/>
      <c r="C1582" s="47"/>
      <c r="D1582" s="48"/>
      <c r="E1582" s="49"/>
      <c r="F1582" s="47"/>
      <c r="G1582" s="48"/>
      <c r="H1582" s="49"/>
      <c r="I1582" s="47"/>
      <c r="J1582" s="48"/>
      <c r="K1582" s="49"/>
      <c r="L1582" s="47"/>
      <c r="M1582" s="48"/>
      <c r="N1582" s="49"/>
      <c r="O1582" s="47"/>
      <c r="P1582" s="48"/>
      <c r="Q1582" s="49"/>
      <c r="T1582" s="20"/>
    </row>
    <row r="1583" spans="1:20">
      <c r="A1583" s="46"/>
      <c r="B1583" s="46"/>
      <c r="C1583" s="47"/>
      <c r="D1583" s="48"/>
      <c r="E1583" s="49"/>
      <c r="F1583" s="47"/>
      <c r="G1583" s="48"/>
      <c r="H1583" s="49"/>
      <c r="I1583" s="47"/>
      <c r="J1583" s="48"/>
      <c r="K1583" s="49"/>
      <c r="L1583" s="47"/>
      <c r="M1583" s="48"/>
      <c r="N1583" s="49"/>
      <c r="O1583" s="47"/>
      <c r="P1583" s="48"/>
      <c r="Q1583" s="49"/>
      <c r="T1583" s="20"/>
    </row>
    <row r="1584" spans="1:20">
      <c r="A1584" s="50" t="s">
        <v>43</v>
      </c>
      <c r="B1584" s="51"/>
      <c r="C1584" s="51"/>
      <c r="D1584" s="51"/>
      <c r="E1584" s="51"/>
      <c r="F1584" s="51"/>
      <c r="G1584" s="51"/>
      <c r="H1584" s="51"/>
      <c r="I1584" s="51"/>
      <c r="J1584" s="51"/>
      <c r="K1584" s="51"/>
      <c r="L1584" s="51"/>
      <c r="M1584" s="51"/>
      <c r="N1584" s="51"/>
      <c r="O1584" s="51"/>
      <c r="P1584" s="51"/>
      <c r="Q1584" s="52"/>
      <c r="T1584" s="20"/>
    </row>
    <row r="1585" spans="1:20">
      <c r="A1585" s="38" t="s">
        <v>44</v>
      </c>
      <c r="B1585" s="39"/>
      <c r="C1585" s="39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40"/>
      <c r="T1585" s="20"/>
    </row>
    <row r="1586" spans="1:20">
      <c r="A1586" s="41" t="s">
        <v>45</v>
      </c>
      <c r="B1586" s="42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  <c r="P1586" s="42"/>
      <c r="Q1586" s="43"/>
      <c r="T1586" s="20"/>
    </row>
    <row r="1587" spans="1:20">
      <c r="A1587" s="50" t="s">
        <v>46</v>
      </c>
      <c r="B1587" s="51"/>
      <c r="C1587" s="51"/>
      <c r="D1587" s="51"/>
      <c r="E1587" s="51"/>
      <c r="F1587" s="51"/>
      <c r="G1587" s="51"/>
      <c r="H1587" s="51"/>
      <c r="I1587" s="51"/>
      <c r="J1587" s="51"/>
      <c r="K1587" s="51"/>
      <c r="L1587" s="51"/>
      <c r="M1587" s="51"/>
      <c r="N1587" s="51"/>
      <c r="O1587" s="51"/>
      <c r="P1587" s="51"/>
      <c r="Q1587" s="52"/>
      <c r="T1587" s="20"/>
    </row>
    <row r="1588" spans="1:20">
      <c r="A1588" s="38" t="s">
        <v>47</v>
      </c>
      <c r="B1588" s="39"/>
      <c r="C1588" s="39"/>
      <c r="D1588" s="39"/>
      <c r="E1588" s="39"/>
      <c r="F1588" s="39"/>
      <c r="G1588" s="39"/>
      <c r="H1588" s="39"/>
      <c r="I1588" s="39"/>
      <c r="J1588" s="39"/>
      <c r="K1588" s="39"/>
      <c r="L1588" s="39"/>
      <c r="M1588" s="39"/>
      <c r="N1588" s="39"/>
      <c r="O1588" s="39"/>
      <c r="P1588" s="39"/>
      <c r="Q1588" s="40"/>
      <c r="T1588" s="20"/>
    </row>
    <row r="1589" spans="1:20">
      <c r="A1589" s="38" t="s">
        <v>48</v>
      </c>
      <c r="B1589" s="39"/>
      <c r="C1589" s="39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40"/>
      <c r="T1589" s="20"/>
    </row>
    <row r="1590" spans="1:20">
      <c r="A1590" s="38" t="s">
        <v>49</v>
      </c>
      <c r="B1590" s="39"/>
      <c r="C1590" s="39"/>
      <c r="D1590" s="39"/>
      <c r="E1590" s="39"/>
      <c r="F1590" s="39"/>
      <c r="G1590" s="39"/>
      <c r="H1590" s="39"/>
      <c r="I1590" s="39"/>
      <c r="J1590" s="39"/>
      <c r="K1590" s="39"/>
      <c r="L1590" s="39"/>
      <c r="M1590" s="39"/>
      <c r="N1590" s="39"/>
      <c r="O1590" s="39"/>
      <c r="P1590" s="39"/>
      <c r="Q1590" s="40"/>
      <c r="T1590" s="20"/>
    </row>
    <row r="1591" spans="1:20">
      <c r="A1591" s="38" t="s">
        <v>50</v>
      </c>
      <c r="B1591" s="39"/>
      <c r="C1591" s="39"/>
      <c r="D1591" s="39"/>
      <c r="E1591" s="39"/>
      <c r="F1591" s="39"/>
      <c r="G1591" s="39"/>
      <c r="H1591" s="39"/>
      <c r="I1591" s="39"/>
      <c r="J1591" s="39"/>
      <c r="K1591" s="39"/>
      <c r="L1591" s="39"/>
      <c r="M1591" s="39"/>
      <c r="N1591" s="39"/>
      <c r="O1591" s="39"/>
      <c r="P1591" s="39"/>
      <c r="Q1591" s="40"/>
      <c r="T1591" s="20"/>
    </row>
    <row r="1592" spans="1:20">
      <c r="A1592" s="38" t="s">
        <v>51</v>
      </c>
      <c r="B1592" s="39"/>
      <c r="C1592" s="39"/>
      <c r="D1592" s="39"/>
      <c r="E1592" s="39"/>
      <c r="F1592" s="39"/>
      <c r="G1592" s="39"/>
      <c r="H1592" s="39"/>
      <c r="I1592" s="39"/>
      <c r="J1592" s="39"/>
      <c r="K1592" s="39"/>
      <c r="L1592" s="39"/>
      <c r="M1592" s="39"/>
      <c r="N1592" s="39"/>
      <c r="O1592" s="39"/>
      <c r="P1592" s="39"/>
      <c r="Q1592" s="40"/>
      <c r="T1592" s="20"/>
    </row>
    <row r="1593" spans="1:20">
      <c r="A1593" s="41" t="s">
        <v>52</v>
      </c>
      <c r="B1593" s="42"/>
      <c r="C1593" s="42"/>
      <c r="D1593" s="42"/>
      <c r="E1593" s="42"/>
      <c r="F1593" s="42"/>
      <c r="G1593" s="42"/>
      <c r="H1593" s="42"/>
      <c r="I1593" s="42"/>
      <c r="J1593" s="42"/>
      <c r="K1593" s="42"/>
      <c r="L1593" s="42"/>
      <c r="M1593" s="42"/>
      <c r="N1593" s="42"/>
      <c r="O1593" s="42"/>
      <c r="P1593" s="42"/>
      <c r="Q1593" s="43"/>
      <c r="T1593" s="20"/>
    </row>
    <row r="1594" spans="1:20">
      <c r="A1594" s="44" t="s">
        <v>53</v>
      </c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T1594" s="20"/>
    </row>
    <row r="1595" spans="1:20">
      <c r="A1595" s="44" t="s">
        <v>54</v>
      </c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T1595" s="20"/>
    </row>
    <row r="1596" spans="1:20">
      <c r="A1596" s="44" t="s">
        <v>99</v>
      </c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T1596" s="20"/>
    </row>
    <row r="1597" spans="1:20">
      <c r="A1597" s="44" t="s">
        <v>55</v>
      </c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T1597" s="20"/>
    </row>
    <row r="1598" spans="1:20">
      <c r="A1598" s="45" t="s">
        <v>56</v>
      </c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T1598" s="20"/>
    </row>
    <row r="1599" spans="1:20">
      <c r="A1599" s="37" t="s">
        <v>57</v>
      </c>
      <c r="B1599" s="37"/>
      <c r="C1599" s="37"/>
      <c r="D1599" s="37"/>
      <c r="E1599" s="37"/>
      <c r="F1599" s="37"/>
      <c r="G1599" s="37"/>
      <c r="H1599" s="37"/>
      <c r="I1599" s="37"/>
      <c r="J1599" s="37"/>
      <c r="K1599" s="37"/>
      <c r="L1599" s="37"/>
      <c r="M1599" s="37"/>
      <c r="N1599" s="37"/>
      <c r="O1599" s="37"/>
      <c r="P1599" s="37"/>
      <c r="Q1599" s="37"/>
      <c r="T1599" s="20"/>
    </row>
    <row r="1600" spans="1:20">
      <c r="A1600" s="37" t="s">
        <v>58</v>
      </c>
      <c r="B1600" s="37"/>
      <c r="C1600" s="37"/>
      <c r="D1600" s="37"/>
      <c r="E1600" s="37"/>
      <c r="F1600" s="37"/>
      <c r="G1600" s="37"/>
      <c r="H1600" s="37"/>
      <c r="I1600" s="37"/>
      <c r="J1600" s="37"/>
      <c r="K1600" s="37"/>
      <c r="L1600" s="37"/>
      <c r="M1600" s="37"/>
      <c r="N1600" s="37"/>
      <c r="O1600" s="37"/>
      <c r="P1600" s="37"/>
      <c r="Q1600" s="37"/>
      <c r="T1600" s="20"/>
    </row>
    <row r="1601" spans="1:21">
      <c r="A1601" s="37" t="s">
        <v>59</v>
      </c>
      <c r="B1601" s="37"/>
      <c r="C1601" s="37"/>
      <c r="D1601" s="37"/>
      <c r="E1601" s="37"/>
      <c r="F1601" s="37"/>
      <c r="G1601" s="37"/>
      <c r="H1601" s="37"/>
      <c r="I1601" s="37"/>
      <c r="J1601" s="37"/>
      <c r="K1601" s="37"/>
      <c r="L1601" s="37"/>
      <c r="M1601" s="37"/>
      <c r="N1601" s="37"/>
      <c r="O1601" s="37"/>
      <c r="P1601" s="37"/>
      <c r="Q1601" s="37"/>
      <c r="T1601" s="20"/>
    </row>
    <row r="1602" spans="1:21">
      <c r="A1602" s="37" t="s">
        <v>60</v>
      </c>
      <c r="B1602" s="37"/>
      <c r="C1602" s="37"/>
      <c r="D1602" s="37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T1602" s="20"/>
    </row>
    <row r="1603" spans="1:21">
      <c r="A1603" s="37" t="s">
        <v>61</v>
      </c>
      <c r="B1603" s="37"/>
      <c r="C1603" s="37"/>
      <c r="D1603" s="37"/>
      <c r="E1603" s="37"/>
      <c r="F1603" s="37"/>
      <c r="G1603" s="37"/>
      <c r="H1603" s="37"/>
      <c r="I1603" s="37"/>
      <c r="J1603" s="37"/>
      <c r="K1603" s="37"/>
      <c r="L1603" s="37"/>
      <c r="M1603" s="37"/>
      <c r="N1603" s="37"/>
      <c r="O1603" s="37"/>
      <c r="P1603" s="37"/>
      <c r="Q1603" s="37"/>
      <c r="T1603" s="20"/>
    </row>
    <row r="1604" spans="1:21">
      <c r="A1604" s="37" t="s">
        <v>62</v>
      </c>
      <c r="B1604" s="37"/>
      <c r="C1604" s="37"/>
      <c r="D1604" s="37"/>
      <c r="E1604" s="37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  <c r="P1604" s="37"/>
      <c r="Q1604" s="37"/>
      <c r="T1604" s="20"/>
    </row>
    <row r="1605" spans="1:21">
      <c r="A1605" s="37" t="s">
        <v>63</v>
      </c>
      <c r="B1605" s="37"/>
      <c r="C1605" s="37"/>
      <c r="D1605" s="37"/>
      <c r="E1605" s="37"/>
      <c r="F1605" s="37"/>
      <c r="G1605" s="37"/>
      <c r="H1605" s="37"/>
      <c r="I1605" s="37"/>
      <c r="J1605" s="37"/>
      <c r="K1605" s="37"/>
      <c r="L1605" s="37"/>
      <c r="M1605" s="37"/>
      <c r="N1605" s="37"/>
      <c r="O1605" s="37"/>
      <c r="P1605" s="37"/>
      <c r="Q1605" s="37"/>
      <c r="T1605" s="20"/>
    </row>
    <row r="1606" spans="1:21">
      <c r="A1606" s="37" t="s">
        <v>75</v>
      </c>
      <c r="B1606" s="37"/>
      <c r="C1606" s="37"/>
      <c r="D1606" s="37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T1606" s="20"/>
    </row>
    <row r="1607" spans="1:21" ht="39" customHeight="1">
      <c r="B1607" s="120" t="s">
        <v>0</v>
      </c>
      <c r="C1607" s="120"/>
      <c r="D1607" s="120"/>
      <c r="E1607" s="120"/>
      <c r="F1607" s="120"/>
      <c r="G1607" s="120"/>
      <c r="H1607" s="120"/>
      <c r="I1607" s="120"/>
      <c r="J1607" s="120"/>
      <c r="K1607" s="120"/>
      <c r="L1607" s="120"/>
      <c r="M1607" s="120"/>
      <c r="N1607" s="120"/>
      <c r="O1607" s="120"/>
      <c r="P1607" s="120"/>
      <c r="Q1607" s="120"/>
      <c r="T1607" s="20"/>
    </row>
    <row r="1608" spans="1:21">
      <c r="B1608" s="6" t="s">
        <v>1</v>
      </c>
      <c r="C1608" s="121" t="s">
        <v>2</v>
      </c>
      <c r="D1608" s="121"/>
      <c r="E1608" s="1" t="s">
        <v>3</v>
      </c>
      <c r="F1608" s="121" t="s">
        <v>4</v>
      </c>
      <c r="G1608" s="121"/>
      <c r="H1608" s="1" t="s">
        <v>3</v>
      </c>
      <c r="I1608" s="1"/>
      <c r="J1608" s="121" t="s">
        <v>5</v>
      </c>
      <c r="K1608" s="121"/>
      <c r="L1608" s="121"/>
      <c r="M1608" s="122">
        <f>M1535+1</f>
        <v>46249</v>
      </c>
      <c r="N1608" s="122"/>
      <c r="O1608" s="122"/>
      <c r="P1608" s="123"/>
      <c r="Q1608" s="123"/>
      <c r="T1608" s="20"/>
    </row>
    <row r="1609" spans="1:21">
      <c r="A1609" s="96" t="s">
        <v>6</v>
      </c>
      <c r="B1609" s="96"/>
      <c r="C1609" s="124" t="s">
        <v>79</v>
      </c>
      <c r="D1609" s="125"/>
      <c r="E1609" s="125"/>
      <c r="F1609" s="125"/>
      <c r="G1609" s="125"/>
      <c r="H1609" s="125"/>
      <c r="I1609" s="126"/>
      <c r="J1609" s="127" t="s">
        <v>7</v>
      </c>
      <c r="K1609" s="128"/>
      <c r="L1609" s="128"/>
      <c r="M1609" s="129"/>
      <c r="N1609" s="130" t="s">
        <v>78</v>
      </c>
      <c r="O1609" s="130"/>
      <c r="P1609" s="130"/>
      <c r="Q1609" s="131"/>
      <c r="T1609" s="20"/>
    </row>
    <row r="1610" spans="1:21">
      <c r="A1610" s="96" t="s">
        <v>8</v>
      </c>
      <c r="B1610" s="96"/>
      <c r="C1610" s="4">
        <v>30</v>
      </c>
      <c r="D1610" s="3" t="s">
        <v>9</v>
      </c>
      <c r="E1610" s="127" t="s">
        <v>10</v>
      </c>
      <c r="F1610" s="129"/>
      <c r="G1610" s="127">
        <f>G1537+1</f>
        <v>23</v>
      </c>
      <c r="H1610" s="128"/>
      <c r="I1610" s="3" t="s">
        <v>9</v>
      </c>
      <c r="J1610" s="96" t="s">
        <v>11</v>
      </c>
      <c r="K1610" s="96"/>
      <c r="L1610" s="35">
        <f>C1610-G1610</f>
        <v>7</v>
      </c>
      <c r="M1610" s="2" t="s">
        <v>9</v>
      </c>
      <c r="N1610" s="96" t="s">
        <v>12</v>
      </c>
      <c r="O1610" s="96"/>
      <c r="P1610" s="2"/>
      <c r="Q1610" s="3" t="s">
        <v>9</v>
      </c>
      <c r="T1610" s="20"/>
    </row>
    <row r="1611" spans="1:21">
      <c r="A1611" s="96" t="s">
        <v>13</v>
      </c>
      <c r="B1611" s="96"/>
      <c r="C1611" s="132">
        <v>46227</v>
      </c>
      <c r="D1611" s="132"/>
      <c r="E1611" s="132"/>
      <c r="F1611" s="132"/>
      <c r="G1611" s="132"/>
      <c r="H1611" s="132"/>
      <c r="I1611" s="132"/>
      <c r="J1611" s="127" t="s">
        <v>14</v>
      </c>
      <c r="K1611" s="128"/>
      <c r="L1611" s="128"/>
      <c r="M1611" s="129"/>
      <c r="N1611" s="133">
        <v>46256</v>
      </c>
      <c r="O1611" s="134"/>
      <c r="P1611" s="134"/>
      <c r="Q1611" s="135"/>
      <c r="T1611" s="20"/>
    </row>
    <row r="1612" spans="1:21">
      <c r="A1612" s="96" t="s">
        <v>15</v>
      </c>
      <c r="B1612" s="96"/>
      <c r="C1612" s="97">
        <v>92</v>
      </c>
      <c r="D1612" s="98"/>
      <c r="E1612" s="98"/>
      <c r="F1612" s="98"/>
      <c r="G1612" s="98"/>
      <c r="H1612" s="99" t="s">
        <v>16</v>
      </c>
      <c r="I1612" s="100"/>
      <c r="J1612" s="101" t="s">
        <v>17</v>
      </c>
      <c r="K1612" s="101"/>
      <c r="L1612" s="101"/>
      <c r="M1612" s="101"/>
      <c r="N1612" s="102">
        <f>U1635</f>
        <v>0.97138357693035915</v>
      </c>
      <c r="O1612" s="102"/>
      <c r="P1612" s="102"/>
      <c r="Q1612" s="102"/>
      <c r="T1612" s="20"/>
    </row>
    <row r="1613" spans="1:21">
      <c r="A1613" s="103" t="s">
        <v>18</v>
      </c>
      <c r="B1613" s="104"/>
      <c r="C1613" s="104"/>
      <c r="D1613" s="104"/>
      <c r="E1613" s="104"/>
      <c r="F1613" s="104"/>
      <c r="G1613" s="104"/>
      <c r="H1613" s="104"/>
      <c r="I1613" s="104"/>
      <c r="J1613" s="104"/>
      <c r="K1613" s="104"/>
      <c r="L1613" s="104"/>
      <c r="M1613" s="104"/>
      <c r="N1613" s="104"/>
      <c r="O1613" s="104"/>
      <c r="P1613" s="104"/>
      <c r="Q1613" s="105"/>
      <c r="T1613" s="20"/>
    </row>
    <row r="1614" spans="1:21">
      <c r="A1614" s="7"/>
      <c r="B1614" s="106" t="s">
        <v>19</v>
      </c>
      <c r="C1614" s="107"/>
      <c r="D1614" s="107"/>
      <c r="E1614" s="107"/>
      <c r="F1614" s="107"/>
      <c r="G1614" s="108"/>
      <c r="H1614" s="8" t="s">
        <v>20</v>
      </c>
      <c r="I1614" s="109" t="s">
        <v>21</v>
      </c>
      <c r="J1614" s="110"/>
      <c r="K1614" s="111"/>
      <c r="L1614" s="109" t="s">
        <v>28</v>
      </c>
      <c r="M1614" s="111"/>
      <c r="N1614" s="106" t="s">
        <v>22</v>
      </c>
      <c r="O1614" s="112"/>
      <c r="P1614" s="113" t="s">
        <v>23</v>
      </c>
      <c r="Q1614" s="113"/>
      <c r="S1614" s="33" t="s">
        <v>22</v>
      </c>
      <c r="T1614" s="34" t="s">
        <v>64</v>
      </c>
      <c r="U1614" s="13" t="s">
        <v>27</v>
      </c>
    </row>
    <row r="1615" spans="1:21">
      <c r="A1615" s="17" t="s">
        <v>65</v>
      </c>
      <c r="B1615" s="114" t="s">
        <v>66</v>
      </c>
      <c r="C1615" s="115"/>
      <c r="D1615" s="115"/>
      <c r="E1615" s="115"/>
      <c r="F1615" s="115"/>
      <c r="G1615" s="116"/>
      <c r="H1615" s="17"/>
      <c r="I1615" s="117"/>
      <c r="J1615" s="118"/>
      <c r="K1615" s="119"/>
      <c r="L1615" s="77"/>
      <c r="M1615" s="78"/>
      <c r="N1615" s="77"/>
      <c r="O1615" s="78"/>
      <c r="P1615" s="93"/>
      <c r="Q1615" s="93"/>
      <c r="S1615" s="16"/>
      <c r="T1615" s="16"/>
      <c r="U1615" s="16" t="s">
        <v>26</v>
      </c>
    </row>
    <row r="1616" spans="1:21">
      <c r="A1616" s="17">
        <v>1</v>
      </c>
      <c r="B1616" s="81" t="s">
        <v>80</v>
      </c>
      <c r="C1616" s="82"/>
      <c r="D1616" s="82"/>
      <c r="E1616" s="82"/>
      <c r="F1616" s="82"/>
      <c r="G1616" s="83"/>
      <c r="H1616" s="29" t="s">
        <v>67</v>
      </c>
      <c r="I1616" s="84">
        <v>18</v>
      </c>
      <c r="J1616" s="85"/>
      <c r="K1616" s="86"/>
      <c r="L1616" s="87"/>
      <c r="M1616" s="88"/>
      <c r="N1616" s="89">
        <v>18</v>
      </c>
      <c r="O1616" s="90"/>
      <c r="P1616" s="93"/>
      <c r="Q1616" s="93"/>
      <c r="S1616" s="12">
        <v>18</v>
      </c>
      <c r="T1616" s="26">
        <v>18000</v>
      </c>
      <c r="U1616" s="12">
        <f>S1616*T1616</f>
        <v>324000</v>
      </c>
    </row>
    <row r="1617" spans="1:22" ht="32.1" customHeight="1">
      <c r="A1617" s="17">
        <v>2</v>
      </c>
      <c r="B1617" s="81" t="s">
        <v>81</v>
      </c>
      <c r="C1617" s="82" t="s">
        <v>81</v>
      </c>
      <c r="D1617" s="82" t="s">
        <v>81</v>
      </c>
      <c r="E1617" s="82" t="s">
        <v>81</v>
      </c>
      <c r="F1617" s="82" t="s">
        <v>81</v>
      </c>
      <c r="G1617" s="83" t="s">
        <v>81</v>
      </c>
      <c r="H1617" s="29" t="s">
        <v>97</v>
      </c>
      <c r="I1617" s="84">
        <v>166</v>
      </c>
      <c r="J1617" s="85"/>
      <c r="K1617" s="86"/>
      <c r="L1617" s="87"/>
      <c r="M1617" s="88"/>
      <c r="N1617" s="89">
        <v>166</v>
      </c>
      <c r="O1617" s="90"/>
      <c r="P1617" s="93"/>
      <c r="Q1617" s="93"/>
      <c r="S1617" s="12">
        <v>166</v>
      </c>
      <c r="T1617" s="26">
        <v>750</v>
      </c>
      <c r="U1617" s="12">
        <f t="shared" ref="U1617:U1627" si="44">S1617*T1617</f>
        <v>124500</v>
      </c>
    </row>
    <row r="1618" spans="1:22">
      <c r="A1618" s="17">
        <v>3</v>
      </c>
      <c r="B1618" s="81" t="s">
        <v>82</v>
      </c>
      <c r="C1618" s="82" t="s">
        <v>82</v>
      </c>
      <c r="D1618" s="82" t="s">
        <v>82</v>
      </c>
      <c r="E1618" s="82" t="s">
        <v>82</v>
      </c>
      <c r="F1618" s="82" t="s">
        <v>82</v>
      </c>
      <c r="G1618" s="83" t="s">
        <v>82</v>
      </c>
      <c r="H1618" s="29" t="s">
        <v>97</v>
      </c>
      <c r="I1618" s="84">
        <v>540</v>
      </c>
      <c r="J1618" s="85">
        <v>540</v>
      </c>
      <c r="K1618" s="86">
        <v>540</v>
      </c>
      <c r="L1618" s="87"/>
      <c r="M1618" s="88"/>
      <c r="N1618" s="89">
        <v>540</v>
      </c>
      <c r="O1618" s="90"/>
      <c r="P1618" s="93"/>
      <c r="Q1618" s="93"/>
      <c r="S1618" s="12">
        <v>540</v>
      </c>
      <c r="T1618" s="26">
        <v>340</v>
      </c>
      <c r="U1618" s="12">
        <f t="shared" si="44"/>
        <v>183600</v>
      </c>
    </row>
    <row r="1619" spans="1:22">
      <c r="A1619" s="17">
        <v>4</v>
      </c>
      <c r="B1619" s="81" t="s">
        <v>83</v>
      </c>
      <c r="C1619" s="82" t="s">
        <v>83</v>
      </c>
      <c r="D1619" s="82" t="s">
        <v>83</v>
      </c>
      <c r="E1619" s="82" t="s">
        <v>83</v>
      </c>
      <c r="F1619" s="82" t="s">
        <v>83</v>
      </c>
      <c r="G1619" s="83" t="s">
        <v>83</v>
      </c>
      <c r="H1619" s="29" t="s">
        <v>67</v>
      </c>
      <c r="I1619" s="84">
        <v>20</v>
      </c>
      <c r="J1619" s="85">
        <v>20</v>
      </c>
      <c r="K1619" s="86">
        <v>20</v>
      </c>
      <c r="L1619" s="87"/>
      <c r="M1619" s="88"/>
      <c r="N1619" s="89">
        <v>20</v>
      </c>
      <c r="O1619" s="90"/>
      <c r="P1619" s="93"/>
      <c r="Q1619" s="93"/>
      <c r="S1619" s="12">
        <v>20</v>
      </c>
      <c r="T1619" s="26">
        <v>1250</v>
      </c>
      <c r="U1619" s="12">
        <f t="shared" si="44"/>
        <v>25000</v>
      </c>
    </row>
    <row r="1620" spans="1:22" ht="31.5" customHeight="1">
      <c r="A1620" s="17">
        <v>5</v>
      </c>
      <c r="B1620" s="81" t="s">
        <v>84</v>
      </c>
      <c r="C1620" s="82" t="s">
        <v>84</v>
      </c>
      <c r="D1620" s="82" t="s">
        <v>84</v>
      </c>
      <c r="E1620" s="82" t="s">
        <v>84</v>
      </c>
      <c r="F1620" s="82" t="s">
        <v>84</v>
      </c>
      <c r="G1620" s="83" t="s">
        <v>84</v>
      </c>
      <c r="H1620" s="29" t="s">
        <v>97</v>
      </c>
      <c r="I1620" s="84">
        <v>28</v>
      </c>
      <c r="J1620" s="85">
        <v>28</v>
      </c>
      <c r="K1620" s="86">
        <v>28</v>
      </c>
      <c r="L1620" s="87"/>
      <c r="M1620" s="88"/>
      <c r="N1620" s="89">
        <v>28</v>
      </c>
      <c r="O1620" s="90"/>
      <c r="P1620" s="93"/>
      <c r="Q1620" s="93"/>
      <c r="S1620" s="12">
        <v>28</v>
      </c>
      <c r="T1620" s="26">
        <v>1800</v>
      </c>
      <c r="U1620" s="12">
        <f t="shared" si="44"/>
        <v>50400</v>
      </c>
    </row>
    <row r="1621" spans="1:22">
      <c r="A1621" s="17">
        <v>6</v>
      </c>
      <c r="B1621" s="81" t="s">
        <v>85</v>
      </c>
      <c r="C1621" s="82" t="s">
        <v>85</v>
      </c>
      <c r="D1621" s="82" t="s">
        <v>85</v>
      </c>
      <c r="E1621" s="82" t="s">
        <v>85</v>
      </c>
      <c r="F1621" s="82" t="s">
        <v>85</v>
      </c>
      <c r="G1621" s="83" t="s">
        <v>85</v>
      </c>
      <c r="H1621" s="29" t="s">
        <v>97</v>
      </c>
      <c r="I1621" s="84">
        <v>14</v>
      </c>
      <c r="J1621" s="85">
        <v>14</v>
      </c>
      <c r="K1621" s="86">
        <v>14</v>
      </c>
      <c r="L1621" s="87"/>
      <c r="M1621" s="88"/>
      <c r="N1621" s="89">
        <v>14</v>
      </c>
      <c r="O1621" s="90"/>
      <c r="P1621" s="79"/>
      <c r="Q1621" s="80"/>
      <c r="S1621" s="12">
        <v>14</v>
      </c>
      <c r="T1621" s="26">
        <v>4000</v>
      </c>
      <c r="U1621" s="12">
        <f t="shared" si="44"/>
        <v>56000</v>
      </c>
    </row>
    <row r="1622" spans="1:22">
      <c r="A1622" s="17">
        <v>7</v>
      </c>
      <c r="B1622" s="81" t="s">
        <v>86</v>
      </c>
      <c r="C1622" s="82" t="s">
        <v>86</v>
      </c>
      <c r="D1622" s="82" t="s">
        <v>86</v>
      </c>
      <c r="E1622" s="82" t="s">
        <v>86</v>
      </c>
      <c r="F1622" s="82" t="s">
        <v>86</v>
      </c>
      <c r="G1622" s="83" t="s">
        <v>86</v>
      </c>
      <c r="H1622" s="29" t="s">
        <v>97</v>
      </c>
      <c r="I1622" s="84">
        <v>30</v>
      </c>
      <c r="J1622" s="85">
        <v>30</v>
      </c>
      <c r="K1622" s="86">
        <v>30</v>
      </c>
      <c r="L1622" s="87"/>
      <c r="M1622" s="88"/>
      <c r="N1622" s="89">
        <v>30</v>
      </c>
      <c r="O1622" s="90"/>
      <c r="P1622" s="93"/>
      <c r="Q1622" s="93"/>
      <c r="S1622" s="12">
        <v>30</v>
      </c>
      <c r="T1622" s="26">
        <v>4000</v>
      </c>
      <c r="U1622" s="12">
        <f t="shared" si="44"/>
        <v>120000</v>
      </c>
    </row>
    <row r="1623" spans="1:22">
      <c r="A1623" s="17">
        <v>8</v>
      </c>
      <c r="B1623" s="81" t="s">
        <v>87</v>
      </c>
      <c r="C1623" s="82" t="s">
        <v>87</v>
      </c>
      <c r="D1623" s="82" t="s">
        <v>87</v>
      </c>
      <c r="E1623" s="82" t="s">
        <v>87</v>
      </c>
      <c r="F1623" s="82" t="s">
        <v>87</v>
      </c>
      <c r="G1623" s="83" t="s">
        <v>87</v>
      </c>
      <c r="H1623" s="30" t="s">
        <v>25</v>
      </c>
      <c r="I1623" s="84">
        <v>1</v>
      </c>
      <c r="J1623" s="85">
        <v>1</v>
      </c>
      <c r="K1623" s="86">
        <v>1</v>
      </c>
      <c r="L1623" s="94"/>
      <c r="M1623" s="95"/>
      <c r="N1623" s="94">
        <v>1</v>
      </c>
      <c r="O1623" s="95"/>
      <c r="P1623" s="93"/>
      <c r="Q1623" s="93"/>
      <c r="S1623" s="16">
        <v>1</v>
      </c>
      <c r="T1623" s="26">
        <v>31000</v>
      </c>
      <c r="U1623" s="12">
        <f t="shared" si="44"/>
        <v>31000</v>
      </c>
    </row>
    <row r="1624" spans="1:22">
      <c r="A1624" s="17">
        <v>9</v>
      </c>
      <c r="B1624" s="81" t="s">
        <v>88</v>
      </c>
      <c r="C1624" s="82" t="s">
        <v>88</v>
      </c>
      <c r="D1624" s="82" t="s">
        <v>88</v>
      </c>
      <c r="E1624" s="82" t="s">
        <v>88</v>
      </c>
      <c r="F1624" s="82" t="s">
        <v>88</v>
      </c>
      <c r="G1624" s="83" t="s">
        <v>88</v>
      </c>
      <c r="H1624" s="30" t="s">
        <v>25</v>
      </c>
      <c r="I1624" s="84">
        <v>1</v>
      </c>
      <c r="J1624" s="85">
        <v>1</v>
      </c>
      <c r="K1624" s="86">
        <v>1</v>
      </c>
      <c r="L1624" s="87"/>
      <c r="M1624" s="88"/>
      <c r="N1624" s="89"/>
      <c r="O1624" s="90"/>
      <c r="P1624" s="93"/>
      <c r="Q1624" s="93"/>
      <c r="S1624" s="12"/>
      <c r="T1624" s="26">
        <v>30121</v>
      </c>
      <c r="U1624" s="12">
        <f t="shared" si="44"/>
        <v>0</v>
      </c>
    </row>
    <row r="1625" spans="1:22">
      <c r="A1625" s="17">
        <v>10</v>
      </c>
      <c r="B1625" s="81" t="s">
        <v>89</v>
      </c>
      <c r="C1625" s="82"/>
      <c r="D1625" s="82"/>
      <c r="E1625" s="82"/>
      <c r="F1625" s="82"/>
      <c r="G1625" s="83"/>
      <c r="H1625" s="30" t="s">
        <v>98</v>
      </c>
      <c r="I1625" s="84">
        <v>3</v>
      </c>
      <c r="J1625" s="85"/>
      <c r="K1625" s="86"/>
      <c r="L1625" s="87"/>
      <c r="M1625" s="88"/>
      <c r="N1625" s="89">
        <v>3</v>
      </c>
      <c r="O1625" s="90"/>
      <c r="P1625" s="91"/>
      <c r="Q1625" s="92"/>
      <c r="S1625" s="12">
        <v>3</v>
      </c>
      <c r="T1625" s="26">
        <v>14500</v>
      </c>
      <c r="U1625" s="12">
        <f t="shared" si="44"/>
        <v>43500</v>
      </c>
    </row>
    <row r="1626" spans="1:22">
      <c r="A1626" s="17">
        <v>11</v>
      </c>
      <c r="B1626" s="81" t="s">
        <v>90</v>
      </c>
      <c r="C1626" s="82"/>
      <c r="D1626" s="82"/>
      <c r="E1626" s="82"/>
      <c r="F1626" s="82"/>
      <c r="G1626" s="83"/>
      <c r="H1626" s="29" t="s">
        <v>67</v>
      </c>
      <c r="I1626" s="84">
        <v>6</v>
      </c>
      <c r="J1626" s="85"/>
      <c r="K1626" s="86"/>
      <c r="L1626" s="87"/>
      <c r="M1626" s="88"/>
      <c r="N1626" s="89">
        <v>6</v>
      </c>
      <c r="O1626" s="90"/>
      <c r="P1626" s="91"/>
      <c r="Q1626" s="92"/>
      <c r="S1626" s="12">
        <v>6</v>
      </c>
      <c r="T1626" s="26">
        <v>3500</v>
      </c>
      <c r="U1626" s="12">
        <f t="shared" si="44"/>
        <v>21000</v>
      </c>
    </row>
    <row r="1627" spans="1:22">
      <c r="A1627" s="17">
        <v>12</v>
      </c>
      <c r="B1627" s="81" t="s">
        <v>91</v>
      </c>
      <c r="C1627" s="82" t="s">
        <v>89</v>
      </c>
      <c r="D1627" s="82" t="s">
        <v>89</v>
      </c>
      <c r="E1627" s="82" t="s">
        <v>89</v>
      </c>
      <c r="F1627" s="82" t="s">
        <v>89</v>
      </c>
      <c r="G1627" s="83" t="s">
        <v>89</v>
      </c>
      <c r="H1627" s="29" t="s">
        <v>67</v>
      </c>
      <c r="I1627" s="84">
        <v>10</v>
      </c>
      <c r="J1627" s="85">
        <v>10</v>
      </c>
      <c r="K1627" s="86">
        <v>10</v>
      </c>
      <c r="L1627" s="87"/>
      <c r="M1627" s="88"/>
      <c r="N1627" s="89">
        <v>10</v>
      </c>
      <c r="O1627" s="90"/>
      <c r="P1627" s="93"/>
      <c r="Q1627" s="93"/>
      <c r="S1627" s="12">
        <v>10</v>
      </c>
      <c r="T1627" s="26">
        <v>3000</v>
      </c>
      <c r="U1627" s="12">
        <f t="shared" si="44"/>
        <v>30000</v>
      </c>
      <c r="V1627" s="22">
        <f>SUM(U1616:U1627)</f>
        <v>1009000</v>
      </c>
    </row>
    <row r="1628" spans="1:22">
      <c r="A1628" s="17" t="s">
        <v>76</v>
      </c>
      <c r="B1628" s="71" t="s">
        <v>92</v>
      </c>
      <c r="C1628" s="72"/>
      <c r="D1628" s="72"/>
      <c r="E1628" s="72"/>
      <c r="F1628" s="72"/>
      <c r="G1628" s="73"/>
      <c r="H1628" s="30" t="s">
        <v>24</v>
      </c>
      <c r="I1628" s="84">
        <v>1</v>
      </c>
      <c r="J1628" s="85">
        <v>10</v>
      </c>
      <c r="K1628" s="86">
        <v>10</v>
      </c>
      <c r="L1628" s="77"/>
      <c r="M1628" s="78"/>
      <c r="N1628" s="77">
        <v>1</v>
      </c>
      <c r="O1628" s="78"/>
      <c r="P1628" s="79"/>
      <c r="Q1628" s="80"/>
      <c r="S1628" s="12">
        <v>1</v>
      </c>
      <c r="T1628" s="25">
        <v>10391</v>
      </c>
      <c r="U1628" s="12">
        <f>S1628*T1628</f>
        <v>10391</v>
      </c>
      <c r="V1628" s="27"/>
    </row>
    <row r="1629" spans="1:22">
      <c r="A1629" s="23" t="s">
        <v>68</v>
      </c>
      <c r="B1629" s="71" t="s">
        <v>93</v>
      </c>
      <c r="C1629" s="72"/>
      <c r="D1629" s="72"/>
      <c r="E1629" s="72"/>
      <c r="F1629" s="72"/>
      <c r="G1629" s="73"/>
      <c r="H1629" s="30" t="s">
        <v>24</v>
      </c>
      <c r="I1629" s="74">
        <v>1</v>
      </c>
      <c r="J1629" s="75"/>
      <c r="K1629" s="76"/>
      <c r="L1629" s="77">
        <f>N1629-N1556</f>
        <v>0</v>
      </c>
      <c r="M1629" s="78"/>
      <c r="N1629" s="77">
        <f>S1629</f>
        <v>0.9710326243864883</v>
      </c>
      <c r="O1629" s="78"/>
      <c r="P1629" s="77"/>
      <c r="Q1629" s="78"/>
      <c r="S1629" s="21">
        <f>V1627*0.01/T1629</f>
        <v>0.9710326243864883</v>
      </c>
      <c r="T1629" s="25">
        <v>10391</v>
      </c>
      <c r="U1629" s="12">
        <f t="shared" ref="U1629:U1630" si="45">S1629*T1629</f>
        <v>10090</v>
      </c>
    </row>
    <row r="1630" spans="1:22">
      <c r="A1630" s="23" t="s">
        <v>69</v>
      </c>
      <c r="B1630" s="58" t="s">
        <v>94</v>
      </c>
      <c r="C1630" s="59" t="s">
        <v>70</v>
      </c>
      <c r="D1630" s="59" t="s">
        <v>70</v>
      </c>
      <c r="E1630" s="59" t="s">
        <v>70</v>
      </c>
      <c r="F1630" s="59" t="s">
        <v>70</v>
      </c>
      <c r="G1630" s="60" t="s">
        <v>70</v>
      </c>
      <c r="H1630" s="30" t="s">
        <v>24</v>
      </c>
      <c r="I1630" s="74">
        <v>1</v>
      </c>
      <c r="J1630" s="75"/>
      <c r="K1630" s="76"/>
      <c r="L1630" s="77">
        <f>N1630-N1557</f>
        <v>0</v>
      </c>
      <c r="M1630" s="78"/>
      <c r="N1630" s="77">
        <f>S1630</f>
        <v>0.97100592529454621</v>
      </c>
      <c r="O1630" s="78"/>
      <c r="P1630" s="77"/>
      <c r="Q1630" s="78"/>
      <c r="S1630" s="21">
        <f>V1627*0.07/T1630</f>
        <v>0.97100592529454621</v>
      </c>
      <c r="T1630" s="25">
        <v>72739</v>
      </c>
      <c r="U1630" s="12">
        <f t="shared" si="45"/>
        <v>70630</v>
      </c>
    </row>
    <row r="1631" spans="1:22">
      <c r="A1631" s="23" t="s">
        <v>71</v>
      </c>
      <c r="B1631" s="58" t="s">
        <v>95</v>
      </c>
      <c r="C1631" s="59" t="s">
        <v>72</v>
      </c>
      <c r="D1631" s="59" t="s">
        <v>72</v>
      </c>
      <c r="E1631" s="59" t="s">
        <v>72</v>
      </c>
      <c r="F1631" s="59" t="s">
        <v>72</v>
      </c>
      <c r="G1631" s="60" t="s">
        <v>72</v>
      </c>
      <c r="H1631" s="30" t="s">
        <v>24</v>
      </c>
      <c r="I1631" s="74">
        <v>1</v>
      </c>
      <c r="J1631" s="75"/>
      <c r="K1631" s="76"/>
      <c r="L1631" s="77"/>
      <c r="M1631" s="78"/>
      <c r="N1631" s="77">
        <f>S1631</f>
        <v>1</v>
      </c>
      <c r="O1631" s="78"/>
      <c r="P1631" s="77"/>
      <c r="Q1631" s="78"/>
      <c r="S1631" s="21">
        <v>1</v>
      </c>
      <c r="T1631" s="25">
        <v>4156</v>
      </c>
      <c r="U1631" s="12">
        <f>S1631*T1631</f>
        <v>4156</v>
      </c>
    </row>
    <row r="1632" spans="1:22">
      <c r="A1632" s="23" t="s">
        <v>73</v>
      </c>
      <c r="B1632" s="58" t="s">
        <v>96</v>
      </c>
      <c r="C1632" s="59" t="s">
        <v>74</v>
      </c>
      <c r="D1632" s="59" t="s">
        <v>74</v>
      </c>
      <c r="E1632" s="59" t="s">
        <v>74</v>
      </c>
      <c r="F1632" s="59" t="s">
        <v>74</v>
      </c>
      <c r="G1632" s="60" t="s">
        <v>74</v>
      </c>
      <c r="H1632" s="30" t="s">
        <v>24</v>
      </c>
      <c r="I1632" s="74">
        <v>1</v>
      </c>
      <c r="J1632" s="75"/>
      <c r="K1632" s="76"/>
      <c r="L1632" s="77">
        <f>N1632-N1559</f>
        <v>0</v>
      </c>
      <c r="M1632" s="78"/>
      <c r="N1632" s="77">
        <f>S1632</f>
        <v>0.97138194933145683</v>
      </c>
      <c r="O1632" s="78"/>
      <c r="P1632" s="79"/>
      <c r="Q1632" s="80"/>
      <c r="S1632" s="21">
        <f>(V1627+U1628+U1629+U1630+U1631)*0.05/T1632</f>
        <v>0.97138194933145683</v>
      </c>
      <c r="T1632" s="25">
        <v>56840</v>
      </c>
      <c r="U1632" s="12">
        <f>S1632*T1632</f>
        <v>55213.350000000006</v>
      </c>
    </row>
    <row r="1633" spans="1:21">
      <c r="A1633" s="23"/>
      <c r="B1633" s="58"/>
      <c r="C1633" s="59"/>
      <c r="D1633" s="59"/>
      <c r="E1633" s="59"/>
      <c r="F1633" s="59"/>
      <c r="G1633" s="60"/>
      <c r="H1633" s="24"/>
      <c r="I1633" s="58"/>
      <c r="J1633" s="59"/>
      <c r="K1633" s="59"/>
      <c r="L1633" s="58"/>
      <c r="M1633" s="59"/>
      <c r="N1633" s="58"/>
      <c r="O1633" s="59"/>
      <c r="P1633" s="58"/>
      <c r="Q1633" s="60"/>
      <c r="S1633" s="21"/>
      <c r="T1633" s="25"/>
      <c r="U1633" s="28">
        <f>V1627+U1628+U1629+U1630+U1631+U1632</f>
        <v>1159480.3500000001</v>
      </c>
    </row>
    <row r="1634" spans="1:21">
      <c r="A1634" s="23"/>
      <c r="B1634" s="58"/>
      <c r="C1634" s="59"/>
      <c r="D1634" s="59"/>
      <c r="E1634" s="59"/>
      <c r="F1634" s="59"/>
      <c r="G1634" s="60"/>
      <c r="H1634" s="23"/>
      <c r="I1634" s="58"/>
      <c r="J1634" s="59"/>
      <c r="K1634" s="59"/>
      <c r="L1634" s="58"/>
      <c r="M1634" s="59"/>
      <c r="N1634" s="58"/>
      <c r="O1634" s="59"/>
      <c r="P1634" s="58"/>
      <c r="Q1634" s="60"/>
      <c r="S1634" s="21"/>
      <c r="T1634" s="16"/>
      <c r="U1634" s="14">
        <v>1193638</v>
      </c>
    </row>
    <row r="1635" spans="1:21">
      <c r="A1635" s="9"/>
      <c r="B1635" s="58"/>
      <c r="C1635" s="59"/>
      <c r="D1635" s="59"/>
      <c r="E1635" s="59"/>
      <c r="F1635" s="59"/>
      <c r="G1635" s="60"/>
      <c r="H1635" s="9"/>
      <c r="I1635" s="58"/>
      <c r="J1635" s="59"/>
      <c r="K1635" s="59"/>
      <c r="L1635" s="58"/>
      <c r="M1635" s="59"/>
      <c r="N1635" s="58"/>
      <c r="O1635" s="59"/>
      <c r="P1635" s="58"/>
      <c r="Q1635" s="60"/>
      <c r="S1635" s="21"/>
      <c r="T1635" s="16"/>
      <c r="U1635" s="15">
        <f>U1633/U1634</f>
        <v>0.97138357693035915</v>
      </c>
    </row>
    <row r="1636" spans="1:21">
      <c r="A1636" s="9"/>
      <c r="B1636" s="58"/>
      <c r="C1636" s="59"/>
      <c r="D1636" s="59"/>
      <c r="E1636" s="59"/>
      <c r="F1636" s="59"/>
      <c r="G1636" s="60"/>
      <c r="H1636" s="9"/>
      <c r="I1636" s="58"/>
      <c r="J1636" s="59"/>
      <c r="K1636" s="59"/>
      <c r="L1636" s="58"/>
      <c r="M1636" s="59"/>
      <c r="N1636" s="58"/>
      <c r="O1636" s="59"/>
      <c r="P1636" s="58"/>
      <c r="Q1636" s="60"/>
      <c r="S1636" s="21"/>
      <c r="T1636" s="16"/>
      <c r="U1636" s="12"/>
    </row>
    <row r="1637" spans="1:21">
      <c r="A1637" s="9"/>
      <c r="B1637" s="58"/>
      <c r="C1637" s="59"/>
      <c r="D1637" s="59"/>
      <c r="E1637" s="59"/>
      <c r="F1637" s="59"/>
      <c r="G1637" s="60"/>
      <c r="H1637" s="9"/>
      <c r="I1637" s="58"/>
      <c r="J1637" s="59"/>
      <c r="K1637" s="59"/>
      <c r="L1637" s="58"/>
      <c r="M1637" s="59"/>
      <c r="N1637" s="58"/>
      <c r="O1637" s="59"/>
      <c r="P1637" s="58"/>
      <c r="Q1637" s="60"/>
      <c r="S1637" s="21"/>
      <c r="T1637" s="16"/>
      <c r="U1637" s="12"/>
    </row>
    <row r="1638" spans="1:21">
      <c r="A1638" s="9"/>
      <c r="B1638" s="58"/>
      <c r="C1638" s="59"/>
      <c r="D1638" s="59"/>
      <c r="E1638" s="59"/>
      <c r="F1638" s="59"/>
      <c r="G1638" s="60"/>
      <c r="H1638" s="9"/>
      <c r="I1638" s="58"/>
      <c r="J1638" s="59"/>
      <c r="K1638" s="59"/>
      <c r="L1638" s="58"/>
      <c r="M1638" s="59"/>
      <c r="N1638" s="58"/>
      <c r="O1638" s="59"/>
      <c r="P1638" s="58"/>
      <c r="Q1638" s="60"/>
      <c r="S1638" s="21"/>
      <c r="T1638" s="16"/>
      <c r="U1638" s="12"/>
    </row>
    <row r="1639" spans="1:21">
      <c r="A1639" s="9"/>
      <c r="B1639" s="58"/>
      <c r="C1639" s="59"/>
      <c r="D1639" s="59"/>
      <c r="E1639" s="59"/>
      <c r="F1639" s="59"/>
      <c r="G1639" s="60"/>
      <c r="H1639" s="9"/>
      <c r="I1639" s="58"/>
      <c r="J1639" s="59"/>
      <c r="K1639" s="59"/>
      <c r="L1639" s="58"/>
      <c r="M1639" s="59"/>
      <c r="N1639" s="58"/>
      <c r="O1639" s="59"/>
      <c r="P1639" s="58"/>
      <c r="Q1639" s="60"/>
      <c r="S1639" s="21"/>
      <c r="T1639" s="16"/>
      <c r="U1639" s="12"/>
    </row>
    <row r="1640" spans="1:21">
      <c r="A1640" s="7"/>
      <c r="B1640" s="61"/>
      <c r="C1640" s="62"/>
      <c r="D1640" s="62"/>
      <c r="E1640" s="62"/>
      <c r="F1640" s="62"/>
      <c r="G1640" s="63"/>
      <c r="H1640" s="9"/>
      <c r="I1640" s="64"/>
      <c r="J1640" s="65"/>
      <c r="K1640" s="66"/>
      <c r="L1640" s="67"/>
      <c r="M1640" s="68"/>
      <c r="N1640" s="67"/>
      <c r="O1640" s="68"/>
      <c r="P1640" s="69"/>
      <c r="Q1640" s="70"/>
      <c r="S1640" s="21"/>
      <c r="T1640" s="16"/>
    </row>
    <row r="1641" spans="1:21">
      <c r="A1641" s="44" t="s">
        <v>29</v>
      </c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T1641" s="20"/>
    </row>
    <row r="1642" spans="1:21">
      <c r="A1642" s="44" t="s">
        <v>30</v>
      </c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T1642" s="20"/>
    </row>
    <row r="1643" spans="1:21">
      <c r="A1643" s="44" t="s">
        <v>31</v>
      </c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T1643" s="20"/>
    </row>
    <row r="1644" spans="1:21">
      <c r="A1644" s="44" t="s">
        <v>32</v>
      </c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T1644" s="20"/>
    </row>
    <row r="1645" spans="1:21">
      <c r="A1645" s="54" t="s">
        <v>33</v>
      </c>
      <c r="B1645" s="54"/>
      <c r="C1645" s="54"/>
      <c r="D1645" s="54"/>
      <c r="E1645" s="54"/>
      <c r="F1645" s="54"/>
      <c r="G1645" s="54"/>
      <c r="H1645" s="54" t="s">
        <v>20</v>
      </c>
      <c r="I1645" s="54"/>
      <c r="J1645" s="54"/>
      <c r="K1645" s="54" t="s">
        <v>34</v>
      </c>
      <c r="L1645" s="54"/>
      <c r="M1645" s="54" t="s">
        <v>35</v>
      </c>
      <c r="N1645" s="54"/>
      <c r="O1645" s="54" t="s">
        <v>36</v>
      </c>
      <c r="P1645" s="54"/>
      <c r="Q1645" s="54"/>
      <c r="T1645" s="20"/>
    </row>
    <row r="1646" spans="1:21">
      <c r="A1646" s="55"/>
      <c r="B1646" s="56"/>
      <c r="C1646" s="56"/>
      <c r="D1646" s="56"/>
      <c r="E1646" s="56"/>
      <c r="F1646" s="56"/>
      <c r="G1646" s="57"/>
      <c r="H1646" s="55"/>
      <c r="I1646" s="56"/>
      <c r="J1646" s="57"/>
      <c r="K1646" s="55"/>
      <c r="L1646" s="56"/>
      <c r="M1646" s="55"/>
      <c r="N1646" s="56"/>
      <c r="O1646" s="55"/>
      <c r="P1646" s="56"/>
      <c r="Q1646" s="57"/>
      <c r="T1646" s="20"/>
    </row>
    <row r="1647" spans="1:21">
      <c r="A1647" s="55"/>
      <c r="B1647" s="56"/>
      <c r="C1647" s="56"/>
      <c r="D1647" s="56"/>
      <c r="E1647" s="56"/>
      <c r="F1647" s="56"/>
      <c r="G1647" s="57"/>
      <c r="H1647" s="55"/>
      <c r="I1647" s="56"/>
      <c r="J1647" s="57"/>
      <c r="K1647" s="55"/>
      <c r="L1647" s="56"/>
      <c r="M1647" s="55"/>
      <c r="N1647" s="56"/>
      <c r="O1647" s="55"/>
      <c r="P1647" s="56"/>
      <c r="Q1647" s="57"/>
      <c r="T1647" s="20"/>
    </row>
    <row r="1648" spans="1:21">
      <c r="A1648" s="53"/>
      <c r="B1648" s="53"/>
      <c r="C1648" s="53"/>
      <c r="D1648" s="53"/>
      <c r="E1648" s="53"/>
      <c r="F1648" s="53"/>
      <c r="G1648" s="53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T1648" s="20"/>
    </row>
    <row r="1649" spans="1:20">
      <c r="A1649" s="53"/>
      <c r="B1649" s="53"/>
      <c r="C1649" s="53"/>
      <c r="D1649" s="53"/>
      <c r="E1649" s="53"/>
      <c r="F1649" s="53"/>
      <c r="G1649" s="53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T1649" s="20"/>
    </row>
    <row r="1650" spans="1:20">
      <c r="A1650" s="44" t="s">
        <v>37</v>
      </c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T1650" s="20"/>
    </row>
    <row r="1651" spans="1:20">
      <c r="A1651" s="46" t="s">
        <v>38</v>
      </c>
      <c r="B1651" s="46"/>
      <c r="C1651" s="47" t="s">
        <v>39</v>
      </c>
      <c r="D1651" s="48"/>
      <c r="E1651" s="48"/>
      <c r="F1651" s="47" t="s">
        <v>40</v>
      </c>
      <c r="G1651" s="48"/>
      <c r="H1651" s="49"/>
      <c r="I1651" s="46" t="s">
        <v>41</v>
      </c>
      <c r="J1651" s="46"/>
      <c r="K1651" s="46"/>
      <c r="L1651" s="46" t="s">
        <v>35</v>
      </c>
      <c r="M1651" s="46"/>
      <c r="N1651" s="46"/>
      <c r="O1651" s="46" t="s">
        <v>36</v>
      </c>
      <c r="P1651" s="46"/>
      <c r="Q1651" s="46"/>
      <c r="T1651" s="20"/>
    </row>
    <row r="1652" spans="1:20">
      <c r="A1652" s="47" t="s">
        <v>42</v>
      </c>
      <c r="B1652" s="49"/>
      <c r="C1652" s="47"/>
      <c r="D1652" s="48"/>
      <c r="E1652" s="49"/>
      <c r="F1652" s="47">
        <f>F1579+C1652</f>
        <v>30</v>
      </c>
      <c r="G1652" s="48"/>
      <c r="H1652" s="49"/>
      <c r="I1652" s="47"/>
      <c r="J1652" s="48"/>
      <c r="K1652" s="49"/>
      <c r="L1652" s="47"/>
      <c r="M1652" s="48"/>
      <c r="N1652" s="49"/>
      <c r="O1652" s="47"/>
      <c r="P1652" s="48"/>
      <c r="Q1652" s="49"/>
      <c r="T1652" s="20"/>
    </row>
    <row r="1653" spans="1:20">
      <c r="A1653" s="47" t="s">
        <v>100</v>
      </c>
      <c r="B1653" s="49"/>
      <c r="C1653" s="47"/>
      <c r="D1653" s="48"/>
      <c r="E1653" s="49"/>
      <c r="F1653" s="47">
        <f>F1580+C1653</f>
        <v>2</v>
      </c>
      <c r="G1653" s="48"/>
      <c r="H1653" s="49"/>
      <c r="I1653" s="47"/>
      <c r="J1653" s="48"/>
      <c r="K1653" s="49"/>
      <c r="L1653" s="47"/>
      <c r="M1653" s="48"/>
      <c r="N1653" s="49"/>
      <c r="O1653" s="47"/>
      <c r="P1653" s="48"/>
      <c r="Q1653" s="49"/>
      <c r="T1653" s="20"/>
    </row>
    <row r="1654" spans="1:20">
      <c r="A1654" s="47"/>
      <c r="B1654" s="49"/>
      <c r="C1654" s="47"/>
      <c r="D1654" s="48"/>
      <c r="E1654" s="49"/>
      <c r="F1654" s="47"/>
      <c r="G1654" s="48"/>
      <c r="H1654" s="49"/>
      <c r="I1654" s="47"/>
      <c r="J1654" s="48"/>
      <c r="K1654" s="49"/>
      <c r="L1654" s="47"/>
      <c r="M1654" s="48"/>
      <c r="N1654" s="49"/>
      <c r="O1654" s="47"/>
      <c r="P1654" s="48"/>
      <c r="Q1654" s="49"/>
      <c r="T1654" s="20"/>
    </row>
    <row r="1655" spans="1:20">
      <c r="A1655" s="46"/>
      <c r="B1655" s="46"/>
      <c r="C1655" s="47"/>
      <c r="D1655" s="48"/>
      <c r="E1655" s="49"/>
      <c r="F1655" s="47"/>
      <c r="G1655" s="48"/>
      <c r="H1655" s="49"/>
      <c r="I1655" s="47"/>
      <c r="J1655" s="48"/>
      <c r="K1655" s="49"/>
      <c r="L1655" s="47"/>
      <c r="M1655" s="48"/>
      <c r="N1655" s="49"/>
      <c r="O1655" s="47"/>
      <c r="P1655" s="48"/>
      <c r="Q1655" s="49"/>
      <c r="T1655" s="20"/>
    </row>
    <row r="1656" spans="1:20">
      <c r="A1656" s="46"/>
      <c r="B1656" s="46"/>
      <c r="C1656" s="47"/>
      <c r="D1656" s="48"/>
      <c r="E1656" s="49"/>
      <c r="F1656" s="47"/>
      <c r="G1656" s="48"/>
      <c r="H1656" s="49"/>
      <c r="I1656" s="47"/>
      <c r="J1656" s="48"/>
      <c r="K1656" s="49"/>
      <c r="L1656" s="47"/>
      <c r="M1656" s="48"/>
      <c r="N1656" s="49"/>
      <c r="O1656" s="47"/>
      <c r="P1656" s="48"/>
      <c r="Q1656" s="49"/>
      <c r="T1656" s="20"/>
    </row>
    <row r="1657" spans="1:20">
      <c r="A1657" s="50" t="s">
        <v>43</v>
      </c>
      <c r="B1657" s="51"/>
      <c r="C1657" s="51"/>
      <c r="D1657" s="51"/>
      <c r="E1657" s="51"/>
      <c r="F1657" s="51"/>
      <c r="G1657" s="51"/>
      <c r="H1657" s="51"/>
      <c r="I1657" s="51"/>
      <c r="J1657" s="51"/>
      <c r="K1657" s="51"/>
      <c r="L1657" s="51"/>
      <c r="M1657" s="51"/>
      <c r="N1657" s="51"/>
      <c r="O1657" s="51"/>
      <c r="P1657" s="51"/>
      <c r="Q1657" s="52"/>
      <c r="T1657" s="20"/>
    </row>
    <row r="1658" spans="1:20">
      <c r="A1658" s="38" t="s">
        <v>44</v>
      </c>
      <c r="B1658" s="39"/>
      <c r="C1658" s="39"/>
      <c r="D1658" s="39"/>
      <c r="E1658" s="39"/>
      <c r="F1658" s="39"/>
      <c r="G1658" s="39"/>
      <c r="H1658" s="39"/>
      <c r="I1658" s="39"/>
      <c r="J1658" s="39"/>
      <c r="K1658" s="39"/>
      <c r="L1658" s="39"/>
      <c r="M1658" s="39"/>
      <c r="N1658" s="39"/>
      <c r="O1658" s="39"/>
      <c r="P1658" s="39"/>
      <c r="Q1658" s="40"/>
      <c r="T1658" s="20"/>
    </row>
    <row r="1659" spans="1:20">
      <c r="A1659" s="41" t="s">
        <v>45</v>
      </c>
      <c r="B1659" s="42"/>
      <c r="C1659" s="42"/>
      <c r="D1659" s="42"/>
      <c r="E1659" s="42"/>
      <c r="F1659" s="42"/>
      <c r="G1659" s="42"/>
      <c r="H1659" s="42"/>
      <c r="I1659" s="42"/>
      <c r="J1659" s="42"/>
      <c r="K1659" s="42"/>
      <c r="L1659" s="42"/>
      <c r="M1659" s="42"/>
      <c r="N1659" s="42"/>
      <c r="O1659" s="42"/>
      <c r="P1659" s="42"/>
      <c r="Q1659" s="43"/>
      <c r="T1659" s="20"/>
    </row>
    <row r="1660" spans="1:20">
      <c r="A1660" s="50" t="s">
        <v>46</v>
      </c>
      <c r="B1660" s="51"/>
      <c r="C1660" s="51"/>
      <c r="D1660" s="51"/>
      <c r="E1660" s="51"/>
      <c r="F1660" s="51"/>
      <c r="G1660" s="51"/>
      <c r="H1660" s="51"/>
      <c r="I1660" s="51"/>
      <c r="J1660" s="51"/>
      <c r="K1660" s="51"/>
      <c r="L1660" s="51"/>
      <c r="M1660" s="51"/>
      <c r="N1660" s="51"/>
      <c r="O1660" s="51"/>
      <c r="P1660" s="51"/>
      <c r="Q1660" s="52"/>
      <c r="T1660" s="20"/>
    </row>
    <row r="1661" spans="1:20">
      <c r="A1661" s="38" t="s">
        <v>47</v>
      </c>
      <c r="B1661" s="39"/>
      <c r="C1661" s="39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40"/>
      <c r="T1661" s="20"/>
    </row>
    <row r="1662" spans="1:20">
      <c r="A1662" s="38" t="s">
        <v>48</v>
      </c>
      <c r="B1662" s="39"/>
      <c r="C1662" s="39"/>
      <c r="D1662" s="39"/>
      <c r="E1662" s="39"/>
      <c r="F1662" s="39"/>
      <c r="G1662" s="39"/>
      <c r="H1662" s="39"/>
      <c r="I1662" s="39"/>
      <c r="J1662" s="39"/>
      <c r="K1662" s="39"/>
      <c r="L1662" s="39"/>
      <c r="M1662" s="39"/>
      <c r="N1662" s="39"/>
      <c r="O1662" s="39"/>
      <c r="P1662" s="39"/>
      <c r="Q1662" s="40"/>
      <c r="T1662" s="20"/>
    </row>
    <row r="1663" spans="1:20">
      <c r="A1663" s="38" t="s">
        <v>49</v>
      </c>
      <c r="B1663" s="39"/>
      <c r="C1663" s="39"/>
      <c r="D1663" s="39"/>
      <c r="E1663" s="39"/>
      <c r="F1663" s="39"/>
      <c r="G1663" s="39"/>
      <c r="H1663" s="39"/>
      <c r="I1663" s="39"/>
      <c r="J1663" s="39"/>
      <c r="K1663" s="39"/>
      <c r="L1663" s="39"/>
      <c r="M1663" s="39"/>
      <c r="N1663" s="39"/>
      <c r="O1663" s="39"/>
      <c r="P1663" s="39"/>
      <c r="Q1663" s="40"/>
      <c r="T1663" s="20"/>
    </row>
    <row r="1664" spans="1:20">
      <c r="A1664" s="38" t="s">
        <v>50</v>
      </c>
      <c r="B1664" s="39"/>
      <c r="C1664" s="39"/>
      <c r="D1664" s="39"/>
      <c r="E1664" s="39"/>
      <c r="F1664" s="39"/>
      <c r="G1664" s="39"/>
      <c r="H1664" s="39"/>
      <c r="I1664" s="39"/>
      <c r="J1664" s="39"/>
      <c r="K1664" s="39"/>
      <c r="L1664" s="39"/>
      <c r="M1664" s="39"/>
      <c r="N1664" s="39"/>
      <c r="O1664" s="39"/>
      <c r="P1664" s="39"/>
      <c r="Q1664" s="40"/>
      <c r="T1664" s="20"/>
    </row>
    <row r="1665" spans="1:20">
      <c r="A1665" s="38" t="s">
        <v>51</v>
      </c>
      <c r="B1665" s="39"/>
      <c r="C1665" s="39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40"/>
      <c r="T1665" s="20"/>
    </row>
    <row r="1666" spans="1:20">
      <c r="A1666" s="41" t="s">
        <v>52</v>
      </c>
      <c r="B1666" s="42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  <c r="P1666" s="42"/>
      <c r="Q1666" s="43"/>
      <c r="T1666" s="20"/>
    </row>
    <row r="1667" spans="1:20">
      <c r="A1667" s="44" t="s">
        <v>53</v>
      </c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T1667" s="20"/>
    </row>
    <row r="1668" spans="1:20">
      <c r="A1668" s="44" t="s">
        <v>54</v>
      </c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T1668" s="20"/>
    </row>
    <row r="1669" spans="1:20">
      <c r="A1669" s="44" t="s">
        <v>99</v>
      </c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T1669" s="20"/>
    </row>
    <row r="1670" spans="1:20">
      <c r="A1670" s="44" t="s">
        <v>55</v>
      </c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T1670" s="20"/>
    </row>
    <row r="1671" spans="1:20">
      <c r="A1671" s="45" t="s">
        <v>56</v>
      </c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T1671" s="20"/>
    </row>
    <row r="1672" spans="1:20">
      <c r="A1672" s="37" t="s">
        <v>57</v>
      </c>
      <c r="B1672" s="37"/>
      <c r="C1672" s="37"/>
      <c r="D1672" s="37"/>
      <c r="E1672" s="37"/>
      <c r="F1672" s="37"/>
      <c r="G1672" s="37"/>
      <c r="H1672" s="37"/>
      <c r="I1672" s="37"/>
      <c r="J1672" s="37"/>
      <c r="K1672" s="37"/>
      <c r="L1672" s="37"/>
      <c r="M1672" s="37"/>
      <c r="N1672" s="37"/>
      <c r="O1672" s="37"/>
      <c r="P1672" s="37"/>
      <c r="Q1672" s="37"/>
      <c r="T1672" s="20"/>
    </row>
    <row r="1673" spans="1:20">
      <c r="A1673" s="37" t="s">
        <v>58</v>
      </c>
      <c r="B1673" s="37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  <c r="P1673" s="37"/>
      <c r="Q1673" s="37"/>
      <c r="T1673" s="20"/>
    </row>
    <row r="1674" spans="1:20">
      <c r="A1674" s="37" t="s">
        <v>59</v>
      </c>
      <c r="B1674" s="37"/>
      <c r="C1674" s="37"/>
      <c r="D1674" s="37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T1674" s="20"/>
    </row>
    <row r="1675" spans="1:20">
      <c r="A1675" s="37" t="s">
        <v>60</v>
      </c>
      <c r="B1675" s="37"/>
      <c r="C1675" s="37"/>
      <c r="D1675" s="37"/>
      <c r="E1675" s="37"/>
      <c r="F1675" s="37"/>
      <c r="G1675" s="37"/>
      <c r="H1675" s="37"/>
      <c r="I1675" s="37"/>
      <c r="J1675" s="37"/>
      <c r="K1675" s="37"/>
      <c r="L1675" s="37"/>
      <c r="M1675" s="37"/>
      <c r="N1675" s="37"/>
      <c r="O1675" s="37"/>
      <c r="P1675" s="37"/>
      <c r="Q1675" s="37"/>
      <c r="T1675" s="20"/>
    </row>
    <row r="1676" spans="1:20">
      <c r="A1676" s="37" t="s">
        <v>61</v>
      </c>
      <c r="B1676" s="37"/>
      <c r="C1676" s="37"/>
      <c r="D1676" s="37"/>
      <c r="E1676" s="37"/>
      <c r="F1676" s="37"/>
      <c r="G1676" s="37"/>
      <c r="H1676" s="37"/>
      <c r="I1676" s="37"/>
      <c r="J1676" s="37"/>
      <c r="K1676" s="37"/>
      <c r="L1676" s="37"/>
      <c r="M1676" s="37"/>
      <c r="N1676" s="37"/>
      <c r="O1676" s="37"/>
      <c r="P1676" s="37"/>
      <c r="Q1676" s="37"/>
      <c r="T1676" s="20"/>
    </row>
    <row r="1677" spans="1:20">
      <c r="A1677" s="37" t="s">
        <v>62</v>
      </c>
      <c r="B1677" s="37"/>
      <c r="C1677" s="37"/>
      <c r="D1677" s="37"/>
      <c r="E1677" s="37"/>
      <c r="F1677" s="37"/>
      <c r="G1677" s="37"/>
      <c r="H1677" s="37"/>
      <c r="I1677" s="37"/>
      <c r="J1677" s="37"/>
      <c r="K1677" s="37"/>
      <c r="L1677" s="37"/>
      <c r="M1677" s="37"/>
      <c r="N1677" s="37"/>
      <c r="O1677" s="37"/>
      <c r="P1677" s="37"/>
      <c r="Q1677" s="37"/>
      <c r="T1677" s="20"/>
    </row>
    <row r="1678" spans="1:20">
      <c r="A1678" s="37" t="s">
        <v>63</v>
      </c>
      <c r="B1678" s="37"/>
      <c r="C1678" s="37"/>
      <c r="D1678" s="37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T1678" s="20"/>
    </row>
    <row r="1679" spans="1:20">
      <c r="A1679" s="37" t="s">
        <v>75</v>
      </c>
      <c r="B1679" s="37"/>
      <c r="C1679" s="37"/>
      <c r="D1679" s="37"/>
      <c r="E1679" s="37"/>
      <c r="F1679" s="37"/>
      <c r="G1679" s="37"/>
      <c r="H1679" s="37"/>
      <c r="I1679" s="37"/>
      <c r="J1679" s="37"/>
      <c r="K1679" s="37"/>
      <c r="L1679" s="37"/>
      <c r="M1679" s="37"/>
      <c r="N1679" s="37"/>
      <c r="O1679" s="37"/>
      <c r="P1679" s="37"/>
      <c r="Q1679" s="37"/>
      <c r="T1679" s="20"/>
    </row>
    <row r="1680" spans="1:20" ht="39" customHeight="1">
      <c r="B1680" s="120" t="s">
        <v>0</v>
      </c>
      <c r="C1680" s="120"/>
      <c r="D1680" s="120"/>
      <c r="E1680" s="120"/>
      <c r="F1680" s="120"/>
      <c r="G1680" s="120"/>
      <c r="H1680" s="120"/>
      <c r="I1680" s="120"/>
      <c r="J1680" s="120"/>
      <c r="K1680" s="120"/>
      <c r="L1680" s="120"/>
      <c r="M1680" s="120"/>
      <c r="N1680" s="120"/>
      <c r="O1680" s="120"/>
      <c r="P1680" s="120"/>
      <c r="Q1680" s="120"/>
      <c r="T1680" s="20"/>
    </row>
    <row r="1681" spans="1:21">
      <c r="B1681" s="6" t="s">
        <v>1</v>
      </c>
      <c r="C1681" s="121" t="s">
        <v>2</v>
      </c>
      <c r="D1681" s="121"/>
      <c r="E1681" s="1" t="s">
        <v>3</v>
      </c>
      <c r="F1681" s="121" t="s">
        <v>4</v>
      </c>
      <c r="G1681" s="121"/>
      <c r="H1681" s="1" t="s">
        <v>3</v>
      </c>
      <c r="I1681" s="1"/>
      <c r="J1681" s="121" t="s">
        <v>5</v>
      </c>
      <c r="K1681" s="121"/>
      <c r="L1681" s="121"/>
      <c r="M1681" s="122">
        <f>M1608+1</f>
        <v>46250</v>
      </c>
      <c r="N1681" s="122"/>
      <c r="O1681" s="122"/>
      <c r="P1681" s="123"/>
      <c r="Q1681" s="123"/>
      <c r="T1681" s="20"/>
    </row>
    <row r="1682" spans="1:21">
      <c r="A1682" s="96" t="s">
        <v>6</v>
      </c>
      <c r="B1682" s="96"/>
      <c r="C1682" s="124" t="s">
        <v>79</v>
      </c>
      <c r="D1682" s="125"/>
      <c r="E1682" s="125"/>
      <c r="F1682" s="125"/>
      <c r="G1682" s="125"/>
      <c r="H1682" s="125"/>
      <c r="I1682" s="126"/>
      <c r="J1682" s="127" t="s">
        <v>7</v>
      </c>
      <c r="K1682" s="128"/>
      <c r="L1682" s="128"/>
      <c r="M1682" s="129"/>
      <c r="N1682" s="130" t="s">
        <v>78</v>
      </c>
      <c r="O1682" s="130"/>
      <c r="P1682" s="130"/>
      <c r="Q1682" s="131"/>
      <c r="T1682" s="20"/>
    </row>
    <row r="1683" spans="1:21">
      <c r="A1683" s="96" t="s">
        <v>8</v>
      </c>
      <c r="B1683" s="96"/>
      <c r="C1683" s="4">
        <v>30</v>
      </c>
      <c r="D1683" s="3" t="s">
        <v>9</v>
      </c>
      <c r="E1683" s="127" t="s">
        <v>10</v>
      </c>
      <c r="F1683" s="129"/>
      <c r="G1683" s="127">
        <f>G1610+1</f>
        <v>24</v>
      </c>
      <c r="H1683" s="128"/>
      <c r="I1683" s="3" t="s">
        <v>9</v>
      </c>
      <c r="J1683" s="96" t="s">
        <v>11</v>
      </c>
      <c r="K1683" s="96"/>
      <c r="L1683" s="35">
        <f>C1683-G1683</f>
        <v>6</v>
      </c>
      <c r="M1683" s="2" t="s">
        <v>9</v>
      </c>
      <c r="N1683" s="96" t="s">
        <v>12</v>
      </c>
      <c r="O1683" s="96"/>
      <c r="P1683" s="2"/>
      <c r="Q1683" s="3" t="s">
        <v>9</v>
      </c>
      <c r="T1683" s="20"/>
    </row>
    <row r="1684" spans="1:21">
      <c r="A1684" s="96" t="s">
        <v>13</v>
      </c>
      <c r="B1684" s="96"/>
      <c r="C1684" s="132">
        <v>46227</v>
      </c>
      <c r="D1684" s="132"/>
      <c r="E1684" s="132"/>
      <c r="F1684" s="132"/>
      <c r="G1684" s="132"/>
      <c r="H1684" s="132"/>
      <c r="I1684" s="132"/>
      <c r="J1684" s="127" t="s">
        <v>14</v>
      </c>
      <c r="K1684" s="128"/>
      <c r="L1684" s="128"/>
      <c r="M1684" s="129"/>
      <c r="N1684" s="133">
        <v>46256</v>
      </c>
      <c r="O1684" s="134"/>
      <c r="P1684" s="134"/>
      <c r="Q1684" s="135"/>
      <c r="T1684" s="20"/>
    </row>
    <row r="1685" spans="1:21">
      <c r="A1685" s="96" t="s">
        <v>15</v>
      </c>
      <c r="B1685" s="96"/>
      <c r="C1685" s="97">
        <v>92</v>
      </c>
      <c r="D1685" s="98"/>
      <c r="E1685" s="98"/>
      <c r="F1685" s="98"/>
      <c r="G1685" s="98"/>
      <c r="H1685" s="99" t="s">
        <v>16</v>
      </c>
      <c r="I1685" s="100"/>
      <c r="J1685" s="101" t="s">
        <v>17</v>
      </c>
      <c r="K1685" s="101"/>
      <c r="L1685" s="101"/>
      <c r="M1685" s="101"/>
      <c r="N1685" s="102">
        <f>U1708</f>
        <v>0.97138357693035915</v>
      </c>
      <c r="O1685" s="102"/>
      <c r="P1685" s="102"/>
      <c r="Q1685" s="102"/>
      <c r="T1685" s="20"/>
    </row>
    <row r="1686" spans="1:21">
      <c r="A1686" s="103" t="s">
        <v>18</v>
      </c>
      <c r="B1686" s="104"/>
      <c r="C1686" s="104"/>
      <c r="D1686" s="104"/>
      <c r="E1686" s="104"/>
      <c r="F1686" s="104"/>
      <c r="G1686" s="104"/>
      <c r="H1686" s="104"/>
      <c r="I1686" s="104"/>
      <c r="J1686" s="104"/>
      <c r="K1686" s="104"/>
      <c r="L1686" s="104"/>
      <c r="M1686" s="104"/>
      <c r="N1686" s="104"/>
      <c r="O1686" s="104"/>
      <c r="P1686" s="104"/>
      <c r="Q1686" s="105"/>
      <c r="T1686" s="20"/>
    </row>
    <row r="1687" spans="1:21">
      <c r="A1687" s="7"/>
      <c r="B1687" s="106" t="s">
        <v>19</v>
      </c>
      <c r="C1687" s="107"/>
      <c r="D1687" s="107"/>
      <c r="E1687" s="107"/>
      <c r="F1687" s="107"/>
      <c r="G1687" s="108"/>
      <c r="H1687" s="8" t="s">
        <v>20</v>
      </c>
      <c r="I1687" s="109" t="s">
        <v>21</v>
      </c>
      <c r="J1687" s="110"/>
      <c r="K1687" s="111"/>
      <c r="L1687" s="109" t="s">
        <v>28</v>
      </c>
      <c r="M1687" s="111"/>
      <c r="N1687" s="106" t="s">
        <v>22</v>
      </c>
      <c r="O1687" s="112"/>
      <c r="P1687" s="113" t="s">
        <v>23</v>
      </c>
      <c r="Q1687" s="113"/>
      <c r="S1687" s="33" t="s">
        <v>22</v>
      </c>
      <c r="T1687" s="34" t="s">
        <v>64</v>
      </c>
      <c r="U1687" s="13" t="s">
        <v>27</v>
      </c>
    </row>
    <row r="1688" spans="1:21">
      <c r="A1688" s="17" t="s">
        <v>65</v>
      </c>
      <c r="B1688" s="114" t="s">
        <v>66</v>
      </c>
      <c r="C1688" s="115"/>
      <c r="D1688" s="115"/>
      <c r="E1688" s="115"/>
      <c r="F1688" s="115"/>
      <c r="G1688" s="116"/>
      <c r="H1688" s="17"/>
      <c r="I1688" s="117"/>
      <c r="J1688" s="118"/>
      <c r="K1688" s="119"/>
      <c r="L1688" s="77"/>
      <c r="M1688" s="78"/>
      <c r="N1688" s="77"/>
      <c r="O1688" s="78"/>
      <c r="P1688" s="93"/>
      <c r="Q1688" s="93"/>
      <c r="S1688" s="16"/>
      <c r="T1688" s="16"/>
      <c r="U1688" s="16" t="s">
        <v>26</v>
      </c>
    </row>
    <row r="1689" spans="1:21">
      <c r="A1689" s="17">
        <v>1</v>
      </c>
      <c r="B1689" s="81" t="s">
        <v>80</v>
      </c>
      <c r="C1689" s="82"/>
      <c r="D1689" s="82"/>
      <c r="E1689" s="82"/>
      <c r="F1689" s="82"/>
      <c r="G1689" s="83"/>
      <c r="H1689" s="29" t="s">
        <v>67</v>
      </c>
      <c r="I1689" s="84">
        <v>18</v>
      </c>
      <c r="J1689" s="85"/>
      <c r="K1689" s="86"/>
      <c r="L1689" s="87"/>
      <c r="M1689" s="88"/>
      <c r="N1689" s="89">
        <v>18</v>
      </c>
      <c r="O1689" s="90"/>
      <c r="P1689" s="93"/>
      <c r="Q1689" s="93"/>
      <c r="S1689" s="12">
        <v>18</v>
      </c>
      <c r="T1689" s="26">
        <v>18000</v>
      </c>
      <c r="U1689" s="12">
        <f>S1689*T1689</f>
        <v>324000</v>
      </c>
    </row>
    <row r="1690" spans="1:21" ht="32.1" customHeight="1">
      <c r="A1690" s="17">
        <v>2</v>
      </c>
      <c r="B1690" s="81" t="s">
        <v>81</v>
      </c>
      <c r="C1690" s="82" t="s">
        <v>81</v>
      </c>
      <c r="D1690" s="82" t="s">
        <v>81</v>
      </c>
      <c r="E1690" s="82" t="s">
        <v>81</v>
      </c>
      <c r="F1690" s="82" t="s">
        <v>81</v>
      </c>
      <c r="G1690" s="83" t="s">
        <v>81</v>
      </c>
      <c r="H1690" s="29" t="s">
        <v>97</v>
      </c>
      <c r="I1690" s="84">
        <v>166</v>
      </c>
      <c r="J1690" s="85"/>
      <c r="K1690" s="86"/>
      <c r="L1690" s="87"/>
      <c r="M1690" s="88"/>
      <c r="N1690" s="89">
        <v>166</v>
      </c>
      <c r="O1690" s="90"/>
      <c r="P1690" s="93"/>
      <c r="Q1690" s="93"/>
      <c r="S1690" s="12">
        <v>166</v>
      </c>
      <c r="T1690" s="26">
        <v>750</v>
      </c>
      <c r="U1690" s="12">
        <f t="shared" ref="U1690:U1700" si="46">S1690*T1690</f>
        <v>124500</v>
      </c>
    </row>
    <row r="1691" spans="1:21">
      <c r="A1691" s="17">
        <v>3</v>
      </c>
      <c r="B1691" s="81" t="s">
        <v>82</v>
      </c>
      <c r="C1691" s="82" t="s">
        <v>82</v>
      </c>
      <c r="D1691" s="82" t="s">
        <v>82</v>
      </c>
      <c r="E1691" s="82" t="s">
        <v>82</v>
      </c>
      <c r="F1691" s="82" t="s">
        <v>82</v>
      </c>
      <c r="G1691" s="83" t="s">
        <v>82</v>
      </c>
      <c r="H1691" s="29" t="s">
        <v>97</v>
      </c>
      <c r="I1691" s="84">
        <v>540</v>
      </c>
      <c r="J1691" s="85">
        <v>540</v>
      </c>
      <c r="K1691" s="86">
        <v>540</v>
      </c>
      <c r="L1691" s="87"/>
      <c r="M1691" s="88"/>
      <c r="N1691" s="89">
        <v>540</v>
      </c>
      <c r="O1691" s="90"/>
      <c r="P1691" s="93"/>
      <c r="Q1691" s="93"/>
      <c r="S1691" s="12">
        <v>540</v>
      </c>
      <c r="T1691" s="26">
        <v>340</v>
      </c>
      <c r="U1691" s="12">
        <f t="shared" si="46"/>
        <v>183600</v>
      </c>
    </row>
    <row r="1692" spans="1:21">
      <c r="A1692" s="17">
        <v>4</v>
      </c>
      <c r="B1692" s="81" t="s">
        <v>83</v>
      </c>
      <c r="C1692" s="82" t="s">
        <v>83</v>
      </c>
      <c r="D1692" s="82" t="s">
        <v>83</v>
      </c>
      <c r="E1692" s="82" t="s">
        <v>83</v>
      </c>
      <c r="F1692" s="82" t="s">
        <v>83</v>
      </c>
      <c r="G1692" s="83" t="s">
        <v>83</v>
      </c>
      <c r="H1692" s="29" t="s">
        <v>67</v>
      </c>
      <c r="I1692" s="84">
        <v>20</v>
      </c>
      <c r="J1692" s="85">
        <v>20</v>
      </c>
      <c r="K1692" s="86">
        <v>20</v>
      </c>
      <c r="L1692" s="87"/>
      <c r="M1692" s="88"/>
      <c r="N1692" s="89">
        <v>20</v>
      </c>
      <c r="O1692" s="90"/>
      <c r="P1692" s="93"/>
      <c r="Q1692" s="93"/>
      <c r="S1692" s="12">
        <v>20</v>
      </c>
      <c r="T1692" s="26">
        <v>1250</v>
      </c>
      <c r="U1692" s="12">
        <f t="shared" si="46"/>
        <v>25000</v>
      </c>
    </row>
    <row r="1693" spans="1:21" ht="31.5" customHeight="1">
      <c r="A1693" s="17">
        <v>5</v>
      </c>
      <c r="B1693" s="81" t="s">
        <v>84</v>
      </c>
      <c r="C1693" s="82" t="s">
        <v>84</v>
      </c>
      <c r="D1693" s="82" t="s">
        <v>84</v>
      </c>
      <c r="E1693" s="82" t="s">
        <v>84</v>
      </c>
      <c r="F1693" s="82" t="s">
        <v>84</v>
      </c>
      <c r="G1693" s="83" t="s">
        <v>84</v>
      </c>
      <c r="H1693" s="29" t="s">
        <v>97</v>
      </c>
      <c r="I1693" s="84">
        <v>28</v>
      </c>
      <c r="J1693" s="85">
        <v>28</v>
      </c>
      <c r="K1693" s="86">
        <v>28</v>
      </c>
      <c r="L1693" s="87"/>
      <c r="M1693" s="88"/>
      <c r="N1693" s="89">
        <v>28</v>
      </c>
      <c r="O1693" s="90"/>
      <c r="P1693" s="93"/>
      <c r="Q1693" s="93"/>
      <c r="S1693" s="12">
        <v>28</v>
      </c>
      <c r="T1693" s="26">
        <v>1800</v>
      </c>
      <c r="U1693" s="12">
        <f t="shared" si="46"/>
        <v>50400</v>
      </c>
    </row>
    <row r="1694" spans="1:21">
      <c r="A1694" s="17">
        <v>6</v>
      </c>
      <c r="B1694" s="81" t="s">
        <v>85</v>
      </c>
      <c r="C1694" s="82" t="s">
        <v>85</v>
      </c>
      <c r="D1694" s="82" t="s">
        <v>85</v>
      </c>
      <c r="E1694" s="82" t="s">
        <v>85</v>
      </c>
      <c r="F1694" s="82" t="s">
        <v>85</v>
      </c>
      <c r="G1694" s="83" t="s">
        <v>85</v>
      </c>
      <c r="H1694" s="29" t="s">
        <v>97</v>
      </c>
      <c r="I1694" s="84">
        <v>14</v>
      </c>
      <c r="J1694" s="85">
        <v>14</v>
      </c>
      <c r="K1694" s="86">
        <v>14</v>
      </c>
      <c r="L1694" s="87"/>
      <c r="M1694" s="88"/>
      <c r="N1694" s="89">
        <v>14</v>
      </c>
      <c r="O1694" s="90"/>
      <c r="P1694" s="79"/>
      <c r="Q1694" s="80"/>
      <c r="S1694" s="12">
        <v>14</v>
      </c>
      <c r="T1694" s="26">
        <v>4000</v>
      </c>
      <c r="U1694" s="12">
        <f t="shared" si="46"/>
        <v>56000</v>
      </c>
    </row>
    <row r="1695" spans="1:21">
      <c r="A1695" s="17">
        <v>7</v>
      </c>
      <c r="B1695" s="81" t="s">
        <v>86</v>
      </c>
      <c r="C1695" s="82" t="s">
        <v>86</v>
      </c>
      <c r="D1695" s="82" t="s">
        <v>86</v>
      </c>
      <c r="E1695" s="82" t="s">
        <v>86</v>
      </c>
      <c r="F1695" s="82" t="s">
        <v>86</v>
      </c>
      <c r="G1695" s="83" t="s">
        <v>86</v>
      </c>
      <c r="H1695" s="29" t="s">
        <v>97</v>
      </c>
      <c r="I1695" s="84">
        <v>30</v>
      </c>
      <c r="J1695" s="85">
        <v>30</v>
      </c>
      <c r="K1695" s="86">
        <v>30</v>
      </c>
      <c r="L1695" s="87"/>
      <c r="M1695" s="88"/>
      <c r="N1695" s="89">
        <v>30</v>
      </c>
      <c r="O1695" s="90"/>
      <c r="P1695" s="93"/>
      <c r="Q1695" s="93"/>
      <c r="S1695" s="12">
        <v>30</v>
      </c>
      <c r="T1695" s="26">
        <v>4000</v>
      </c>
      <c r="U1695" s="12">
        <f t="shared" si="46"/>
        <v>120000</v>
      </c>
    </row>
    <row r="1696" spans="1:21">
      <c r="A1696" s="17">
        <v>8</v>
      </c>
      <c r="B1696" s="81" t="s">
        <v>87</v>
      </c>
      <c r="C1696" s="82" t="s">
        <v>87</v>
      </c>
      <c r="D1696" s="82" t="s">
        <v>87</v>
      </c>
      <c r="E1696" s="82" t="s">
        <v>87</v>
      </c>
      <c r="F1696" s="82" t="s">
        <v>87</v>
      </c>
      <c r="G1696" s="83" t="s">
        <v>87</v>
      </c>
      <c r="H1696" s="30" t="s">
        <v>25</v>
      </c>
      <c r="I1696" s="84">
        <v>1</v>
      </c>
      <c r="J1696" s="85">
        <v>1</v>
      </c>
      <c r="K1696" s="86">
        <v>1</v>
      </c>
      <c r="L1696" s="94"/>
      <c r="M1696" s="95"/>
      <c r="N1696" s="94">
        <v>1</v>
      </c>
      <c r="O1696" s="95"/>
      <c r="P1696" s="93"/>
      <c r="Q1696" s="93"/>
      <c r="S1696" s="16">
        <v>1</v>
      </c>
      <c r="T1696" s="26">
        <v>31000</v>
      </c>
      <c r="U1696" s="12">
        <f t="shared" si="46"/>
        <v>31000</v>
      </c>
    </row>
    <row r="1697" spans="1:22">
      <c r="A1697" s="17">
        <v>9</v>
      </c>
      <c r="B1697" s="81" t="s">
        <v>88</v>
      </c>
      <c r="C1697" s="82" t="s">
        <v>88</v>
      </c>
      <c r="D1697" s="82" t="s">
        <v>88</v>
      </c>
      <c r="E1697" s="82" t="s">
        <v>88</v>
      </c>
      <c r="F1697" s="82" t="s">
        <v>88</v>
      </c>
      <c r="G1697" s="83" t="s">
        <v>88</v>
      </c>
      <c r="H1697" s="30" t="s">
        <v>25</v>
      </c>
      <c r="I1697" s="84">
        <v>1</v>
      </c>
      <c r="J1697" s="85">
        <v>1</v>
      </c>
      <c r="K1697" s="86">
        <v>1</v>
      </c>
      <c r="L1697" s="87"/>
      <c r="M1697" s="88"/>
      <c r="N1697" s="89"/>
      <c r="O1697" s="90"/>
      <c r="P1697" s="93"/>
      <c r="Q1697" s="93"/>
      <c r="S1697" s="12"/>
      <c r="T1697" s="26">
        <v>30121</v>
      </c>
      <c r="U1697" s="12">
        <f t="shared" si="46"/>
        <v>0</v>
      </c>
    </row>
    <row r="1698" spans="1:22">
      <c r="A1698" s="17">
        <v>10</v>
      </c>
      <c r="B1698" s="81" t="s">
        <v>89</v>
      </c>
      <c r="C1698" s="82"/>
      <c r="D1698" s="82"/>
      <c r="E1698" s="82"/>
      <c r="F1698" s="82"/>
      <c r="G1698" s="83"/>
      <c r="H1698" s="30" t="s">
        <v>98</v>
      </c>
      <c r="I1698" s="84">
        <v>3</v>
      </c>
      <c r="J1698" s="85"/>
      <c r="K1698" s="86"/>
      <c r="L1698" s="87"/>
      <c r="M1698" s="88"/>
      <c r="N1698" s="89">
        <v>3</v>
      </c>
      <c r="O1698" s="90"/>
      <c r="P1698" s="91"/>
      <c r="Q1698" s="92"/>
      <c r="S1698" s="12">
        <v>3</v>
      </c>
      <c r="T1698" s="26">
        <v>14500</v>
      </c>
      <c r="U1698" s="12">
        <f t="shared" si="46"/>
        <v>43500</v>
      </c>
    </row>
    <row r="1699" spans="1:22">
      <c r="A1699" s="17">
        <v>11</v>
      </c>
      <c r="B1699" s="81" t="s">
        <v>90</v>
      </c>
      <c r="C1699" s="82"/>
      <c r="D1699" s="82"/>
      <c r="E1699" s="82"/>
      <c r="F1699" s="82"/>
      <c r="G1699" s="83"/>
      <c r="H1699" s="29" t="s">
        <v>67</v>
      </c>
      <c r="I1699" s="84">
        <v>6</v>
      </c>
      <c r="J1699" s="85"/>
      <c r="K1699" s="86"/>
      <c r="L1699" s="87"/>
      <c r="M1699" s="88"/>
      <c r="N1699" s="89">
        <v>6</v>
      </c>
      <c r="O1699" s="90"/>
      <c r="P1699" s="91"/>
      <c r="Q1699" s="92"/>
      <c r="S1699" s="12">
        <v>6</v>
      </c>
      <c r="T1699" s="26">
        <v>3500</v>
      </c>
      <c r="U1699" s="12">
        <f t="shared" si="46"/>
        <v>21000</v>
      </c>
    </row>
    <row r="1700" spans="1:22">
      <c r="A1700" s="17">
        <v>12</v>
      </c>
      <c r="B1700" s="81" t="s">
        <v>91</v>
      </c>
      <c r="C1700" s="82" t="s">
        <v>89</v>
      </c>
      <c r="D1700" s="82" t="s">
        <v>89</v>
      </c>
      <c r="E1700" s="82" t="s">
        <v>89</v>
      </c>
      <c r="F1700" s="82" t="s">
        <v>89</v>
      </c>
      <c r="G1700" s="83" t="s">
        <v>89</v>
      </c>
      <c r="H1700" s="29" t="s">
        <v>67</v>
      </c>
      <c r="I1700" s="84">
        <v>10</v>
      </c>
      <c r="J1700" s="85">
        <v>10</v>
      </c>
      <c r="K1700" s="86">
        <v>10</v>
      </c>
      <c r="L1700" s="87"/>
      <c r="M1700" s="88"/>
      <c r="N1700" s="89">
        <v>10</v>
      </c>
      <c r="O1700" s="90"/>
      <c r="P1700" s="93"/>
      <c r="Q1700" s="93"/>
      <c r="S1700" s="12">
        <v>10</v>
      </c>
      <c r="T1700" s="26">
        <v>3000</v>
      </c>
      <c r="U1700" s="12">
        <f t="shared" si="46"/>
        <v>30000</v>
      </c>
      <c r="V1700" s="22">
        <f>SUM(U1689:U1700)</f>
        <v>1009000</v>
      </c>
    </row>
    <row r="1701" spans="1:22">
      <c r="A1701" s="17" t="s">
        <v>76</v>
      </c>
      <c r="B1701" s="71" t="s">
        <v>92</v>
      </c>
      <c r="C1701" s="72"/>
      <c r="D1701" s="72"/>
      <c r="E1701" s="72"/>
      <c r="F1701" s="72"/>
      <c r="G1701" s="73"/>
      <c r="H1701" s="30" t="s">
        <v>24</v>
      </c>
      <c r="I1701" s="84">
        <v>1</v>
      </c>
      <c r="J1701" s="85">
        <v>10</v>
      </c>
      <c r="K1701" s="86">
        <v>10</v>
      </c>
      <c r="L1701" s="77"/>
      <c r="M1701" s="78"/>
      <c r="N1701" s="77">
        <v>1</v>
      </c>
      <c r="O1701" s="78"/>
      <c r="P1701" s="79"/>
      <c r="Q1701" s="80"/>
      <c r="S1701" s="12">
        <v>1</v>
      </c>
      <c r="T1701" s="25">
        <v>10391</v>
      </c>
      <c r="U1701" s="12">
        <f>S1701*T1701</f>
        <v>10391</v>
      </c>
      <c r="V1701" s="27"/>
    </row>
    <row r="1702" spans="1:22">
      <c r="A1702" s="23" t="s">
        <v>68</v>
      </c>
      <c r="B1702" s="71" t="s">
        <v>93</v>
      </c>
      <c r="C1702" s="72"/>
      <c r="D1702" s="72"/>
      <c r="E1702" s="72"/>
      <c r="F1702" s="72"/>
      <c r="G1702" s="73"/>
      <c r="H1702" s="30" t="s">
        <v>24</v>
      </c>
      <c r="I1702" s="74">
        <v>1</v>
      </c>
      <c r="J1702" s="75"/>
      <c r="K1702" s="76"/>
      <c r="L1702" s="77">
        <f>N1702-N1629</f>
        <v>0</v>
      </c>
      <c r="M1702" s="78"/>
      <c r="N1702" s="77">
        <f>S1702</f>
        <v>0.9710326243864883</v>
      </c>
      <c r="O1702" s="78"/>
      <c r="P1702" s="77"/>
      <c r="Q1702" s="78"/>
      <c r="S1702" s="21">
        <f>V1700*0.01/T1702</f>
        <v>0.9710326243864883</v>
      </c>
      <c r="T1702" s="25">
        <v>10391</v>
      </c>
      <c r="U1702" s="12">
        <f t="shared" ref="U1702:U1703" si="47">S1702*T1702</f>
        <v>10090</v>
      </c>
    </row>
    <row r="1703" spans="1:22">
      <c r="A1703" s="23" t="s">
        <v>69</v>
      </c>
      <c r="B1703" s="58" t="s">
        <v>94</v>
      </c>
      <c r="C1703" s="59" t="s">
        <v>70</v>
      </c>
      <c r="D1703" s="59" t="s">
        <v>70</v>
      </c>
      <c r="E1703" s="59" t="s">
        <v>70</v>
      </c>
      <c r="F1703" s="59" t="s">
        <v>70</v>
      </c>
      <c r="G1703" s="60" t="s">
        <v>70</v>
      </c>
      <c r="H1703" s="30" t="s">
        <v>24</v>
      </c>
      <c r="I1703" s="74">
        <v>1</v>
      </c>
      <c r="J1703" s="75"/>
      <c r="K1703" s="76"/>
      <c r="L1703" s="77">
        <f>N1703-N1630</f>
        <v>0</v>
      </c>
      <c r="M1703" s="78"/>
      <c r="N1703" s="77">
        <f>S1703</f>
        <v>0.97100592529454621</v>
      </c>
      <c r="O1703" s="78"/>
      <c r="P1703" s="77"/>
      <c r="Q1703" s="78"/>
      <c r="S1703" s="21">
        <f>V1700*0.07/T1703</f>
        <v>0.97100592529454621</v>
      </c>
      <c r="T1703" s="25">
        <v>72739</v>
      </c>
      <c r="U1703" s="12">
        <f t="shared" si="47"/>
        <v>70630</v>
      </c>
    </row>
    <row r="1704" spans="1:22">
      <c r="A1704" s="23" t="s">
        <v>71</v>
      </c>
      <c r="B1704" s="58" t="s">
        <v>95</v>
      </c>
      <c r="C1704" s="59" t="s">
        <v>72</v>
      </c>
      <c r="D1704" s="59" t="s">
        <v>72</v>
      </c>
      <c r="E1704" s="59" t="s">
        <v>72</v>
      </c>
      <c r="F1704" s="59" t="s">
        <v>72</v>
      </c>
      <c r="G1704" s="60" t="s">
        <v>72</v>
      </c>
      <c r="H1704" s="30" t="s">
        <v>24</v>
      </c>
      <c r="I1704" s="74">
        <v>1</v>
      </c>
      <c r="J1704" s="75"/>
      <c r="K1704" s="76"/>
      <c r="L1704" s="77"/>
      <c r="M1704" s="78"/>
      <c r="N1704" s="77">
        <f>S1704</f>
        <v>1</v>
      </c>
      <c r="O1704" s="78"/>
      <c r="P1704" s="77"/>
      <c r="Q1704" s="78"/>
      <c r="S1704" s="21">
        <v>1</v>
      </c>
      <c r="T1704" s="25">
        <v>4156</v>
      </c>
      <c r="U1704" s="12">
        <f>S1704*T1704</f>
        <v>4156</v>
      </c>
    </row>
    <row r="1705" spans="1:22">
      <c r="A1705" s="23" t="s">
        <v>73</v>
      </c>
      <c r="B1705" s="58" t="s">
        <v>96</v>
      </c>
      <c r="C1705" s="59" t="s">
        <v>74</v>
      </c>
      <c r="D1705" s="59" t="s">
        <v>74</v>
      </c>
      <c r="E1705" s="59" t="s">
        <v>74</v>
      </c>
      <c r="F1705" s="59" t="s">
        <v>74</v>
      </c>
      <c r="G1705" s="60" t="s">
        <v>74</v>
      </c>
      <c r="H1705" s="30" t="s">
        <v>24</v>
      </c>
      <c r="I1705" s="74">
        <v>1</v>
      </c>
      <c r="J1705" s="75"/>
      <c r="K1705" s="76"/>
      <c r="L1705" s="77">
        <f>N1705-N1632</f>
        <v>0</v>
      </c>
      <c r="M1705" s="78"/>
      <c r="N1705" s="77">
        <f>S1705</f>
        <v>0.97138194933145683</v>
      </c>
      <c r="O1705" s="78"/>
      <c r="P1705" s="79"/>
      <c r="Q1705" s="80"/>
      <c r="S1705" s="21">
        <f>(V1700+U1701+U1702+U1703+U1704)*0.05/T1705</f>
        <v>0.97138194933145683</v>
      </c>
      <c r="T1705" s="25">
        <v>56840</v>
      </c>
      <c r="U1705" s="12">
        <f>S1705*T1705</f>
        <v>55213.350000000006</v>
      </c>
    </row>
    <row r="1706" spans="1:22">
      <c r="A1706" s="23"/>
      <c r="B1706" s="58"/>
      <c r="C1706" s="59"/>
      <c r="D1706" s="59"/>
      <c r="E1706" s="59"/>
      <c r="F1706" s="59"/>
      <c r="G1706" s="60"/>
      <c r="H1706" s="24"/>
      <c r="I1706" s="58"/>
      <c r="J1706" s="59"/>
      <c r="K1706" s="59"/>
      <c r="L1706" s="58"/>
      <c r="M1706" s="59"/>
      <c r="N1706" s="58"/>
      <c r="O1706" s="59"/>
      <c r="P1706" s="58"/>
      <c r="Q1706" s="60"/>
      <c r="S1706" s="21"/>
      <c r="T1706" s="25"/>
      <c r="U1706" s="28">
        <f>V1700+U1701+U1702+U1703+U1704+U1705</f>
        <v>1159480.3500000001</v>
      </c>
    </row>
    <row r="1707" spans="1:22">
      <c r="A1707" s="23"/>
      <c r="B1707" s="58"/>
      <c r="C1707" s="59"/>
      <c r="D1707" s="59"/>
      <c r="E1707" s="59"/>
      <c r="F1707" s="59"/>
      <c r="G1707" s="60"/>
      <c r="H1707" s="23"/>
      <c r="I1707" s="58"/>
      <c r="J1707" s="59"/>
      <c r="K1707" s="59"/>
      <c r="L1707" s="58"/>
      <c r="M1707" s="59"/>
      <c r="N1707" s="58"/>
      <c r="O1707" s="59"/>
      <c r="P1707" s="58"/>
      <c r="Q1707" s="60"/>
      <c r="S1707" s="21"/>
      <c r="T1707" s="16"/>
      <c r="U1707" s="14">
        <v>1193638</v>
      </c>
    </row>
    <row r="1708" spans="1:22">
      <c r="A1708" s="9"/>
      <c r="B1708" s="58"/>
      <c r="C1708" s="59"/>
      <c r="D1708" s="59"/>
      <c r="E1708" s="59"/>
      <c r="F1708" s="59"/>
      <c r="G1708" s="60"/>
      <c r="H1708" s="9"/>
      <c r="I1708" s="58"/>
      <c r="J1708" s="59"/>
      <c r="K1708" s="59"/>
      <c r="L1708" s="58"/>
      <c r="M1708" s="59"/>
      <c r="N1708" s="58"/>
      <c r="O1708" s="59"/>
      <c r="P1708" s="58"/>
      <c r="Q1708" s="60"/>
      <c r="S1708" s="21"/>
      <c r="T1708" s="16"/>
      <c r="U1708" s="15">
        <f>U1706/U1707</f>
        <v>0.97138357693035915</v>
      </c>
    </row>
    <row r="1709" spans="1:22">
      <c r="A1709" s="9"/>
      <c r="B1709" s="58"/>
      <c r="C1709" s="59"/>
      <c r="D1709" s="59"/>
      <c r="E1709" s="59"/>
      <c r="F1709" s="59"/>
      <c r="G1709" s="60"/>
      <c r="H1709" s="9"/>
      <c r="I1709" s="58"/>
      <c r="J1709" s="59"/>
      <c r="K1709" s="59"/>
      <c r="L1709" s="58"/>
      <c r="M1709" s="59"/>
      <c r="N1709" s="58"/>
      <c r="O1709" s="59"/>
      <c r="P1709" s="58"/>
      <c r="Q1709" s="60"/>
      <c r="S1709" s="21"/>
      <c r="T1709" s="16"/>
      <c r="U1709" s="12"/>
    </row>
    <row r="1710" spans="1:22">
      <c r="A1710" s="9"/>
      <c r="B1710" s="58"/>
      <c r="C1710" s="59"/>
      <c r="D1710" s="59"/>
      <c r="E1710" s="59"/>
      <c r="F1710" s="59"/>
      <c r="G1710" s="60"/>
      <c r="H1710" s="9"/>
      <c r="I1710" s="58"/>
      <c r="J1710" s="59"/>
      <c r="K1710" s="59"/>
      <c r="L1710" s="58"/>
      <c r="M1710" s="59"/>
      <c r="N1710" s="58"/>
      <c r="O1710" s="59"/>
      <c r="P1710" s="58"/>
      <c r="Q1710" s="60"/>
      <c r="S1710" s="21"/>
      <c r="T1710" s="16"/>
      <c r="U1710" s="12"/>
    </row>
    <row r="1711" spans="1:22">
      <c r="A1711" s="9"/>
      <c r="B1711" s="58"/>
      <c r="C1711" s="59"/>
      <c r="D1711" s="59"/>
      <c r="E1711" s="59"/>
      <c r="F1711" s="59"/>
      <c r="G1711" s="60"/>
      <c r="H1711" s="9"/>
      <c r="I1711" s="58"/>
      <c r="J1711" s="59"/>
      <c r="K1711" s="59"/>
      <c r="L1711" s="58"/>
      <c r="M1711" s="59"/>
      <c r="N1711" s="58"/>
      <c r="O1711" s="59"/>
      <c r="P1711" s="58"/>
      <c r="Q1711" s="60"/>
      <c r="S1711" s="21"/>
      <c r="T1711" s="16"/>
      <c r="U1711" s="12"/>
    </row>
    <row r="1712" spans="1:22">
      <c r="A1712" s="9"/>
      <c r="B1712" s="58"/>
      <c r="C1712" s="59"/>
      <c r="D1712" s="59"/>
      <c r="E1712" s="59"/>
      <c r="F1712" s="59"/>
      <c r="G1712" s="60"/>
      <c r="H1712" s="9"/>
      <c r="I1712" s="58"/>
      <c r="J1712" s="59"/>
      <c r="K1712" s="59"/>
      <c r="L1712" s="58"/>
      <c r="M1712" s="59"/>
      <c r="N1712" s="58"/>
      <c r="O1712" s="59"/>
      <c r="P1712" s="58"/>
      <c r="Q1712" s="60"/>
      <c r="S1712" s="21"/>
      <c r="T1712" s="16"/>
      <c r="U1712" s="12"/>
    </row>
    <row r="1713" spans="1:20">
      <c r="A1713" s="7"/>
      <c r="B1713" s="61"/>
      <c r="C1713" s="62"/>
      <c r="D1713" s="62"/>
      <c r="E1713" s="62"/>
      <c r="F1713" s="62"/>
      <c r="G1713" s="63"/>
      <c r="H1713" s="9"/>
      <c r="I1713" s="64"/>
      <c r="J1713" s="65"/>
      <c r="K1713" s="66"/>
      <c r="L1713" s="67"/>
      <c r="M1713" s="68"/>
      <c r="N1713" s="67"/>
      <c r="O1713" s="68"/>
      <c r="P1713" s="69"/>
      <c r="Q1713" s="70"/>
      <c r="S1713" s="21"/>
      <c r="T1713" s="16"/>
    </row>
    <row r="1714" spans="1:20">
      <c r="A1714" s="44" t="s">
        <v>29</v>
      </c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T1714" s="20"/>
    </row>
    <row r="1715" spans="1:20">
      <c r="A1715" s="44" t="s">
        <v>30</v>
      </c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T1715" s="20"/>
    </row>
    <row r="1716" spans="1:20">
      <c r="A1716" s="44" t="s">
        <v>31</v>
      </c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T1716" s="20"/>
    </row>
    <row r="1717" spans="1:20">
      <c r="A1717" s="44" t="s">
        <v>32</v>
      </c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T1717" s="20"/>
    </row>
    <row r="1718" spans="1:20">
      <c r="A1718" s="54" t="s">
        <v>33</v>
      </c>
      <c r="B1718" s="54"/>
      <c r="C1718" s="54"/>
      <c r="D1718" s="54"/>
      <c r="E1718" s="54"/>
      <c r="F1718" s="54"/>
      <c r="G1718" s="54"/>
      <c r="H1718" s="54" t="s">
        <v>20</v>
      </c>
      <c r="I1718" s="54"/>
      <c r="J1718" s="54"/>
      <c r="K1718" s="54" t="s">
        <v>34</v>
      </c>
      <c r="L1718" s="54"/>
      <c r="M1718" s="54" t="s">
        <v>35</v>
      </c>
      <c r="N1718" s="54"/>
      <c r="O1718" s="54" t="s">
        <v>36</v>
      </c>
      <c r="P1718" s="54"/>
      <c r="Q1718" s="54"/>
      <c r="T1718" s="20"/>
    </row>
    <row r="1719" spans="1:20">
      <c r="A1719" s="55"/>
      <c r="B1719" s="56"/>
      <c r="C1719" s="56"/>
      <c r="D1719" s="56"/>
      <c r="E1719" s="56"/>
      <c r="F1719" s="56"/>
      <c r="G1719" s="57"/>
      <c r="H1719" s="55"/>
      <c r="I1719" s="56"/>
      <c r="J1719" s="57"/>
      <c r="K1719" s="55"/>
      <c r="L1719" s="56"/>
      <c r="M1719" s="55"/>
      <c r="N1719" s="56"/>
      <c r="O1719" s="55"/>
      <c r="P1719" s="56"/>
      <c r="Q1719" s="57"/>
      <c r="T1719" s="20"/>
    </row>
    <row r="1720" spans="1:20">
      <c r="A1720" s="55"/>
      <c r="B1720" s="56"/>
      <c r="C1720" s="56"/>
      <c r="D1720" s="56"/>
      <c r="E1720" s="56"/>
      <c r="F1720" s="56"/>
      <c r="G1720" s="57"/>
      <c r="H1720" s="55"/>
      <c r="I1720" s="56"/>
      <c r="J1720" s="57"/>
      <c r="K1720" s="55"/>
      <c r="L1720" s="56"/>
      <c r="M1720" s="55"/>
      <c r="N1720" s="56"/>
      <c r="O1720" s="55"/>
      <c r="P1720" s="56"/>
      <c r="Q1720" s="57"/>
      <c r="T1720" s="20"/>
    </row>
    <row r="1721" spans="1:20">
      <c r="A1721" s="53"/>
      <c r="B1721" s="53"/>
      <c r="C1721" s="53"/>
      <c r="D1721" s="53"/>
      <c r="E1721" s="53"/>
      <c r="F1721" s="53"/>
      <c r="G1721" s="53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T1721" s="20"/>
    </row>
    <row r="1722" spans="1:20">
      <c r="A1722" s="53"/>
      <c r="B1722" s="53"/>
      <c r="C1722" s="53"/>
      <c r="D1722" s="53"/>
      <c r="E1722" s="53"/>
      <c r="F1722" s="53"/>
      <c r="G1722" s="53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T1722" s="20"/>
    </row>
    <row r="1723" spans="1:20">
      <c r="A1723" s="44" t="s">
        <v>37</v>
      </c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T1723" s="20"/>
    </row>
    <row r="1724" spans="1:20">
      <c r="A1724" s="46" t="s">
        <v>38</v>
      </c>
      <c r="B1724" s="46"/>
      <c r="C1724" s="47" t="s">
        <v>39</v>
      </c>
      <c r="D1724" s="48"/>
      <c r="E1724" s="48"/>
      <c r="F1724" s="47" t="s">
        <v>40</v>
      </c>
      <c r="G1724" s="48"/>
      <c r="H1724" s="49"/>
      <c r="I1724" s="46" t="s">
        <v>41</v>
      </c>
      <c r="J1724" s="46"/>
      <c r="K1724" s="46"/>
      <c r="L1724" s="46" t="s">
        <v>35</v>
      </c>
      <c r="M1724" s="46"/>
      <c r="N1724" s="46"/>
      <c r="O1724" s="46" t="s">
        <v>36</v>
      </c>
      <c r="P1724" s="46"/>
      <c r="Q1724" s="46"/>
      <c r="T1724" s="20"/>
    </row>
    <row r="1725" spans="1:20">
      <c r="A1725" s="47" t="s">
        <v>42</v>
      </c>
      <c r="B1725" s="49"/>
      <c r="C1725" s="47"/>
      <c r="D1725" s="48"/>
      <c r="E1725" s="49"/>
      <c r="F1725" s="47">
        <f>F1652+C1725</f>
        <v>30</v>
      </c>
      <c r="G1725" s="48"/>
      <c r="H1725" s="49"/>
      <c r="I1725" s="47"/>
      <c r="J1725" s="48"/>
      <c r="K1725" s="49"/>
      <c r="L1725" s="47"/>
      <c r="M1725" s="48"/>
      <c r="N1725" s="49"/>
      <c r="O1725" s="47"/>
      <c r="P1725" s="48"/>
      <c r="Q1725" s="49"/>
      <c r="T1725" s="20"/>
    </row>
    <row r="1726" spans="1:20">
      <c r="A1726" s="47" t="s">
        <v>100</v>
      </c>
      <c r="B1726" s="49"/>
      <c r="C1726" s="47"/>
      <c r="D1726" s="48"/>
      <c r="E1726" s="49"/>
      <c r="F1726" s="47">
        <f>F1653+C1726</f>
        <v>2</v>
      </c>
      <c r="G1726" s="48"/>
      <c r="H1726" s="49"/>
      <c r="I1726" s="47"/>
      <c r="J1726" s="48"/>
      <c r="K1726" s="49"/>
      <c r="L1726" s="47"/>
      <c r="M1726" s="48"/>
      <c r="N1726" s="49"/>
      <c r="O1726" s="47"/>
      <c r="P1726" s="48"/>
      <c r="Q1726" s="49"/>
      <c r="T1726" s="20"/>
    </row>
    <row r="1727" spans="1:20">
      <c r="A1727" s="47"/>
      <c r="B1727" s="49"/>
      <c r="C1727" s="47"/>
      <c r="D1727" s="48"/>
      <c r="E1727" s="49"/>
      <c r="F1727" s="47"/>
      <c r="G1727" s="48"/>
      <c r="H1727" s="49"/>
      <c r="I1727" s="47"/>
      <c r="J1727" s="48"/>
      <c r="K1727" s="49"/>
      <c r="L1727" s="47"/>
      <c r="M1727" s="48"/>
      <c r="N1727" s="49"/>
      <c r="O1727" s="47"/>
      <c r="P1727" s="48"/>
      <c r="Q1727" s="49"/>
      <c r="T1727" s="20"/>
    </row>
    <row r="1728" spans="1:20">
      <c r="A1728" s="46"/>
      <c r="B1728" s="46"/>
      <c r="C1728" s="47"/>
      <c r="D1728" s="48"/>
      <c r="E1728" s="49"/>
      <c r="F1728" s="47"/>
      <c r="G1728" s="48"/>
      <c r="H1728" s="49"/>
      <c r="I1728" s="47"/>
      <c r="J1728" s="48"/>
      <c r="K1728" s="49"/>
      <c r="L1728" s="47"/>
      <c r="M1728" s="48"/>
      <c r="N1728" s="49"/>
      <c r="O1728" s="47"/>
      <c r="P1728" s="48"/>
      <c r="Q1728" s="49"/>
      <c r="T1728" s="20"/>
    </row>
    <row r="1729" spans="1:20">
      <c r="A1729" s="46"/>
      <c r="B1729" s="46"/>
      <c r="C1729" s="47"/>
      <c r="D1729" s="48"/>
      <c r="E1729" s="49"/>
      <c r="F1729" s="47"/>
      <c r="G1729" s="48"/>
      <c r="H1729" s="49"/>
      <c r="I1729" s="47"/>
      <c r="J1729" s="48"/>
      <c r="K1729" s="49"/>
      <c r="L1729" s="47"/>
      <c r="M1729" s="48"/>
      <c r="N1729" s="49"/>
      <c r="O1729" s="47"/>
      <c r="P1729" s="48"/>
      <c r="Q1729" s="49"/>
      <c r="T1729" s="20"/>
    </row>
    <row r="1730" spans="1:20">
      <c r="A1730" s="50" t="s">
        <v>43</v>
      </c>
      <c r="B1730" s="51"/>
      <c r="C1730" s="51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2"/>
      <c r="T1730" s="20"/>
    </row>
    <row r="1731" spans="1:20">
      <c r="A1731" s="38" t="s">
        <v>44</v>
      </c>
      <c r="B1731" s="39"/>
      <c r="C1731" s="39"/>
      <c r="D1731" s="39"/>
      <c r="E1731" s="39"/>
      <c r="F1731" s="39"/>
      <c r="G1731" s="39"/>
      <c r="H1731" s="39"/>
      <c r="I1731" s="39"/>
      <c r="J1731" s="39"/>
      <c r="K1731" s="39"/>
      <c r="L1731" s="39"/>
      <c r="M1731" s="39"/>
      <c r="N1731" s="39"/>
      <c r="O1731" s="39"/>
      <c r="P1731" s="39"/>
      <c r="Q1731" s="40"/>
      <c r="T1731" s="20"/>
    </row>
    <row r="1732" spans="1:20">
      <c r="A1732" s="41" t="s">
        <v>45</v>
      </c>
      <c r="B1732" s="42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  <c r="P1732" s="42"/>
      <c r="Q1732" s="43"/>
      <c r="T1732" s="20"/>
    </row>
    <row r="1733" spans="1:20">
      <c r="A1733" s="50" t="s">
        <v>46</v>
      </c>
      <c r="B1733" s="51"/>
      <c r="C1733" s="51"/>
      <c r="D1733" s="51"/>
      <c r="E1733" s="51"/>
      <c r="F1733" s="51"/>
      <c r="G1733" s="51"/>
      <c r="H1733" s="51"/>
      <c r="I1733" s="51"/>
      <c r="J1733" s="51"/>
      <c r="K1733" s="51"/>
      <c r="L1733" s="51"/>
      <c r="M1733" s="51"/>
      <c r="N1733" s="51"/>
      <c r="O1733" s="51"/>
      <c r="P1733" s="51"/>
      <c r="Q1733" s="52"/>
      <c r="T1733" s="20"/>
    </row>
    <row r="1734" spans="1:20">
      <c r="A1734" s="38" t="s">
        <v>47</v>
      </c>
      <c r="B1734" s="39"/>
      <c r="C1734" s="39"/>
      <c r="D1734" s="39"/>
      <c r="E1734" s="39"/>
      <c r="F1734" s="39"/>
      <c r="G1734" s="39"/>
      <c r="H1734" s="39"/>
      <c r="I1734" s="39"/>
      <c r="J1734" s="39"/>
      <c r="K1734" s="39"/>
      <c r="L1734" s="39"/>
      <c r="M1734" s="39"/>
      <c r="N1734" s="39"/>
      <c r="O1734" s="39"/>
      <c r="P1734" s="39"/>
      <c r="Q1734" s="40"/>
      <c r="T1734" s="20"/>
    </row>
    <row r="1735" spans="1:20">
      <c r="A1735" s="38" t="s">
        <v>48</v>
      </c>
      <c r="B1735" s="39"/>
      <c r="C1735" s="39"/>
      <c r="D1735" s="39"/>
      <c r="E1735" s="39"/>
      <c r="F1735" s="39"/>
      <c r="G1735" s="39"/>
      <c r="H1735" s="39"/>
      <c r="I1735" s="39"/>
      <c r="J1735" s="39"/>
      <c r="K1735" s="39"/>
      <c r="L1735" s="39"/>
      <c r="M1735" s="39"/>
      <c r="N1735" s="39"/>
      <c r="O1735" s="39"/>
      <c r="P1735" s="39"/>
      <c r="Q1735" s="40"/>
      <c r="T1735" s="20"/>
    </row>
    <row r="1736" spans="1:20">
      <c r="A1736" s="38" t="s">
        <v>49</v>
      </c>
      <c r="B1736" s="39"/>
      <c r="C1736" s="39"/>
      <c r="D1736" s="39"/>
      <c r="E1736" s="39"/>
      <c r="F1736" s="39"/>
      <c r="G1736" s="39"/>
      <c r="H1736" s="39"/>
      <c r="I1736" s="39"/>
      <c r="J1736" s="39"/>
      <c r="K1736" s="39"/>
      <c r="L1736" s="39"/>
      <c r="M1736" s="39"/>
      <c r="N1736" s="39"/>
      <c r="O1736" s="39"/>
      <c r="P1736" s="39"/>
      <c r="Q1736" s="40"/>
      <c r="T1736" s="20"/>
    </row>
    <row r="1737" spans="1:20">
      <c r="A1737" s="38" t="s">
        <v>50</v>
      </c>
      <c r="B1737" s="39"/>
      <c r="C1737" s="39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40"/>
      <c r="T1737" s="20"/>
    </row>
    <row r="1738" spans="1:20">
      <c r="A1738" s="38" t="s">
        <v>51</v>
      </c>
      <c r="B1738" s="39"/>
      <c r="C1738" s="39"/>
      <c r="D1738" s="39"/>
      <c r="E1738" s="39"/>
      <c r="F1738" s="39"/>
      <c r="G1738" s="39"/>
      <c r="H1738" s="39"/>
      <c r="I1738" s="39"/>
      <c r="J1738" s="39"/>
      <c r="K1738" s="39"/>
      <c r="L1738" s="39"/>
      <c r="M1738" s="39"/>
      <c r="N1738" s="39"/>
      <c r="O1738" s="39"/>
      <c r="P1738" s="39"/>
      <c r="Q1738" s="40"/>
      <c r="T1738" s="20"/>
    </row>
    <row r="1739" spans="1:20">
      <c r="A1739" s="41" t="s">
        <v>52</v>
      </c>
      <c r="B1739" s="42"/>
      <c r="C1739" s="42"/>
      <c r="D1739" s="42"/>
      <c r="E1739" s="42"/>
      <c r="F1739" s="42"/>
      <c r="G1739" s="42"/>
      <c r="H1739" s="42"/>
      <c r="I1739" s="42"/>
      <c r="J1739" s="42"/>
      <c r="K1739" s="42"/>
      <c r="L1739" s="42"/>
      <c r="M1739" s="42"/>
      <c r="N1739" s="42"/>
      <c r="O1739" s="42"/>
      <c r="P1739" s="42"/>
      <c r="Q1739" s="43"/>
      <c r="T1739" s="20"/>
    </row>
    <row r="1740" spans="1:20">
      <c r="A1740" s="44" t="s">
        <v>53</v>
      </c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T1740" s="20"/>
    </row>
    <row r="1741" spans="1:20">
      <c r="A1741" s="44" t="s">
        <v>54</v>
      </c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T1741" s="20"/>
    </row>
    <row r="1742" spans="1:20">
      <c r="A1742" s="44" t="s">
        <v>99</v>
      </c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T1742" s="20"/>
    </row>
    <row r="1743" spans="1:20">
      <c r="A1743" s="44" t="s">
        <v>55</v>
      </c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T1743" s="20"/>
    </row>
    <row r="1744" spans="1:20">
      <c r="A1744" s="45" t="s">
        <v>56</v>
      </c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T1744" s="20"/>
    </row>
    <row r="1745" spans="1:21">
      <c r="A1745" s="37" t="s">
        <v>57</v>
      </c>
      <c r="B1745" s="37"/>
      <c r="C1745" s="37"/>
      <c r="D1745" s="37"/>
      <c r="E1745" s="37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  <c r="P1745" s="37"/>
      <c r="Q1745" s="37"/>
      <c r="T1745" s="20"/>
    </row>
    <row r="1746" spans="1:21">
      <c r="A1746" s="37" t="s">
        <v>58</v>
      </c>
      <c r="B1746" s="37"/>
      <c r="C1746" s="37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T1746" s="20"/>
    </row>
    <row r="1747" spans="1:21">
      <c r="A1747" s="37" t="s">
        <v>59</v>
      </c>
      <c r="B1747" s="37"/>
      <c r="C1747" s="37"/>
      <c r="D1747" s="37"/>
      <c r="E1747" s="37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  <c r="P1747" s="37"/>
      <c r="Q1747" s="37"/>
      <c r="T1747" s="20"/>
    </row>
    <row r="1748" spans="1:21">
      <c r="A1748" s="37" t="s">
        <v>60</v>
      </c>
      <c r="B1748" s="37"/>
      <c r="C1748" s="37"/>
      <c r="D1748" s="37"/>
      <c r="E1748" s="37"/>
      <c r="F1748" s="37"/>
      <c r="G1748" s="37"/>
      <c r="H1748" s="37"/>
      <c r="I1748" s="37"/>
      <c r="J1748" s="37"/>
      <c r="K1748" s="37"/>
      <c r="L1748" s="37"/>
      <c r="M1748" s="37"/>
      <c r="N1748" s="37"/>
      <c r="O1748" s="37"/>
      <c r="P1748" s="37"/>
      <c r="Q1748" s="37"/>
      <c r="T1748" s="20"/>
    </row>
    <row r="1749" spans="1:21">
      <c r="A1749" s="37" t="s">
        <v>61</v>
      </c>
      <c r="B1749" s="37"/>
      <c r="C1749" s="37"/>
      <c r="D1749" s="37"/>
      <c r="E1749" s="37"/>
      <c r="F1749" s="37"/>
      <c r="G1749" s="37"/>
      <c r="H1749" s="37"/>
      <c r="I1749" s="37"/>
      <c r="J1749" s="37"/>
      <c r="K1749" s="37"/>
      <c r="L1749" s="37"/>
      <c r="M1749" s="37"/>
      <c r="N1749" s="37"/>
      <c r="O1749" s="37"/>
      <c r="P1749" s="37"/>
      <c r="Q1749" s="37"/>
      <c r="T1749" s="20"/>
    </row>
    <row r="1750" spans="1:21">
      <c r="A1750" s="37" t="s">
        <v>62</v>
      </c>
      <c r="B1750" s="37"/>
      <c r="C1750" s="37"/>
      <c r="D1750" s="37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T1750" s="20"/>
    </row>
    <row r="1751" spans="1:21">
      <c r="A1751" s="37" t="s">
        <v>63</v>
      </c>
      <c r="B1751" s="37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  <c r="P1751" s="37"/>
      <c r="Q1751" s="37"/>
      <c r="T1751" s="20"/>
    </row>
    <row r="1752" spans="1:21">
      <c r="A1752" s="37" t="s">
        <v>75</v>
      </c>
      <c r="B1752" s="37"/>
      <c r="C1752" s="37"/>
      <c r="D1752" s="37"/>
      <c r="E1752" s="37"/>
      <c r="F1752" s="37"/>
      <c r="G1752" s="37"/>
      <c r="H1752" s="37"/>
      <c r="I1752" s="37"/>
      <c r="J1752" s="37"/>
      <c r="K1752" s="37"/>
      <c r="L1752" s="37"/>
      <c r="M1752" s="37"/>
      <c r="N1752" s="37"/>
      <c r="O1752" s="37"/>
      <c r="P1752" s="37"/>
      <c r="Q1752" s="37"/>
      <c r="T1752" s="20"/>
    </row>
    <row r="1753" spans="1:21" ht="39" customHeight="1">
      <c r="B1753" s="120" t="s">
        <v>0</v>
      </c>
      <c r="C1753" s="120"/>
      <c r="D1753" s="120"/>
      <c r="E1753" s="120"/>
      <c r="F1753" s="120"/>
      <c r="G1753" s="120"/>
      <c r="H1753" s="120"/>
      <c r="I1753" s="120"/>
      <c r="J1753" s="120"/>
      <c r="K1753" s="120"/>
      <c r="L1753" s="120"/>
      <c r="M1753" s="120"/>
      <c r="N1753" s="120"/>
      <c r="O1753" s="120"/>
      <c r="P1753" s="120"/>
      <c r="Q1753" s="120"/>
      <c r="T1753" s="20"/>
    </row>
    <row r="1754" spans="1:21">
      <c r="B1754" s="6" t="s">
        <v>1</v>
      </c>
      <c r="C1754" s="121" t="s">
        <v>2</v>
      </c>
      <c r="D1754" s="121"/>
      <c r="E1754" s="1" t="s">
        <v>3</v>
      </c>
      <c r="F1754" s="121" t="s">
        <v>4</v>
      </c>
      <c r="G1754" s="121"/>
      <c r="H1754" s="1" t="s">
        <v>3</v>
      </c>
      <c r="I1754" s="1"/>
      <c r="J1754" s="121" t="s">
        <v>5</v>
      </c>
      <c r="K1754" s="121"/>
      <c r="L1754" s="121"/>
      <c r="M1754" s="122">
        <f>M1681+1</f>
        <v>46251</v>
      </c>
      <c r="N1754" s="122"/>
      <c r="O1754" s="122"/>
      <c r="P1754" s="123"/>
      <c r="Q1754" s="123"/>
      <c r="T1754" s="20"/>
    </row>
    <row r="1755" spans="1:21">
      <c r="A1755" s="96" t="s">
        <v>6</v>
      </c>
      <c r="B1755" s="96"/>
      <c r="C1755" s="124" t="s">
        <v>79</v>
      </c>
      <c r="D1755" s="125"/>
      <c r="E1755" s="125"/>
      <c r="F1755" s="125"/>
      <c r="G1755" s="125"/>
      <c r="H1755" s="125"/>
      <c r="I1755" s="126"/>
      <c r="J1755" s="127" t="s">
        <v>7</v>
      </c>
      <c r="K1755" s="128"/>
      <c r="L1755" s="128"/>
      <c r="M1755" s="129"/>
      <c r="N1755" s="130" t="s">
        <v>78</v>
      </c>
      <c r="O1755" s="130"/>
      <c r="P1755" s="130"/>
      <c r="Q1755" s="131"/>
      <c r="T1755" s="20"/>
    </row>
    <row r="1756" spans="1:21">
      <c r="A1756" s="96" t="s">
        <v>8</v>
      </c>
      <c r="B1756" s="96"/>
      <c r="C1756" s="4">
        <v>30</v>
      </c>
      <c r="D1756" s="3" t="s">
        <v>9</v>
      </c>
      <c r="E1756" s="127" t="s">
        <v>10</v>
      </c>
      <c r="F1756" s="129"/>
      <c r="G1756" s="127">
        <f>G1683+1</f>
        <v>25</v>
      </c>
      <c r="H1756" s="128"/>
      <c r="I1756" s="3" t="s">
        <v>9</v>
      </c>
      <c r="J1756" s="96" t="s">
        <v>11</v>
      </c>
      <c r="K1756" s="96"/>
      <c r="L1756" s="35">
        <f>C1756-G1756</f>
        <v>5</v>
      </c>
      <c r="M1756" s="2" t="s">
        <v>9</v>
      </c>
      <c r="N1756" s="96" t="s">
        <v>12</v>
      </c>
      <c r="O1756" s="96"/>
      <c r="P1756" s="2"/>
      <c r="Q1756" s="3" t="s">
        <v>9</v>
      </c>
      <c r="T1756" s="20"/>
    </row>
    <row r="1757" spans="1:21">
      <c r="A1757" s="96" t="s">
        <v>13</v>
      </c>
      <c r="B1757" s="96"/>
      <c r="C1757" s="132">
        <v>46227</v>
      </c>
      <c r="D1757" s="132"/>
      <c r="E1757" s="132"/>
      <c r="F1757" s="132"/>
      <c r="G1757" s="132"/>
      <c r="H1757" s="132"/>
      <c r="I1757" s="132"/>
      <c r="J1757" s="127" t="s">
        <v>14</v>
      </c>
      <c r="K1757" s="128"/>
      <c r="L1757" s="128"/>
      <c r="M1757" s="129"/>
      <c r="N1757" s="133">
        <v>46256</v>
      </c>
      <c r="O1757" s="134"/>
      <c r="P1757" s="134"/>
      <c r="Q1757" s="135"/>
      <c r="T1757" s="20"/>
    </row>
    <row r="1758" spans="1:21">
      <c r="A1758" s="96" t="s">
        <v>15</v>
      </c>
      <c r="B1758" s="96"/>
      <c r="C1758" s="97">
        <v>92</v>
      </c>
      <c r="D1758" s="98"/>
      <c r="E1758" s="98"/>
      <c r="F1758" s="98"/>
      <c r="G1758" s="98"/>
      <c r="H1758" s="99" t="s">
        <v>16</v>
      </c>
      <c r="I1758" s="100"/>
      <c r="J1758" s="101" t="s">
        <v>17</v>
      </c>
      <c r="K1758" s="101"/>
      <c r="L1758" s="101"/>
      <c r="M1758" s="101"/>
      <c r="N1758" s="102">
        <f>U1781</f>
        <v>0.97138357693035915</v>
      </c>
      <c r="O1758" s="102"/>
      <c r="P1758" s="102"/>
      <c r="Q1758" s="102"/>
      <c r="T1758" s="20"/>
    </row>
    <row r="1759" spans="1:21">
      <c r="A1759" s="103" t="s">
        <v>18</v>
      </c>
      <c r="B1759" s="104"/>
      <c r="C1759" s="104"/>
      <c r="D1759" s="104"/>
      <c r="E1759" s="104"/>
      <c r="F1759" s="104"/>
      <c r="G1759" s="104"/>
      <c r="H1759" s="104"/>
      <c r="I1759" s="104"/>
      <c r="J1759" s="104"/>
      <c r="K1759" s="104"/>
      <c r="L1759" s="104"/>
      <c r="M1759" s="104"/>
      <c r="N1759" s="104"/>
      <c r="O1759" s="104"/>
      <c r="P1759" s="104"/>
      <c r="Q1759" s="105"/>
      <c r="T1759" s="20"/>
    </row>
    <row r="1760" spans="1:21">
      <c r="A1760" s="7"/>
      <c r="B1760" s="106" t="s">
        <v>19</v>
      </c>
      <c r="C1760" s="107"/>
      <c r="D1760" s="107"/>
      <c r="E1760" s="107"/>
      <c r="F1760" s="107"/>
      <c r="G1760" s="108"/>
      <c r="H1760" s="8" t="s">
        <v>20</v>
      </c>
      <c r="I1760" s="109" t="s">
        <v>21</v>
      </c>
      <c r="J1760" s="110"/>
      <c r="K1760" s="111"/>
      <c r="L1760" s="109" t="s">
        <v>28</v>
      </c>
      <c r="M1760" s="111"/>
      <c r="N1760" s="106" t="s">
        <v>22</v>
      </c>
      <c r="O1760" s="112"/>
      <c r="P1760" s="113" t="s">
        <v>23</v>
      </c>
      <c r="Q1760" s="113"/>
      <c r="S1760" s="33" t="s">
        <v>22</v>
      </c>
      <c r="T1760" s="34" t="s">
        <v>64</v>
      </c>
      <c r="U1760" s="13" t="s">
        <v>27</v>
      </c>
    </row>
    <row r="1761" spans="1:22">
      <c r="A1761" s="17" t="s">
        <v>65</v>
      </c>
      <c r="B1761" s="114" t="s">
        <v>66</v>
      </c>
      <c r="C1761" s="115"/>
      <c r="D1761" s="115"/>
      <c r="E1761" s="115"/>
      <c r="F1761" s="115"/>
      <c r="G1761" s="116"/>
      <c r="H1761" s="17"/>
      <c r="I1761" s="117"/>
      <c r="J1761" s="118"/>
      <c r="K1761" s="119"/>
      <c r="L1761" s="77"/>
      <c r="M1761" s="78"/>
      <c r="N1761" s="77"/>
      <c r="O1761" s="78"/>
      <c r="P1761" s="93"/>
      <c r="Q1761" s="93"/>
      <c r="S1761" s="16"/>
      <c r="T1761" s="16"/>
      <c r="U1761" s="16" t="s">
        <v>26</v>
      </c>
    </row>
    <row r="1762" spans="1:22">
      <c r="A1762" s="17">
        <v>1</v>
      </c>
      <c r="B1762" s="81" t="s">
        <v>80</v>
      </c>
      <c r="C1762" s="82"/>
      <c r="D1762" s="82"/>
      <c r="E1762" s="82"/>
      <c r="F1762" s="82"/>
      <c r="G1762" s="83"/>
      <c r="H1762" s="29" t="s">
        <v>67</v>
      </c>
      <c r="I1762" s="84">
        <v>18</v>
      </c>
      <c r="J1762" s="85"/>
      <c r="K1762" s="86"/>
      <c r="L1762" s="87"/>
      <c r="M1762" s="88"/>
      <c r="N1762" s="89">
        <v>18</v>
      </c>
      <c r="O1762" s="90"/>
      <c r="P1762" s="93"/>
      <c r="Q1762" s="93"/>
      <c r="S1762" s="12">
        <v>18</v>
      </c>
      <c r="T1762" s="26">
        <v>18000</v>
      </c>
      <c r="U1762" s="12">
        <f>S1762*T1762</f>
        <v>324000</v>
      </c>
    </row>
    <row r="1763" spans="1:22" ht="32.1" customHeight="1">
      <c r="A1763" s="17">
        <v>2</v>
      </c>
      <c r="B1763" s="81" t="s">
        <v>81</v>
      </c>
      <c r="C1763" s="82" t="s">
        <v>81</v>
      </c>
      <c r="D1763" s="82" t="s">
        <v>81</v>
      </c>
      <c r="E1763" s="82" t="s">
        <v>81</v>
      </c>
      <c r="F1763" s="82" t="s">
        <v>81</v>
      </c>
      <c r="G1763" s="83" t="s">
        <v>81</v>
      </c>
      <c r="H1763" s="29" t="s">
        <v>97</v>
      </c>
      <c r="I1763" s="84">
        <v>166</v>
      </c>
      <c r="J1763" s="85"/>
      <c r="K1763" s="86"/>
      <c r="L1763" s="87"/>
      <c r="M1763" s="88"/>
      <c r="N1763" s="89">
        <v>166</v>
      </c>
      <c r="O1763" s="90"/>
      <c r="P1763" s="93"/>
      <c r="Q1763" s="93"/>
      <c r="S1763" s="12">
        <v>166</v>
      </c>
      <c r="T1763" s="26">
        <v>750</v>
      </c>
      <c r="U1763" s="12">
        <f t="shared" ref="U1763:U1773" si="48">S1763*T1763</f>
        <v>124500</v>
      </c>
    </row>
    <row r="1764" spans="1:22">
      <c r="A1764" s="17">
        <v>3</v>
      </c>
      <c r="B1764" s="81" t="s">
        <v>82</v>
      </c>
      <c r="C1764" s="82" t="s">
        <v>82</v>
      </c>
      <c r="D1764" s="82" t="s">
        <v>82</v>
      </c>
      <c r="E1764" s="82" t="s">
        <v>82</v>
      </c>
      <c r="F1764" s="82" t="s">
        <v>82</v>
      </c>
      <c r="G1764" s="83" t="s">
        <v>82</v>
      </c>
      <c r="H1764" s="29" t="s">
        <v>97</v>
      </c>
      <c r="I1764" s="84">
        <v>540</v>
      </c>
      <c r="J1764" s="85">
        <v>540</v>
      </c>
      <c r="K1764" s="86">
        <v>540</v>
      </c>
      <c r="L1764" s="87"/>
      <c r="M1764" s="88"/>
      <c r="N1764" s="89">
        <v>540</v>
      </c>
      <c r="O1764" s="90"/>
      <c r="P1764" s="93"/>
      <c r="Q1764" s="93"/>
      <c r="S1764" s="12">
        <v>540</v>
      </c>
      <c r="T1764" s="26">
        <v>340</v>
      </c>
      <c r="U1764" s="12">
        <f t="shared" si="48"/>
        <v>183600</v>
      </c>
    </row>
    <row r="1765" spans="1:22">
      <c r="A1765" s="17">
        <v>4</v>
      </c>
      <c r="B1765" s="81" t="s">
        <v>83</v>
      </c>
      <c r="C1765" s="82" t="s">
        <v>83</v>
      </c>
      <c r="D1765" s="82" t="s">
        <v>83</v>
      </c>
      <c r="E1765" s="82" t="s">
        <v>83</v>
      </c>
      <c r="F1765" s="82" t="s">
        <v>83</v>
      </c>
      <c r="G1765" s="83" t="s">
        <v>83</v>
      </c>
      <c r="H1765" s="29" t="s">
        <v>67</v>
      </c>
      <c r="I1765" s="84">
        <v>20</v>
      </c>
      <c r="J1765" s="85">
        <v>20</v>
      </c>
      <c r="K1765" s="86">
        <v>20</v>
      </c>
      <c r="L1765" s="87"/>
      <c r="M1765" s="88"/>
      <c r="N1765" s="89">
        <v>20</v>
      </c>
      <c r="O1765" s="90"/>
      <c r="P1765" s="93"/>
      <c r="Q1765" s="93"/>
      <c r="S1765" s="12">
        <v>20</v>
      </c>
      <c r="T1765" s="26">
        <v>1250</v>
      </c>
      <c r="U1765" s="12">
        <f t="shared" si="48"/>
        <v>25000</v>
      </c>
    </row>
    <row r="1766" spans="1:22" ht="31.5" customHeight="1">
      <c r="A1766" s="17">
        <v>5</v>
      </c>
      <c r="B1766" s="81" t="s">
        <v>84</v>
      </c>
      <c r="C1766" s="82" t="s">
        <v>84</v>
      </c>
      <c r="D1766" s="82" t="s">
        <v>84</v>
      </c>
      <c r="E1766" s="82" t="s">
        <v>84</v>
      </c>
      <c r="F1766" s="82" t="s">
        <v>84</v>
      </c>
      <c r="G1766" s="83" t="s">
        <v>84</v>
      </c>
      <c r="H1766" s="29" t="s">
        <v>97</v>
      </c>
      <c r="I1766" s="84">
        <v>28</v>
      </c>
      <c r="J1766" s="85">
        <v>28</v>
      </c>
      <c r="K1766" s="86">
        <v>28</v>
      </c>
      <c r="L1766" s="87"/>
      <c r="M1766" s="88"/>
      <c r="N1766" s="89">
        <v>28</v>
      </c>
      <c r="O1766" s="90"/>
      <c r="P1766" s="93"/>
      <c r="Q1766" s="93"/>
      <c r="S1766" s="12">
        <v>28</v>
      </c>
      <c r="T1766" s="26">
        <v>1800</v>
      </c>
      <c r="U1766" s="12">
        <f t="shared" si="48"/>
        <v>50400</v>
      </c>
    </row>
    <row r="1767" spans="1:22">
      <c r="A1767" s="17">
        <v>6</v>
      </c>
      <c r="B1767" s="81" t="s">
        <v>85</v>
      </c>
      <c r="C1767" s="82" t="s">
        <v>85</v>
      </c>
      <c r="D1767" s="82" t="s">
        <v>85</v>
      </c>
      <c r="E1767" s="82" t="s">
        <v>85</v>
      </c>
      <c r="F1767" s="82" t="s">
        <v>85</v>
      </c>
      <c r="G1767" s="83" t="s">
        <v>85</v>
      </c>
      <c r="H1767" s="29" t="s">
        <v>97</v>
      </c>
      <c r="I1767" s="84">
        <v>14</v>
      </c>
      <c r="J1767" s="85">
        <v>14</v>
      </c>
      <c r="K1767" s="86">
        <v>14</v>
      </c>
      <c r="L1767" s="87"/>
      <c r="M1767" s="88"/>
      <c r="N1767" s="89">
        <v>14</v>
      </c>
      <c r="O1767" s="90"/>
      <c r="P1767" s="79"/>
      <c r="Q1767" s="80"/>
      <c r="S1767" s="12">
        <v>14</v>
      </c>
      <c r="T1767" s="26">
        <v>4000</v>
      </c>
      <c r="U1767" s="12">
        <f t="shared" si="48"/>
        <v>56000</v>
      </c>
    </row>
    <row r="1768" spans="1:22">
      <c r="A1768" s="17">
        <v>7</v>
      </c>
      <c r="B1768" s="81" t="s">
        <v>86</v>
      </c>
      <c r="C1768" s="82" t="s">
        <v>86</v>
      </c>
      <c r="D1768" s="82" t="s">
        <v>86</v>
      </c>
      <c r="E1768" s="82" t="s">
        <v>86</v>
      </c>
      <c r="F1768" s="82" t="s">
        <v>86</v>
      </c>
      <c r="G1768" s="83" t="s">
        <v>86</v>
      </c>
      <c r="H1768" s="29" t="s">
        <v>97</v>
      </c>
      <c r="I1768" s="84">
        <v>30</v>
      </c>
      <c r="J1768" s="85">
        <v>30</v>
      </c>
      <c r="K1768" s="86">
        <v>30</v>
      </c>
      <c r="L1768" s="87"/>
      <c r="M1768" s="88"/>
      <c r="N1768" s="89">
        <v>30</v>
      </c>
      <c r="O1768" s="90"/>
      <c r="P1768" s="93"/>
      <c r="Q1768" s="93"/>
      <c r="S1768" s="12">
        <v>30</v>
      </c>
      <c r="T1768" s="26">
        <v>4000</v>
      </c>
      <c r="U1768" s="12">
        <f t="shared" si="48"/>
        <v>120000</v>
      </c>
    </row>
    <row r="1769" spans="1:22">
      <c r="A1769" s="17">
        <v>8</v>
      </c>
      <c r="B1769" s="81" t="s">
        <v>87</v>
      </c>
      <c r="C1769" s="82" t="s">
        <v>87</v>
      </c>
      <c r="D1769" s="82" t="s">
        <v>87</v>
      </c>
      <c r="E1769" s="82" t="s">
        <v>87</v>
      </c>
      <c r="F1769" s="82" t="s">
        <v>87</v>
      </c>
      <c r="G1769" s="83" t="s">
        <v>87</v>
      </c>
      <c r="H1769" s="30" t="s">
        <v>25</v>
      </c>
      <c r="I1769" s="84">
        <v>1</v>
      </c>
      <c r="J1769" s="85">
        <v>1</v>
      </c>
      <c r="K1769" s="86">
        <v>1</v>
      </c>
      <c r="L1769" s="94"/>
      <c r="M1769" s="95"/>
      <c r="N1769" s="94">
        <v>1</v>
      </c>
      <c r="O1769" s="95"/>
      <c r="P1769" s="93"/>
      <c r="Q1769" s="93"/>
      <c r="S1769" s="16">
        <v>1</v>
      </c>
      <c r="T1769" s="26">
        <v>31000</v>
      </c>
      <c r="U1769" s="12">
        <f t="shared" si="48"/>
        <v>31000</v>
      </c>
    </row>
    <row r="1770" spans="1:22">
      <c r="A1770" s="17">
        <v>9</v>
      </c>
      <c r="B1770" s="81" t="s">
        <v>88</v>
      </c>
      <c r="C1770" s="82" t="s">
        <v>88</v>
      </c>
      <c r="D1770" s="82" t="s">
        <v>88</v>
      </c>
      <c r="E1770" s="82" t="s">
        <v>88</v>
      </c>
      <c r="F1770" s="82" t="s">
        <v>88</v>
      </c>
      <c r="G1770" s="83" t="s">
        <v>88</v>
      </c>
      <c r="H1770" s="30" t="s">
        <v>25</v>
      </c>
      <c r="I1770" s="84">
        <v>1</v>
      </c>
      <c r="J1770" s="85">
        <v>1</v>
      </c>
      <c r="K1770" s="86">
        <v>1</v>
      </c>
      <c r="L1770" s="87"/>
      <c r="M1770" s="88"/>
      <c r="N1770" s="89"/>
      <c r="O1770" s="90"/>
      <c r="P1770" s="93"/>
      <c r="Q1770" s="93"/>
      <c r="S1770" s="12"/>
      <c r="T1770" s="26">
        <v>30121</v>
      </c>
      <c r="U1770" s="12">
        <f t="shared" si="48"/>
        <v>0</v>
      </c>
    </row>
    <row r="1771" spans="1:22">
      <c r="A1771" s="17">
        <v>10</v>
      </c>
      <c r="B1771" s="81" t="s">
        <v>89</v>
      </c>
      <c r="C1771" s="82"/>
      <c r="D1771" s="82"/>
      <c r="E1771" s="82"/>
      <c r="F1771" s="82"/>
      <c r="G1771" s="83"/>
      <c r="H1771" s="30" t="s">
        <v>98</v>
      </c>
      <c r="I1771" s="84">
        <v>3</v>
      </c>
      <c r="J1771" s="85"/>
      <c r="K1771" s="86"/>
      <c r="L1771" s="87"/>
      <c r="M1771" s="88"/>
      <c r="N1771" s="89">
        <v>3</v>
      </c>
      <c r="O1771" s="90"/>
      <c r="P1771" s="91"/>
      <c r="Q1771" s="92"/>
      <c r="S1771" s="12">
        <v>3</v>
      </c>
      <c r="T1771" s="26">
        <v>14500</v>
      </c>
      <c r="U1771" s="12">
        <f t="shared" si="48"/>
        <v>43500</v>
      </c>
    </row>
    <row r="1772" spans="1:22">
      <c r="A1772" s="17">
        <v>11</v>
      </c>
      <c r="B1772" s="81" t="s">
        <v>90</v>
      </c>
      <c r="C1772" s="82"/>
      <c r="D1772" s="82"/>
      <c r="E1772" s="82"/>
      <c r="F1772" s="82"/>
      <c r="G1772" s="83"/>
      <c r="H1772" s="29" t="s">
        <v>67</v>
      </c>
      <c r="I1772" s="84">
        <v>6</v>
      </c>
      <c r="J1772" s="85"/>
      <c r="K1772" s="86"/>
      <c r="L1772" s="87"/>
      <c r="M1772" s="88"/>
      <c r="N1772" s="89">
        <v>6</v>
      </c>
      <c r="O1772" s="90"/>
      <c r="P1772" s="91"/>
      <c r="Q1772" s="92"/>
      <c r="S1772" s="12">
        <v>6</v>
      </c>
      <c r="T1772" s="26">
        <v>3500</v>
      </c>
      <c r="U1772" s="12">
        <f t="shared" si="48"/>
        <v>21000</v>
      </c>
    </row>
    <row r="1773" spans="1:22">
      <c r="A1773" s="17">
        <v>12</v>
      </c>
      <c r="B1773" s="81" t="s">
        <v>91</v>
      </c>
      <c r="C1773" s="82" t="s">
        <v>89</v>
      </c>
      <c r="D1773" s="82" t="s">
        <v>89</v>
      </c>
      <c r="E1773" s="82" t="s">
        <v>89</v>
      </c>
      <c r="F1773" s="82" t="s">
        <v>89</v>
      </c>
      <c r="G1773" s="83" t="s">
        <v>89</v>
      </c>
      <c r="H1773" s="29" t="s">
        <v>67</v>
      </c>
      <c r="I1773" s="84">
        <v>10</v>
      </c>
      <c r="J1773" s="85">
        <v>10</v>
      </c>
      <c r="K1773" s="86">
        <v>10</v>
      </c>
      <c r="L1773" s="87"/>
      <c r="M1773" s="88"/>
      <c r="N1773" s="89">
        <v>10</v>
      </c>
      <c r="O1773" s="90"/>
      <c r="P1773" s="93"/>
      <c r="Q1773" s="93"/>
      <c r="S1773" s="12">
        <v>10</v>
      </c>
      <c r="T1773" s="26">
        <v>3000</v>
      </c>
      <c r="U1773" s="12">
        <f t="shared" si="48"/>
        <v>30000</v>
      </c>
      <c r="V1773" s="22">
        <f>SUM(U1762:U1773)</f>
        <v>1009000</v>
      </c>
    </row>
    <row r="1774" spans="1:22">
      <c r="A1774" s="17" t="s">
        <v>76</v>
      </c>
      <c r="B1774" s="71" t="s">
        <v>92</v>
      </c>
      <c r="C1774" s="72"/>
      <c r="D1774" s="72"/>
      <c r="E1774" s="72"/>
      <c r="F1774" s="72"/>
      <c r="G1774" s="73"/>
      <c r="H1774" s="30" t="s">
        <v>24</v>
      </c>
      <c r="I1774" s="84">
        <v>1</v>
      </c>
      <c r="J1774" s="85">
        <v>10</v>
      </c>
      <c r="K1774" s="86">
        <v>10</v>
      </c>
      <c r="L1774" s="77"/>
      <c r="M1774" s="78"/>
      <c r="N1774" s="77">
        <v>1</v>
      </c>
      <c r="O1774" s="78"/>
      <c r="P1774" s="79"/>
      <c r="Q1774" s="80"/>
      <c r="S1774" s="12">
        <v>1</v>
      </c>
      <c r="T1774" s="25">
        <v>10391</v>
      </c>
      <c r="U1774" s="12">
        <f>S1774*T1774</f>
        <v>10391</v>
      </c>
      <c r="V1774" s="27"/>
    </row>
    <row r="1775" spans="1:22">
      <c r="A1775" s="23" t="s">
        <v>68</v>
      </c>
      <c r="B1775" s="71" t="s">
        <v>93</v>
      </c>
      <c r="C1775" s="72"/>
      <c r="D1775" s="72"/>
      <c r="E1775" s="72"/>
      <c r="F1775" s="72"/>
      <c r="G1775" s="73"/>
      <c r="H1775" s="30" t="s">
        <v>24</v>
      </c>
      <c r="I1775" s="74">
        <v>1</v>
      </c>
      <c r="J1775" s="75"/>
      <c r="K1775" s="76"/>
      <c r="L1775" s="77">
        <f>N1775-N1702</f>
        <v>0</v>
      </c>
      <c r="M1775" s="78"/>
      <c r="N1775" s="77">
        <f>S1775</f>
        <v>0.9710326243864883</v>
      </c>
      <c r="O1775" s="78"/>
      <c r="P1775" s="77"/>
      <c r="Q1775" s="78"/>
      <c r="S1775" s="21">
        <f>V1773*0.01/T1775</f>
        <v>0.9710326243864883</v>
      </c>
      <c r="T1775" s="25">
        <v>10391</v>
      </c>
      <c r="U1775" s="12">
        <f t="shared" ref="U1775:U1776" si="49">S1775*T1775</f>
        <v>10090</v>
      </c>
    </row>
    <row r="1776" spans="1:22">
      <c r="A1776" s="23" t="s">
        <v>69</v>
      </c>
      <c r="B1776" s="58" t="s">
        <v>94</v>
      </c>
      <c r="C1776" s="59" t="s">
        <v>70</v>
      </c>
      <c r="D1776" s="59" t="s">
        <v>70</v>
      </c>
      <c r="E1776" s="59" t="s">
        <v>70</v>
      </c>
      <c r="F1776" s="59" t="s">
        <v>70</v>
      </c>
      <c r="G1776" s="60" t="s">
        <v>70</v>
      </c>
      <c r="H1776" s="30" t="s">
        <v>24</v>
      </c>
      <c r="I1776" s="74">
        <v>1</v>
      </c>
      <c r="J1776" s="75"/>
      <c r="K1776" s="76"/>
      <c r="L1776" s="77">
        <f>N1776-N1703</f>
        <v>0</v>
      </c>
      <c r="M1776" s="78"/>
      <c r="N1776" s="77">
        <f>S1776</f>
        <v>0.97100592529454621</v>
      </c>
      <c r="O1776" s="78"/>
      <c r="P1776" s="77"/>
      <c r="Q1776" s="78"/>
      <c r="S1776" s="21">
        <f>V1773*0.07/T1776</f>
        <v>0.97100592529454621</v>
      </c>
      <c r="T1776" s="25">
        <v>72739</v>
      </c>
      <c r="U1776" s="12">
        <f t="shared" si="49"/>
        <v>70630</v>
      </c>
    </row>
    <row r="1777" spans="1:21">
      <c r="A1777" s="23" t="s">
        <v>71</v>
      </c>
      <c r="B1777" s="58" t="s">
        <v>95</v>
      </c>
      <c r="C1777" s="59" t="s">
        <v>72</v>
      </c>
      <c r="D1777" s="59" t="s">
        <v>72</v>
      </c>
      <c r="E1777" s="59" t="s">
        <v>72</v>
      </c>
      <c r="F1777" s="59" t="s">
        <v>72</v>
      </c>
      <c r="G1777" s="60" t="s">
        <v>72</v>
      </c>
      <c r="H1777" s="30" t="s">
        <v>24</v>
      </c>
      <c r="I1777" s="74">
        <v>1</v>
      </c>
      <c r="J1777" s="75"/>
      <c r="K1777" s="76"/>
      <c r="L1777" s="77"/>
      <c r="M1777" s="78"/>
      <c r="N1777" s="77">
        <f>S1777</f>
        <v>1</v>
      </c>
      <c r="O1777" s="78"/>
      <c r="P1777" s="77"/>
      <c r="Q1777" s="78"/>
      <c r="S1777" s="21">
        <v>1</v>
      </c>
      <c r="T1777" s="25">
        <v>4156</v>
      </c>
      <c r="U1777" s="12">
        <f>S1777*T1777</f>
        <v>4156</v>
      </c>
    </row>
    <row r="1778" spans="1:21">
      <c r="A1778" s="23" t="s">
        <v>73</v>
      </c>
      <c r="B1778" s="58" t="s">
        <v>96</v>
      </c>
      <c r="C1778" s="59" t="s">
        <v>74</v>
      </c>
      <c r="D1778" s="59" t="s">
        <v>74</v>
      </c>
      <c r="E1778" s="59" t="s">
        <v>74</v>
      </c>
      <c r="F1778" s="59" t="s">
        <v>74</v>
      </c>
      <c r="G1778" s="60" t="s">
        <v>74</v>
      </c>
      <c r="H1778" s="30" t="s">
        <v>24</v>
      </c>
      <c r="I1778" s="74">
        <v>1</v>
      </c>
      <c r="J1778" s="75"/>
      <c r="K1778" s="76"/>
      <c r="L1778" s="77">
        <f>N1778-N1705</f>
        <v>0</v>
      </c>
      <c r="M1778" s="78"/>
      <c r="N1778" s="77">
        <f>S1778</f>
        <v>0.97138194933145683</v>
      </c>
      <c r="O1778" s="78"/>
      <c r="P1778" s="79"/>
      <c r="Q1778" s="80"/>
      <c r="S1778" s="21">
        <f>(V1773+U1774+U1775+U1776+U1777)*0.05/T1778</f>
        <v>0.97138194933145683</v>
      </c>
      <c r="T1778" s="25">
        <v>56840</v>
      </c>
      <c r="U1778" s="12">
        <f>S1778*T1778</f>
        <v>55213.350000000006</v>
      </c>
    </row>
    <row r="1779" spans="1:21">
      <c r="A1779" s="23"/>
      <c r="B1779" s="58"/>
      <c r="C1779" s="59"/>
      <c r="D1779" s="59"/>
      <c r="E1779" s="59"/>
      <c r="F1779" s="59"/>
      <c r="G1779" s="60"/>
      <c r="H1779" s="24"/>
      <c r="I1779" s="58"/>
      <c r="J1779" s="59"/>
      <c r="K1779" s="59"/>
      <c r="L1779" s="58"/>
      <c r="M1779" s="59"/>
      <c r="N1779" s="58"/>
      <c r="O1779" s="59"/>
      <c r="P1779" s="58"/>
      <c r="Q1779" s="60"/>
      <c r="S1779" s="21"/>
      <c r="T1779" s="25"/>
      <c r="U1779" s="28">
        <f>V1773+U1774+U1775+U1776+U1777+U1778</f>
        <v>1159480.3500000001</v>
      </c>
    </row>
    <row r="1780" spans="1:21">
      <c r="A1780" s="23"/>
      <c r="B1780" s="58"/>
      <c r="C1780" s="59"/>
      <c r="D1780" s="59"/>
      <c r="E1780" s="59"/>
      <c r="F1780" s="59"/>
      <c r="G1780" s="60"/>
      <c r="H1780" s="23"/>
      <c r="I1780" s="58"/>
      <c r="J1780" s="59"/>
      <c r="K1780" s="59"/>
      <c r="L1780" s="58"/>
      <c r="M1780" s="59"/>
      <c r="N1780" s="58"/>
      <c r="O1780" s="59"/>
      <c r="P1780" s="58"/>
      <c r="Q1780" s="60"/>
      <c r="S1780" s="21"/>
      <c r="T1780" s="16"/>
      <c r="U1780" s="14">
        <v>1193638</v>
      </c>
    </row>
    <row r="1781" spans="1:21">
      <c r="A1781" s="9"/>
      <c r="B1781" s="58"/>
      <c r="C1781" s="59"/>
      <c r="D1781" s="59"/>
      <c r="E1781" s="59"/>
      <c r="F1781" s="59"/>
      <c r="G1781" s="60"/>
      <c r="H1781" s="9"/>
      <c r="I1781" s="58"/>
      <c r="J1781" s="59"/>
      <c r="K1781" s="59"/>
      <c r="L1781" s="58"/>
      <c r="M1781" s="59"/>
      <c r="N1781" s="58"/>
      <c r="O1781" s="59"/>
      <c r="P1781" s="58"/>
      <c r="Q1781" s="60"/>
      <c r="S1781" s="21"/>
      <c r="T1781" s="16"/>
      <c r="U1781" s="15">
        <f>U1779/U1780</f>
        <v>0.97138357693035915</v>
      </c>
    </row>
    <row r="1782" spans="1:21">
      <c r="A1782" s="9"/>
      <c r="B1782" s="58"/>
      <c r="C1782" s="59"/>
      <c r="D1782" s="59"/>
      <c r="E1782" s="59"/>
      <c r="F1782" s="59"/>
      <c r="G1782" s="60"/>
      <c r="H1782" s="9"/>
      <c r="I1782" s="58"/>
      <c r="J1782" s="59"/>
      <c r="K1782" s="59"/>
      <c r="L1782" s="58"/>
      <c r="M1782" s="59"/>
      <c r="N1782" s="58"/>
      <c r="O1782" s="59"/>
      <c r="P1782" s="58"/>
      <c r="Q1782" s="60"/>
      <c r="S1782" s="21"/>
      <c r="T1782" s="16"/>
      <c r="U1782" s="12"/>
    </row>
    <row r="1783" spans="1:21">
      <c r="A1783" s="9"/>
      <c r="B1783" s="58"/>
      <c r="C1783" s="59"/>
      <c r="D1783" s="59"/>
      <c r="E1783" s="59"/>
      <c r="F1783" s="59"/>
      <c r="G1783" s="60"/>
      <c r="H1783" s="9"/>
      <c r="I1783" s="58"/>
      <c r="J1783" s="59"/>
      <c r="K1783" s="59"/>
      <c r="L1783" s="58"/>
      <c r="M1783" s="59"/>
      <c r="N1783" s="58"/>
      <c r="O1783" s="59"/>
      <c r="P1783" s="58"/>
      <c r="Q1783" s="60"/>
      <c r="S1783" s="21"/>
      <c r="T1783" s="16"/>
      <c r="U1783" s="12"/>
    </row>
    <row r="1784" spans="1:21">
      <c r="A1784" s="9"/>
      <c r="B1784" s="58"/>
      <c r="C1784" s="59"/>
      <c r="D1784" s="59"/>
      <c r="E1784" s="59"/>
      <c r="F1784" s="59"/>
      <c r="G1784" s="60"/>
      <c r="H1784" s="9"/>
      <c r="I1784" s="58"/>
      <c r="J1784" s="59"/>
      <c r="K1784" s="59"/>
      <c r="L1784" s="58"/>
      <c r="M1784" s="59"/>
      <c r="N1784" s="58"/>
      <c r="O1784" s="59"/>
      <c r="P1784" s="58"/>
      <c r="Q1784" s="60"/>
      <c r="S1784" s="21"/>
      <c r="T1784" s="16"/>
      <c r="U1784" s="12"/>
    </row>
    <row r="1785" spans="1:21">
      <c r="A1785" s="9"/>
      <c r="B1785" s="58"/>
      <c r="C1785" s="59"/>
      <c r="D1785" s="59"/>
      <c r="E1785" s="59"/>
      <c r="F1785" s="59"/>
      <c r="G1785" s="60"/>
      <c r="H1785" s="9"/>
      <c r="I1785" s="58"/>
      <c r="J1785" s="59"/>
      <c r="K1785" s="59"/>
      <c r="L1785" s="58"/>
      <c r="M1785" s="59"/>
      <c r="N1785" s="58"/>
      <c r="O1785" s="59"/>
      <c r="P1785" s="58"/>
      <c r="Q1785" s="60"/>
      <c r="S1785" s="21"/>
      <c r="T1785" s="16"/>
      <c r="U1785" s="12"/>
    </row>
    <row r="1786" spans="1:21">
      <c r="A1786" s="7"/>
      <c r="B1786" s="61"/>
      <c r="C1786" s="62"/>
      <c r="D1786" s="62"/>
      <c r="E1786" s="62"/>
      <c r="F1786" s="62"/>
      <c r="G1786" s="63"/>
      <c r="H1786" s="9"/>
      <c r="I1786" s="64"/>
      <c r="J1786" s="65"/>
      <c r="K1786" s="66"/>
      <c r="L1786" s="67"/>
      <c r="M1786" s="68"/>
      <c r="N1786" s="67"/>
      <c r="O1786" s="68"/>
      <c r="P1786" s="69"/>
      <c r="Q1786" s="70"/>
      <c r="S1786" s="21"/>
      <c r="T1786" s="16"/>
    </row>
    <row r="1787" spans="1:21">
      <c r="A1787" s="44" t="s">
        <v>29</v>
      </c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T1787" s="20"/>
    </row>
    <row r="1788" spans="1:21">
      <c r="A1788" s="44" t="s">
        <v>30</v>
      </c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T1788" s="20"/>
    </row>
    <row r="1789" spans="1:21">
      <c r="A1789" s="44" t="s">
        <v>31</v>
      </c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T1789" s="20"/>
    </row>
    <row r="1790" spans="1:21">
      <c r="A1790" s="44" t="s">
        <v>32</v>
      </c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T1790" s="20"/>
    </row>
    <row r="1791" spans="1:21">
      <c r="A1791" s="54" t="s">
        <v>33</v>
      </c>
      <c r="B1791" s="54"/>
      <c r="C1791" s="54"/>
      <c r="D1791" s="54"/>
      <c r="E1791" s="54"/>
      <c r="F1791" s="54"/>
      <c r="G1791" s="54"/>
      <c r="H1791" s="54" t="s">
        <v>20</v>
      </c>
      <c r="I1791" s="54"/>
      <c r="J1791" s="54"/>
      <c r="K1791" s="54" t="s">
        <v>34</v>
      </c>
      <c r="L1791" s="54"/>
      <c r="M1791" s="54" t="s">
        <v>35</v>
      </c>
      <c r="N1791" s="54"/>
      <c r="O1791" s="54" t="s">
        <v>36</v>
      </c>
      <c r="P1791" s="54"/>
      <c r="Q1791" s="54"/>
      <c r="T1791" s="20"/>
    </row>
    <row r="1792" spans="1:21">
      <c r="A1792" s="55"/>
      <c r="B1792" s="56"/>
      <c r="C1792" s="56"/>
      <c r="D1792" s="56"/>
      <c r="E1792" s="56"/>
      <c r="F1792" s="56"/>
      <c r="G1792" s="57"/>
      <c r="H1792" s="55"/>
      <c r="I1792" s="56"/>
      <c r="J1792" s="57"/>
      <c r="K1792" s="55"/>
      <c r="L1792" s="56"/>
      <c r="M1792" s="55"/>
      <c r="N1792" s="56"/>
      <c r="O1792" s="55"/>
      <c r="P1792" s="56"/>
      <c r="Q1792" s="57"/>
      <c r="T1792" s="20"/>
    </row>
    <row r="1793" spans="1:20">
      <c r="A1793" s="55"/>
      <c r="B1793" s="56"/>
      <c r="C1793" s="56"/>
      <c r="D1793" s="56"/>
      <c r="E1793" s="56"/>
      <c r="F1793" s="56"/>
      <c r="G1793" s="57"/>
      <c r="H1793" s="55"/>
      <c r="I1793" s="56"/>
      <c r="J1793" s="57"/>
      <c r="K1793" s="55"/>
      <c r="L1793" s="56"/>
      <c r="M1793" s="55"/>
      <c r="N1793" s="56"/>
      <c r="O1793" s="55"/>
      <c r="P1793" s="56"/>
      <c r="Q1793" s="57"/>
      <c r="T1793" s="20"/>
    </row>
    <row r="1794" spans="1:20">
      <c r="A1794" s="53"/>
      <c r="B1794" s="53"/>
      <c r="C1794" s="53"/>
      <c r="D1794" s="53"/>
      <c r="E1794" s="53"/>
      <c r="F1794" s="53"/>
      <c r="G1794" s="53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T1794" s="20"/>
    </row>
    <row r="1795" spans="1:20">
      <c r="A1795" s="53"/>
      <c r="B1795" s="53"/>
      <c r="C1795" s="53"/>
      <c r="D1795" s="53"/>
      <c r="E1795" s="53"/>
      <c r="F1795" s="53"/>
      <c r="G1795" s="53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T1795" s="20"/>
    </row>
    <row r="1796" spans="1:20">
      <c r="A1796" s="44" t="s">
        <v>37</v>
      </c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T1796" s="20"/>
    </row>
    <row r="1797" spans="1:20">
      <c r="A1797" s="46" t="s">
        <v>38</v>
      </c>
      <c r="B1797" s="46"/>
      <c r="C1797" s="47" t="s">
        <v>39</v>
      </c>
      <c r="D1797" s="48"/>
      <c r="E1797" s="48"/>
      <c r="F1797" s="47" t="s">
        <v>40</v>
      </c>
      <c r="G1797" s="48"/>
      <c r="H1797" s="49"/>
      <c r="I1797" s="46" t="s">
        <v>41</v>
      </c>
      <c r="J1797" s="46"/>
      <c r="K1797" s="46"/>
      <c r="L1797" s="46" t="s">
        <v>35</v>
      </c>
      <c r="M1797" s="46"/>
      <c r="N1797" s="46"/>
      <c r="O1797" s="46" t="s">
        <v>36</v>
      </c>
      <c r="P1797" s="46"/>
      <c r="Q1797" s="46"/>
      <c r="T1797" s="20"/>
    </row>
    <row r="1798" spans="1:20">
      <c r="A1798" s="47" t="s">
        <v>42</v>
      </c>
      <c r="B1798" s="49"/>
      <c r="C1798" s="47"/>
      <c r="D1798" s="48"/>
      <c r="E1798" s="49"/>
      <c r="F1798" s="47">
        <f>F1725+C1798</f>
        <v>30</v>
      </c>
      <c r="G1798" s="48"/>
      <c r="H1798" s="49"/>
      <c r="I1798" s="47"/>
      <c r="J1798" s="48"/>
      <c r="K1798" s="49"/>
      <c r="L1798" s="47"/>
      <c r="M1798" s="48"/>
      <c r="N1798" s="49"/>
      <c r="O1798" s="47"/>
      <c r="P1798" s="48"/>
      <c r="Q1798" s="49"/>
      <c r="T1798" s="20"/>
    </row>
    <row r="1799" spans="1:20">
      <c r="A1799" s="47" t="s">
        <v>100</v>
      </c>
      <c r="B1799" s="49"/>
      <c r="C1799" s="47"/>
      <c r="D1799" s="48"/>
      <c r="E1799" s="49"/>
      <c r="F1799" s="47">
        <f>F1726+C1799</f>
        <v>2</v>
      </c>
      <c r="G1799" s="48"/>
      <c r="H1799" s="49"/>
      <c r="I1799" s="47"/>
      <c r="J1799" s="48"/>
      <c r="K1799" s="49"/>
      <c r="L1799" s="47"/>
      <c r="M1799" s="48"/>
      <c r="N1799" s="49"/>
      <c r="O1799" s="47"/>
      <c r="P1799" s="48"/>
      <c r="Q1799" s="49"/>
      <c r="T1799" s="20"/>
    </row>
    <row r="1800" spans="1:20">
      <c r="A1800" s="47"/>
      <c r="B1800" s="49"/>
      <c r="C1800" s="47"/>
      <c r="D1800" s="48"/>
      <c r="E1800" s="49"/>
      <c r="F1800" s="47"/>
      <c r="G1800" s="48"/>
      <c r="H1800" s="49"/>
      <c r="I1800" s="47"/>
      <c r="J1800" s="48"/>
      <c r="K1800" s="49"/>
      <c r="L1800" s="47"/>
      <c r="M1800" s="48"/>
      <c r="N1800" s="49"/>
      <c r="O1800" s="47"/>
      <c r="P1800" s="48"/>
      <c r="Q1800" s="49"/>
      <c r="T1800" s="20"/>
    </row>
    <row r="1801" spans="1:20">
      <c r="A1801" s="46"/>
      <c r="B1801" s="46"/>
      <c r="C1801" s="47"/>
      <c r="D1801" s="48"/>
      <c r="E1801" s="49"/>
      <c r="F1801" s="47"/>
      <c r="G1801" s="48"/>
      <c r="H1801" s="49"/>
      <c r="I1801" s="47"/>
      <c r="J1801" s="48"/>
      <c r="K1801" s="49"/>
      <c r="L1801" s="47"/>
      <c r="M1801" s="48"/>
      <c r="N1801" s="49"/>
      <c r="O1801" s="47"/>
      <c r="P1801" s="48"/>
      <c r="Q1801" s="49"/>
      <c r="T1801" s="20"/>
    </row>
    <row r="1802" spans="1:20">
      <c r="A1802" s="46"/>
      <c r="B1802" s="46"/>
      <c r="C1802" s="47"/>
      <c r="D1802" s="48"/>
      <c r="E1802" s="49"/>
      <c r="F1802" s="47"/>
      <c r="G1802" s="48"/>
      <c r="H1802" s="49"/>
      <c r="I1802" s="47"/>
      <c r="J1802" s="48"/>
      <c r="K1802" s="49"/>
      <c r="L1802" s="47"/>
      <c r="M1802" s="48"/>
      <c r="N1802" s="49"/>
      <c r="O1802" s="47"/>
      <c r="P1802" s="48"/>
      <c r="Q1802" s="49"/>
      <c r="T1802" s="20"/>
    </row>
    <row r="1803" spans="1:20">
      <c r="A1803" s="50" t="s">
        <v>43</v>
      </c>
      <c r="B1803" s="51"/>
      <c r="C1803" s="51"/>
      <c r="D1803" s="51"/>
      <c r="E1803" s="51"/>
      <c r="F1803" s="51"/>
      <c r="G1803" s="51"/>
      <c r="H1803" s="51"/>
      <c r="I1803" s="51"/>
      <c r="J1803" s="51"/>
      <c r="K1803" s="51"/>
      <c r="L1803" s="51"/>
      <c r="M1803" s="51"/>
      <c r="N1803" s="51"/>
      <c r="O1803" s="51"/>
      <c r="P1803" s="51"/>
      <c r="Q1803" s="52"/>
      <c r="T1803" s="20"/>
    </row>
    <row r="1804" spans="1:20">
      <c r="A1804" s="38" t="s">
        <v>44</v>
      </c>
      <c r="B1804" s="39"/>
      <c r="C1804" s="39"/>
      <c r="D1804" s="39"/>
      <c r="E1804" s="39"/>
      <c r="F1804" s="39"/>
      <c r="G1804" s="39"/>
      <c r="H1804" s="39"/>
      <c r="I1804" s="39"/>
      <c r="J1804" s="39"/>
      <c r="K1804" s="39"/>
      <c r="L1804" s="39"/>
      <c r="M1804" s="39"/>
      <c r="N1804" s="39"/>
      <c r="O1804" s="39"/>
      <c r="P1804" s="39"/>
      <c r="Q1804" s="40"/>
      <c r="T1804" s="20"/>
    </row>
    <row r="1805" spans="1:20">
      <c r="A1805" s="41" t="s">
        <v>45</v>
      </c>
      <c r="B1805" s="42"/>
      <c r="C1805" s="42"/>
      <c r="D1805" s="42"/>
      <c r="E1805" s="42"/>
      <c r="F1805" s="42"/>
      <c r="G1805" s="42"/>
      <c r="H1805" s="42"/>
      <c r="I1805" s="42"/>
      <c r="J1805" s="42"/>
      <c r="K1805" s="42"/>
      <c r="L1805" s="42"/>
      <c r="M1805" s="42"/>
      <c r="N1805" s="42"/>
      <c r="O1805" s="42"/>
      <c r="P1805" s="42"/>
      <c r="Q1805" s="43"/>
      <c r="T1805" s="20"/>
    </row>
    <row r="1806" spans="1:20">
      <c r="A1806" s="50" t="s">
        <v>46</v>
      </c>
      <c r="B1806" s="51"/>
      <c r="C1806" s="51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2"/>
      <c r="T1806" s="20"/>
    </row>
    <row r="1807" spans="1:20">
      <c r="A1807" s="38" t="s">
        <v>47</v>
      </c>
      <c r="B1807" s="39"/>
      <c r="C1807" s="39"/>
      <c r="D1807" s="39"/>
      <c r="E1807" s="39"/>
      <c r="F1807" s="39"/>
      <c r="G1807" s="39"/>
      <c r="H1807" s="39"/>
      <c r="I1807" s="39"/>
      <c r="J1807" s="39"/>
      <c r="K1807" s="39"/>
      <c r="L1807" s="39"/>
      <c r="M1807" s="39"/>
      <c r="N1807" s="39"/>
      <c r="O1807" s="39"/>
      <c r="P1807" s="39"/>
      <c r="Q1807" s="40"/>
      <c r="T1807" s="20"/>
    </row>
    <row r="1808" spans="1:20">
      <c r="A1808" s="38" t="s">
        <v>48</v>
      </c>
      <c r="B1808" s="39"/>
      <c r="C1808" s="39"/>
      <c r="D1808" s="39"/>
      <c r="E1808" s="39"/>
      <c r="F1808" s="39"/>
      <c r="G1808" s="39"/>
      <c r="H1808" s="39"/>
      <c r="I1808" s="39"/>
      <c r="J1808" s="39"/>
      <c r="K1808" s="39"/>
      <c r="L1808" s="39"/>
      <c r="M1808" s="39"/>
      <c r="N1808" s="39"/>
      <c r="O1808" s="39"/>
      <c r="P1808" s="39"/>
      <c r="Q1808" s="40"/>
      <c r="T1808" s="20"/>
    </row>
    <row r="1809" spans="1:20">
      <c r="A1809" s="38" t="s">
        <v>49</v>
      </c>
      <c r="B1809" s="39"/>
      <c r="C1809" s="39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40"/>
      <c r="T1809" s="20"/>
    </row>
    <row r="1810" spans="1:20">
      <c r="A1810" s="38" t="s">
        <v>50</v>
      </c>
      <c r="B1810" s="39"/>
      <c r="C1810" s="39"/>
      <c r="D1810" s="39"/>
      <c r="E1810" s="39"/>
      <c r="F1810" s="39"/>
      <c r="G1810" s="39"/>
      <c r="H1810" s="39"/>
      <c r="I1810" s="39"/>
      <c r="J1810" s="39"/>
      <c r="K1810" s="39"/>
      <c r="L1810" s="39"/>
      <c r="M1810" s="39"/>
      <c r="N1810" s="39"/>
      <c r="O1810" s="39"/>
      <c r="P1810" s="39"/>
      <c r="Q1810" s="40"/>
      <c r="T1810" s="20"/>
    </row>
    <row r="1811" spans="1:20">
      <c r="A1811" s="38" t="s">
        <v>51</v>
      </c>
      <c r="B1811" s="39"/>
      <c r="C1811" s="39"/>
      <c r="D1811" s="39"/>
      <c r="E1811" s="39"/>
      <c r="F1811" s="39"/>
      <c r="G1811" s="39"/>
      <c r="H1811" s="39"/>
      <c r="I1811" s="39"/>
      <c r="J1811" s="39"/>
      <c r="K1811" s="39"/>
      <c r="L1811" s="39"/>
      <c r="M1811" s="39"/>
      <c r="N1811" s="39"/>
      <c r="O1811" s="39"/>
      <c r="P1811" s="39"/>
      <c r="Q1811" s="40"/>
      <c r="T1811" s="20"/>
    </row>
    <row r="1812" spans="1:20">
      <c r="A1812" s="41" t="s">
        <v>52</v>
      </c>
      <c r="B1812" s="42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  <c r="P1812" s="42"/>
      <c r="Q1812" s="43"/>
      <c r="T1812" s="20"/>
    </row>
    <row r="1813" spans="1:20">
      <c r="A1813" s="44" t="s">
        <v>53</v>
      </c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T1813" s="20"/>
    </row>
    <row r="1814" spans="1:20">
      <c r="A1814" s="44" t="s">
        <v>54</v>
      </c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T1814" s="20"/>
    </row>
    <row r="1815" spans="1:20">
      <c r="A1815" s="44" t="s">
        <v>99</v>
      </c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T1815" s="20"/>
    </row>
    <row r="1816" spans="1:20">
      <c r="A1816" s="44" t="s">
        <v>55</v>
      </c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T1816" s="20"/>
    </row>
    <row r="1817" spans="1:20">
      <c r="A1817" s="45" t="s">
        <v>56</v>
      </c>
      <c r="B1817" s="45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T1817" s="20"/>
    </row>
    <row r="1818" spans="1:20">
      <c r="A1818" s="37" t="s">
        <v>57</v>
      </c>
      <c r="B1818" s="37"/>
      <c r="C1818" s="37"/>
      <c r="D1818" s="37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T1818" s="20"/>
    </row>
    <row r="1819" spans="1:20">
      <c r="A1819" s="37" t="s">
        <v>58</v>
      </c>
      <c r="B1819" s="37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/>
      <c r="T1819" s="20"/>
    </row>
    <row r="1820" spans="1:20">
      <c r="A1820" s="37" t="s">
        <v>59</v>
      </c>
      <c r="B1820" s="37"/>
      <c r="C1820" s="37"/>
      <c r="D1820" s="37"/>
      <c r="E1820" s="37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  <c r="P1820" s="37"/>
      <c r="Q1820" s="37"/>
      <c r="T1820" s="20"/>
    </row>
    <row r="1821" spans="1:20">
      <c r="A1821" s="37" t="s">
        <v>60</v>
      </c>
      <c r="B1821" s="37"/>
      <c r="C1821" s="37"/>
      <c r="D1821" s="37"/>
      <c r="E1821" s="37"/>
      <c r="F1821" s="37"/>
      <c r="G1821" s="37"/>
      <c r="H1821" s="37"/>
      <c r="I1821" s="37"/>
      <c r="J1821" s="37"/>
      <c r="K1821" s="37"/>
      <c r="L1821" s="37"/>
      <c r="M1821" s="37"/>
      <c r="N1821" s="37"/>
      <c r="O1821" s="37"/>
      <c r="P1821" s="37"/>
      <c r="Q1821" s="37"/>
      <c r="T1821" s="20"/>
    </row>
    <row r="1822" spans="1:20">
      <c r="A1822" s="37" t="s">
        <v>61</v>
      </c>
      <c r="B1822" s="37"/>
      <c r="C1822" s="37"/>
      <c r="D1822" s="37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T1822" s="20"/>
    </row>
    <row r="1823" spans="1:20">
      <c r="A1823" s="37" t="s">
        <v>62</v>
      </c>
      <c r="B1823" s="37"/>
      <c r="C1823" s="37"/>
      <c r="D1823" s="37"/>
      <c r="E1823" s="37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  <c r="P1823" s="37"/>
      <c r="Q1823" s="37"/>
      <c r="T1823" s="20"/>
    </row>
    <row r="1824" spans="1:20">
      <c r="A1824" s="37" t="s">
        <v>63</v>
      </c>
      <c r="B1824" s="37"/>
      <c r="C1824" s="37"/>
      <c r="D1824" s="37"/>
      <c r="E1824" s="37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  <c r="P1824" s="37"/>
      <c r="Q1824" s="37"/>
      <c r="T1824" s="20"/>
    </row>
    <row r="1825" spans="1:21">
      <c r="A1825" s="37" t="s">
        <v>75</v>
      </c>
      <c r="B1825" s="37"/>
      <c r="C1825" s="37"/>
      <c r="D1825" s="37"/>
      <c r="E1825" s="37"/>
      <c r="F1825" s="37"/>
      <c r="G1825" s="37"/>
      <c r="H1825" s="37"/>
      <c r="I1825" s="37"/>
      <c r="J1825" s="37"/>
      <c r="K1825" s="37"/>
      <c r="L1825" s="37"/>
      <c r="M1825" s="37"/>
      <c r="N1825" s="37"/>
      <c r="O1825" s="37"/>
      <c r="P1825" s="37"/>
      <c r="Q1825" s="37"/>
      <c r="T1825" s="20"/>
    </row>
    <row r="1826" spans="1:21" ht="39" customHeight="1">
      <c r="B1826" s="120" t="s">
        <v>0</v>
      </c>
      <c r="C1826" s="120"/>
      <c r="D1826" s="120"/>
      <c r="E1826" s="120"/>
      <c r="F1826" s="120"/>
      <c r="G1826" s="120"/>
      <c r="H1826" s="120"/>
      <c r="I1826" s="120"/>
      <c r="J1826" s="120"/>
      <c r="K1826" s="120"/>
      <c r="L1826" s="120"/>
      <c r="M1826" s="120"/>
      <c r="N1826" s="120"/>
      <c r="O1826" s="120"/>
      <c r="P1826" s="120"/>
      <c r="Q1826" s="120"/>
      <c r="T1826" s="20"/>
    </row>
    <row r="1827" spans="1:21">
      <c r="B1827" s="6" t="s">
        <v>1</v>
      </c>
      <c r="C1827" s="121" t="s">
        <v>2</v>
      </c>
      <c r="D1827" s="121"/>
      <c r="E1827" s="1" t="s">
        <v>3</v>
      </c>
      <c r="F1827" s="121" t="s">
        <v>4</v>
      </c>
      <c r="G1827" s="121"/>
      <c r="H1827" s="1" t="s">
        <v>3</v>
      </c>
      <c r="I1827" s="1"/>
      <c r="J1827" s="121" t="s">
        <v>5</v>
      </c>
      <c r="K1827" s="121"/>
      <c r="L1827" s="121"/>
      <c r="M1827" s="122">
        <f>M1754+1</f>
        <v>46252</v>
      </c>
      <c r="N1827" s="122"/>
      <c r="O1827" s="122"/>
      <c r="P1827" s="123"/>
      <c r="Q1827" s="123"/>
      <c r="T1827" s="20"/>
    </row>
    <row r="1828" spans="1:21">
      <c r="A1828" s="96" t="s">
        <v>6</v>
      </c>
      <c r="B1828" s="96"/>
      <c r="C1828" s="124" t="s">
        <v>79</v>
      </c>
      <c r="D1828" s="125"/>
      <c r="E1828" s="125"/>
      <c r="F1828" s="125"/>
      <c r="G1828" s="125"/>
      <c r="H1828" s="125"/>
      <c r="I1828" s="126"/>
      <c r="J1828" s="127" t="s">
        <v>7</v>
      </c>
      <c r="K1828" s="128"/>
      <c r="L1828" s="128"/>
      <c r="M1828" s="129"/>
      <c r="N1828" s="130" t="s">
        <v>78</v>
      </c>
      <c r="O1828" s="130"/>
      <c r="P1828" s="130"/>
      <c r="Q1828" s="131"/>
      <c r="T1828" s="20"/>
    </row>
    <row r="1829" spans="1:21">
      <c r="A1829" s="96" t="s">
        <v>8</v>
      </c>
      <c r="B1829" s="96"/>
      <c r="C1829" s="4">
        <v>30</v>
      </c>
      <c r="D1829" s="3" t="s">
        <v>9</v>
      </c>
      <c r="E1829" s="127" t="s">
        <v>10</v>
      </c>
      <c r="F1829" s="129"/>
      <c r="G1829" s="127">
        <f>G1756+1</f>
        <v>26</v>
      </c>
      <c r="H1829" s="128"/>
      <c r="I1829" s="3" t="s">
        <v>9</v>
      </c>
      <c r="J1829" s="96" t="s">
        <v>11</v>
      </c>
      <c r="K1829" s="96"/>
      <c r="L1829" s="35">
        <f>C1829-G1829</f>
        <v>4</v>
      </c>
      <c r="M1829" s="2" t="s">
        <v>9</v>
      </c>
      <c r="N1829" s="96" t="s">
        <v>12</v>
      </c>
      <c r="O1829" s="96"/>
      <c r="P1829" s="2"/>
      <c r="Q1829" s="3" t="s">
        <v>9</v>
      </c>
      <c r="T1829" s="20"/>
    </row>
    <row r="1830" spans="1:21">
      <c r="A1830" s="96" t="s">
        <v>13</v>
      </c>
      <c r="B1830" s="96"/>
      <c r="C1830" s="132">
        <v>46227</v>
      </c>
      <c r="D1830" s="132"/>
      <c r="E1830" s="132"/>
      <c r="F1830" s="132"/>
      <c r="G1830" s="132"/>
      <c r="H1830" s="132"/>
      <c r="I1830" s="132"/>
      <c r="J1830" s="127" t="s">
        <v>14</v>
      </c>
      <c r="K1830" s="128"/>
      <c r="L1830" s="128"/>
      <c r="M1830" s="129"/>
      <c r="N1830" s="133">
        <v>46256</v>
      </c>
      <c r="O1830" s="134"/>
      <c r="P1830" s="134"/>
      <c r="Q1830" s="135"/>
      <c r="T1830" s="20"/>
    </row>
    <row r="1831" spans="1:21">
      <c r="A1831" s="96" t="s">
        <v>15</v>
      </c>
      <c r="B1831" s="96"/>
      <c r="C1831" s="97">
        <v>98</v>
      </c>
      <c r="D1831" s="98"/>
      <c r="E1831" s="98"/>
      <c r="F1831" s="98"/>
      <c r="G1831" s="98"/>
      <c r="H1831" s="99" t="s">
        <v>16</v>
      </c>
      <c r="I1831" s="100"/>
      <c r="J1831" s="101" t="s">
        <v>17</v>
      </c>
      <c r="K1831" s="101"/>
      <c r="L1831" s="101"/>
      <c r="M1831" s="101"/>
      <c r="N1831" s="102">
        <f>U1854</f>
        <v>0.99999963473012754</v>
      </c>
      <c r="O1831" s="102"/>
      <c r="P1831" s="102"/>
      <c r="Q1831" s="102"/>
      <c r="T1831" s="20"/>
    </row>
    <row r="1832" spans="1:21">
      <c r="A1832" s="103" t="s">
        <v>18</v>
      </c>
      <c r="B1832" s="104"/>
      <c r="C1832" s="104"/>
      <c r="D1832" s="104"/>
      <c r="E1832" s="104"/>
      <c r="F1832" s="104"/>
      <c r="G1832" s="104"/>
      <c r="H1832" s="104"/>
      <c r="I1832" s="104"/>
      <c r="J1832" s="104"/>
      <c r="K1832" s="104"/>
      <c r="L1832" s="104"/>
      <c r="M1832" s="104"/>
      <c r="N1832" s="104"/>
      <c r="O1832" s="104"/>
      <c r="P1832" s="104"/>
      <c r="Q1832" s="105"/>
      <c r="T1832" s="20"/>
    </row>
    <row r="1833" spans="1:21">
      <c r="A1833" s="7"/>
      <c r="B1833" s="106" t="s">
        <v>19</v>
      </c>
      <c r="C1833" s="107"/>
      <c r="D1833" s="107"/>
      <c r="E1833" s="107"/>
      <c r="F1833" s="107"/>
      <c r="G1833" s="108"/>
      <c r="H1833" s="8" t="s">
        <v>20</v>
      </c>
      <c r="I1833" s="109" t="s">
        <v>21</v>
      </c>
      <c r="J1833" s="110"/>
      <c r="K1833" s="111"/>
      <c r="L1833" s="109" t="s">
        <v>28</v>
      </c>
      <c r="M1833" s="111"/>
      <c r="N1833" s="106" t="s">
        <v>22</v>
      </c>
      <c r="O1833" s="112"/>
      <c r="P1833" s="113" t="s">
        <v>23</v>
      </c>
      <c r="Q1833" s="113"/>
      <c r="S1833" s="33" t="s">
        <v>22</v>
      </c>
      <c r="T1833" s="34" t="s">
        <v>64</v>
      </c>
      <c r="U1833" s="13" t="s">
        <v>27</v>
      </c>
    </row>
    <row r="1834" spans="1:21">
      <c r="A1834" s="17" t="s">
        <v>65</v>
      </c>
      <c r="B1834" s="114" t="s">
        <v>66</v>
      </c>
      <c r="C1834" s="115"/>
      <c r="D1834" s="115"/>
      <c r="E1834" s="115"/>
      <c r="F1834" s="115"/>
      <c r="G1834" s="116"/>
      <c r="H1834" s="17"/>
      <c r="I1834" s="117"/>
      <c r="J1834" s="118"/>
      <c r="K1834" s="119"/>
      <c r="L1834" s="77"/>
      <c r="M1834" s="78"/>
      <c r="N1834" s="77"/>
      <c r="O1834" s="78"/>
      <c r="P1834" s="93"/>
      <c r="Q1834" s="93"/>
      <c r="S1834" s="16"/>
      <c r="T1834" s="16"/>
      <c r="U1834" s="16" t="s">
        <v>26</v>
      </c>
    </row>
    <row r="1835" spans="1:21">
      <c r="A1835" s="17">
        <v>1</v>
      </c>
      <c r="B1835" s="81" t="s">
        <v>80</v>
      </c>
      <c r="C1835" s="82"/>
      <c r="D1835" s="82"/>
      <c r="E1835" s="82"/>
      <c r="F1835" s="82"/>
      <c r="G1835" s="83"/>
      <c r="H1835" s="29" t="s">
        <v>67</v>
      </c>
      <c r="I1835" s="84">
        <v>18</v>
      </c>
      <c r="J1835" s="85"/>
      <c r="K1835" s="86"/>
      <c r="L1835" s="87"/>
      <c r="M1835" s="88"/>
      <c r="N1835" s="89">
        <v>18</v>
      </c>
      <c r="O1835" s="90"/>
      <c r="P1835" s="93"/>
      <c r="Q1835" s="93"/>
      <c r="S1835" s="12">
        <v>18</v>
      </c>
      <c r="T1835" s="26">
        <v>18000</v>
      </c>
      <c r="U1835" s="12">
        <f>S1835*T1835</f>
        <v>324000</v>
      </c>
    </row>
    <row r="1836" spans="1:21" ht="32.1" customHeight="1">
      <c r="A1836" s="17">
        <v>2</v>
      </c>
      <c r="B1836" s="81" t="s">
        <v>81</v>
      </c>
      <c r="C1836" s="82" t="s">
        <v>81</v>
      </c>
      <c r="D1836" s="82" t="s">
        <v>81</v>
      </c>
      <c r="E1836" s="82" t="s">
        <v>81</v>
      </c>
      <c r="F1836" s="82" t="s">
        <v>81</v>
      </c>
      <c r="G1836" s="83" t="s">
        <v>81</v>
      </c>
      <c r="H1836" s="29" t="s">
        <v>97</v>
      </c>
      <c r="I1836" s="84">
        <v>166</v>
      </c>
      <c r="J1836" s="85"/>
      <c r="K1836" s="86"/>
      <c r="L1836" s="87"/>
      <c r="M1836" s="88"/>
      <c r="N1836" s="89">
        <v>166</v>
      </c>
      <c r="O1836" s="90"/>
      <c r="P1836" s="93"/>
      <c r="Q1836" s="93"/>
      <c r="S1836" s="12">
        <v>166</v>
      </c>
      <c r="T1836" s="26">
        <v>750</v>
      </c>
      <c r="U1836" s="12">
        <f t="shared" ref="U1836:U1846" si="50">S1836*T1836</f>
        <v>124500</v>
      </c>
    </row>
    <row r="1837" spans="1:21">
      <c r="A1837" s="17">
        <v>3</v>
      </c>
      <c r="B1837" s="81" t="s">
        <v>82</v>
      </c>
      <c r="C1837" s="82" t="s">
        <v>82</v>
      </c>
      <c r="D1837" s="82" t="s">
        <v>82</v>
      </c>
      <c r="E1837" s="82" t="s">
        <v>82</v>
      </c>
      <c r="F1837" s="82" t="s">
        <v>82</v>
      </c>
      <c r="G1837" s="83" t="s">
        <v>82</v>
      </c>
      <c r="H1837" s="29" t="s">
        <v>97</v>
      </c>
      <c r="I1837" s="84">
        <v>540</v>
      </c>
      <c r="J1837" s="85">
        <v>540</v>
      </c>
      <c r="K1837" s="86">
        <v>540</v>
      </c>
      <c r="L1837" s="87"/>
      <c r="M1837" s="88"/>
      <c r="N1837" s="89">
        <v>540</v>
      </c>
      <c r="O1837" s="90"/>
      <c r="P1837" s="93"/>
      <c r="Q1837" s="93"/>
      <c r="S1837" s="12">
        <v>540</v>
      </c>
      <c r="T1837" s="26">
        <v>340</v>
      </c>
      <c r="U1837" s="12">
        <f t="shared" si="50"/>
        <v>183600</v>
      </c>
    </row>
    <row r="1838" spans="1:21">
      <c r="A1838" s="17">
        <v>4</v>
      </c>
      <c r="B1838" s="81" t="s">
        <v>83</v>
      </c>
      <c r="C1838" s="82" t="s">
        <v>83</v>
      </c>
      <c r="D1838" s="82" t="s">
        <v>83</v>
      </c>
      <c r="E1838" s="82" t="s">
        <v>83</v>
      </c>
      <c r="F1838" s="82" t="s">
        <v>83</v>
      </c>
      <c r="G1838" s="83" t="s">
        <v>83</v>
      </c>
      <c r="H1838" s="29" t="s">
        <v>67</v>
      </c>
      <c r="I1838" s="84">
        <v>20</v>
      </c>
      <c r="J1838" s="85">
        <v>20</v>
      </c>
      <c r="K1838" s="86">
        <v>20</v>
      </c>
      <c r="L1838" s="87"/>
      <c r="M1838" s="88"/>
      <c r="N1838" s="89">
        <v>20</v>
      </c>
      <c r="O1838" s="90"/>
      <c r="P1838" s="93"/>
      <c r="Q1838" s="93"/>
      <c r="S1838" s="12">
        <v>20</v>
      </c>
      <c r="T1838" s="26">
        <v>1250</v>
      </c>
      <c r="U1838" s="12">
        <f t="shared" si="50"/>
        <v>25000</v>
      </c>
    </row>
    <row r="1839" spans="1:21" ht="31.5" customHeight="1">
      <c r="A1839" s="17">
        <v>5</v>
      </c>
      <c r="B1839" s="81" t="s">
        <v>84</v>
      </c>
      <c r="C1839" s="82" t="s">
        <v>84</v>
      </c>
      <c r="D1839" s="82" t="s">
        <v>84</v>
      </c>
      <c r="E1839" s="82" t="s">
        <v>84</v>
      </c>
      <c r="F1839" s="82" t="s">
        <v>84</v>
      </c>
      <c r="G1839" s="83" t="s">
        <v>84</v>
      </c>
      <c r="H1839" s="29" t="s">
        <v>97</v>
      </c>
      <c r="I1839" s="84">
        <v>28</v>
      </c>
      <c r="J1839" s="85">
        <v>28</v>
      </c>
      <c r="K1839" s="86">
        <v>28</v>
      </c>
      <c r="L1839" s="87"/>
      <c r="M1839" s="88"/>
      <c r="N1839" s="89">
        <v>28</v>
      </c>
      <c r="O1839" s="90"/>
      <c r="P1839" s="93"/>
      <c r="Q1839" s="93"/>
      <c r="S1839" s="12">
        <v>28</v>
      </c>
      <c r="T1839" s="26">
        <v>1800</v>
      </c>
      <c r="U1839" s="12">
        <f t="shared" si="50"/>
        <v>50400</v>
      </c>
    </row>
    <row r="1840" spans="1:21">
      <c r="A1840" s="17">
        <v>6</v>
      </c>
      <c r="B1840" s="81" t="s">
        <v>85</v>
      </c>
      <c r="C1840" s="82" t="s">
        <v>85</v>
      </c>
      <c r="D1840" s="82" t="s">
        <v>85</v>
      </c>
      <c r="E1840" s="82" t="s">
        <v>85</v>
      </c>
      <c r="F1840" s="82" t="s">
        <v>85</v>
      </c>
      <c r="G1840" s="83" t="s">
        <v>85</v>
      </c>
      <c r="H1840" s="29" t="s">
        <v>97</v>
      </c>
      <c r="I1840" s="84">
        <v>14</v>
      </c>
      <c r="J1840" s="85">
        <v>14</v>
      </c>
      <c r="K1840" s="86">
        <v>14</v>
      </c>
      <c r="L1840" s="87"/>
      <c r="M1840" s="88"/>
      <c r="N1840" s="89">
        <v>14</v>
      </c>
      <c r="O1840" s="90"/>
      <c r="P1840" s="79"/>
      <c r="Q1840" s="80"/>
      <c r="S1840" s="12">
        <v>14</v>
      </c>
      <c r="T1840" s="26">
        <v>4000</v>
      </c>
      <c r="U1840" s="12">
        <f t="shared" si="50"/>
        <v>56000</v>
      </c>
    </row>
    <row r="1841" spans="1:22">
      <c r="A1841" s="17">
        <v>7</v>
      </c>
      <c r="B1841" s="81" t="s">
        <v>86</v>
      </c>
      <c r="C1841" s="82" t="s">
        <v>86</v>
      </c>
      <c r="D1841" s="82" t="s">
        <v>86</v>
      </c>
      <c r="E1841" s="82" t="s">
        <v>86</v>
      </c>
      <c r="F1841" s="82" t="s">
        <v>86</v>
      </c>
      <c r="G1841" s="83" t="s">
        <v>86</v>
      </c>
      <c r="H1841" s="29" t="s">
        <v>97</v>
      </c>
      <c r="I1841" s="84">
        <v>30</v>
      </c>
      <c r="J1841" s="85">
        <v>30</v>
      </c>
      <c r="K1841" s="86">
        <v>30</v>
      </c>
      <c r="L1841" s="87"/>
      <c r="M1841" s="88"/>
      <c r="N1841" s="89">
        <v>30</v>
      </c>
      <c r="O1841" s="90"/>
      <c r="P1841" s="93"/>
      <c r="Q1841" s="93"/>
      <c r="S1841" s="12">
        <v>30</v>
      </c>
      <c r="T1841" s="26">
        <v>4000</v>
      </c>
      <c r="U1841" s="12">
        <f t="shared" si="50"/>
        <v>120000</v>
      </c>
    </row>
    <row r="1842" spans="1:22">
      <c r="A1842" s="17">
        <v>8</v>
      </c>
      <c r="B1842" s="81" t="s">
        <v>87</v>
      </c>
      <c r="C1842" s="82" t="s">
        <v>87</v>
      </c>
      <c r="D1842" s="82" t="s">
        <v>87</v>
      </c>
      <c r="E1842" s="82" t="s">
        <v>87</v>
      </c>
      <c r="F1842" s="82" t="s">
        <v>87</v>
      </c>
      <c r="G1842" s="83" t="s">
        <v>87</v>
      </c>
      <c r="H1842" s="30" t="s">
        <v>25</v>
      </c>
      <c r="I1842" s="84">
        <v>1</v>
      </c>
      <c r="J1842" s="85">
        <v>1</v>
      </c>
      <c r="K1842" s="86">
        <v>1</v>
      </c>
      <c r="L1842" s="94"/>
      <c r="M1842" s="95"/>
      <c r="N1842" s="94">
        <v>1</v>
      </c>
      <c r="O1842" s="95"/>
      <c r="P1842" s="93"/>
      <c r="Q1842" s="93"/>
      <c r="S1842" s="16">
        <v>1</v>
      </c>
      <c r="T1842" s="26">
        <v>31000</v>
      </c>
      <c r="U1842" s="12">
        <f t="shared" si="50"/>
        <v>31000</v>
      </c>
    </row>
    <row r="1843" spans="1:22">
      <c r="A1843" s="17">
        <v>9</v>
      </c>
      <c r="B1843" s="81" t="s">
        <v>88</v>
      </c>
      <c r="C1843" s="82" t="s">
        <v>88</v>
      </c>
      <c r="D1843" s="82" t="s">
        <v>88</v>
      </c>
      <c r="E1843" s="82" t="s">
        <v>88</v>
      </c>
      <c r="F1843" s="82" t="s">
        <v>88</v>
      </c>
      <c r="G1843" s="83" t="s">
        <v>88</v>
      </c>
      <c r="H1843" s="30" t="s">
        <v>25</v>
      </c>
      <c r="I1843" s="84">
        <v>1</v>
      </c>
      <c r="J1843" s="85">
        <v>1</v>
      </c>
      <c r="K1843" s="86">
        <v>1</v>
      </c>
      <c r="L1843" s="87">
        <v>1</v>
      </c>
      <c r="M1843" s="88"/>
      <c r="N1843" s="89">
        <v>1</v>
      </c>
      <c r="O1843" s="90"/>
      <c r="P1843" s="93"/>
      <c r="Q1843" s="93"/>
      <c r="S1843" s="12">
        <v>1</v>
      </c>
      <c r="T1843" s="26">
        <v>30121</v>
      </c>
      <c r="U1843" s="12">
        <f t="shared" si="50"/>
        <v>30121</v>
      </c>
    </row>
    <row r="1844" spans="1:22">
      <c r="A1844" s="17">
        <v>10</v>
      </c>
      <c r="B1844" s="81" t="s">
        <v>89</v>
      </c>
      <c r="C1844" s="82"/>
      <c r="D1844" s="82"/>
      <c r="E1844" s="82"/>
      <c r="F1844" s="82"/>
      <c r="G1844" s="83"/>
      <c r="H1844" s="30" t="s">
        <v>98</v>
      </c>
      <c r="I1844" s="84">
        <v>3</v>
      </c>
      <c r="J1844" s="85"/>
      <c r="K1844" s="86"/>
      <c r="L1844" s="87"/>
      <c r="M1844" s="88"/>
      <c r="N1844" s="89">
        <v>3</v>
      </c>
      <c r="O1844" s="90"/>
      <c r="P1844" s="91"/>
      <c r="Q1844" s="92"/>
      <c r="S1844" s="12">
        <v>3</v>
      </c>
      <c r="T1844" s="26">
        <v>14500</v>
      </c>
      <c r="U1844" s="12">
        <f t="shared" si="50"/>
        <v>43500</v>
      </c>
    </row>
    <row r="1845" spans="1:22">
      <c r="A1845" s="17">
        <v>11</v>
      </c>
      <c r="B1845" s="81" t="s">
        <v>90</v>
      </c>
      <c r="C1845" s="82"/>
      <c r="D1845" s="82"/>
      <c r="E1845" s="82"/>
      <c r="F1845" s="82"/>
      <c r="G1845" s="83"/>
      <c r="H1845" s="29" t="s">
        <v>67</v>
      </c>
      <c r="I1845" s="84">
        <v>6</v>
      </c>
      <c r="J1845" s="85"/>
      <c r="K1845" s="86"/>
      <c r="L1845" s="87"/>
      <c r="M1845" s="88"/>
      <c r="N1845" s="89">
        <v>6</v>
      </c>
      <c r="O1845" s="90"/>
      <c r="P1845" s="91"/>
      <c r="Q1845" s="92"/>
      <c r="S1845" s="12">
        <v>6</v>
      </c>
      <c r="T1845" s="26">
        <v>3500</v>
      </c>
      <c r="U1845" s="12">
        <f t="shared" si="50"/>
        <v>21000</v>
      </c>
    </row>
    <row r="1846" spans="1:22">
      <c r="A1846" s="17">
        <v>12</v>
      </c>
      <c r="B1846" s="81" t="s">
        <v>91</v>
      </c>
      <c r="C1846" s="82" t="s">
        <v>89</v>
      </c>
      <c r="D1846" s="82" t="s">
        <v>89</v>
      </c>
      <c r="E1846" s="82" t="s">
        <v>89</v>
      </c>
      <c r="F1846" s="82" t="s">
        <v>89</v>
      </c>
      <c r="G1846" s="83" t="s">
        <v>89</v>
      </c>
      <c r="H1846" s="29" t="s">
        <v>67</v>
      </c>
      <c r="I1846" s="84">
        <v>10</v>
      </c>
      <c r="J1846" s="85">
        <v>10</v>
      </c>
      <c r="K1846" s="86">
        <v>10</v>
      </c>
      <c r="L1846" s="87"/>
      <c r="M1846" s="88"/>
      <c r="N1846" s="89">
        <v>10</v>
      </c>
      <c r="O1846" s="90"/>
      <c r="P1846" s="93"/>
      <c r="Q1846" s="93"/>
      <c r="S1846" s="12">
        <v>10</v>
      </c>
      <c r="T1846" s="26">
        <v>3000</v>
      </c>
      <c r="U1846" s="12">
        <f t="shared" si="50"/>
        <v>30000</v>
      </c>
      <c r="V1846" s="22">
        <f>SUM(U1835:U1846)</f>
        <v>1039121</v>
      </c>
    </row>
    <row r="1847" spans="1:22">
      <c r="A1847" s="17" t="s">
        <v>76</v>
      </c>
      <c r="B1847" s="71" t="s">
        <v>92</v>
      </c>
      <c r="C1847" s="72"/>
      <c r="D1847" s="72"/>
      <c r="E1847" s="72"/>
      <c r="F1847" s="72"/>
      <c r="G1847" s="73"/>
      <c r="H1847" s="30" t="s">
        <v>24</v>
      </c>
      <c r="I1847" s="84">
        <v>1</v>
      </c>
      <c r="J1847" s="85">
        <v>10</v>
      </c>
      <c r="K1847" s="86">
        <v>10</v>
      </c>
      <c r="L1847" s="77"/>
      <c r="M1847" s="78"/>
      <c r="N1847" s="77">
        <v>1</v>
      </c>
      <c r="O1847" s="78"/>
      <c r="P1847" s="79"/>
      <c r="Q1847" s="80"/>
      <c r="S1847" s="12">
        <v>1</v>
      </c>
      <c r="T1847" s="25">
        <v>10391</v>
      </c>
      <c r="U1847" s="12">
        <f>S1847*T1847</f>
        <v>10391</v>
      </c>
      <c r="V1847" s="27"/>
    </row>
    <row r="1848" spans="1:22">
      <c r="A1848" s="23" t="s">
        <v>68</v>
      </c>
      <c r="B1848" s="71" t="s">
        <v>93</v>
      </c>
      <c r="C1848" s="72"/>
      <c r="D1848" s="72"/>
      <c r="E1848" s="72"/>
      <c r="F1848" s="72"/>
      <c r="G1848" s="73"/>
      <c r="H1848" s="30" t="s">
        <v>24</v>
      </c>
      <c r="I1848" s="74">
        <v>1</v>
      </c>
      <c r="J1848" s="75"/>
      <c r="K1848" s="76"/>
      <c r="L1848" s="77">
        <f>N1848-N1775</f>
        <v>2.8987585410451433E-2</v>
      </c>
      <c r="M1848" s="78"/>
      <c r="N1848" s="77">
        <f>S1848</f>
        <v>1.0000202097969397</v>
      </c>
      <c r="O1848" s="78"/>
      <c r="P1848" s="77"/>
      <c r="Q1848" s="78"/>
      <c r="S1848" s="21">
        <f>V1846*0.01/T1848</f>
        <v>1.0000202097969397</v>
      </c>
      <c r="T1848" s="25">
        <v>10391</v>
      </c>
      <c r="U1848" s="12">
        <f t="shared" ref="U1848:U1849" si="51">S1848*T1848</f>
        <v>10391.210000000001</v>
      </c>
    </row>
    <row r="1849" spans="1:22">
      <c r="A1849" s="23" t="s">
        <v>69</v>
      </c>
      <c r="B1849" s="58" t="s">
        <v>94</v>
      </c>
      <c r="C1849" s="59" t="s">
        <v>70</v>
      </c>
      <c r="D1849" s="59" t="s">
        <v>70</v>
      </c>
      <c r="E1849" s="59" t="s">
        <v>70</v>
      </c>
      <c r="F1849" s="59" t="s">
        <v>70</v>
      </c>
      <c r="G1849" s="60" t="s">
        <v>70</v>
      </c>
      <c r="H1849" s="30" t="s">
        <v>24</v>
      </c>
      <c r="I1849" s="74">
        <v>1</v>
      </c>
      <c r="J1849" s="75"/>
      <c r="K1849" s="76"/>
      <c r="L1849" s="77">
        <f>N1849-N1776</f>
        <v>2.8986788380373718E-2</v>
      </c>
      <c r="M1849" s="78"/>
      <c r="N1849" s="77">
        <f>S1849</f>
        <v>0.99999271367491993</v>
      </c>
      <c r="O1849" s="78"/>
      <c r="P1849" s="77"/>
      <c r="Q1849" s="78"/>
      <c r="S1849" s="21">
        <f>V1846*0.07/T1849</f>
        <v>0.99999271367491993</v>
      </c>
      <c r="T1849" s="25">
        <v>72739</v>
      </c>
      <c r="U1849" s="12">
        <f t="shared" si="51"/>
        <v>72738.47</v>
      </c>
    </row>
    <row r="1850" spans="1:22">
      <c r="A1850" s="23" t="s">
        <v>71</v>
      </c>
      <c r="B1850" s="58" t="s">
        <v>95</v>
      </c>
      <c r="C1850" s="59" t="s">
        <v>72</v>
      </c>
      <c r="D1850" s="59" t="s">
        <v>72</v>
      </c>
      <c r="E1850" s="59" t="s">
        <v>72</v>
      </c>
      <c r="F1850" s="59" t="s">
        <v>72</v>
      </c>
      <c r="G1850" s="60" t="s">
        <v>72</v>
      </c>
      <c r="H1850" s="30" t="s">
        <v>24</v>
      </c>
      <c r="I1850" s="74">
        <v>1</v>
      </c>
      <c r="J1850" s="75"/>
      <c r="K1850" s="76"/>
      <c r="L1850" s="77"/>
      <c r="M1850" s="78"/>
      <c r="N1850" s="77">
        <f>S1850</f>
        <v>1</v>
      </c>
      <c r="O1850" s="78"/>
      <c r="P1850" s="77"/>
      <c r="Q1850" s="78"/>
      <c r="S1850" s="21">
        <v>1</v>
      </c>
      <c r="T1850" s="25">
        <v>4156</v>
      </c>
      <c r="U1850" s="12">
        <f>S1850*T1850</f>
        <v>4156</v>
      </c>
    </row>
    <row r="1851" spans="1:22">
      <c r="A1851" s="23" t="s">
        <v>73</v>
      </c>
      <c r="B1851" s="58" t="s">
        <v>96</v>
      </c>
      <c r="C1851" s="59" t="s">
        <v>74</v>
      </c>
      <c r="D1851" s="59" t="s">
        <v>74</v>
      </c>
      <c r="E1851" s="59" t="s">
        <v>74</v>
      </c>
      <c r="F1851" s="59" t="s">
        <v>74</v>
      </c>
      <c r="G1851" s="60" t="s">
        <v>74</v>
      </c>
      <c r="H1851" s="30" t="s">
        <v>24</v>
      </c>
      <c r="I1851" s="74">
        <v>1</v>
      </c>
      <c r="J1851" s="75"/>
      <c r="K1851" s="76"/>
      <c r="L1851" s="77">
        <f>N1851-N1778</f>
        <v>2.8616009852216573E-2</v>
      </c>
      <c r="M1851" s="78"/>
      <c r="N1851" s="77">
        <f>S1851</f>
        <v>0.9999979591836734</v>
      </c>
      <c r="O1851" s="78"/>
      <c r="P1851" s="79"/>
      <c r="Q1851" s="80"/>
      <c r="S1851" s="21">
        <f>(V1846+U1847+U1848+U1849+U1850)*0.05/T1851</f>
        <v>0.9999979591836734</v>
      </c>
      <c r="T1851" s="25">
        <v>56840</v>
      </c>
      <c r="U1851" s="12">
        <f>S1851*T1851</f>
        <v>56839.883999999998</v>
      </c>
    </row>
    <row r="1852" spans="1:22">
      <c r="A1852" s="23"/>
      <c r="B1852" s="58"/>
      <c r="C1852" s="59"/>
      <c r="D1852" s="59"/>
      <c r="E1852" s="59"/>
      <c r="F1852" s="59"/>
      <c r="G1852" s="60"/>
      <c r="H1852" s="24"/>
      <c r="I1852" s="58"/>
      <c r="J1852" s="59"/>
      <c r="K1852" s="59"/>
      <c r="L1852" s="58"/>
      <c r="M1852" s="59"/>
      <c r="N1852" s="58"/>
      <c r="O1852" s="59"/>
      <c r="P1852" s="58"/>
      <c r="Q1852" s="60"/>
      <c r="S1852" s="21"/>
      <c r="T1852" s="25"/>
      <c r="U1852" s="28">
        <f>V1846+U1847+U1848+U1849+U1850+U1851</f>
        <v>1193637.564</v>
      </c>
    </row>
    <row r="1853" spans="1:22">
      <c r="A1853" s="23"/>
      <c r="B1853" s="58"/>
      <c r="C1853" s="59"/>
      <c r="D1853" s="59"/>
      <c r="E1853" s="59"/>
      <c r="F1853" s="59"/>
      <c r="G1853" s="60"/>
      <c r="H1853" s="23"/>
      <c r="I1853" s="58"/>
      <c r="J1853" s="59"/>
      <c r="K1853" s="59"/>
      <c r="L1853" s="58"/>
      <c r="M1853" s="59"/>
      <c r="N1853" s="58"/>
      <c r="O1853" s="59"/>
      <c r="P1853" s="58"/>
      <c r="Q1853" s="60"/>
      <c r="S1853" s="21"/>
      <c r="T1853" s="16"/>
      <c r="U1853" s="14">
        <v>1193638</v>
      </c>
    </row>
    <row r="1854" spans="1:22">
      <c r="A1854" s="9"/>
      <c r="B1854" s="58"/>
      <c r="C1854" s="59"/>
      <c r="D1854" s="59"/>
      <c r="E1854" s="59"/>
      <c r="F1854" s="59"/>
      <c r="G1854" s="60"/>
      <c r="H1854" s="9"/>
      <c r="I1854" s="58"/>
      <c r="J1854" s="59"/>
      <c r="K1854" s="59"/>
      <c r="L1854" s="58"/>
      <c r="M1854" s="59"/>
      <c r="N1854" s="58"/>
      <c r="O1854" s="59"/>
      <c r="P1854" s="58"/>
      <c r="Q1854" s="60"/>
      <c r="S1854" s="21"/>
      <c r="T1854" s="16"/>
      <c r="U1854" s="15">
        <f>U1852/U1853</f>
        <v>0.99999963473012754</v>
      </c>
    </row>
    <row r="1855" spans="1:22">
      <c r="A1855" s="9"/>
      <c r="B1855" s="58"/>
      <c r="C1855" s="59"/>
      <c r="D1855" s="59"/>
      <c r="E1855" s="59"/>
      <c r="F1855" s="59"/>
      <c r="G1855" s="60"/>
      <c r="H1855" s="9"/>
      <c r="I1855" s="58"/>
      <c r="J1855" s="59"/>
      <c r="K1855" s="59"/>
      <c r="L1855" s="58"/>
      <c r="M1855" s="59"/>
      <c r="N1855" s="58"/>
      <c r="O1855" s="59"/>
      <c r="P1855" s="58"/>
      <c r="Q1855" s="60"/>
      <c r="S1855" s="21"/>
      <c r="T1855" s="16"/>
      <c r="U1855" s="12"/>
    </row>
    <row r="1856" spans="1:22">
      <c r="A1856" s="9"/>
      <c r="B1856" s="58"/>
      <c r="C1856" s="59"/>
      <c r="D1856" s="59"/>
      <c r="E1856" s="59"/>
      <c r="F1856" s="59"/>
      <c r="G1856" s="60"/>
      <c r="H1856" s="9"/>
      <c r="I1856" s="58"/>
      <c r="J1856" s="59"/>
      <c r="K1856" s="59"/>
      <c r="L1856" s="58"/>
      <c r="M1856" s="59"/>
      <c r="N1856" s="58"/>
      <c r="O1856" s="59"/>
      <c r="P1856" s="58"/>
      <c r="Q1856" s="60"/>
      <c r="S1856" s="21"/>
      <c r="T1856" s="16"/>
      <c r="U1856" s="12"/>
    </row>
    <row r="1857" spans="1:21">
      <c r="A1857" s="9"/>
      <c r="B1857" s="58"/>
      <c r="C1857" s="59"/>
      <c r="D1857" s="59"/>
      <c r="E1857" s="59"/>
      <c r="F1857" s="59"/>
      <c r="G1857" s="60"/>
      <c r="H1857" s="9"/>
      <c r="I1857" s="58"/>
      <c r="J1857" s="59"/>
      <c r="K1857" s="59"/>
      <c r="L1857" s="58"/>
      <c r="M1857" s="59"/>
      <c r="N1857" s="58"/>
      <c r="O1857" s="59"/>
      <c r="P1857" s="58"/>
      <c r="Q1857" s="60"/>
      <c r="S1857" s="21"/>
      <c r="T1857" s="16"/>
      <c r="U1857" s="12"/>
    </row>
    <row r="1858" spans="1:21">
      <c r="A1858" s="9"/>
      <c r="B1858" s="58"/>
      <c r="C1858" s="59"/>
      <c r="D1858" s="59"/>
      <c r="E1858" s="59"/>
      <c r="F1858" s="59"/>
      <c r="G1858" s="60"/>
      <c r="H1858" s="9"/>
      <c r="I1858" s="58"/>
      <c r="J1858" s="59"/>
      <c r="K1858" s="59"/>
      <c r="L1858" s="58"/>
      <c r="M1858" s="59"/>
      <c r="N1858" s="58"/>
      <c r="O1858" s="59"/>
      <c r="P1858" s="58"/>
      <c r="Q1858" s="60"/>
      <c r="S1858" s="21"/>
      <c r="T1858" s="16"/>
      <c r="U1858" s="12"/>
    </row>
    <row r="1859" spans="1:21">
      <c r="A1859" s="7"/>
      <c r="B1859" s="61"/>
      <c r="C1859" s="62"/>
      <c r="D1859" s="62"/>
      <c r="E1859" s="62"/>
      <c r="F1859" s="62"/>
      <c r="G1859" s="63"/>
      <c r="H1859" s="9"/>
      <c r="I1859" s="64"/>
      <c r="J1859" s="65"/>
      <c r="K1859" s="66"/>
      <c r="L1859" s="67"/>
      <c r="M1859" s="68"/>
      <c r="N1859" s="67"/>
      <c r="O1859" s="68"/>
      <c r="P1859" s="69"/>
      <c r="Q1859" s="70"/>
      <c r="S1859" s="21"/>
      <c r="T1859" s="16"/>
    </row>
    <row r="1860" spans="1:21">
      <c r="A1860" s="44" t="s">
        <v>29</v>
      </c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T1860" s="20"/>
    </row>
    <row r="1861" spans="1:21">
      <c r="A1861" s="44" t="s">
        <v>30</v>
      </c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T1861" s="20"/>
    </row>
    <row r="1862" spans="1:21">
      <c r="A1862" s="44" t="s">
        <v>31</v>
      </c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T1862" s="20"/>
    </row>
    <row r="1863" spans="1:21">
      <c r="A1863" s="44" t="s">
        <v>32</v>
      </c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T1863" s="20"/>
    </row>
    <row r="1864" spans="1:21">
      <c r="A1864" s="54" t="s">
        <v>33</v>
      </c>
      <c r="B1864" s="54"/>
      <c r="C1864" s="54"/>
      <c r="D1864" s="54"/>
      <c r="E1864" s="54"/>
      <c r="F1864" s="54"/>
      <c r="G1864" s="54"/>
      <c r="H1864" s="54" t="s">
        <v>20</v>
      </c>
      <c r="I1864" s="54"/>
      <c r="J1864" s="54"/>
      <c r="K1864" s="54" t="s">
        <v>34</v>
      </c>
      <c r="L1864" s="54"/>
      <c r="M1864" s="54" t="s">
        <v>35</v>
      </c>
      <c r="N1864" s="54"/>
      <c r="O1864" s="54" t="s">
        <v>36</v>
      </c>
      <c r="P1864" s="54"/>
      <c r="Q1864" s="54"/>
      <c r="T1864" s="20"/>
    </row>
    <row r="1865" spans="1:21">
      <c r="A1865" s="55"/>
      <c r="B1865" s="56"/>
      <c r="C1865" s="56"/>
      <c r="D1865" s="56"/>
      <c r="E1865" s="56"/>
      <c r="F1865" s="56"/>
      <c r="G1865" s="57"/>
      <c r="H1865" s="55"/>
      <c r="I1865" s="56"/>
      <c r="J1865" s="57"/>
      <c r="K1865" s="55"/>
      <c r="L1865" s="56"/>
      <c r="M1865" s="55"/>
      <c r="N1865" s="56"/>
      <c r="O1865" s="55"/>
      <c r="P1865" s="56"/>
      <c r="Q1865" s="57"/>
      <c r="T1865" s="20"/>
    </row>
    <row r="1866" spans="1:21">
      <c r="A1866" s="55"/>
      <c r="B1866" s="56"/>
      <c r="C1866" s="56"/>
      <c r="D1866" s="56"/>
      <c r="E1866" s="56"/>
      <c r="F1866" s="56"/>
      <c r="G1866" s="57"/>
      <c r="H1866" s="55"/>
      <c r="I1866" s="56"/>
      <c r="J1866" s="57"/>
      <c r="K1866" s="55"/>
      <c r="L1866" s="56"/>
      <c r="M1866" s="55"/>
      <c r="N1866" s="56"/>
      <c r="O1866" s="55"/>
      <c r="P1866" s="56"/>
      <c r="Q1866" s="57"/>
      <c r="T1866" s="20"/>
    </row>
    <row r="1867" spans="1:21">
      <c r="A1867" s="53"/>
      <c r="B1867" s="53"/>
      <c r="C1867" s="53"/>
      <c r="D1867" s="53"/>
      <c r="E1867" s="53"/>
      <c r="F1867" s="53"/>
      <c r="G1867" s="53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T1867" s="20"/>
    </row>
    <row r="1868" spans="1:21">
      <c r="A1868" s="53"/>
      <c r="B1868" s="53"/>
      <c r="C1868" s="53"/>
      <c r="D1868" s="53"/>
      <c r="E1868" s="53"/>
      <c r="F1868" s="53"/>
      <c r="G1868" s="53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T1868" s="20"/>
    </row>
    <row r="1869" spans="1:21">
      <c r="A1869" s="44" t="s">
        <v>37</v>
      </c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T1869" s="20"/>
    </row>
    <row r="1870" spans="1:21">
      <c r="A1870" s="46" t="s">
        <v>38</v>
      </c>
      <c r="B1870" s="46"/>
      <c r="C1870" s="47" t="s">
        <v>39</v>
      </c>
      <c r="D1870" s="48"/>
      <c r="E1870" s="48"/>
      <c r="F1870" s="47" t="s">
        <v>40</v>
      </c>
      <c r="G1870" s="48"/>
      <c r="H1870" s="49"/>
      <c r="I1870" s="46" t="s">
        <v>41</v>
      </c>
      <c r="J1870" s="46"/>
      <c r="K1870" s="46"/>
      <c r="L1870" s="46" t="s">
        <v>35</v>
      </c>
      <c r="M1870" s="46"/>
      <c r="N1870" s="46"/>
      <c r="O1870" s="46" t="s">
        <v>36</v>
      </c>
      <c r="P1870" s="46"/>
      <c r="Q1870" s="46"/>
      <c r="T1870" s="20"/>
    </row>
    <row r="1871" spans="1:21">
      <c r="A1871" s="47" t="s">
        <v>42</v>
      </c>
      <c r="B1871" s="49"/>
      <c r="C1871" s="47">
        <v>1</v>
      </c>
      <c r="D1871" s="48"/>
      <c r="E1871" s="49"/>
      <c r="F1871" s="47">
        <f>F1798+C1871</f>
        <v>31</v>
      </c>
      <c r="G1871" s="48"/>
      <c r="H1871" s="49"/>
      <c r="I1871" s="47"/>
      <c r="J1871" s="48"/>
      <c r="K1871" s="49"/>
      <c r="L1871" s="47"/>
      <c r="M1871" s="48"/>
      <c r="N1871" s="49"/>
      <c r="O1871" s="47"/>
      <c r="P1871" s="48"/>
      <c r="Q1871" s="49"/>
      <c r="T1871" s="20"/>
    </row>
    <row r="1872" spans="1:21">
      <c r="A1872" s="47" t="s">
        <v>100</v>
      </c>
      <c r="B1872" s="49"/>
      <c r="C1872" s="47">
        <v>2</v>
      </c>
      <c r="D1872" s="48"/>
      <c r="E1872" s="49"/>
      <c r="F1872" s="47">
        <f>F1799+C1872</f>
        <v>4</v>
      </c>
      <c r="G1872" s="48"/>
      <c r="H1872" s="49"/>
      <c r="I1872" s="47"/>
      <c r="J1872" s="48"/>
      <c r="K1872" s="49"/>
      <c r="L1872" s="47"/>
      <c r="M1872" s="48"/>
      <c r="N1872" s="49"/>
      <c r="O1872" s="47"/>
      <c r="P1872" s="48"/>
      <c r="Q1872" s="49"/>
      <c r="T1872" s="20"/>
    </row>
    <row r="1873" spans="1:20">
      <c r="A1873" s="47"/>
      <c r="B1873" s="49"/>
      <c r="C1873" s="47"/>
      <c r="D1873" s="48"/>
      <c r="E1873" s="49"/>
      <c r="F1873" s="47"/>
      <c r="G1873" s="48"/>
      <c r="H1873" s="49"/>
      <c r="I1873" s="47"/>
      <c r="J1873" s="48"/>
      <c r="K1873" s="49"/>
      <c r="L1873" s="47"/>
      <c r="M1873" s="48"/>
      <c r="N1873" s="49"/>
      <c r="O1873" s="47"/>
      <c r="P1873" s="48"/>
      <c r="Q1873" s="49"/>
      <c r="T1873" s="20"/>
    </row>
    <row r="1874" spans="1:20">
      <c r="A1874" s="46"/>
      <c r="B1874" s="46"/>
      <c r="C1874" s="47"/>
      <c r="D1874" s="48"/>
      <c r="E1874" s="49"/>
      <c r="F1874" s="47"/>
      <c r="G1874" s="48"/>
      <c r="H1874" s="49"/>
      <c r="I1874" s="47"/>
      <c r="J1874" s="48"/>
      <c r="K1874" s="49"/>
      <c r="L1874" s="47"/>
      <c r="M1874" s="48"/>
      <c r="N1874" s="49"/>
      <c r="O1874" s="47"/>
      <c r="P1874" s="48"/>
      <c r="Q1874" s="49"/>
      <c r="T1874" s="20"/>
    </row>
    <row r="1875" spans="1:20">
      <c r="A1875" s="46"/>
      <c r="B1875" s="46"/>
      <c r="C1875" s="47"/>
      <c r="D1875" s="48"/>
      <c r="E1875" s="49"/>
      <c r="F1875" s="47"/>
      <c r="G1875" s="48"/>
      <c r="H1875" s="49"/>
      <c r="I1875" s="47"/>
      <c r="J1875" s="48"/>
      <c r="K1875" s="49"/>
      <c r="L1875" s="47"/>
      <c r="M1875" s="48"/>
      <c r="N1875" s="49"/>
      <c r="O1875" s="47"/>
      <c r="P1875" s="48"/>
      <c r="Q1875" s="49"/>
      <c r="T1875" s="20"/>
    </row>
    <row r="1876" spans="1:20">
      <c r="A1876" s="50" t="s">
        <v>43</v>
      </c>
      <c r="B1876" s="51"/>
      <c r="C1876" s="51"/>
      <c r="D1876" s="51"/>
      <c r="E1876" s="51"/>
      <c r="F1876" s="51"/>
      <c r="G1876" s="51"/>
      <c r="H1876" s="51"/>
      <c r="I1876" s="51"/>
      <c r="J1876" s="51"/>
      <c r="K1876" s="51"/>
      <c r="L1876" s="51"/>
      <c r="M1876" s="51"/>
      <c r="N1876" s="51"/>
      <c r="O1876" s="51"/>
      <c r="P1876" s="51"/>
      <c r="Q1876" s="52"/>
      <c r="T1876" s="20"/>
    </row>
    <row r="1877" spans="1:20">
      <c r="A1877" s="38" t="s">
        <v>44</v>
      </c>
      <c r="B1877" s="39"/>
      <c r="C1877" s="39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40"/>
      <c r="T1877" s="20"/>
    </row>
    <row r="1878" spans="1:20">
      <c r="A1878" s="41" t="s">
        <v>45</v>
      </c>
      <c r="B1878" s="42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  <c r="P1878" s="42"/>
      <c r="Q1878" s="43"/>
      <c r="T1878" s="20"/>
    </row>
    <row r="1879" spans="1:20">
      <c r="A1879" s="50" t="s">
        <v>46</v>
      </c>
      <c r="B1879" s="51"/>
      <c r="C1879" s="51"/>
      <c r="D1879" s="51"/>
      <c r="E1879" s="51"/>
      <c r="F1879" s="51"/>
      <c r="G1879" s="51"/>
      <c r="H1879" s="51"/>
      <c r="I1879" s="51"/>
      <c r="J1879" s="51"/>
      <c r="K1879" s="51"/>
      <c r="L1879" s="51"/>
      <c r="M1879" s="51"/>
      <c r="N1879" s="51"/>
      <c r="O1879" s="51"/>
      <c r="P1879" s="51"/>
      <c r="Q1879" s="52"/>
      <c r="T1879" s="20"/>
    </row>
    <row r="1880" spans="1:20">
      <c r="A1880" s="38" t="s">
        <v>47</v>
      </c>
      <c r="B1880" s="39"/>
      <c r="C1880" s="39"/>
      <c r="D1880" s="39"/>
      <c r="E1880" s="39"/>
      <c r="F1880" s="39"/>
      <c r="G1880" s="39"/>
      <c r="H1880" s="39"/>
      <c r="I1880" s="39"/>
      <c r="J1880" s="39"/>
      <c r="K1880" s="39"/>
      <c r="L1880" s="39"/>
      <c r="M1880" s="39"/>
      <c r="N1880" s="39"/>
      <c r="O1880" s="39"/>
      <c r="P1880" s="39"/>
      <c r="Q1880" s="40"/>
      <c r="T1880" s="20"/>
    </row>
    <row r="1881" spans="1:20">
      <c r="A1881" s="38" t="s">
        <v>48</v>
      </c>
      <c r="B1881" s="39"/>
      <c r="C1881" s="39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40"/>
      <c r="T1881" s="20"/>
    </row>
    <row r="1882" spans="1:20">
      <c r="A1882" s="38" t="s">
        <v>49</v>
      </c>
      <c r="B1882" s="39"/>
      <c r="C1882" s="39"/>
      <c r="D1882" s="39"/>
      <c r="E1882" s="39"/>
      <c r="F1882" s="39"/>
      <c r="G1882" s="39"/>
      <c r="H1882" s="39"/>
      <c r="I1882" s="39"/>
      <c r="J1882" s="39"/>
      <c r="K1882" s="39"/>
      <c r="L1882" s="39"/>
      <c r="M1882" s="39"/>
      <c r="N1882" s="39"/>
      <c r="O1882" s="39"/>
      <c r="P1882" s="39"/>
      <c r="Q1882" s="40"/>
      <c r="T1882" s="20"/>
    </row>
    <row r="1883" spans="1:20">
      <c r="A1883" s="38" t="s">
        <v>50</v>
      </c>
      <c r="B1883" s="39"/>
      <c r="C1883" s="39"/>
      <c r="D1883" s="39"/>
      <c r="E1883" s="39"/>
      <c r="F1883" s="39"/>
      <c r="G1883" s="39"/>
      <c r="H1883" s="39"/>
      <c r="I1883" s="39"/>
      <c r="J1883" s="39"/>
      <c r="K1883" s="39"/>
      <c r="L1883" s="39"/>
      <c r="M1883" s="39"/>
      <c r="N1883" s="39"/>
      <c r="O1883" s="39"/>
      <c r="P1883" s="39"/>
      <c r="Q1883" s="40"/>
      <c r="T1883" s="20"/>
    </row>
    <row r="1884" spans="1:20">
      <c r="A1884" s="38" t="s">
        <v>51</v>
      </c>
      <c r="B1884" s="39"/>
      <c r="C1884" s="39"/>
      <c r="D1884" s="39"/>
      <c r="E1884" s="39"/>
      <c r="F1884" s="39"/>
      <c r="G1884" s="39"/>
      <c r="H1884" s="39"/>
      <c r="I1884" s="39"/>
      <c r="J1884" s="39"/>
      <c r="K1884" s="39"/>
      <c r="L1884" s="39"/>
      <c r="M1884" s="39"/>
      <c r="N1884" s="39"/>
      <c r="O1884" s="39"/>
      <c r="P1884" s="39"/>
      <c r="Q1884" s="40"/>
      <c r="T1884" s="20"/>
    </row>
    <row r="1885" spans="1:20">
      <c r="A1885" s="41" t="s">
        <v>52</v>
      </c>
      <c r="B1885" s="42"/>
      <c r="C1885" s="42"/>
      <c r="D1885" s="42"/>
      <c r="E1885" s="42"/>
      <c r="F1885" s="42"/>
      <c r="G1885" s="42"/>
      <c r="H1885" s="42"/>
      <c r="I1885" s="42"/>
      <c r="J1885" s="42"/>
      <c r="K1885" s="42"/>
      <c r="L1885" s="42"/>
      <c r="M1885" s="42"/>
      <c r="N1885" s="42"/>
      <c r="O1885" s="42"/>
      <c r="P1885" s="42"/>
      <c r="Q1885" s="43"/>
      <c r="T1885" s="20"/>
    </row>
    <row r="1886" spans="1:20">
      <c r="A1886" s="44" t="s">
        <v>53</v>
      </c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T1886" s="20"/>
    </row>
    <row r="1887" spans="1:20">
      <c r="A1887" s="44" t="s">
        <v>54</v>
      </c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T1887" s="20"/>
    </row>
    <row r="1888" spans="1:20">
      <c r="A1888" s="44" t="s">
        <v>99</v>
      </c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T1888" s="20"/>
    </row>
    <row r="1889" spans="1:20">
      <c r="A1889" s="44" t="s">
        <v>55</v>
      </c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T1889" s="20"/>
    </row>
    <row r="1890" spans="1:20">
      <c r="A1890" s="45" t="s">
        <v>56</v>
      </c>
      <c r="B1890" s="45"/>
      <c r="C1890" s="45"/>
      <c r="D1890" s="45"/>
      <c r="E1890" s="45"/>
      <c r="F1890" s="45"/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T1890" s="20"/>
    </row>
    <row r="1891" spans="1:20">
      <c r="A1891" s="37" t="s">
        <v>57</v>
      </c>
      <c r="B1891" s="37"/>
      <c r="C1891" s="37"/>
      <c r="D1891" s="37"/>
      <c r="E1891" s="37"/>
      <c r="F1891" s="37"/>
      <c r="G1891" s="37"/>
      <c r="H1891" s="37"/>
      <c r="I1891" s="37"/>
      <c r="J1891" s="37"/>
      <c r="K1891" s="37"/>
      <c r="L1891" s="37"/>
      <c r="M1891" s="37"/>
      <c r="N1891" s="37"/>
      <c r="O1891" s="37"/>
      <c r="P1891" s="37"/>
      <c r="Q1891" s="37"/>
      <c r="T1891" s="20"/>
    </row>
    <row r="1892" spans="1:20">
      <c r="A1892" s="37" t="s">
        <v>58</v>
      </c>
      <c r="B1892" s="37"/>
      <c r="C1892" s="37"/>
      <c r="D1892" s="37"/>
      <c r="E1892" s="37"/>
      <c r="F1892" s="37"/>
      <c r="G1892" s="37"/>
      <c r="H1892" s="37"/>
      <c r="I1892" s="37"/>
      <c r="J1892" s="37"/>
      <c r="K1892" s="37"/>
      <c r="L1892" s="37"/>
      <c r="M1892" s="37"/>
      <c r="N1892" s="37"/>
      <c r="O1892" s="37"/>
      <c r="P1892" s="37"/>
      <c r="Q1892" s="37"/>
      <c r="T1892" s="20"/>
    </row>
    <row r="1893" spans="1:20">
      <c r="A1893" s="37" t="s">
        <v>59</v>
      </c>
      <c r="B1893" s="37"/>
      <c r="C1893" s="37"/>
      <c r="D1893" s="37"/>
      <c r="E1893" s="37"/>
      <c r="F1893" s="37"/>
      <c r="G1893" s="37"/>
      <c r="H1893" s="37"/>
      <c r="I1893" s="37"/>
      <c r="J1893" s="37"/>
      <c r="K1893" s="37"/>
      <c r="L1893" s="37"/>
      <c r="M1893" s="37"/>
      <c r="N1893" s="37"/>
      <c r="O1893" s="37"/>
      <c r="P1893" s="37"/>
      <c r="Q1893" s="37"/>
      <c r="T1893" s="20"/>
    </row>
    <row r="1894" spans="1:20">
      <c r="A1894" s="37" t="s">
        <v>60</v>
      </c>
      <c r="B1894" s="37"/>
      <c r="C1894" s="37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T1894" s="20"/>
    </row>
    <row r="1895" spans="1:20">
      <c r="A1895" s="37" t="s">
        <v>61</v>
      </c>
      <c r="B1895" s="37"/>
      <c r="C1895" s="37"/>
      <c r="D1895" s="37"/>
      <c r="E1895" s="37"/>
      <c r="F1895" s="37"/>
      <c r="G1895" s="37"/>
      <c r="H1895" s="37"/>
      <c r="I1895" s="37"/>
      <c r="J1895" s="37"/>
      <c r="K1895" s="37"/>
      <c r="L1895" s="37"/>
      <c r="M1895" s="37"/>
      <c r="N1895" s="37"/>
      <c r="O1895" s="37"/>
      <c r="P1895" s="37"/>
      <c r="Q1895" s="37"/>
      <c r="T1895" s="20"/>
    </row>
    <row r="1896" spans="1:20">
      <c r="A1896" s="37" t="s">
        <v>62</v>
      </c>
      <c r="B1896" s="37"/>
      <c r="C1896" s="37"/>
      <c r="D1896" s="37"/>
      <c r="E1896" s="37"/>
      <c r="F1896" s="37"/>
      <c r="G1896" s="37"/>
      <c r="H1896" s="37"/>
      <c r="I1896" s="37"/>
      <c r="J1896" s="37"/>
      <c r="K1896" s="37"/>
      <c r="L1896" s="37"/>
      <c r="M1896" s="37"/>
      <c r="N1896" s="37"/>
      <c r="O1896" s="37"/>
      <c r="P1896" s="37"/>
      <c r="Q1896" s="37"/>
      <c r="T1896" s="20"/>
    </row>
    <row r="1897" spans="1:20">
      <c r="A1897" s="37" t="s">
        <v>63</v>
      </c>
      <c r="B1897" s="37"/>
      <c r="C1897" s="37"/>
      <c r="D1897" s="37"/>
      <c r="E1897" s="37"/>
      <c r="F1897" s="37"/>
      <c r="G1897" s="37"/>
      <c r="H1897" s="37"/>
      <c r="I1897" s="37"/>
      <c r="J1897" s="37"/>
      <c r="K1897" s="37"/>
      <c r="L1897" s="37"/>
      <c r="M1897" s="37"/>
      <c r="N1897" s="37"/>
      <c r="O1897" s="37"/>
      <c r="P1897" s="37"/>
      <c r="Q1897" s="37"/>
      <c r="T1897" s="20"/>
    </row>
    <row r="1898" spans="1:20">
      <c r="A1898" s="37" t="s">
        <v>75</v>
      </c>
      <c r="B1898" s="37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T1898" s="20"/>
    </row>
    <row r="1899" spans="1:20" ht="39" customHeight="1">
      <c r="B1899" s="120" t="s">
        <v>0</v>
      </c>
      <c r="C1899" s="120"/>
      <c r="D1899" s="120"/>
      <c r="E1899" s="120"/>
      <c r="F1899" s="120"/>
      <c r="G1899" s="120"/>
      <c r="H1899" s="120"/>
      <c r="I1899" s="120"/>
      <c r="J1899" s="120"/>
      <c r="K1899" s="120"/>
      <c r="L1899" s="120"/>
      <c r="M1899" s="120"/>
      <c r="N1899" s="120"/>
      <c r="O1899" s="120"/>
      <c r="P1899" s="120"/>
      <c r="Q1899" s="120"/>
      <c r="T1899" s="20"/>
    </row>
    <row r="1900" spans="1:20">
      <c r="B1900" s="6" t="s">
        <v>1</v>
      </c>
      <c r="C1900" s="121" t="s">
        <v>2</v>
      </c>
      <c r="D1900" s="121"/>
      <c r="E1900" s="1" t="s">
        <v>3</v>
      </c>
      <c r="F1900" s="121" t="s">
        <v>4</v>
      </c>
      <c r="G1900" s="121"/>
      <c r="H1900" s="1" t="s">
        <v>3</v>
      </c>
      <c r="I1900" s="1"/>
      <c r="J1900" s="121" t="s">
        <v>5</v>
      </c>
      <c r="K1900" s="121"/>
      <c r="L1900" s="121"/>
      <c r="M1900" s="122">
        <f>M1827+1</f>
        <v>46253</v>
      </c>
      <c r="N1900" s="122"/>
      <c r="O1900" s="122"/>
      <c r="P1900" s="123"/>
      <c r="Q1900" s="123"/>
      <c r="T1900" s="20"/>
    </row>
    <row r="1901" spans="1:20">
      <c r="A1901" s="96" t="s">
        <v>6</v>
      </c>
      <c r="B1901" s="96"/>
      <c r="C1901" s="124" t="s">
        <v>79</v>
      </c>
      <c r="D1901" s="125"/>
      <c r="E1901" s="125"/>
      <c r="F1901" s="125"/>
      <c r="G1901" s="125"/>
      <c r="H1901" s="125"/>
      <c r="I1901" s="126"/>
      <c r="J1901" s="127" t="s">
        <v>7</v>
      </c>
      <c r="K1901" s="128"/>
      <c r="L1901" s="128"/>
      <c r="M1901" s="129"/>
      <c r="N1901" s="130" t="s">
        <v>78</v>
      </c>
      <c r="O1901" s="130"/>
      <c r="P1901" s="130"/>
      <c r="Q1901" s="131"/>
      <c r="T1901" s="20"/>
    </row>
    <row r="1902" spans="1:20">
      <c r="A1902" s="96" t="s">
        <v>8</v>
      </c>
      <c r="B1902" s="96"/>
      <c r="C1902" s="4">
        <v>30</v>
      </c>
      <c r="D1902" s="3" t="s">
        <v>9</v>
      </c>
      <c r="E1902" s="127" t="s">
        <v>10</v>
      </c>
      <c r="F1902" s="129"/>
      <c r="G1902" s="127">
        <f>G1829+1</f>
        <v>27</v>
      </c>
      <c r="H1902" s="128"/>
      <c r="I1902" s="3" t="s">
        <v>9</v>
      </c>
      <c r="J1902" s="96" t="s">
        <v>11</v>
      </c>
      <c r="K1902" s="96"/>
      <c r="L1902" s="35">
        <f>C1902-G1902</f>
        <v>3</v>
      </c>
      <c r="M1902" s="2" t="s">
        <v>9</v>
      </c>
      <c r="N1902" s="96" t="s">
        <v>12</v>
      </c>
      <c r="O1902" s="96"/>
      <c r="P1902" s="2"/>
      <c r="Q1902" s="3" t="s">
        <v>9</v>
      </c>
      <c r="T1902" s="20"/>
    </row>
    <row r="1903" spans="1:20">
      <c r="A1903" s="96" t="s">
        <v>13</v>
      </c>
      <c r="B1903" s="96"/>
      <c r="C1903" s="132">
        <v>46227</v>
      </c>
      <c r="D1903" s="132"/>
      <c r="E1903" s="132"/>
      <c r="F1903" s="132"/>
      <c r="G1903" s="132"/>
      <c r="H1903" s="132"/>
      <c r="I1903" s="132"/>
      <c r="J1903" s="127" t="s">
        <v>14</v>
      </c>
      <c r="K1903" s="128"/>
      <c r="L1903" s="128"/>
      <c r="M1903" s="129"/>
      <c r="N1903" s="133">
        <v>46256</v>
      </c>
      <c r="O1903" s="134"/>
      <c r="P1903" s="134"/>
      <c r="Q1903" s="135"/>
      <c r="T1903" s="20"/>
    </row>
    <row r="1904" spans="1:20">
      <c r="A1904" s="96" t="s">
        <v>15</v>
      </c>
      <c r="B1904" s="96"/>
      <c r="C1904" s="97">
        <v>98</v>
      </c>
      <c r="D1904" s="98"/>
      <c r="E1904" s="98"/>
      <c r="F1904" s="98"/>
      <c r="G1904" s="98"/>
      <c r="H1904" s="99" t="s">
        <v>16</v>
      </c>
      <c r="I1904" s="100"/>
      <c r="J1904" s="101" t="s">
        <v>17</v>
      </c>
      <c r="K1904" s="101"/>
      <c r="L1904" s="101"/>
      <c r="M1904" s="101"/>
      <c r="N1904" s="102">
        <f>U1927</f>
        <v>0.99999963473012754</v>
      </c>
      <c r="O1904" s="102"/>
      <c r="P1904" s="102"/>
      <c r="Q1904" s="102"/>
      <c r="T1904" s="20"/>
    </row>
    <row r="1905" spans="1:22">
      <c r="A1905" s="103" t="s">
        <v>18</v>
      </c>
      <c r="B1905" s="104"/>
      <c r="C1905" s="104"/>
      <c r="D1905" s="104"/>
      <c r="E1905" s="104"/>
      <c r="F1905" s="104"/>
      <c r="G1905" s="104"/>
      <c r="H1905" s="104"/>
      <c r="I1905" s="104"/>
      <c r="J1905" s="104"/>
      <c r="K1905" s="104"/>
      <c r="L1905" s="104"/>
      <c r="M1905" s="104"/>
      <c r="N1905" s="104"/>
      <c r="O1905" s="104"/>
      <c r="P1905" s="104"/>
      <c r="Q1905" s="105"/>
      <c r="T1905" s="20"/>
    </row>
    <row r="1906" spans="1:22">
      <c r="A1906" s="7"/>
      <c r="B1906" s="106" t="s">
        <v>19</v>
      </c>
      <c r="C1906" s="107"/>
      <c r="D1906" s="107"/>
      <c r="E1906" s="107"/>
      <c r="F1906" s="107"/>
      <c r="G1906" s="108"/>
      <c r="H1906" s="8" t="s">
        <v>20</v>
      </c>
      <c r="I1906" s="109" t="s">
        <v>21</v>
      </c>
      <c r="J1906" s="110"/>
      <c r="K1906" s="111"/>
      <c r="L1906" s="109" t="s">
        <v>28</v>
      </c>
      <c r="M1906" s="111"/>
      <c r="N1906" s="106" t="s">
        <v>22</v>
      </c>
      <c r="O1906" s="112"/>
      <c r="P1906" s="113" t="s">
        <v>23</v>
      </c>
      <c r="Q1906" s="113"/>
      <c r="S1906" s="33" t="s">
        <v>22</v>
      </c>
      <c r="T1906" s="34" t="s">
        <v>64</v>
      </c>
      <c r="U1906" s="13" t="s">
        <v>27</v>
      </c>
    </row>
    <row r="1907" spans="1:22">
      <c r="A1907" s="17" t="s">
        <v>65</v>
      </c>
      <c r="B1907" s="114" t="s">
        <v>66</v>
      </c>
      <c r="C1907" s="115"/>
      <c r="D1907" s="115"/>
      <c r="E1907" s="115"/>
      <c r="F1907" s="115"/>
      <c r="G1907" s="116"/>
      <c r="H1907" s="17"/>
      <c r="I1907" s="117"/>
      <c r="J1907" s="118"/>
      <c r="K1907" s="119"/>
      <c r="L1907" s="77"/>
      <c r="M1907" s="78"/>
      <c r="N1907" s="77"/>
      <c r="O1907" s="78"/>
      <c r="P1907" s="93"/>
      <c r="Q1907" s="93"/>
      <c r="S1907" s="16"/>
      <c r="T1907" s="16"/>
      <c r="U1907" s="16" t="s">
        <v>26</v>
      </c>
    </row>
    <row r="1908" spans="1:22">
      <c r="A1908" s="17">
        <v>1</v>
      </c>
      <c r="B1908" s="81" t="s">
        <v>80</v>
      </c>
      <c r="C1908" s="82"/>
      <c r="D1908" s="82"/>
      <c r="E1908" s="82"/>
      <c r="F1908" s="82"/>
      <c r="G1908" s="83"/>
      <c r="H1908" s="29" t="s">
        <v>67</v>
      </c>
      <c r="I1908" s="84">
        <v>18</v>
      </c>
      <c r="J1908" s="85"/>
      <c r="K1908" s="86"/>
      <c r="L1908" s="87"/>
      <c r="M1908" s="88"/>
      <c r="N1908" s="89">
        <v>18</v>
      </c>
      <c r="O1908" s="90"/>
      <c r="P1908" s="93"/>
      <c r="Q1908" s="93"/>
      <c r="S1908" s="12">
        <v>18</v>
      </c>
      <c r="T1908" s="26">
        <v>18000</v>
      </c>
      <c r="U1908" s="12">
        <f>S1908*T1908</f>
        <v>324000</v>
      </c>
    </row>
    <row r="1909" spans="1:22" ht="32.1" customHeight="1">
      <c r="A1909" s="17">
        <v>2</v>
      </c>
      <c r="B1909" s="81" t="s">
        <v>81</v>
      </c>
      <c r="C1909" s="82" t="s">
        <v>81</v>
      </c>
      <c r="D1909" s="82" t="s">
        <v>81</v>
      </c>
      <c r="E1909" s="82" t="s">
        <v>81</v>
      </c>
      <c r="F1909" s="82" t="s">
        <v>81</v>
      </c>
      <c r="G1909" s="83" t="s">
        <v>81</v>
      </c>
      <c r="H1909" s="29" t="s">
        <v>97</v>
      </c>
      <c r="I1909" s="84">
        <v>166</v>
      </c>
      <c r="J1909" s="85"/>
      <c r="K1909" s="86"/>
      <c r="L1909" s="87"/>
      <c r="M1909" s="88"/>
      <c r="N1909" s="89">
        <v>166</v>
      </c>
      <c r="O1909" s="90"/>
      <c r="P1909" s="93"/>
      <c r="Q1909" s="93"/>
      <c r="S1909" s="12">
        <v>166</v>
      </c>
      <c r="T1909" s="26">
        <v>750</v>
      </c>
      <c r="U1909" s="12">
        <f t="shared" ref="U1909:U1919" si="52">S1909*T1909</f>
        <v>124500</v>
      </c>
    </row>
    <row r="1910" spans="1:22">
      <c r="A1910" s="17">
        <v>3</v>
      </c>
      <c r="B1910" s="81" t="s">
        <v>82</v>
      </c>
      <c r="C1910" s="82" t="s">
        <v>82</v>
      </c>
      <c r="D1910" s="82" t="s">
        <v>82</v>
      </c>
      <c r="E1910" s="82" t="s">
        <v>82</v>
      </c>
      <c r="F1910" s="82" t="s">
        <v>82</v>
      </c>
      <c r="G1910" s="83" t="s">
        <v>82</v>
      </c>
      <c r="H1910" s="29" t="s">
        <v>97</v>
      </c>
      <c r="I1910" s="84">
        <v>540</v>
      </c>
      <c r="J1910" s="85">
        <v>540</v>
      </c>
      <c r="K1910" s="86">
        <v>540</v>
      </c>
      <c r="L1910" s="87"/>
      <c r="M1910" s="88"/>
      <c r="N1910" s="89">
        <v>540</v>
      </c>
      <c r="O1910" s="90"/>
      <c r="P1910" s="93"/>
      <c r="Q1910" s="93"/>
      <c r="S1910" s="12">
        <v>540</v>
      </c>
      <c r="T1910" s="26">
        <v>340</v>
      </c>
      <c r="U1910" s="12">
        <f t="shared" si="52"/>
        <v>183600</v>
      </c>
    </row>
    <row r="1911" spans="1:22">
      <c r="A1911" s="17">
        <v>4</v>
      </c>
      <c r="B1911" s="81" t="s">
        <v>83</v>
      </c>
      <c r="C1911" s="82" t="s">
        <v>83</v>
      </c>
      <c r="D1911" s="82" t="s">
        <v>83</v>
      </c>
      <c r="E1911" s="82" t="s">
        <v>83</v>
      </c>
      <c r="F1911" s="82" t="s">
        <v>83</v>
      </c>
      <c r="G1911" s="83" t="s">
        <v>83</v>
      </c>
      <c r="H1911" s="29" t="s">
        <v>67</v>
      </c>
      <c r="I1911" s="84">
        <v>20</v>
      </c>
      <c r="J1911" s="85">
        <v>20</v>
      </c>
      <c r="K1911" s="86">
        <v>20</v>
      </c>
      <c r="L1911" s="87"/>
      <c r="M1911" s="88"/>
      <c r="N1911" s="89">
        <v>20</v>
      </c>
      <c r="O1911" s="90"/>
      <c r="P1911" s="93"/>
      <c r="Q1911" s="93"/>
      <c r="S1911" s="12">
        <v>20</v>
      </c>
      <c r="T1911" s="26">
        <v>1250</v>
      </c>
      <c r="U1911" s="12">
        <f t="shared" si="52"/>
        <v>25000</v>
      </c>
    </row>
    <row r="1912" spans="1:22" ht="31.5" customHeight="1">
      <c r="A1912" s="17">
        <v>5</v>
      </c>
      <c r="B1912" s="81" t="s">
        <v>84</v>
      </c>
      <c r="C1912" s="82" t="s">
        <v>84</v>
      </c>
      <c r="D1912" s="82" t="s">
        <v>84</v>
      </c>
      <c r="E1912" s="82" t="s">
        <v>84</v>
      </c>
      <c r="F1912" s="82" t="s">
        <v>84</v>
      </c>
      <c r="G1912" s="83" t="s">
        <v>84</v>
      </c>
      <c r="H1912" s="29" t="s">
        <v>97</v>
      </c>
      <c r="I1912" s="84">
        <v>28</v>
      </c>
      <c r="J1912" s="85">
        <v>28</v>
      </c>
      <c r="K1912" s="86">
        <v>28</v>
      </c>
      <c r="L1912" s="87"/>
      <c r="M1912" s="88"/>
      <c r="N1912" s="89">
        <v>28</v>
      </c>
      <c r="O1912" s="90"/>
      <c r="P1912" s="93"/>
      <c r="Q1912" s="93"/>
      <c r="S1912" s="12">
        <v>28</v>
      </c>
      <c r="T1912" s="26">
        <v>1800</v>
      </c>
      <c r="U1912" s="12">
        <f t="shared" si="52"/>
        <v>50400</v>
      </c>
    </row>
    <row r="1913" spans="1:22">
      <c r="A1913" s="17">
        <v>6</v>
      </c>
      <c r="B1913" s="81" t="s">
        <v>85</v>
      </c>
      <c r="C1913" s="82" t="s">
        <v>85</v>
      </c>
      <c r="D1913" s="82" t="s">
        <v>85</v>
      </c>
      <c r="E1913" s="82" t="s">
        <v>85</v>
      </c>
      <c r="F1913" s="82" t="s">
        <v>85</v>
      </c>
      <c r="G1913" s="83" t="s">
        <v>85</v>
      </c>
      <c r="H1913" s="29" t="s">
        <v>97</v>
      </c>
      <c r="I1913" s="84">
        <v>14</v>
      </c>
      <c r="J1913" s="85">
        <v>14</v>
      </c>
      <c r="K1913" s="86">
        <v>14</v>
      </c>
      <c r="L1913" s="87"/>
      <c r="M1913" s="88"/>
      <c r="N1913" s="89">
        <v>14</v>
      </c>
      <c r="O1913" s="90"/>
      <c r="P1913" s="79"/>
      <c r="Q1913" s="80"/>
      <c r="S1913" s="12">
        <v>14</v>
      </c>
      <c r="T1913" s="26">
        <v>4000</v>
      </c>
      <c r="U1913" s="12">
        <f t="shared" si="52"/>
        <v>56000</v>
      </c>
    </row>
    <row r="1914" spans="1:22">
      <c r="A1914" s="17">
        <v>7</v>
      </c>
      <c r="B1914" s="81" t="s">
        <v>86</v>
      </c>
      <c r="C1914" s="82" t="s">
        <v>86</v>
      </c>
      <c r="D1914" s="82" t="s">
        <v>86</v>
      </c>
      <c r="E1914" s="82" t="s">
        <v>86</v>
      </c>
      <c r="F1914" s="82" t="s">
        <v>86</v>
      </c>
      <c r="G1914" s="83" t="s">
        <v>86</v>
      </c>
      <c r="H1914" s="29" t="s">
        <v>97</v>
      </c>
      <c r="I1914" s="84">
        <v>30</v>
      </c>
      <c r="J1914" s="85">
        <v>30</v>
      </c>
      <c r="K1914" s="86">
        <v>30</v>
      </c>
      <c r="L1914" s="87"/>
      <c r="M1914" s="88"/>
      <c r="N1914" s="89">
        <v>30</v>
      </c>
      <c r="O1914" s="90"/>
      <c r="P1914" s="93"/>
      <c r="Q1914" s="93"/>
      <c r="S1914" s="12">
        <v>30</v>
      </c>
      <c r="T1914" s="26">
        <v>4000</v>
      </c>
      <c r="U1914" s="12">
        <f t="shared" si="52"/>
        <v>120000</v>
      </c>
    </row>
    <row r="1915" spans="1:22">
      <c r="A1915" s="17">
        <v>8</v>
      </c>
      <c r="B1915" s="81" t="s">
        <v>87</v>
      </c>
      <c r="C1915" s="82" t="s">
        <v>87</v>
      </c>
      <c r="D1915" s="82" t="s">
        <v>87</v>
      </c>
      <c r="E1915" s="82" t="s">
        <v>87</v>
      </c>
      <c r="F1915" s="82" t="s">
        <v>87</v>
      </c>
      <c r="G1915" s="83" t="s">
        <v>87</v>
      </c>
      <c r="H1915" s="30" t="s">
        <v>25</v>
      </c>
      <c r="I1915" s="84">
        <v>1</v>
      </c>
      <c r="J1915" s="85">
        <v>1</v>
      </c>
      <c r="K1915" s="86">
        <v>1</v>
      </c>
      <c r="L1915" s="94"/>
      <c r="M1915" s="95"/>
      <c r="N1915" s="94">
        <v>1</v>
      </c>
      <c r="O1915" s="95"/>
      <c r="P1915" s="93"/>
      <c r="Q1915" s="93"/>
      <c r="S1915" s="16">
        <v>1</v>
      </c>
      <c r="T1915" s="26">
        <v>31000</v>
      </c>
      <c r="U1915" s="12">
        <f t="shared" si="52"/>
        <v>31000</v>
      </c>
    </row>
    <row r="1916" spans="1:22">
      <c r="A1916" s="17">
        <v>9</v>
      </c>
      <c r="B1916" s="81" t="s">
        <v>88</v>
      </c>
      <c r="C1916" s="82" t="s">
        <v>88</v>
      </c>
      <c r="D1916" s="82" t="s">
        <v>88</v>
      </c>
      <c r="E1916" s="82" t="s">
        <v>88</v>
      </c>
      <c r="F1916" s="82" t="s">
        <v>88</v>
      </c>
      <c r="G1916" s="83" t="s">
        <v>88</v>
      </c>
      <c r="H1916" s="30" t="s">
        <v>25</v>
      </c>
      <c r="I1916" s="84">
        <v>1</v>
      </c>
      <c r="J1916" s="85">
        <v>1</v>
      </c>
      <c r="K1916" s="86">
        <v>1</v>
      </c>
      <c r="L1916" s="87"/>
      <c r="M1916" s="88"/>
      <c r="N1916" s="89">
        <v>1</v>
      </c>
      <c r="O1916" s="90"/>
      <c r="P1916" s="93"/>
      <c r="Q1916" s="93"/>
      <c r="S1916" s="12">
        <v>1</v>
      </c>
      <c r="T1916" s="26">
        <v>30121</v>
      </c>
      <c r="U1916" s="12">
        <f t="shared" si="52"/>
        <v>30121</v>
      </c>
    </row>
    <row r="1917" spans="1:22">
      <c r="A1917" s="17">
        <v>10</v>
      </c>
      <c r="B1917" s="81" t="s">
        <v>89</v>
      </c>
      <c r="C1917" s="82"/>
      <c r="D1917" s="82"/>
      <c r="E1917" s="82"/>
      <c r="F1917" s="82"/>
      <c r="G1917" s="83"/>
      <c r="H1917" s="30" t="s">
        <v>98</v>
      </c>
      <c r="I1917" s="84">
        <v>3</v>
      </c>
      <c r="J1917" s="85"/>
      <c r="K1917" s="86"/>
      <c r="L1917" s="87"/>
      <c r="M1917" s="88"/>
      <c r="N1917" s="89">
        <v>3</v>
      </c>
      <c r="O1917" s="90"/>
      <c r="P1917" s="91"/>
      <c r="Q1917" s="92"/>
      <c r="S1917" s="12">
        <v>3</v>
      </c>
      <c r="T1917" s="26">
        <v>14500</v>
      </c>
      <c r="U1917" s="12">
        <f t="shared" si="52"/>
        <v>43500</v>
      </c>
    </row>
    <row r="1918" spans="1:22">
      <c r="A1918" s="17">
        <v>11</v>
      </c>
      <c r="B1918" s="81" t="s">
        <v>90</v>
      </c>
      <c r="C1918" s="82"/>
      <c r="D1918" s="82"/>
      <c r="E1918" s="82"/>
      <c r="F1918" s="82"/>
      <c r="G1918" s="83"/>
      <c r="H1918" s="29" t="s">
        <v>67</v>
      </c>
      <c r="I1918" s="84">
        <v>6</v>
      </c>
      <c r="J1918" s="85"/>
      <c r="K1918" s="86"/>
      <c r="L1918" s="87"/>
      <c r="M1918" s="88"/>
      <c r="N1918" s="89">
        <v>6</v>
      </c>
      <c r="O1918" s="90"/>
      <c r="P1918" s="91"/>
      <c r="Q1918" s="92"/>
      <c r="S1918" s="12">
        <v>6</v>
      </c>
      <c r="T1918" s="26">
        <v>3500</v>
      </c>
      <c r="U1918" s="12">
        <f t="shared" si="52"/>
        <v>21000</v>
      </c>
    </row>
    <row r="1919" spans="1:22">
      <c r="A1919" s="17">
        <v>12</v>
      </c>
      <c r="B1919" s="81" t="s">
        <v>91</v>
      </c>
      <c r="C1919" s="82" t="s">
        <v>89</v>
      </c>
      <c r="D1919" s="82" t="s">
        <v>89</v>
      </c>
      <c r="E1919" s="82" t="s">
        <v>89</v>
      </c>
      <c r="F1919" s="82" t="s">
        <v>89</v>
      </c>
      <c r="G1919" s="83" t="s">
        <v>89</v>
      </c>
      <c r="H1919" s="29" t="s">
        <v>67</v>
      </c>
      <c r="I1919" s="84">
        <v>10</v>
      </c>
      <c r="J1919" s="85">
        <v>10</v>
      </c>
      <c r="K1919" s="86">
        <v>10</v>
      </c>
      <c r="L1919" s="87"/>
      <c r="M1919" s="88"/>
      <c r="N1919" s="89">
        <v>10</v>
      </c>
      <c r="O1919" s="90"/>
      <c r="P1919" s="93"/>
      <c r="Q1919" s="93"/>
      <c r="S1919" s="12">
        <v>10</v>
      </c>
      <c r="T1919" s="26">
        <v>3000</v>
      </c>
      <c r="U1919" s="12">
        <f t="shared" si="52"/>
        <v>30000</v>
      </c>
      <c r="V1919" s="22">
        <f>SUM(U1908:U1919)</f>
        <v>1039121</v>
      </c>
    </row>
    <row r="1920" spans="1:22">
      <c r="A1920" s="17" t="s">
        <v>76</v>
      </c>
      <c r="B1920" s="71" t="s">
        <v>92</v>
      </c>
      <c r="C1920" s="72"/>
      <c r="D1920" s="72"/>
      <c r="E1920" s="72"/>
      <c r="F1920" s="72"/>
      <c r="G1920" s="73"/>
      <c r="H1920" s="30" t="s">
        <v>24</v>
      </c>
      <c r="I1920" s="84">
        <v>1</v>
      </c>
      <c r="J1920" s="85">
        <v>10</v>
      </c>
      <c r="K1920" s="86">
        <v>10</v>
      </c>
      <c r="L1920" s="77"/>
      <c r="M1920" s="78"/>
      <c r="N1920" s="77">
        <v>1</v>
      </c>
      <c r="O1920" s="78"/>
      <c r="P1920" s="79"/>
      <c r="Q1920" s="80"/>
      <c r="S1920" s="12">
        <v>1</v>
      </c>
      <c r="T1920" s="25">
        <v>10391</v>
      </c>
      <c r="U1920" s="12">
        <f>S1920*T1920</f>
        <v>10391</v>
      </c>
      <c r="V1920" s="27"/>
    </row>
    <row r="1921" spans="1:21">
      <c r="A1921" s="23" t="s">
        <v>68</v>
      </c>
      <c r="B1921" s="71" t="s">
        <v>93</v>
      </c>
      <c r="C1921" s="72"/>
      <c r="D1921" s="72"/>
      <c r="E1921" s="72"/>
      <c r="F1921" s="72"/>
      <c r="G1921" s="73"/>
      <c r="H1921" s="30" t="s">
        <v>24</v>
      </c>
      <c r="I1921" s="74">
        <v>1</v>
      </c>
      <c r="J1921" s="75"/>
      <c r="K1921" s="76"/>
      <c r="L1921" s="77">
        <f>N1921-N1848</f>
        <v>0</v>
      </c>
      <c r="M1921" s="78"/>
      <c r="N1921" s="77">
        <f>S1921</f>
        <v>1.0000202097969397</v>
      </c>
      <c r="O1921" s="78"/>
      <c r="P1921" s="77"/>
      <c r="Q1921" s="78"/>
      <c r="S1921" s="21">
        <f>V1919*0.01/T1921</f>
        <v>1.0000202097969397</v>
      </c>
      <c r="T1921" s="25">
        <v>10391</v>
      </c>
      <c r="U1921" s="12">
        <f t="shared" ref="U1921:U1922" si="53">S1921*T1921</f>
        <v>10391.210000000001</v>
      </c>
    </row>
    <row r="1922" spans="1:21">
      <c r="A1922" s="23" t="s">
        <v>69</v>
      </c>
      <c r="B1922" s="58" t="s">
        <v>94</v>
      </c>
      <c r="C1922" s="59" t="s">
        <v>70</v>
      </c>
      <c r="D1922" s="59" t="s">
        <v>70</v>
      </c>
      <c r="E1922" s="59" t="s">
        <v>70</v>
      </c>
      <c r="F1922" s="59" t="s">
        <v>70</v>
      </c>
      <c r="G1922" s="60" t="s">
        <v>70</v>
      </c>
      <c r="H1922" s="30" t="s">
        <v>24</v>
      </c>
      <c r="I1922" s="74">
        <v>1</v>
      </c>
      <c r="J1922" s="75"/>
      <c r="K1922" s="76"/>
      <c r="L1922" s="77">
        <f>N1922-N1849</f>
        <v>0</v>
      </c>
      <c r="M1922" s="78"/>
      <c r="N1922" s="77">
        <f>S1922</f>
        <v>0.99999271367491993</v>
      </c>
      <c r="O1922" s="78"/>
      <c r="P1922" s="77"/>
      <c r="Q1922" s="78"/>
      <c r="S1922" s="21">
        <f>V1919*0.07/T1922</f>
        <v>0.99999271367491993</v>
      </c>
      <c r="T1922" s="25">
        <v>72739</v>
      </c>
      <c r="U1922" s="12">
        <f t="shared" si="53"/>
        <v>72738.47</v>
      </c>
    </row>
    <row r="1923" spans="1:21">
      <c r="A1923" s="23" t="s">
        <v>71</v>
      </c>
      <c r="B1923" s="58" t="s">
        <v>95</v>
      </c>
      <c r="C1923" s="59" t="s">
        <v>72</v>
      </c>
      <c r="D1923" s="59" t="s">
        <v>72</v>
      </c>
      <c r="E1923" s="59" t="s">
        <v>72</v>
      </c>
      <c r="F1923" s="59" t="s">
        <v>72</v>
      </c>
      <c r="G1923" s="60" t="s">
        <v>72</v>
      </c>
      <c r="H1923" s="30" t="s">
        <v>24</v>
      </c>
      <c r="I1923" s="74">
        <v>1</v>
      </c>
      <c r="J1923" s="75"/>
      <c r="K1923" s="76"/>
      <c r="L1923" s="77"/>
      <c r="M1923" s="78"/>
      <c r="N1923" s="77">
        <f>S1923</f>
        <v>1</v>
      </c>
      <c r="O1923" s="78"/>
      <c r="P1923" s="77"/>
      <c r="Q1923" s="78"/>
      <c r="S1923" s="21">
        <v>1</v>
      </c>
      <c r="T1923" s="25">
        <v>4156</v>
      </c>
      <c r="U1923" s="12">
        <f>S1923*T1923</f>
        <v>4156</v>
      </c>
    </row>
    <row r="1924" spans="1:21">
      <c r="A1924" s="23" t="s">
        <v>73</v>
      </c>
      <c r="B1924" s="58" t="s">
        <v>96</v>
      </c>
      <c r="C1924" s="59" t="s">
        <v>74</v>
      </c>
      <c r="D1924" s="59" t="s">
        <v>74</v>
      </c>
      <c r="E1924" s="59" t="s">
        <v>74</v>
      </c>
      <c r="F1924" s="59" t="s">
        <v>74</v>
      </c>
      <c r="G1924" s="60" t="s">
        <v>74</v>
      </c>
      <c r="H1924" s="30" t="s">
        <v>24</v>
      </c>
      <c r="I1924" s="74">
        <v>1</v>
      </c>
      <c r="J1924" s="75"/>
      <c r="K1924" s="76"/>
      <c r="L1924" s="77">
        <f>N1924-N1851</f>
        <v>0</v>
      </c>
      <c r="M1924" s="78"/>
      <c r="N1924" s="77">
        <f>S1924</f>
        <v>0.9999979591836734</v>
      </c>
      <c r="O1924" s="78"/>
      <c r="P1924" s="79"/>
      <c r="Q1924" s="80"/>
      <c r="S1924" s="21">
        <f>(V1919+U1920+U1921+U1922+U1923)*0.05/T1924</f>
        <v>0.9999979591836734</v>
      </c>
      <c r="T1924" s="25">
        <v>56840</v>
      </c>
      <c r="U1924" s="12">
        <f>S1924*T1924</f>
        <v>56839.883999999998</v>
      </c>
    </row>
    <row r="1925" spans="1:21">
      <c r="A1925" s="23"/>
      <c r="B1925" s="58"/>
      <c r="C1925" s="59"/>
      <c r="D1925" s="59"/>
      <c r="E1925" s="59"/>
      <c r="F1925" s="59"/>
      <c r="G1925" s="60"/>
      <c r="H1925" s="24"/>
      <c r="I1925" s="58"/>
      <c r="J1925" s="59"/>
      <c r="K1925" s="59"/>
      <c r="L1925" s="58"/>
      <c r="M1925" s="59"/>
      <c r="N1925" s="58"/>
      <c r="O1925" s="59"/>
      <c r="P1925" s="58"/>
      <c r="Q1925" s="60"/>
      <c r="S1925" s="21"/>
      <c r="T1925" s="25"/>
      <c r="U1925" s="28">
        <f>V1919+U1920+U1921+U1922+U1923+U1924</f>
        <v>1193637.564</v>
      </c>
    </row>
    <row r="1926" spans="1:21">
      <c r="A1926" s="23"/>
      <c r="B1926" s="58"/>
      <c r="C1926" s="59"/>
      <c r="D1926" s="59"/>
      <c r="E1926" s="59"/>
      <c r="F1926" s="59"/>
      <c r="G1926" s="60"/>
      <c r="H1926" s="23"/>
      <c r="I1926" s="58"/>
      <c r="J1926" s="59"/>
      <c r="K1926" s="59"/>
      <c r="L1926" s="58"/>
      <c r="M1926" s="59"/>
      <c r="N1926" s="58"/>
      <c r="O1926" s="59"/>
      <c r="P1926" s="58"/>
      <c r="Q1926" s="60"/>
      <c r="S1926" s="21"/>
      <c r="T1926" s="16"/>
      <c r="U1926" s="14">
        <v>1193638</v>
      </c>
    </row>
    <row r="1927" spans="1:21">
      <c r="A1927" s="9"/>
      <c r="B1927" s="58"/>
      <c r="C1927" s="59"/>
      <c r="D1927" s="59"/>
      <c r="E1927" s="59"/>
      <c r="F1927" s="59"/>
      <c r="G1927" s="60"/>
      <c r="H1927" s="9"/>
      <c r="I1927" s="58"/>
      <c r="J1927" s="59"/>
      <c r="K1927" s="59"/>
      <c r="L1927" s="58"/>
      <c r="M1927" s="59"/>
      <c r="N1927" s="58"/>
      <c r="O1927" s="59"/>
      <c r="P1927" s="58"/>
      <c r="Q1927" s="60"/>
      <c r="S1927" s="21"/>
      <c r="T1927" s="16"/>
      <c r="U1927" s="15">
        <f>U1925/U1926</f>
        <v>0.99999963473012754</v>
      </c>
    </row>
    <row r="1928" spans="1:21">
      <c r="A1928" s="9"/>
      <c r="B1928" s="58"/>
      <c r="C1928" s="59"/>
      <c r="D1928" s="59"/>
      <c r="E1928" s="59"/>
      <c r="F1928" s="59"/>
      <c r="G1928" s="60"/>
      <c r="H1928" s="9"/>
      <c r="I1928" s="58"/>
      <c r="J1928" s="59"/>
      <c r="K1928" s="59"/>
      <c r="L1928" s="58"/>
      <c r="M1928" s="59"/>
      <c r="N1928" s="58"/>
      <c r="O1928" s="59"/>
      <c r="P1928" s="58"/>
      <c r="Q1928" s="60"/>
      <c r="S1928" s="21"/>
      <c r="T1928" s="16"/>
      <c r="U1928" s="12"/>
    </row>
    <row r="1929" spans="1:21">
      <c r="A1929" s="9"/>
      <c r="B1929" s="58"/>
      <c r="C1929" s="59"/>
      <c r="D1929" s="59"/>
      <c r="E1929" s="59"/>
      <c r="F1929" s="59"/>
      <c r="G1929" s="60"/>
      <c r="H1929" s="9"/>
      <c r="I1929" s="58"/>
      <c r="J1929" s="59"/>
      <c r="K1929" s="59"/>
      <c r="L1929" s="58"/>
      <c r="M1929" s="59"/>
      <c r="N1929" s="58"/>
      <c r="O1929" s="59"/>
      <c r="P1929" s="58"/>
      <c r="Q1929" s="60"/>
      <c r="S1929" s="21"/>
      <c r="T1929" s="16"/>
      <c r="U1929" s="12"/>
    </row>
    <row r="1930" spans="1:21">
      <c r="A1930" s="9"/>
      <c r="B1930" s="58"/>
      <c r="C1930" s="59"/>
      <c r="D1930" s="59"/>
      <c r="E1930" s="59"/>
      <c r="F1930" s="59"/>
      <c r="G1930" s="60"/>
      <c r="H1930" s="9"/>
      <c r="I1930" s="58"/>
      <c r="J1930" s="59"/>
      <c r="K1930" s="59"/>
      <c r="L1930" s="58"/>
      <c r="M1930" s="59"/>
      <c r="N1930" s="58"/>
      <c r="O1930" s="59"/>
      <c r="P1930" s="58"/>
      <c r="Q1930" s="60"/>
      <c r="S1930" s="21"/>
      <c r="T1930" s="16"/>
      <c r="U1930" s="12"/>
    </row>
    <row r="1931" spans="1:21">
      <c r="A1931" s="9"/>
      <c r="B1931" s="58"/>
      <c r="C1931" s="59"/>
      <c r="D1931" s="59"/>
      <c r="E1931" s="59"/>
      <c r="F1931" s="59"/>
      <c r="G1931" s="60"/>
      <c r="H1931" s="9"/>
      <c r="I1931" s="58"/>
      <c r="J1931" s="59"/>
      <c r="K1931" s="59"/>
      <c r="L1931" s="58"/>
      <c r="M1931" s="59"/>
      <c r="N1931" s="58"/>
      <c r="O1931" s="59"/>
      <c r="P1931" s="58"/>
      <c r="Q1931" s="60"/>
      <c r="S1931" s="21"/>
      <c r="T1931" s="16"/>
      <c r="U1931" s="12"/>
    </row>
    <row r="1932" spans="1:21">
      <c r="A1932" s="7"/>
      <c r="B1932" s="61"/>
      <c r="C1932" s="62"/>
      <c r="D1932" s="62"/>
      <c r="E1932" s="62"/>
      <c r="F1932" s="62"/>
      <c r="G1932" s="63"/>
      <c r="H1932" s="9"/>
      <c r="I1932" s="64"/>
      <c r="J1932" s="65"/>
      <c r="K1932" s="66"/>
      <c r="L1932" s="67"/>
      <c r="M1932" s="68"/>
      <c r="N1932" s="67"/>
      <c r="O1932" s="68"/>
      <c r="P1932" s="69"/>
      <c r="Q1932" s="70"/>
      <c r="S1932" s="21"/>
      <c r="T1932" s="16"/>
    </row>
    <row r="1933" spans="1:21">
      <c r="A1933" s="44" t="s">
        <v>29</v>
      </c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T1933" s="20"/>
    </row>
    <row r="1934" spans="1:21">
      <c r="A1934" s="44" t="s">
        <v>30</v>
      </c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T1934" s="20"/>
    </row>
    <row r="1935" spans="1:21">
      <c r="A1935" s="44" t="s">
        <v>31</v>
      </c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T1935" s="20"/>
    </row>
    <row r="1936" spans="1:21">
      <c r="A1936" s="44" t="s">
        <v>32</v>
      </c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T1936" s="20"/>
    </row>
    <row r="1937" spans="1:20">
      <c r="A1937" s="54" t="s">
        <v>33</v>
      </c>
      <c r="B1937" s="54"/>
      <c r="C1937" s="54"/>
      <c r="D1937" s="54"/>
      <c r="E1937" s="54"/>
      <c r="F1937" s="54"/>
      <c r="G1937" s="54"/>
      <c r="H1937" s="54" t="s">
        <v>20</v>
      </c>
      <c r="I1937" s="54"/>
      <c r="J1937" s="54"/>
      <c r="K1937" s="54" t="s">
        <v>34</v>
      </c>
      <c r="L1937" s="54"/>
      <c r="M1937" s="54" t="s">
        <v>35</v>
      </c>
      <c r="N1937" s="54"/>
      <c r="O1937" s="54" t="s">
        <v>36</v>
      </c>
      <c r="P1937" s="54"/>
      <c r="Q1937" s="54"/>
      <c r="T1937" s="20"/>
    </row>
    <row r="1938" spans="1:20">
      <c r="A1938" s="55"/>
      <c r="B1938" s="56"/>
      <c r="C1938" s="56"/>
      <c r="D1938" s="56"/>
      <c r="E1938" s="56"/>
      <c r="F1938" s="56"/>
      <c r="G1938" s="57"/>
      <c r="H1938" s="55"/>
      <c r="I1938" s="56"/>
      <c r="J1938" s="57"/>
      <c r="K1938" s="55"/>
      <c r="L1938" s="56"/>
      <c r="M1938" s="55"/>
      <c r="N1938" s="56"/>
      <c r="O1938" s="55"/>
      <c r="P1938" s="56"/>
      <c r="Q1938" s="57"/>
      <c r="T1938" s="20"/>
    </row>
    <row r="1939" spans="1:20">
      <c r="A1939" s="55"/>
      <c r="B1939" s="56"/>
      <c r="C1939" s="56"/>
      <c r="D1939" s="56"/>
      <c r="E1939" s="56"/>
      <c r="F1939" s="56"/>
      <c r="G1939" s="57"/>
      <c r="H1939" s="55"/>
      <c r="I1939" s="56"/>
      <c r="J1939" s="57"/>
      <c r="K1939" s="55"/>
      <c r="L1939" s="56"/>
      <c r="M1939" s="55"/>
      <c r="N1939" s="56"/>
      <c r="O1939" s="55"/>
      <c r="P1939" s="56"/>
      <c r="Q1939" s="57"/>
      <c r="T1939" s="20"/>
    </row>
    <row r="1940" spans="1:20">
      <c r="A1940" s="53"/>
      <c r="B1940" s="53"/>
      <c r="C1940" s="53"/>
      <c r="D1940" s="53"/>
      <c r="E1940" s="53"/>
      <c r="F1940" s="53"/>
      <c r="G1940" s="53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T1940" s="20"/>
    </row>
    <row r="1941" spans="1:20">
      <c r="A1941" s="53"/>
      <c r="B1941" s="53"/>
      <c r="C1941" s="53"/>
      <c r="D1941" s="53"/>
      <c r="E1941" s="53"/>
      <c r="F1941" s="53"/>
      <c r="G1941" s="53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T1941" s="20"/>
    </row>
    <row r="1942" spans="1:20">
      <c r="A1942" s="44" t="s">
        <v>37</v>
      </c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T1942" s="20"/>
    </row>
    <row r="1943" spans="1:20">
      <c r="A1943" s="46" t="s">
        <v>38</v>
      </c>
      <c r="B1943" s="46"/>
      <c r="C1943" s="47" t="s">
        <v>39</v>
      </c>
      <c r="D1943" s="48"/>
      <c r="E1943" s="48"/>
      <c r="F1943" s="47" t="s">
        <v>40</v>
      </c>
      <c r="G1943" s="48"/>
      <c r="H1943" s="49"/>
      <c r="I1943" s="46" t="s">
        <v>41</v>
      </c>
      <c r="J1943" s="46"/>
      <c r="K1943" s="46"/>
      <c r="L1943" s="46" t="s">
        <v>35</v>
      </c>
      <c r="M1943" s="46"/>
      <c r="N1943" s="46"/>
      <c r="O1943" s="46" t="s">
        <v>36</v>
      </c>
      <c r="P1943" s="46"/>
      <c r="Q1943" s="46"/>
      <c r="T1943" s="20"/>
    </row>
    <row r="1944" spans="1:20">
      <c r="A1944" s="47" t="s">
        <v>42</v>
      </c>
      <c r="B1944" s="49"/>
      <c r="C1944" s="47"/>
      <c r="D1944" s="48"/>
      <c r="E1944" s="49"/>
      <c r="F1944" s="47">
        <f>F1871+C1944</f>
        <v>31</v>
      </c>
      <c r="G1944" s="48"/>
      <c r="H1944" s="49"/>
      <c r="I1944" s="47"/>
      <c r="J1944" s="48"/>
      <c r="K1944" s="49"/>
      <c r="L1944" s="47"/>
      <c r="M1944" s="48"/>
      <c r="N1944" s="49"/>
      <c r="O1944" s="47"/>
      <c r="P1944" s="48"/>
      <c r="Q1944" s="49"/>
      <c r="T1944" s="20"/>
    </row>
    <row r="1945" spans="1:20">
      <c r="A1945" s="47" t="s">
        <v>100</v>
      </c>
      <c r="B1945" s="49"/>
      <c r="C1945" s="47"/>
      <c r="D1945" s="48"/>
      <c r="E1945" s="49"/>
      <c r="F1945" s="47">
        <f>F1872+C1945</f>
        <v>4</v>
      </c>
      <c r="G1945" s="48"/>
      <c r="H1945" s="49"/>
      <c r="I1945" s="47"/>
      <c r="J1945" s="48"/>
      <c r="K1945" s="49"/>
      <c r="L1945" s="47"/>
      <c r="M1945" s="48"/>
      <c r="N1945" s="49"/>
      <c r="O1945" s="47"/>
      <c r="P1945" s="48"/>
      <c r="Q1945" s="49"/>
      <c r="T1945" s="20"/>
    </row>
    <row r="1946" spans="1:20">
      <c r="A1946" s="47"/>
      <c r="B1946" s="49"/>
      <c r="C1946" s="47"/>
      <c r="D1946" s="48"/>
      <c r="E1946" s="49"/>
      <c r="F1946" s="47"/>
      <c r="G1946" s="48"/>
      <c r="H1946" s="49"/>
      <c r="I1946" s="47"/>
      <c r="J1946" s="48"/>
      <c r="K1946" s="49"/>
      <c r="L1946" s="47"/>
      <c r="M1946" s="48"/>
      <c r="N1946" s="49"/>
      <c r="O1946" s="47"/>
      <c r="P1946" s="48"/>
      <c r="Q1946" s="49"/>
      <c r="T1946" s="20"/>
    </row>
    <row r="1947" spans="1:20">
      <c r="A1947" s="46"/>
      <c r="B1947" s="46"/>
      <c r="C1947" s="47"/>
      <c r="D1947" s="48"/>
      <c r="E1947" s="49"/>
      <c r="F1947" s="47"/>
      <c r="G1947" s="48"/>
      <c r="H1947" s="49"/>
      <c r="I1947" s="47"/>
      <c r="J1947" s="48"/>
      <c r="K1947" s="49"/>
      <c r="L1947" s="47"/>
      <c r="M1947" s="48"/>
      <c r="N1947" s="49"/>
      <c r="O1947" s="47"/>
      <c r="P1947" s="48"/>
      <c r="Q1947" s="49"/>
      <c r="T1947" s="20"/>
    </row>
    <row r="1948" spans="1:20">
      <c r="A1948" s="46"/>
      <c r="B1948" s="46"/>
      <c r="C1948" s="47"/>
      <c r="D1948" s="48"/>
      <c r="E1948" s="49"/>
      <c r="F1948" s="47"/>
      <c r="G1948" s="48"/>
      <c r="H1948" s="49"/>
      <c r="I1948" s="47"/>
      <c r="J1948" s="48"/>
      <c r="K1948" s="49"/>
      <c r="L1948" s="47"/>
      <c r="M1948" s="48"/>
      <c r="N1948" s="49"/>
      <c r="O1948" s="47"/>
      <c r="P1948" s="48"/>
      <c r="Q1948" s="49"/>
      <c r="T1948" s="20"/>
    </row>
    <row r="1949" spans="1:20">
      <c r="A1949" s="50" t="s">
        <v>43</v>
      </c>
      <c r="B1949" s="51"/>
      <c r="C1949" s="51"/>
      <c r="D1949" s="51"/>
      <c r="E1949" s="51"/>
      <c r="F1949" s="51"/>
      <c r="G1949" s="51"/>
      <c r="H1949" s="51"/>
      <c r="I1949" s="51"/>
      <c r="J1949" s="51"/>
      <c r="K1949" s="51"/>
      <c r="L1949" s="51"/>
      <c r="M1949" s="51"/>
      <c r="N1949" s="51"/>
      <c r="O1949" s="51"/>
      <c r="P1949" s="51"/>
      <c r="Q1949" s="52"/>
      <c r="T1949" s="20"/>
    </row>
    <row r="1950" spans="1:20">
      <c r="A1950" s="38" t="s">
        <v>44</v>
      </c>
      <c r="B1950" s="39"/>
      <c r="C1950" s="39"/>
      <c r="D1950" s="39"/>
      <c r="E1950" s="39"/>
      <c r="F1950" s="39"/>
      <c r="G1950" s="39"/>
      <c r="H1950" s="39"/>
      <c r="I1950" s="39"/>
      <c r="J1950" s="39"/>
      <c r="K1950" s="39"/>
      <c r="L1950" s="39"/>
      <c r="M1950" s="39"/>
      <c r="N1950" s="39"/>
      <c r="O1950" s="39"/>
      <c r="P1950" s="39"/>
      <c r="Q1950" s="40"/>
      <c r="T1950" s="20"/>
    </row>
    <row r="1951" spans="1:20">
      <c r="A1951" s="41" t="s">
        <v>45</v>
      </c>
      <c r="B1951" s="42"/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  <c r="O1951" s="42"/>
      <c r="P1951" s="42"/>
      <c r="Q1951" s="43"/>
      <c r="T1951" s="20"/>
    </row>
    <row r="1952" spans="1:20">
      <c r="A1952" s="50" t="s">
        <v>46</v>
      </c>
      <c r="B1952" s="51"/>
      <c r="C1952" s="51"/>
      <c r="D1952" s="51"/>
      <c r="E1952" s="51"/>
      <c r="F1952" s="51"/>
      <c r="G1952" s="51"/>
      <c r="H1952" s="51"/>
      <c r="I1952" s="51"/>
      <c r="J1952" s="51"/>
      <c r="K1952" s="51"/>
      <c r="L1952" s="51"/>
      <c r="M1952" s="51"/>
      <c r="N1952" s="51"/>
      <c r="O1952" s="51"/>
      <c r="P1952" s="51"/>
      <c r="Q1952" s="52"/>
      <c r="T1952" s="20"/>
    </row>
    <row r="1953" spans="1:20">
      <c r="A1953" s="38" t="s">
        <v>47</v>
      </c>
      <c r="B1953" s="39"/>
      <c r="C1953" s="39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40"/>
      <c r="T1953" s="20"/>
    </row>
    <row r="1954" spans="1:20">
      <c r="A1954" s="38" t="s">
        <v>48</v>
      </c>
      <c r="B1954" s="39"/>
      <c r="C1954" s="39"/>
      <c r="D1954" s="39"/>
      <c r="E1954" s="39"/>
      <c r="F1954" s="39"/>
      <c r="G1954" s="39"/>
      <c r="H1954" s="39"/>
      <c r="I1954" s="39"/>
      <c r="J1954" s="39"/>
      <c r="K1954" s="39"/>
      <c r="L1954" s="39"/>
      <c r="M1954" s="39"/>
      <c r="N1954" s="39"/>
      <c r="O1954" s="39"/>
      <c r="P1954" s="39"/>
      <c r="Q1954" s="40"/>
      <c r="T1954" s="20"/>
    </row>
    <row r="1955" spans="1:20">
      <c r="A1955" s="38" t="s">
        <v>49</v>
      </c>
      <c r="B1955" s="39"/>
      <c r="C1955" s="39"/>
      <c r="D1955" s="39"/>
      <c r="E1955" s="39"/>
      <c r="F1955" s="39"/>
      <c r="G1955" s="39"/>
      <c r="H1955" s="39"/>
      <c r="I1955" s="39"/>
      <c r="J1955" s="39"/>
      <c r="K1955" s="39"/>
      <c r="L1955" s="39"/>
      <c r="M1955" s="39"/>
      <c r="N1955" s="39"/>
      <c r="O1955" s="39"/>
      <c r="P1955" s="39"/>
      <c r="Q1955" s="40"/>
      <c r="T1955" s="20"/>
    </row>
    <row r="1956" spans="1:20">
      <c r="A1956" s="38" t="s">
        <v>50</v>
      </c>
      <c r="B1956" s="39"/>
      <c r="C1956" s="39"/>
      <c r="D1956" s="39"/>
      <c r="E1956" s="39"/>
      <c r="F1956" s="39"/>
      <c r="G1956" s="39"/>
      <c r="H1956" s="39"/>
      <c r="I1956" s="39"/>
      <c r="J1956" s="39"/>
      <c r="K1956" s="39"/>
      <c r="L1956" s="39"/>
      <c r="M1956" s="39"/>
      <c r="N1956" s="39"/>
      <c r="O1956" s="39"/>
      <c r="P1956" s="39"/>
      <c r="Q1956" s="40"/>
      <c r="T1956" s="20"/>
    </row>
    <row r="1957" spans="1:20">
      <c r="A1957" s="38" t="s">
        <v>51</v>
      </c>
      <c r="B1957" s="39"/>
      <c r="C1957" s="39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40"/>
      <c r="T1957" s="20"/>
    </row>
    <row r="1958" spans="1:20">
      <c r="A1958" s="41" t="s">
        <v>52</v>
      </c>
      <c r="B1958" s="42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  <c r="P1958" s="42"/>
      <c r="Q1958" s="43"/>
      <c r="T1958" s="20"/>
    </row>
    <row r="1959" spans="1:20">
      <c r="A1959" s="44" t="s">
        <v>53</v>
      </c>
      <c r="B1959" s="44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T1959" s="20"/>
    </row>
    <row r="1960" spans="1:20">
      <c r="A1960" s="44" t="s">
        <v>54</v>
      </c>
      <c r="B1960" s="44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T1960" s="20"/>
    </row>
    <row r="1961" spans="1:20">
      <c r="A1961" s="44" t="s">
        <v>102</v>
      </c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T1961" s="20"/>
    </row>
    <row r="1962" spans="1:20">
      <c r="A1962" s="44" t="s">
        <v>55</v>
      </c>
      <c r="B1962" s="44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T1962" s="20"/>
    </row>
    <row r="1963" spans="1:20">
      <c r="A1963" s="45" t="s">
        <v>56</v>
      </c>
      <c r="B1963" s="45"/>
      <c r="C1963" s="45"/>
      <c r="D1963" s="45"/>
      <c r="E1963" s="45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T1963" s="20"/>
    </row>
    <row r="1964" spans="1:20">
      <c r="A1964" s="37" t="s">
        <v>57</v>
      </c>
      <c r="B1964" s="37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T1964" s="20"/>
    </row>
    <row r="1965" spans="1:20">
      <c r="A1965" s="37" t="s">
        <v>58</v>
      </c>
      <c r="B1965" s="37"/>
      <c r="C1965" s="37"/>
      <c r="D1965" s="37"/>
      <c r="E1965" s="37"/>
      <c r="F1965" s="37"/>
      <c r="G1965" s="37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T1965" s="20"/>
    </row>
    <row r="1966" spans="1:20">
      <c r="A1966" s="37" t="s">
        <v>59</v>
      </c>
      <c r="B1966" s="37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T1966" s="20"/>
    </row>
    <row r="1967" spans="1:20">
      <c r="A1967" s="37" t="s">
        <v>60</v>
      </c>
      <c r="B1967" s="37"/>
      <c r="C1967" s="37"/>
      <c r="D1967" s="37"/>
      <c r="E1967" s="37"/>
      <c r="F1967" s="37"/>
      <c r="G1967" s="37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T1967" s="20"/>
    </row>
    <row r="1968" spans="1:20">
      <c r="A1968" s="37" t="s">
        <v>61</v>
      </c>
      <c r="B1968" s="37"/>
      <c r="C1968" s="37"/>
      <c r="D1968" s="37"/>
      <c r="E1968" s="37"/>
      <c r="F1968" s="37"/>
      <c r="G1968" s="37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T1968" s="20"/>
    </row>
    <row r="1969" spans="1:20">
      <c r="A1969" s="37" t="s">
        <v>62</v>
      </c>
      <c r="B1969" s="37"/>
      <c r="C1969" s="37"/>
      <c r="D1969" s="37"/>
      <c r="E1969" s="37"/>
      <c r="F1969" s="37"/>
      <c r="G1969" s="37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T1969" s="20"/>
    </row>
    <row r="1970" spans="1:20">
      <c r="A1970" s="37" t="s">
        <v>63</v>
      </c>
      <c r="B1970" s="37"/>
      <c r="C1970" s="37"/>
      <c r="D1970" s="37"/>
      <c r="E1970" s="37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T1970" s="20"/>
    </row>
    <row r="1971" spans="1:20">
      <c r="A1971" s="37" t="s">
        <v>75</v>
      </c>
      <c r="B1971" s="37"/>
      <c r="C1971" s="37"/>
      <c r="D1971" s="37"/>
      <c r="E1971" s="37"/>
      <c r="F1971" s="37"/>
      <c r="G1971" s="37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T1971" s="20"/>
    </row>
  </sheetData>
  <sheetProtection algorithmName="SHA-512" hashValue="ZN0EKPlvH67cq90+2tS/CfiomYgnQ5EQddW+bsIRE+1iGzYc9QlxC0bSVpMgbcF6YXq+5oF2fQJyYhaZAboo+g==" saltValue="R1kIMAYsesFtc4OxFgRN4w==" spinCount="100000" sheet="1" objects="1" scenarios="1"/>
  <mergeCells count="6708">
    <mergeCell ref="A1971:Q1971"/>
    <mergeCell ref="A1954:Q1954"/>
    <mergeCell ref="A1955:Q1955"/>
    <mergeCell ref="A1956:Q1956"/>
    <mergeCell ref="A1957:Q1957"/>
    <mergeCell ref="A1958:Q1958"/>
    <mergeCell ref="A1959:Q1959"/>
    <mergeCell ref="A1960:Q1960"/>
    <mergeCell ref="A1961:Q1961"/>
    <mergeCell ref="A1962:Q1962"/>
    <mergeCell ref="A1963:Q1963"/>
    <mergeCell ref="A1964:Q1964"/>
    <mergeCell ref="A1965:Q1965"/>
    <mergeCell ref="A1966:Q1966"/>
    <mergeCell ref="A1967:Q1967"/>
    <mergeCell ref="A1968:Q1968"/>
    <mergeCell ref="A1969:Q1969"/>
    <mergeCell ref="A1970:Q1970"/>
    <mergeCell ref="A1947:B1947"/>
    <mergeCell ref="C1947:E1947"/>
    <mergeCell ref="F1947:H1947"/>
    <mergeCell ref="I1947:K1947"/>
    <mergeCell ref="L1947:N1947"/>
    <mergeCell ref="O1947:Q1947"/>
    <mergeCell ref="A1948:B1948"/>
    <mergeCell ref="C1948:E1948"/>
    <mergeCell ref="F1948:H1948"/>
    <mergeCell ref="I1948:K1948"/>
    <mergeCell ref="L1948:N1948"/>
    <mergeCell ref="O1948:Q1948"/>
    <mergeCell ref="A1949:Q1949"/>
    <mergeCell ref="A1950:Q1950"/>
    <mergeCell ref="A1951:Q1951"/>
    <mergeCell ref="A1952:Q1952"/>
    <mergeCell ref="A1953:Q1953"/>
    <mergeCell ref="A1944:B1944"/>
    <mergeCell ref="C1944:E1944"/>
    <mergeCell ref="F1944:H1944"/>
    <mergeCell ref="I1944:K1944"/>
    <mergeCell ref="L1944:N1944"/>
    <mergeCell ref="O1944:Q1944"/>
    <mergeCell ref="A1945:B1945"/>
    <mergeCell ref="C1945:E1945"/>
    <mergeCell ref="F1945:H1945"/>
    <mergeCell ref="I1945:K1945"/>
    <mergeCell ref="L1945:N1945"/>
    <mergeCell ref="O1945:Q1945"/>
    <mergeCell ref="A1946:B1946"/>
    <mergeCell ref="C1946:E1946"/>
    <mergeCell ref="F1946:H1946"/>
    <mergeCell ref="I1946:K1946"/>
    <mergeCell ref="L1946:N1946"/>
    <mergeCell ref="O1946:Q1946"/>
    <mergeCell ref="A1940:G1940"/>
    <mergeCell ref="H1940:J1940"/>
    <mergeCell ref="K1940:L1940"/>
    <mergeCell ref="M1940:N1940"/>
    <mergeCell ref="O1940:Q1940"/>
    <mergeCell ref="A1941:G1941"/>
    <mergeCell ref="H1941:J1941"/>
    <mergeCell ref="K1941:L1941"/>
    <mergeCell ref="M1941:N1941"/>
    <mergeCell ref="O1941:Q1941"/>
    <mergeCell ref="A1942:Q1942"/>
    <mergeCell ref="A1943:B1943"/>
    <mergeCell ref="C1943:E1943"/>
    <mergeCell ref="F1943:H1943"/>
    <mergeCell ref="I1943:K1943"/>
    <mergeCell ref="L1943:N1943"/>
    <mergeCell ref="O1943:Q1943"/>
    <mergeCell ref="A1933:Q1933"/>
    <mergeCell ref="A1934:Q1934"/>
    <mergeCell ref="A1935:Q1935"/>
    <mergeCell ref="A1936:Q1936"/>
    <mergeCell ref="A1937:G1937"/>
    <mergeCell ref="H1937:J1937"/>
    <mergeCell ref="K1937:L1937"/>
    <mergeCell ref="M1937:N1937"/>
    <mergeCell ref="O1937:Q1937"/>
    <mergeCell ref="A1938:G1938"/>
    <mergeCell ref="H1938:J1938"/>
    <mergeCell ref="K1938:L1938"/>
    <mergeCell ref="M1938:N1938"/>
    <mergeCell ref="O1938:Q1938"/>
    <mergeCell ref="A1939:G1939"/>
    <mergeCell ref="H1939:J1939"/>
    <mergeCell ref="K1939:L1939"/>
    <mergeCell ref="M1939:N1939"/>
    <mergeCell ref="O1939:Q1939"/>
    <mergeCell ref="B1929:G1929"/>
    <mergeCell ref="I1929:K1929"/>
    <mergeCell ref="L1929:M1929"/>
    <mergeCell ref="N1929:O1929"/>
    <mergeCell ref="P1929:Q1929"/>
    <mergeCell ref="B1930:G1930"/>
    <mergeCell ref="I1930:K1930"/>
    <mergeCell ref="L1930:M1930"/>
    <mergeCell ref="N1930:O1930"/>
    <mergeCell ref="P1930:Q1930"/>
    <mergeCell ref="B1931:G1931"/>
    <mergeCell ref="I1931:K1931"/>
    <mergeCell ref="L1931:M1931"/>
    <mergeCell ref="N1931:O1931"/>
    <mergeCell ref="P1931:Q1931"/>
    <mergeCell ref="B1932:G1932"/>
    <mergeCell ref="I1932:K1932"/>
    <mergeCell ref="L1932:M1932"/>
    <mergeCell ref="N1932:O1932"/>
    <mergeCell ref="P1932:Q1932"/>
    <mergeCell ref="B1925:G1925"/>
    <mergeCell ref="I1925:K1925"/>
    <mergeCell ref="L1925:M1925"/>
    <mergeCell ref="N1925:O1925"/>
    <mergeCell ref="P1925:Q1925"/>
    <mergeCell ref="B1926:G1926"/>
    <mergeCell ref="I1926:K1926"/>
    <mergeCell ref="L1926:M1926"/>
    <mergeCell ref="N1926:O1926"/>
    <mergeCell ref="P1926:Q1926"/>
    <mergeCell ref="B1927:G1927"/>
    <mergeCell ref="I1927:K1927"/>
    <mergeCell ref="L1927:M1927"/>
    <mergeCell ref="N1927:O1927"/>
    <mergeCell ref="P1927:Q1927"/>
    <mergeCell ref="B1928:G1928"/>
    <mergeCell ref="I1928:K1928"/>
    <mergeCell ref="L1928:M1928"/>
    <mergeCell ref="N1928:O1928"/>
    <mergeCell ref="P1928:Q1928"/>
    <mergeCell ref="B1921:G1921"/>
    <mergeCell ref="I1921:K1921"/>
    <mergeCell ref="L1921:M1921"/>
    <mergeCell ref="N1921:O1921"/>
    <mergeCell ref="P1921:Q1921"/>
    <mergeCell ref="B1922:G1922"/>
    <mergeCell ref="I1922:K1922"/>
    <mergeCell ref="L1922:M1922"/>
    <mergeCell ref="N1922:O1922"/>
    <mergeCell ref="P1922:Q1922"/>
    <mergeCell ref="B1923:G1923"/>
    <mergeCell ref="I1923:K1923"/>
    <mergeCell ref="L1923:M1923"/>
    <mergeCell ref="N1923:O1923"/>
    <mergeCell ref="P1923:Q1923"/>
    <mergeCell ref="B1924:G1924"/>
    <mergeCell ref="I1924:K1924"/>
    <mergeCell ref="L1924:M1924"/>
    <mergeCell ref="N1924:O1924"/>
    <mergeCell ref="P1924:Q1924"/>
    <mergeCell ref="B1917:G1917"/>
    <mergeCell ref="I1917:K1917"/>
    <mergeCell ref="L1917:M1917"/>
    <mergeCell ref="N1917:O1917"/>
    <mergeCell ref="P1917:Q1917"/>
    <mergeCell ref="B1918:G1918"/>
    <mergeCell ref="I1918:K1918"/>
    <mergeCell ref="L1918:M1918"/>
    <mergeCell ref="N1918:O1918"/>
    <mergeCell ref="P1918:Q1918"/>
    <mergeCell ref="B1919:G1919"/>
    <mergeCell ref="I1919:K1919"/>
    <mergeCell ref="L1919:M1919"/>
    <mergeCell ref="N1919:O1919"/>
    <mergeCell ref="P1919:Q1919"/>
    <mergeCell ref="B1920:G1920"/>
    <mergeCell ref="I1920:K1920"/>
    <mergeCell ref="L1920:M1920"/>
    <mergeCell ref="N1920:O1920"/>
    <mergeCell ref="P1920:Q1920"/>
    <mergeCell ref="B1913:G1913"/>
    <mergeCell ref="I1913:K1913"/>
    <mergeCell ref="L1913:M1913"/>
    <mergeCell ref="N1913:O1913"/>
    <mergeCell ref="P1913:Q1913"/>
    <mergeCell ref="B1914:G1914"/>
    <mergeCell ref="I1914:K1914"/>
    <mergeCell ref="L1914:M1914"/>
    <mergeCell ref="N1914:O1914"/>
    <mergeCell ref="P1914:Q1914"/>
    <mergeCell ref="B1915:G1915"/>
    <mergeCell ref="I1915:K1915"/>
    <mergeCell ref="L1915:M1915"/>
    <mergeCell ref="N1915:O1915"/>
    <mergeCell ref="P1915:Q1915"/>
    <mergeCell ref="B1916:G1916"/>
    <mergeCell ref="I1916:K1916"/>
    <mergeCell ref="L1916:M1916"/>
    <mergeCell ref="N1916:O1916"/>
    <mergeCell ref="P1916:Q1916"/>
    <mergeCell ref="B1909:G1909"/>
    <mergeCell ref="I1909:K1909"/>
    <mergeCell ref="L1909:M1909"/>
    <mergeCell ref="N1909:O1909"/>
    <mergeCell ref="P1909:Q1909"/>
    <mergeCell ref="B1910:G1910"/>
    <mergeCell ref="I1910:K1910"/>
    <mergeCell ref="L1910:M1910"/>
    <mergeCell ref="N1910:O1910"/>
    <mergeCell ref="P1910:Q1910"/>
    <mergeCell ref="B1911:G1911"/>
    <mergeCell ref="I1911:K1911"/>
    <mergeCell ref="L1911:M1911"/>
    <mergeCell ref="N1911:O1911"/>
    <mergeCell ref="P1911:Q1911"/>
    <mergeCell ref="B1912:G1912"/>
    <mergeCell ref="I1912:K1912"/>
    <mergeCell ref="L1912:M1912"/>
    <mergeCell ref="N1912:O1912"/>
    <mergeCell ref="P1912:Q1912"/>
    <mergeCell ref="A1904:B1904"/>
    <mergeCell ref="C1904:G1904"/>
    <mergeCell ref="H1904:I1904"/>
    <mergeCell ref="J1904:M1904"/>
    <mergeCell ref="N1904:Q1904"/>
    <mergeCell ref="A1905:Q1905"/>
    <mergeCell ref="B1906:G1906"/>
    <mergeCell ref="I1906:K1906"/>
    <mergeCell ref="L1906:M1906"/>
    <mergeCell ref="N1906:O1906"/>
    <mergeCell ref="P1906:Q1906"/>
    <mergeCell ref="B1907:G1907"/>
    <mergeCell ref="I1907:K1907"/>
    <mergeCell ref="L1907:M1907"/>
    <mergeCell ref="N1907:O1907"/>
    <mergeCell ref="P1907:Q1907"/>
    <mergeCell ref="B1908:G1908"/>
    <mergeCell ref="I1908:K1908"/>
    <mergeCell ref="L1908:M1908"/>
    <mergeCell ref="N1908:O1908"/>
    <mergeCell ref="P1908:Q1908"/>
    <mergeCell ref="A1898:Q1898"/>
    <mergeCell ref="B1899:Q1899"/>
    <mergeCell ref="C1900:D1900"/>
    <mergeCell ref="F1900:G1900"/>
    <mergeCell ref="J1900:L1900"/>
    <mergeCell ref="M1900:O1900"/>
    <mergeCell ref="P1900:Q1900"/>
    <mergeCell ref="A1901:B1901"/>
    <mergeCell ref="C1901:I1901"/>
    <mergeCell ref="J1901:M1901"/>
    <mergeCell ref="N1901:Q1901"/>
    <mergeCell ref="A1902:B1902"/>
    <mergeCell ref="E1902:F1902"/>
    <mergeCell ref="G1902:H1902"/>
    <mergeCell ref="J1902:K1902"/>
    <mergeCell ref="N1902:O1902"/>
    <mergeCell ref="A1903:B1903"/>
    <mergeCell ref="C1903:I1903"/>
    <mergeCell ref="J1903:M1903"/>
    <mergeCell ref="N1903:Q1903"/>
    <mergeCell ref="A1881:Q1881"/>
    <mergeCell ref="A1882:Q1882"/>
    <mergeCell ref="A1883:Q1883"/>
    <mergeCell ref="A1884:Q1884"/>
    <mergeCell ref="A1885:Q1885"/>
    <mergeCell ref="A1886:Q1886"/>
    <mergeCell ref="A1887:Q1887"/>
    <mergeCell ref="A1888:Q1888"/>
    <mergeCell ref="A1889:Q1889"/>
    <mergeCell ref="A1890:Q1890"/>
    <mergeCell ref="A1891:Q1891"/>
    <mergeCell ref="A1892:Q1892"/>
    <mergeCell ref="A1893:Q1893"/>
    <mergeCell ref="A1894:Q1894"/>
    <mergeCell ref="A1895:Q1895"/>
    <mergeCell ref="A1896:Q1896"/>
    <mergeCell ref="A1897:Q1897"/>
    <mergeCell ref="A1874:B1874"/>
    <mergeCell ref="C1874:E1874"/>
    <mergeCell ref="F1874:H1874"/>
    <mergeCell ref="I1874:K1874"/>
    <mergeCell ref="L1874:N1874"/>
    <mergeCell ref="O1874:Q1874"/>
    <mergeCell ref="A1875:B1875"/>
    <mergeCell ref="C1875:E1875"/>
    <mergeCell ref="F1875:H1875"/>
    <mergeCell ref="I1875:K1875"/>
    <mergeCell ref="L1875:N1875"/>
    <mergeCell ref="O1875:Q1875"/>
    <mergeCell ref="A1876:Q1876"/>
    <mergeCell ref="A1877:Q1877"/>
    <mergeCell ref="A1878:Q1878"/>
    <mergeCell ref="A1879:Q1879"/>
    <mergeCell ref="A1880:Q1880"/>
    <mergeCell ref="A1871:B1871"/>
    <mergeCell ref="C1871:E1871"/>
    <mergeCell ref="F1871:H1871"/>
    <mergeCell ref="I1871:K1871"/>
    <mergeCell ref="L1871:N1871"/>
    <mergeCell ref="O1871:Q1871"/>
    <mergeCell ref="A1872:B1872"/>
    <mergeCell ref="C1872:E1872"/>
    <mergeCell ref="F1872:H1872"/>
    <mergeCell ref="I1872:K1872"/>
    <mergeCell ref="L1872:N1872"/>
    <mergeCell ref="O1872:Q1872"/>
    <mergeCell ref="A1873:B1873"/>
    <mergeCell ref="C1873:E1873"/>
    <mergeCell ref="F1873:H1873"/>
    <mergeCell ref="I1873:K1873"/>
    <mergeCell ref="L1873:N1873"/>
    <mergeCell ref="O1873:Q1873"/>
    <mergeCell ref="A1867:G1867"/>
    <mergeCell ref="H1867:J1867"/>
    <mergeCell ref="K1867:L1867"/>
    <mergeCell ref="M1867:N1867"/>
    <mergeCell ref="O1867:Q1867"/>
    <mergeCell ref="A1868:G1868"/>
    <mergeCell ref="H1868:J1868"/>
    <mergeCell ref="K1868:L1868"/>
    <mergeCell ref="M1868:N1868"/>
    <mergeCell ref="O1868:Q1868"/>
    <mergeCell ref="A1869:Q1869"/>
    <mergeCell ref="A1870:B1870"/>
    <mergeCell ref="C1870:E1870"/>
    <mergeCell ref="F1870:H1870"/>
    <mergeCell ref="I1870:K1870"/>
    <mergeCell ref="L1870:N1870"/>
    <mergeCell ref="O1870:Q1870"/>
    <mergeCell ref="A1860:Q1860"/>
    <mergeCell ref="A1861:Q1861"/>
    <mergeCell ref="A1862:Q1862"/>
    <mergeCell ref="A1863:Q1863"/>
    <mergeCell ref="A1864:G1864"/>
    <mergeCell ref="H1864:J1864"/>
    <mergeCell ref="K1864:L1864"/>
    <mergeCell ref="M1864:N1864"/>
    <mergeCell ref="O1864:Q1864"/>
    <mergeCell ref="A1865:G1865"/>
    <mergeCell ref="H1865:J1865"/>
    <mergeCell ref="K1865:L1865"/>
    <mergeCell ref="M1865:N1865"/>
    <mergeCell ref="O1865:Q1865"/>
    <mergeCell ref="A1866:G1866"/>
    <mergeCell ref="H1866:J1866"/>
    <mergeCell ref="K1866:L1866"/>
    <mergeCell ref="M1866:N1866"/>
    <mergeCell ref="O1866:Q1866"/>
    <mergeCell ref="B1856:G1856"/>
    <mergeCell ref="I1856:K1856"/>
    <mergeCell ref="L1856:M1856"/>
    <mergeCell ref="N1856:O1856"/>
    <mergeCell ref="P1856:Q1856"/>
    <mergeCell ref="B1857:G1857"/>
    <mergeCell ref="I1857:K1857"/>
    <mergeCell ref="L1857:M1857"/>
    <mergeCell ref="N1857:O1857"/>
    <mergeCell ref="P1857:Q1857"/>
    <mergeCell ref="B1858:G1858"/>
    <mergeCell ref="I1858:K1858"/>
    <mergeCell ref="L1858:M1858"/>
    <mergeCell ref="N1858:O1858"/>
    <mergeCell ref="P1858:Q1858"/>
    <mergeCell ref="B1859:G1859"/>
    <mergeCell ref="I1859:K1859"/>
    <mergeCell ref="L1859:M1859"/>
    <mergeCell ref="N1859:O1859"/>
    <mergeCell ref="P1859:Q1859"/>
    <mergeCell ref="B1852:G1852"/>
    <mergeCell ref="I1852:K1852"/>
    <mergeCell ref="L1852:M1852"/>
    <mergeCell ref="N1852:O1852"/>
    <mergeCell ref="P1852:Q1852"/>
    <mergeCell ref="B1853:G1853"/>
    <mergeCell ref="I1853:K1853"/>
    <mergeCell ref="L1853:M1853"/>
    <mergeCell ref="N1853:O1853"/>
    <mergeCell ref="P1853:Q1853"/>
    <mergeCell ref="B1854:G1854"/>
    <mergeCell ref="I1854:K1854"/>
    <mergeCell ref="L1854:M1854"/>
    <mergeCell ref="N1854:O1854"/>
    <mergeCell ref="P1854:Q1854"/>
    <mergeCell ref="B1855:G1855"/>
    <mergeCell ref="I1855:K1855"/>
    <mergeCell ref="L1855:M1855"/>
    <mergeCell ref="N1855:O1855"/>
    <mergeCell ref="P1855:Q1855"/>
    <mergeCell ref="B1848:G1848"/>
    <mergeCell ref="I1848:K1848"/>
    <mergeCell ref="L1848:M1848"/>
    <mergeCell ref="N1848:O1848"/>
    <mergeCell ref="P1848:Q1848"/>
    <mergeCell ref="B1849:G1849"/>
    <mergeCell ref="I1849:K1849"/>
    <mergeCell ref="L1849:M1849"/>
    <mergeCell ref="N1849:O1849"/>
    <mergeCell ref="P1849:Q1849"/>
    <mergeCell ref="B1850:G1850"/>
    <mergeCell ref="I1850:K1850"/>
    <mergeCell ref="L1850:M1850"/>
    <mergeCell ref="N1850:O1850"/>
    <mergeCell ref="P1850:Q1850"/>
    <mergeCell ref="B1851:G1851"/>
    <mergeCell ref="I1851:K1851"/>
    <mergeCell ref="L1851:M1851"/>
    <mergeCell ref="N1851:O1851"/>
    <mergeCell ref="P1851:Q1851"/>
    <mergeCell ref="B1844:G1844"/>
    <mergeCell ref="I1844:K1844"/>
    <mergeCell ref="L1844:M1844"/>
    <mergeCell ref="N1844:O1844"/>
    <mergeCell ref="P1844:Q1844"/>
    <mergeCell ref="B1845:G1845"/>
    <mergeCell ref="I1845:K1845"/>
    <mergeCell ref="L1845:M1845"/>
    <mergeCell ref="N1845:O1845"/>
    <mergeCell ref="P1845:Q1845"/>
    <mergeCell ref="B1846:G1846"/>
    <mergeCell ref="I1846:K1846"/>
    <mergeCell ref="L1846:M1846"/>
    <mergeCell ref="N1846:O1846"/>
    <mergeCell ref="P1846:Q1846"/>
    <mergeCell ref="B1847:G1847"/>
    <mergeCell ref="I1847:K1847"/>
    <mergeCell ref="L1847:M1847"/>
    <mergeCell ref="N1847:O1847"/>
    <mergeCell ref="P1847:Q1847"/>
    <mergeCell ref="B1840:G1840"/>
    <mergeCell ref="I1840:K1840"/>
    <mergeCell ref="L1840:M1840"/>
    <mergeCell ref="N1840:O1840"/>
    <mergeCell ref="P1840:Q1840"/>
    <mergeCell ref="B1841:G1841"/>
    <mergeCell ref="I1841:K1841"/>
    <mergeCell ref="L1841:M1841"/>
    <mergeCell ref="N1841:O1841"/>
    <mergeCell ref="P1841:Q1841"/>
    <mergeCell ref="B1842:G1842"/>
    <mergeCell ref="I1842:K1842"/>
    <mergeCell ref="L1842:M1842"/>
    <mergeCell ref="N1842:O1842"/>
    <mergeCell ref="P1842:Q1842"/>
    <mergeCell ref="B1843:G1843"/>
    <mergeCell ref="I1843:K1843"/>
    <mergeCell ref="L1843:M1843"/>
    <mergeCell ref="N1843:O1843"/>
    <mergeCell ref="P1843:Q1843"/>
    <mergeCell ref="B1836:G1836"/>
    <mergeCell ref="I1836:K1836"/>
    <mergeCell ref="L1836:M1836"/>
    <mergeCell ref="N1836:O1836"/>
    <mergeCell ref="P1836:Q1836"/>
    <mergeCell ref="B1837:G1837"/>
    <mergeCell ref="I1837:K1837"/>
    <mergeCell ref="L1837:M1837"/>
    <mergeCell ref="N1837:O1837"/>
    <mergeCell ref="P1837:Q1837"/>
    <mergeCell ref="B1838:G1838"/>
    <mergeCell ref="I1838:K1838"/>
    <mergeCell ref="L1838:M1838"/>
    <mergeCell ref="N1838:O1838"/>
    <mergeCell ref="P1838:Q1838"/>
    <mergeCell ref="B1839:G1839"/>
    <mergeCell ref="I1839:K1839"/>
    <mergeCell ref="L1839:M1839"/>
    <mergeCell ref="N1839:O1839"/>
    <mergeCell ref="P1839:Q1839"/>
    <mergeCell ref="A1831:B1831"/>
    <mergeCell ref="C1831:G1831"/>
    <mergeCell ref="H1831:I1831"/>
    <mergeCell ref="J1831:M1831"/>
    <mergeCell ref="N1831:Q1831"/>
    <mergeCell ref="A1832:Q1832"/>
    <mergeCell ref="B1833:G1833"/>
    <mergeCell ref="I1833:K1833"/>
    <mergeCell ref="L1833:M1833"/>
    <mergeCell ref="N1833:O1833"/>
    <mergeCell ref="P1833:Q1833"/>
    <mergeCell ref="B1834:G1834"/>
    <mergeCell ref="I1834:K1834"/>
    <mergeCell ref="L1834:M1834"/>
    <mergeCell ref="N1834:O1834"/>
    <mergeCell ref="P1834:Q1834"/>
    <mergeCell ref="B1835:G1835"/>
    <mergeCell ref="I1835:K1835"/>
    <mergeCell ref="L1835:M1835"/>
    <mergeCell ref="N1835:O1835"/>
    <mergeCell ref="P1835:Q1835"/>
    <mergeCell ref="A1825:Q1825"/>
    <mergeCell ref="B1826:Q1826"/>
    <mergeCell ref="C1827:D1827"/>
    <mergeCell ref="F1827:G1827"/>
    <mergeCell ref="J1827:L1827"/>
    <mergeCell ref="M1827:O1827"/>
    <mergeCell ref="P1827:Q1827"/>
    <mergeCell ref="A1828:B1828"/>
    <mergeCell ref="C1828:I1828"/>
    <mergeCell ref="J1828:M1828"/>
    <mergeCell ref="N1828:Q1828"/>
    <mergeCell ref="A1829:B1829"/>
    <mergeCell ref="E1829:F1829"/>
    <mergeCell ref="G1829:H1829"/>
    <mergeCell ref="J1829:K1829"/>
    <mergeCell ref="N1829:O1829"/>
    <mergeCell ref="A1830:B1830"/>
    <mergeCell ref="C1830:I1830"/>
    <mergeCell ref="J1830:M1830"/>
    <mergeCell ref="N1830:Q1830"/>
    <mergeCell ref="A1808:Q1808"/>
    <mergeCell ref="A1809:Q1809"/>
    <mergeCell ref="A1810:Q1810"/>
    <mergeCell ref="A1811:Q1811"/>
    <mergeCell ref="A1812:Q1812"/>
    <mergeCell ref="A1813:Q1813"/>
    <mergeCell ref="A1814:Q1814"/>
    <mergeCell ref="A1815:Q1815"/>
    <mergeCell ref="A1816:Q1816"/>
    <mergeCell ref="A1817:Q1817"/>
    <mergeCell ref="A1818:Q1818"/>
    <mergeCell ref="A1819:Q1819"/>
    <mergeCell ref="A1820:Q1820"/>
    <mergeCell ref="A1821:Q1821"/>
    <mergeCell ref="A1822:Q1822"/>
    <mergeCell ref="A1823:Q1823"/>
    <mergeCell ref="A1824:Q1824"/>
    <mergeCell ref="A1801:B1801"/>
    <mergeCell ref="C1801:E1801"/>
    <mergeCell ref="F1801:H1801"/>
    <mergeCell ref="I1801:K1801"/>
    <mergeCell ref="L1801:N1801"/>
    <mergeCell ref="O1801:Q1801"/>
    <mergeCell ref="A1802:B1802"/>
    <mergeCell ref="C1802:E1802"/>
    <mergeCell ref="F1802:H1802"/>
    <mergeCell ref="I1802:K1802"/>
    <mergeCell ref="L1802:N1802"/>
    <mergeCell ref="O1802:Q1802"/>
    <mergeCell ref="A1803:Q1803"/>
    <mergeCell ref="A1804:Q1804"/>
    <mergeCell ref="A1805:Q1805"/>
    <mergeCell ref="A1806:Q1806"/>
    <mergeCell ref="A1807:Q1807"/>
    <mergeCell ref="A1798:B1798"/>
    <mergeCell ref="C1798:E1798"/>
    <mergeCell ref="F1798:H1798"/>
    <mergeCell ref="I1798:K1798"/>
    <mergeCell ref="L1798:N1798"/>
    <mergeCell ref="O1798:Q1798"/>
    <mergeCell ref="A1799:B1799"/>
    <mergeCell ref="C1799:E1799"/>
    <mergeCell ref="F1799:H1799"/>
    <mergeCell ref="I1799:K1799"/>
    <mergeCell ref="L1799:N1799"/>
    <mergeCell ref="O1799:Q1799"/>
    <mergeCell ref="A1800:B1800"/>
    <mergeCell ref="C1800:E1800"/>
    <mergeCell ref="F1800:H1800"/>
    <mergeCell ref="I1800:K1800"/>
    <mergeCell ref="L1800:N1800"/>
    <mergeCell ref="O1800:Q1800"/>
    <mergeCell ref="A1794:G1794"/>
    <mergeCell ref="H1794:J1794"/>
    <mergeCell ref="K1794:L1794"/>
    <mergeCell ref="M1794:N1794"/>
    <mergeCell ref="O1794:Q1794"/>
    <mergeCell ref="A1795:G1795"/>
    <mergeCell ref="H1795:J1795"/>
    <mergeCell ref="K1795:L1795"/>
    <mergeCell ref="M1795:N1795"/>
    <mergeCell ref="O1795:Q1795"/>
    <mergeCell ref="A1796:Q1796"/>
    <mergeCell ref="A1797:B1797"/>
    <mergeCell ref="C1797:E1797"/>
    <mergeCell ref="F1797:H1797"/>
    <mergeCell ref="I1797:K1797"/>
    <mergeCell ref="L1797:N1797"/>
    <mergeCell ref="O1797:Q1797"/>
    <mergeCell ref="A1787:Q1787"/>
    <mergeCell ref="A1788:Q1788"/>
    <mergeCell ref="A1789:Q1789"/>
    <mergeCell ref="A1790:Q1790"/>
    <mergeCell ref="A1791:G1791"/>
    <mergeCell ref="H1791:J1791"/>
    <mergeCell ref="K1791:L1791"/>
    <mergeCell ref="M1791:N1791"/>
    <mergeCell ref="O1791:Q1791"/>
    <mergeCell ref="A1792:G1792"/>
    <mergeCell ref="H1792:J1792"/>
    <mergeCell ref="K1792:L1792"/>
    <mergeCell ref="M1792:N1792"/>
    <mergeCell ref="O1792:Q1792"/>
    <mergeCell ref="A1793:G1793"/>
    <mergeCell ref="H1793:J1793"/>
    <mergeCell ref="K1793:L1793"/>
    <mergeCell ref="M1793:N1793"/>
    <mergeCell ref="O1793:Q1793"/>
    <mergeCell ref="B1783:G1783"/>
    <mergeCell ref="I1783:K1783"/>
    <mergeCell ref="L1783:M1783"/>
    <mergeCell ref="N1783:O1783"/>
    <mergeCell ref="P1783:Q1783"/>
    <mergeCell ref="B1784:G1784"/>
    <mergeCell ref="I1784:K1784"/>
    <mergeCell ref="L1784:M1784"/>
    <mergeCell ref="N1784:O1784"/>
    <mergeCell ref="P1784:Q1784"/>
    <mergeCell ref="B1785:G1785"/>
    <mergeCell ref="I1785:K1785"/>
    <mergeCell ref="L1785:M1785"/>
    <mergeCell ref="N1785:O1785"/>
    <mergeCell ref="P1785:Q1785"/>
    <mergeCell ref="B1786:G1786"/>
    <mergeCell ref="I1786:K1786"/>
    <mergeCell ref="L1786:M1786"/>
    <mergeCell ref="N1786:O1786"/>
    <mergeCell ref="P1786:Q1786"/>
    <mergeCell ref="B1779:G1779"/>
    <mergeCell ref="I1779:K1779"/>
    <mergeCell ref="L1779:M1779"/>
    <mergeCell ref="N1779:O1779"/>
    <mergeCell ref="P1779:Q1779"/>
    <mergeCell ref="B1780:G1780"/>
    <mergeCell ref="I1780:K1780"/>
    <mergeCell ref="L1780:M1780"/>
    <mergeCell ref="N1780:O1780"/>
    <mergeCell ref="P1780:Q1780"/>
    <mergeCell ref="B1781:G1781"/>
    <mergeCell ref="I1781:K1781"/>
    <mergeCell ref="L1781:M1781"/>
    <mergeCell ref="N1781:O1781"/>
    <mergeCell ref="P1781:Q1781"/>
    <mergeCell ref="B1782:G1782"/>
    <mergeCell ref="I1782:K1782"/>
    <mergeCell ref="L1782:M1782"/>
    <mergeCell ref="N1782:O1782"/>
    <mergeCell ref="P1782:Q1782"/>
    <mergeCell ref="B1775:G1775"/>
    <mergeCell ref="I1775:K1775"/>
    <mergeCell ref="L1775:M1775"/>
    <mergeCell ref="N1775:O1775"/>
    <mergeCell ref="P1775:Q1775"/>
    <mergeCell ref="B1776:G1776"/>
    <mergeCell ref="I1776:K1776"/>
    <mergeCell ref="L1776:M1776"/>
    <mergeCell ref="N1776:O1776"/>
    <mergeCell ref="P1776:Q1776"/>
    <mergeCell ref="B1777:G1777"/>
    <mergeCell ref="I1777:K1777"/>
    <mergeCell ref="L1777:M1777"/>
    <mergeCell ref="N1777:O1777"/>
    <mergeCell ref="P1777:Q1777"/>
    <mergeCell ref="B1778:G1778"/>
    <mergeCell ref="I1778:K1778"/>
    <mergeCell ref="L1778:M1778"/>
    <mergeCell ref="N1778:O1778"/>
    <mergeCell ref="P1778:Q1778"/>
    <mergeCell ref="B1771:G1771"/>
    <mergeCell ref="I1771:K1771"/>
    <mergeCell ref="L1771:M1771"/>
    <mergeCell ref="N1771:O1771"/>
    <mergeCell ref="P1771:Q1771"/>
    <mergeCell ref="B1772:G1772"/>
    <mergeCell ref="I1772:K1772"/>
    <mergeCell ref="L1772:M1772"/>
    <mergeCell ref="N1772:O1772"/>
    <mergeCell ref="P1772:Q1772"/>
    <mergeCell ref="B1773:G1773"/>
    <mergeCell ref="I1773:K1773"/>
    <mergeCell ref="L1773:M1773"/>
    <mergeCell ref="N1773:O1773"/>
    <mergeCell ref="P1773:Q1773"/>
    <mergeCell ref="B1774:G1774"/>
    <mergeCell ref="I1774:K1774"/>
    <mergeCell ref="L1774:M1774"/>
    <mergeCell ref="N1774:O1774"/>
    <mergeCell ref="P1774:Q1774"/>
    <mergeCell ref="B1767:G1767"/>
    <mergeCell ref="I1767:K1767"/>
    <mergeCell ref="L1767:M1767"/>
    <mergeCell ref="N1767:O1767"/>
    <mergeCell ref="P1767:Q1767"/>
    <mergeCell ref="B1768:G1768"/>
    <mergeCell ref="I1768:K1768"/>
    <mergeCell ref="L1768:M1768"/>
    <mergeCell ref="N1768:O1768"/>
    <mergeCell ref="P1768:Q1768"/>
    <mergeCell ref="B1769:G1769"/>
    <mergeCell ref="I1769:K1769"/>
    <mergeCell ref="L1769:M1769"/>
    <mergeCell ref="N1769:O1769"/>
    <mergeCell ref="P1769:Q1769"/>
    <mergeCell ref="B1770:G1770"/>
    <mergeCell ref="I1770:K1770"/>
    <mergeCell ref="L1770:M1770"/>
    <mergeCell ref="N1770:O1770"/>
    <mergeCell ref="P1770:Q1770"/>
    <mergeCell ref="B1763:G1763"/>
    <mergeCell ref="I1763:K1763"/>
    <mergeCell ref="L1763:M1763"/>
    <mergeCell ref="N1763:O1763"/>
    <mergeCell ref="P1763:Q1763"/>
    <mergeCell ref="B1764:G1764"/>
    <mergeCell ref="I1764:K1764"/>
    <mergeCell ref="L1764:M1764"/>
    <mergeCell ref="N1764:O1764"/>
    <mergeCell ref="P1764:Q1764"/>
    <mergeCell ref="B1765:G1765"/>
    <mergeCell ref="I1765:K1765"/>
    <mergeCell ref="L1765:M1765"/>
    <mergeCell ref="N1765:O1765"/>
    <mergeCell ref="P1765:Q1765"/>
    <mergeCell ref="B1766:G1766"/>
    <mergeCell ref="I1766:K1766"/>
    <mergeCell ref="L1766:M1766"/>
    <mergeCell ref="N1766:O1766"/>
    <mergeCell ref="P1766:Q1766"/>
    <mergeCell ref="A1758:B1758"/>
    <mergeCell ref="C1758:G1758"/>
    <mergeCell ref="H1758:I1758"/>
    <mergeCell ref="J1758:M1758"/>
    <mergeCell ref="N1758:Q1758"/>
    <mergeCell ref="A1759:Q1759"/>
    <mergeCell ref="B1760:G1760"/>
    <mergeCell ref="I1760:K1760"/>
    <mergeCell ref="L1760:M1760"/>
    <mergeCell ref="N1760:O1760"/>
    <mergeCell ref="P1760:Q1760"/>
    <mergeCell ref="B1761:G1761"/>
    <mergeCell ref="I1761:K1761"/>
    <mergeCell ref="L1761:M1761"/>
    <mergeCell ref="N1761:O1761"/>
    <mergeCell ref="P1761:Q1761"/>
    <mergeCell ref="B1762:G1762"/>
    <mergeCell ref="I1762:K1762"/>
    <mergeCell ref="L1762:M1762"/>
    <mergeCell ref="N1762:O1762"/>
    <mergeCell ref="P1762:Q1762"/>
    <mergeCell ref="A1752:Q1752"/>
    <mergeCell ref="B1753:Q1753"/>
    <mergeCell ref="C1754:D1754"/>
    <mergeCell ref="F1754:G1754"/>
    <mergeCell ref="J1754:L1754"/>
    <mergeCell ref="M1754:O1754"/>
    <mergeCell ref="P1754:Q1754"/>
    <mergeCell ref="A1755:B1755"/>
    <mergeCell ref="C1755:I1755"/>
    <mergeCell ref="J1755:M1755"/>
    <mergeCell ref="N1755:Q1755"/>
    <mergeCell ref="A1756:B1756"/>
    <mergeCell ref="E1756:F1756"/>
    <mergeCell ref="G1756:H1756"/>
    <mergeCell ref="J1756:K1756"/>
    <mergeCell ref="N1756:O1756"/>
    <mergeCell ref="A1757:B1757"/>
    <mergeCell ref="C1757:I1757"/>
    <mergeCell ref="J1757:M1757"/>
    <mergeCell ref="N1757:Q1757"/>
    <mergeCell ref="A1735:Q1735"/>
    <mergeCell ref="A1736:Q1736"/>
    <mergeCell ref="A1737:Q1737"/>
    <mergeCell ref="A1738:Q1738"/>
    <mergeCell ref="A1739:Q1739"/>
    <mergeCell ref="A1740:Q1740"/>
    <mergeCell ref="A1741:Q1741"/>
    <mergeCell ref="A1742:Q1742"/>
    <mergeCell ref="A1743:Q1743"/>
    <mergeCell ref="A1744:Q1744"/>
    <mergeCell ref="A1745:Q1745"/>
    <mergeCell ref="A1746:Q1746"/>
    <mergeCell ref="A1747:Q1747"/>
    <mergeCell ref="A1748:Q1748"/>
    <mergeCell ref="A1749:Q1749"/>
    <mergeCell ref="A1750:Q1750"/>
    <mergeCell ref="A1751:Q1751"/>
    <mergeCell ref="A1728:B1728"/>
    <mergeCell ref="C1728:E1728"/>
    <mergeCell ref="F1728:H1728"/>
    <mergeCell ref="I1728:K1728"/>
    <mergeCell ref="L1728:N1728"/>
    <mergeCell ref="O1728:Q1728"/>
    <mergeCell ref="A1729:B1729"/>
    <mergeCell ref="C1729:E1729"/>
    <mergeCell ref="F1729:H1729"/>
    <mergeCell ref="I1729:K1729"/>
    <mergeCell ref="L1729:N1729"/>
    <mergeCell ref="O1729:Q1729"/>
    <mergeCell ref="A1730:Q1730"/>
    <mergeCell ref="A1731:Q1731"/>
    <mergeCell ref="A1732:Q1732"/>
    <mergeCell ref="A1733:Q1733"/>
    <mergeCell ref="A1734:Q1734"/>
    <mergeCell ref="A1725:B1725"/>
    <mergeCell ref="C1725:E1725"/>
    <mergeCell ref="F1725:H1725"/>
    <mergeCell ref="I1725:K1725"/>
    <mergeCell ref="L1725:N1725"/>
    <mergeCell ref="O1725:Q1725"/>
    <mergeCell ref="A1726:B1726"/>
    <mergeCell ref="C1726:E1726"/>
    <mergeCell ref="F1726:H1726"/>
    <mergeCell ref="I1726:K1726"/>
    <mergeCell ref="L1726:N1726"/>
    <mergeCell ref="O1726:Q1726"/>
    <mergeCell ref="A1727:B1727"/>
    <mergeCell ref="C1727:E1727"/>
    <mergeCell ref="F1727:H1727"/>
    <mergeCell ref="I1727:K1727"/>
    <mergeCell ref="L1727:N1727"/>
    <mergeCell ref="O1727:Q1727"/>
    <mergeCell ref="A1721:G1721"/>
    <mergeCell ref="H1721:J1721"/>
    <mergeCell ref="K1721:L1721"/>
    <mergeCell ref="M1721:N1721"/>
    <mergeCell ref="O1721:Q1721"/>
    <mergeCell ref="A1722:G1722"/>
    <mergeCell ref="H1722:J1722"/>
    <mergeCell ref="K1722:L1722"/>
    <mergeCell ref="M1722:N1722"/>
    <mergeCell ref="O1722:Q1722"/>
    <mergeCell ref="A1723:Q1723"/>
    <mergeCell ref="A1724:B1724"/>
    <mergeCell ref="C1724:E1724"/>
    <mergeCell ref="F1724:H1724"/>
    <mergeCell ref="I1724:K1724"/>
    <mergeCell ref="L1724:N1724"/>
    <mergeCell ref="O1724:Q1724"/>
    <mergeCell ref="A1714:Q1714"/>
    <mergeCell ref="A1715:Q1715"/>
    <mergeCell ref="A1716:Q1716"/>
    <mergeCell ref="A1717:Q1717"/>
    <mergeCell ref="A1718:G1718"/>
    <mergeCell ref="H1718:J1718"/>
    <mergeCell ref="K1718:L1718"/>
    <mergeCell ref="M1718:N1718"/>
    <mergeCell ref="O1718:Q1718"/>
    <mergeCell ref="A1719:G1719"/>
    <mergeCell ref="H1719:J1719"/>
    <mergeCell ref="K1719:L1719"/>
    <mergeCell ref="M1719:N1719"/>
    <mergeCell ref="O1719:Q1719"/>
    <mergeCell ref="A1720:G1720"/>
    <mergeCell ref="H1720:J1720"/>
    <mergeCell ref="K1720:L1720"/>
    <mergeCell ref="M1720:N1720"/>
    <mergeCell ref="O1720:Q1720"/>
    <mergeCell ref="B1710:G1710"/>
    <mergeCell ref="I1710:K1710"/>
    <mergeCell ref="L1710:M1710"/>
    <mergeCell ref="N1710:O1710"/>
    <mergeCell ref="P1710:Q1710"/>
    <mergeCell ref="B1711:G1711"/>
    <mergeCell ref="I1711:K1711"/>
    <mergeCell ref="L1711:M1711"/>
    <mergeCell ref="N1711:O1711"/>
    <mergeCell ref="P1711:Q1711"/>
    <mergeCell ref="B1712:G1712"/>
    <mergeCell ref="I1712:K1712"/>
    <mergeCell ref="L1712:M1712"/>
    <mergeCell ref="N1712:O1712"/>
    <mergeCell ref="P1712:Q1712"/>
    <mergeCell ref="B1713:G1713"/>
    <mergeCell ref="I1713:K1713"/>
    <mergeCell ref="L1713:M1713"/>
    <mergeCell ref="N1713:O1713"/>
    <mergeCell ref="P1713:Q1713"/>
    <mergeCell ref="B1706:G1706"/>
    <mergeCell ref="I1706:K1706"/>
    <mergeCell ref="L1706:M1706"/>
    <mergeCell ref="N1706:O1706"/>
    <mergeCell ref="P1706:Q1706"/>
    <mergeCell ref="B1707:G1707"/>
    <mergeCell ref="I1707:K1707"/>
    <mergeCell ref="L1707:M1707"/>
    <mergeCell ref="N1707:O1707"/>
    <mergeCell ref="P1707:Q1707"/>
    <mergeCell ref="B1708:G1708"/>
    <mergeCell ref="I1708:K1708"/>
    <mergeCell ref="L1708:M1708"/>
    <mergeCell ref="N1708:O1708"/>
    <mergeCell ref="P1708:Q1708"/>
    <mergeCell ref="B1709:G1709"/>
    <mergeCell ref="I1709:K1709"/>
    <mergeCell ref="L1709:M1709"/>
    <mergeCell ref="N1709:O1709"/>
    <mergeCell ref="P1709:Q1709"/>
    <mergeCell ref="B1702:G1702"/>
    <mergeCell ref="I1702:K1702"/>
    <mergeCell ref="L1702:M1702"/>
    <mergeCell ref="N1702:O1702"/>
    <mergeCell ref="P1702:Q1702"/>
    <mergeCell ref="B1703:G1703"/>
    <mergeCell ref="I1703:K1703"/>
    <mergeCell ref="L1703:M1703"/>
    <mergeCell ref="N1703:O1703"/>
    <mergeCell ref="P1703:Q1703"/>
    <mergeCell ref="B1704:G1704"/>
    <mergeCell ref="I1704:K1704"/>
    <mergeCell ref="L1704:M1704"/>
    <mergeCell ref="N1704:O1704"/>
    <mergeCell ref="P1704:Q1704"/>
    <mergeCell ref="B1705:G1705"/>
    <mergeCell ref="I1705:K1705"/>
    <mergeCell ref="L1705:M1705"/>
    <mergeCell ref="N1705:O1705"/>
    <mergeCell ref="P1705:Q1705"/>
    <mergeCell ref="B1698:G1698"/>
    <mergeCell ref="I1698:K1698"/>
    <mergeCell ref="L1698:M1698"/>
    <mergeCell ref="N1698:O1698"/>
    <mergeCell ref="P1698:Q1698"/>
    <mergeCell ref="B1699:G1699"/>
    <mergeCell ref="I1699:K1699"/>
    <mergeCell ref="L1699:M1699"/>
    <mergeCell ref="N1699:O1699"/>
    <mergeCell ref="P1699:Q1699"/>
    <mergeCell ref="B1700:G1700"/>
    <mergeCell ref="I1700:K1700"/>
    <mergeCell ref="L1700:M1700"/>
    <mergeCell ref="N1700:O1700"/>
    <mergeCell ref="P1700:Q1700"/>
    <mergeCell ref="B1701:G1701"/>
    <mergeCell ref="I1701:K1701"/>
    <mergeCell ref="L1701:M1701"/>
    <mergeCell ref="N1701:O1701"/>
    <mergeCell ref="P1701:Q1701"/>
    <mergeCell ref="B1694:G1694"/>
    <mergeCell ref="I1694:K1694"/>
    <mergeCell ref="L1694:M1694"/>
    <mergeCell ref="N1694:O1694"/>
    <mergeCell ref="P1694:Q1694"/>
    <mergeCell ref="B1695:G1695"/>
    <mergeCell ref="I1695:K1695"/>
    <mergeCell ref="L1695:M1695"/>
    <mergeCell ref="N1695:O1695"/>
    <mergeCell ref="P1695:Q1695"/>
    <mergeCell ref="B1696:G1696"/>
    <mergeCell ref="I1696:K1696"/>
    <mergeCell ref="L1696:M1696"/>
    <mergeCell ref="N1696:O1696"/>
    <mergeCell ref="P1696:Q1696"/>
    <mergeCell ref="B1697:G1697"/>
    <mergeCell ref="I1697:K1697"/>
    <mergeCell ref="L1697:M1697"/>
    <mergeCell ref="N1697:O1697"/>
    <mergeCell ref="P1697:Q1697"/>
    <mergeCell ref="B1690:G1690"/>
    <mergeCell ref="I1690:K1690"/>
    <mergeCell ref="L1690:M1690"/>
    <mergeCell ref="N1690:O1690"/>
    <mergeCell ref="P1690:Q1690"/>
    <mergeCell ref="B1691:G1691"/>
    <mergeCell ref="I1691:K1691"/>
    <mergeCell ref="L1691:M1691"/>
    <mergeCell ref="N1691:O1691"/>
    <mergeCell ref="P1691:Q1691"/>
    <mergeCell ref="B1692:G1692"/>
    <mergeCell ref="I1692:K1692"/>
    <mergeCell ref="L1692:M1692"/>
    <mergeCell ref="N1692:O1692"/>
    <mergeCell ref="P1692:Q1692"/>
    <mergeCell ref="B1693:G1693"/>
    <mergeCell ref="I1693:K1693"/>
    <mergeCell ref="L1693:M1693"/>
    <mergeCell ref="N1693:O1693"/>
    <mergeCell ref="P1693:Q1693"/>
    <mergeCell ref="A1685:B1685"/>
    <mergeCell ref="C1685:G1685"/>
    <mergeCell ref="H1685:I1685"/>
    <mergeCell ref="J1685:M1685"/>
    <mergeCell ref="N1685:Q1685"/>
    <mergeCell ref="A1686:Q1686"/>
    <mergeCell ref="B1687:G1687"/>
    <mergeCell ref="I1687:K1687"/>
    <mergeCell ref="L1687:M1687"/>
    <mergeCell ref="N1687:O1687"/>
    <mergeCell ref="P1687:Q1687"/>
    <mergeCell ref="B1688:G1688"/>
    <mergeCell ref="I1688:K1688"/>
    <mergeCell ref="L1688:M1688"/>
    <mergeCell ref="N1688:O1688"/>
    <mergeCell ref="P1688:Q1688"/>
    <mergeCell ref="B1689:G1689"/>
    <mergeCell ref="I1689:K1689"/>
    <mergeCell ref="L1689:M1689"/>
    <mergeCell ref="N1689:O1689"/>
    <mergeCell ref="P1689:Q1689"/>
    <mergeCell ref="A1679:Q1679"/>
    <mergeCell ref="B1680:Q1680"/>
    <mergeCell ref="C1681:D1681"/>
    <mergeCell ref="F1681:G1681"/>
    <mergeCell ref="J1681:L1681"/>
    <mergeCell ref="M1681:O1681"/>
    <mergeCell ref="P1681:Q1681"/>
    <mergeCell ref="A1682:B1682"/>
    <mergeCell ref="C1682:I1682"/>
    <mergeCell ref="J1682:M1682"/>
    <mergeCell ref="N1682:Q1682"/>
    <mergeCell ref="A1683:B1683"/>
    <mergeCell ref="E1683:F1683"/>
    <mergeCell ref="G1683:H1683"/>
    <mergeCell ref="J1683:K1683"/>
    <mergeCell ref="N1683:O1683"/>
    <mergeCell ref="A1684:B1684"/>
    <mergeCell ref="C1684:I1684"/>
    <mergeCell ref="J1684:M1684"/>
    <mergeCell ref="N1684:Q1684"/>
    <mergeCell ref="A1662:Q1662"/>
    <mergeCell ref="A1663:Q1663"/>
    <mergeCell ref="A1664:Q1664"/>
    <mergeCell ref="A1665:Q1665"/>
    <mergeCell ref="A1666:Q1666"/>
    <mergeCell ref="A1667:Q1667"/>
    <mergeCell ref="A1668:Q1668"/>
    <mergeCell ref="A1669:Q1669"/>
    <mergeCell ref="A1670:Q1670"/>
    <mergeCell ref="A1671:Q1671"/>
    <mergeCell ref="A1672:Q1672"/>
    <mergeCell ref="A1673:Q1673"/>
    <mergeCell ref="A1674:Q1674"/>
    <mergeCell ref="A1675:Q1675"/>
    <mergeCell ref="A1676:Q1676"/>
    <mergeCell ref="A1677:Q1677"/>
    <mergeCell ref="A1678:Q1678"/>
    <mergeCell ref="A1655:B1655"/>
    <mergeCell ref="C1655:E1655"/>
    <mergeCell ref="F1655:H1655"/>
    <mergeCell ref="I1655:K1655"/>
    <mergeCell ref="L1655:N1655"/>
    <mergeCell ref="O1655:Q1655"/>
    <mergeCell ref="A1656:B1656"/>
    <mergeCell ref="C1656:E1656"/>
    <mergeCell ref="F1656:H1656"/>
    <mergeCell ref="I1656:K1656"/>
    <mergeCell ref="L1656:N1656"/>
    <mergeCell ref="O1656:Q1656"/>
    <mergeCell ref="A1657:Q1657"/>
    <mergeCell ref="A1658:Q1658"/>
    <mergeCell ref="A1659:Q1659"/>
    <mergeCell ref="A1660:Q1660"/>
    <mergeCell ref="A1661:Q1661"/>
    <mergeCell ref="A1652:B1652"/>
    <mergeCell ref="C1652:E1652"/>
    <mergeCell ref="F1652:H1652"/>
    <mergeCell ref="I1652:K1652"/>
    <mergeCell ref="L1652:N1652"/>
    <mergeCell ref="O1652:Q1652"/>
    <mergeCell ref="A1653:B1653"/>
    <mergeCell ref="C1653:E1653"/>
    <mergeCell ref="F1653:H1653"/>
    <mergeCell ref="I1653:K1653"/>
    <mergeCell ref="L1653:N1653"/>
    <mergeCell ref="O1653:Q1653"/>
    <mergeCell ref="A1654:B1654"/>
    <mergeCell ref="C1654:E1654"/>
    <mergeCell ref="F1654:H1654"/>
    <mergeCell ref="I1654:K1654"/>
    <mergeCell ref="L1654:N1654"/>
    <mergeCell ref="O1654:Q1654"/>
    <mergeCell ref="A1648:G1648"/>
    <mergeCell ref="H1648:J1648"/>
    <mergeCell ref="K1648:L1648"/>
    <mergeCell ref="M1648:N1648"/>
    <mergeCell ref="O1648:Q1648"/>
    <mergeCell ref="A1649:G1649"/>
    <mergeCell ref="H1649:J1649"/>
    <mergeCell ref="K1649:L1649"/>
    <mergeCell ref="M1649:N1649"/>
    <mergeCell ref="O1649:Q1649"/>
    <mergeCell ref="A1650:Q1650"/>
    <mergeCell ref="A1651:B1651"/>
    <mergeCell ref="C1651:E1651"/>
    <mergeCell ref="F1651:H1651"/>
    <mergeCell ref="I1651:K1651"/>
    <mergeCell ref="L1651:N1651"/>
    <mergeCell ref="O1651:Q1651"/>
    <mergeCell ref="A1641:Q1641"/>
    <mergeCell ref="A1642:Q1642"/>
    <mergeCell ref="A1643:Q1643"/>
    <mergeCell ref="A1644:Q1644"/>
    <mergeCell ref="A1645:G1645"/>
    <mergeCell ref="H1645:J1645"/>
    <mergeCell ref="K1645:L1645"/>
    <mergeCell ref="M1645:N1645"/>
    <mergeCell ref="O1645:Q1645"/>
    <mergeCell ref="A1646:G1646"/>
    <mergeCell ref="H1646:J1646"/>
    <mergeCell ref="K1646:L1646"/>
    <mergeCell ref="M1646:N1646"/>
    <mergeCell ref="O1646:Q1646"/>
    <mergeCell ref="A1647:G1647"/>
    <mergeCell ref="H1647:J1647"/>
    <mergeCell ref="K1647:L1647"/>
    <mergeCell ref="M1647:N1647"/>
    <mergeCell ref="O1647:Q1647"/>
    <mergeCell ref="B1637:G1637"/>
    <mergeCell ref="I1637:K1637"/>
    <mergeCell ref="L1637:M1637"/>
    <mergeCell ref="N1637:O1637"/>
    <mergeCell ref="P1637:Q1637"/>
    <mergeCell ref="B1638:G1638"/>
    <mergeCell ref="I1638:K1638"/>
    <mergeCell ref="L1638:M1638"/>
    <mergeCell ref="N1638:O1638"/>
    <mergeCell ref="P1638:Q1638"/>
    <mergeCell ref="B1639:G1639"/>
    <mergeCell ref="I1639:K1639"/>
    <mergeCell ref="L1639:M1639"/>
    <mergeCell ref="N1639:O1639"/>
    <mergeCell ref="P1639:Q1639"/>
    <mergeCell ref="B1640:G1640"/>
    <mergeCell ref="I1640:K1640"/>
    <mergeCell ref="L1640:M1640"/>
    <mergeCell ref="N1640:O1640"/>
    <mergeCell ref="P1640:Q1640"/>
    <mergeCell ref="B1633:G1633"/>
    <mergeCell ref="I1633:K1633"/>
    <mergeCell ref="L1633:M1633"/>
    <mergeCell ref="N1633:O1633"/>
    <mergeCell ref="P1633:Q1633"/>
    <mergeCell ref="B1634:G1634"/>
    <mergeCell ref="I1634:K1634"/>
    <mergeCell ref="L1634:M1634"/>
    <mergeCell ref="N1634:O1634"/>
    <mergeCell ref="P1634:Q1634"/>
    <mergeCell ref="B1635:G1635"/>
    <mergeCell ref="I1635:K1635"/>
    <mergeCell ref="L1635:M1635"/>
    <mergeCell ref="N1635:O1635"/>
    <mergeCell ref="P1635:Q1635"/>
    <mergeCell ref="B1636:G1636"/>
    <mergeCell ref="I1636:K1636"/>
    <mergeCell ref="L1636:M1636"/>
    <mergeCell ref="N1636:O1636"/>
    <mergeCell ref="P1636:Q1636"/>
    <mergeCell ref="B1629:G1629"/>
    <mergeCell ref="I1629:K1629"/>
    <mergeCell ref="L1629:M1629"/>
    <mergeCell ref="N1629:O1629"/>
    <mergeCell ref="P1629:Q1629"/>
    <mergeCell ref="B1630:G1630"/>
    <mergeCell ref="I1630:K1630"/>
    <mergeCell ref="L1630:M1630"/>
    <mergeCell ref="N1630:O1630"/>
    <mergeCell ref="P1630:Q1630"/>
    <mergeCell ref="B1631:G1631"/>
    <mergeCell ref="I1631:K1631"/>
    <mergeCell ref="L1631:M1631"/>
    <mergeCell ref="N1631:O1631"/>
    <mergeCell ref="P1631:Q1631"/>
    <mergeCell ref="B1632:G1632"/>
    <mergeCell ref="I1632:K1632"/>
    <mergeCell ref="L1632:M1632"/>
    <mergeCell ref="N1632:O1632"/>
    <mergeCell ref="P1632:Q1632"/>
    <mergeCell ref="B1625:G1625"/>
    <mergeCell ref="I1625:K1625"/>
    <mergeCell ref="L1625:M1625"/>
    <mergeCell ref="N1625:O1625"/>
    <mergeCell ref="P1625:Q1625"/>
    <mergeCell ref="B1626:G1626"/>
    <mergeCell ref="I1626:K1626"/>
    <mergeCell ref="L1626:M1626"/>
    <mergeCell ref="N1626:O1626"/>
    <mergeCell ref="P1626:Q1626"/>
    <mergeCell ref="B1627:G1627"/>
    <mergeCell ref="I1627:K1627"/>
    <mergeCell ref="L1627:M1627"/>
    <mergeCell ref="N1627:O1627"/>
    <mergeCell ref="P1627:Q1627"/>
    <mergeCell ref="B1628:G1628"/>
    <mergeCell ref="I1628:K1628"/>
    <mergeCell ref="L1628:M1628"/>
    <mergeCell ref="N1628:O1628"/>
    <mergeCell ref="P1628:Q1628"/>
    <mergeCell ref="B1621:G1621"/>
    <mergeCell ref="I1621:K1621"/>
    <mergeCell ref="L1621:M1621"/>
    <mergeCell ref="N1621:O1621"/>
    <mergeCell ref="P1621:Q1621"/>
    <mergeCell ref="B1622:G1622"/>
    <mergeCell ref="I1622:K1622"/>
    <mergeCell ref="L1622:M1622"/>
    <mergeCell ref="N1622:O1622"/>
    <mergeCell ref="P1622:Q1622"/>
    <mergeCell ref="B1623:G1623"/>
    <mergeCell ref="I1623:K1623"/>
    <mergeCell ref="L1623:M1623"/>
    <mergeCell ref="N1623:O1623"/>
    <mergeCell ref="P1623:Q1623"/>
    <mergeCell ref="B1624:G1624"/>
    <mergeCell ref="I1624:K1624"/>
    <mergeCell ref="L1624:M1624"/>
    <mergeCell ref="N1624:O1624"/>
    <mergeCell ref="P1624:Q1624"/>
    <mergeCell ref="B1617:G1617"/>
    <mergeCell ref="I1617:K1617"/>
    <mergeCell ref="L1617:M1617"/>
    <mergeCell ref="N1617:O1617"/>
    <mergeCell ref="P1617:Q1617"/>
    <mergeCell ref="B1618:G1618"/>
    <mergeCell ref="I1618:K1618"/>
    <mergeCell ref="L1618:M1618"/>
    <mergeCell ref="N1618:O1618"/>
    <mergeCell ref="P1618:Q1618"/>
    <mergeCell ref="B1619:G1619"/>
    <mergeCell ref="I1619:K1619"/>
    <mergeCell ref="L1619:M1619"/>
    <mergeCell ref="N1619:O1619"/>
    <mergeCell ref="P1619:Q1619"/>
    <mergeCell ref="B1620:G1620"/>
    <mergeCell ref="I1620:K1620"/>
    <mergeCell ref="L1620:M1620"/>
    <mergeCell ref="N1620:O1620"/>
    <mergeCell ref="P1620:Q1620"/>
    <mergeCell ref="A1612:B1612"/>
    <mergeCell ref="C1612:G1612"/>
    <mergeCell ref="H1612:I1612"/>
    <mergeCell ref="J1612:M1612"/>
    <mergeCell ref="N1612:Q1612"/>
    <mergeCell ref="A1613:Q1613"/>
    <mergeCell ref="B1614:G1614"/>
    <mergeCell ref="I1614:K1614"/>
    <mergeCell ref="L1614:M1614"/>
    <mergeCell ref="N1614:O1614"/>
    <mergeCell ref="P1614:Q1614"/>
    <mergeCell ref="B1615:G1615"/>
    <mergeCell ref="I1615:K1615"/>
    <mergeCell ref="L1615:M1615"/>
    <mergeCell ref="N1615:O1615"/>
    <mergeCell ref="P1615:Q1615"/>
    <mergeCell ref="B1616:G1616"/>
    <mergeCell ref="I1616:K1616"/>
    <mergeCell ref="L1616:M1616"/>
    <mergeCell ref="N1616:O1616"/>
    <mergeCell ref="P1616:Q1616"/>
    <mergeCell ref="A1606:Q1606"/>
    <mergeCell ref="B1607:Q1607"/>
    <mergeCell ref="C1608:D1608"/>
    <mergeCell ref="F1608:G1608"/>
    <mergeCell ref="J1608:L1608"/>
    <mergeCell ref="M1608:O1608"/>
    <mergeCell ref="P1608:Q1608"/>
    <mergeCell ref="A1609:B1609"/>
    <mergeCell ref="C1609:I1609"/>
    <mergeCell ref="J1609:M1609"/>
    <mergeCell ref="N1609:Q1609"/>
    <mergeCell ref="A1610:B1610"/>
    <mergeCell ref="E1610:F1610"/>
    <mergeCell ref="G1610:H1610"/>
    <mergeCell ref="J1610:K1610"/>
    <mergeCell ref="N1610:O1610"/>
    <mergeCell ref="A1611:B1611"/>
    <mergeCell ref="C1611:I1611"/>
    <mergeCell ref="J1611:M1611"/>
    <mergeCell ref="N1611:Q1611"/>
    <mergeCell ref="A1589:Q1589"/>
    <mergeCell ref="A1590:Q1590"/>
    <mergeCell ref="A1591:Q1591"/>
    <mergeCell ref="A1592:Q1592"/>
    <mergeCell ref="A1593:Q1593"/>
    <mergeCell ref="A1594:Q1594"/>
    <mergeCell ref="A1595:Q1595"/>
    <mergeCell ref="A1596:Q1596"/>
    <mergeCell ref="A1597:Q1597"/>
    <mergeCell ref="A1598:Q1598"/>
    <mergeCell ref="A1599:Q1599"/>
    <mergeCell ref="A1600:Q1600"/>
    <mergeCell ref="A1601:Q1601"/>
    <mergeCell ref="A1602:Q1602"/>
    <mergeCell ref="A1603:Q1603"/>
    <mergeCell ref="A1604:Q1604"/>
    <mergeCell ref="A1605:Q1605"/>
    <mergeCell ref="A1582:B1582"/>
    <mergeCell ref="C1582:E1582"/>
    <mergeCell ref="F1582:H1582"/>
    <mergeCell ref="I1582:K1582"/>
    <mergeCell ref="L1582:N1582"/>
    <mergeCell ref="O1582:Q1582"/>
    <mergeCell ref="A1583:B1583"/>
    <mergeCell ref="C1583:E1583"/>
    <mergeCell ref="F1583:H1583"/>
    <mergeCell ref="I1583:K1583"/>
    <mergeCell ref="L1583:N1583"/>
    <mergeCell ref="O1583:Q1583"/>
    <mergeCell ref="A1584:Q1584"/>
    <mergeCell ref="A1585:Q1585"/>
    <mergeCell ref="A1586:Q1586"/>
    <mergeCell ref="A1587:Q1587"/>
    <mergeCell ref="A1588:Q1588"/>
    <mergeCell ref="A1579:B1579"/>
    <mergeCell ref="C1579:E1579"/>
    <mergeCell ref="F1579:H1579"/>
    <mergeCell ref="I1579:K1579"/>
    <mergeCell ref="L1579:N1579"/>
    <mergeCell ref="O1579:Q1579"/>
    <mergeCell ref="A1580:B1580"/>
    <mergeCell ref="C1580:E1580"/>
    <mergeCell ref="F1580:H1580"/>
    <mergeCell ref="I1580:K1580"/>
    <mergeCell ref="L1580:N1580"/>
    <mergeCell ref="O1580:Q1580"/>
    <mergeCell ref="A1581:B1581"/>
    <mergeCell ref="C1581:E1581"/>
    <mergeCell ref="F1581:H1581"/>
    <mergeCell ref="I1581:K1581"/>
    <mergeCell ref="L1581:N1581"/>
    <mergeCell ref="O1581:Q1581"/>
    <mergeCell ref="A1575:G1575"/>
    <mergeCell ref="H1575:J1575"/>
    <mergeCell ref="K1575:L1575"/>
    <mergeCell ref="M1575:N1575"/>
    <mergeCell ref="O1575:Q1575"/>
    <mergeCell ref="A1576:G1576"/>
    <mergeCell ref="H1576:J1576"/>
    <mergeCell ref="K1576:L1576"/>
    <mergeCell ref="M1576:N1576"/>
    <mergeCell ref="O1576:Q1576"/>
    <mergeCell ref="A1577:Q1577"/>
    <mergeCell ref="A1578:B1578"/>
    <mergeCell ref="C1578:E1578"/>
    <mergeCell ref="F1578:H1578"/>
    <mergeCell ref="I1578:K1578"/>
    <mergeCell ref="L1578:N1578"/>
    <mergeCell ref="O1578:Q1578"/>
    <mergeCell ref="A1568:Q1568"/>
    <mergeCell ref="A1569:Q1569"/>
    <mergeCell ref="A1570:Q1570"/>
    <mergeCell ref="A1571:Q1571"/>
    <mergeCell ref="A1572:G1572"/>
    <mergeCell ref="H1572:J1572"/>
    <mergeCell ref="K1572:L1572"/>
    <mergeCell ref="M1572:N1572"/>
    <mergeCell ref="O1572:Q1572"/>
    <mergeCell ref="A1573:G1573"/>
    <mergeCell ref="H1573:J1573"/>
    <mergeCell ref="K1573:L1573"/>
    <mergeCell ref="M1573:N1573"/>
    <mergeCell ref="O1573:Q1573"/>
    <mergeCell ref="A1574:G1574"/>
    <mergeCell ref="H1574:J1574"/>
    <mergeCell ref="K1574:L1574"/>
    <mergeCell ref="M1574:N1574"/>
    <mergeCell ref="O1574:Q1574"/>
    <mergeCell ref="B1564:G1564"/>
    <mergeCell ref="I1564:K1564"/>
    <mergeCell ref="L1564:M1564"/>
    <mergeCell ref="N1564:O1564"/>
    <mergeCell ref="P1564:Q1564"/>
    <mergeCell ref="B1565:G1565"/>
    <mergeCell ref="I1565:K1565"/>
    <mergeCell ref="L1565:M1565"/>
    <mergeCell ref="N1565:O1565"/>
    <mergeCell ref="P1565:Q1565"/>
    <mergeCell ref="B1566:G1566"/>
    <mergeCell ref="I1566:K1566"/>
    <mergeCell ref="L1566:M1566"/>
    <mergeCell ref="N1566:O1566"/>
    <mergeCell ref="P1566:Q1566"/>
    <mergeCell ref="B1567:G1567"/>
    <mergeCell ref="I1567:K1567"/>
    <mergeCell ref="L1567:M1567"/>
    <mergeCell ref="N1567:O1567"/>
    <mergeCell ref="P1567:Q1567"/>
    <mergeCell ref="B1560:G1560"/>
    <mergeCell ref="I1560:K1560"/>
    <mergeCell ref="L1560:M1560"/>
    <mergeCell ref="N1560:O1560"/>
    <mergeCell ref="P1560:Q1560"/>
    <mergeCell ref="B1561:G1561"/>
    <mergeCell ref="I1561:K1561"/>
    <mergeCell ref="L1561:M1561"/>
    <mergeCell ref="N1561:O1561"/>
    <mergeCell ref="P1561:Q1561"/>
    <mergeCell ref="B1562:G1562"/>
    <mergeCell ref="I1562:K1562"/>
    <mergeCell ref="L1562:M1562"/>
    <mergeCell ref="N1562:O1562"/>
    <mergeCell ref="P1562:Q1562"/>
    <mergeCell ref="B1563:G1563"/>
    <mergeCell ref="I1563:K1563"/>
    <mergeCell ref="L1563:M1563"/>
    <mergeCell ref="N1563:O1563"/>
    <mergeCell ref="P1563:Q1563"/>
    <mergeCell ref="B1556:G1556"/>
    <mergeCell ref="I1556:K1556"/>
    <mergeCell ref="L1556:M1556"/>
    <mergeCell ref="N1556:O1556"/>
    <mergeCell ref="P1556:Q1556"/>
    <mergeCell ref="B1557:G1557"/>
    <mergeCell ref="I1557:K1557"/>
    <mergeCell ref="L1557:M1557"/>
    <mergeCell ref="N1557:O1557"/>
    <mergeCell ref="P1557:Q1557"/>
    <mergeCell ref="B1558:G1558"/>
    <mergeCell ref="I1558:K1558"/>
    <mergeCell ref="L1558:M1558"/>
    <mergeCell ref="N1558:O1558"/>
    <mergeCell ref="P1558:Q1558"/>
    <mergeCell ref="B1559:G1559"/>
    <mergeCell ref="I1559:K1559"/>
    <mergeCell ref="L1559:M1559"/>
    <mergeCell ref="N1559:O1559"/>
    <mergeCell ref="P1559:Q1559"/>
    <mergeCell ref="B1552:G1552"/>
    <mergeCell ref="I1552:K1552"/>
    <mergeCell ref="L1552:M1552"/>
    <mergeCell ref="N1552:O1552"/>
    <mergeCell ref="P1552:Q1552"/>
    <mergeCell ref="B1553:G1553"/>
    <mergeCell ref="I1553:K1553"/>
    <mergeCell ref="L1553:M1553"/>
    <mergeCell ref="N1553:O1553"/>
    <mergeCell ref="P1553:Q1553"/>
    <mergeCell ref="B1554:G1554"/>
    <mergeCell ref="I1554:K1554"/>
    <mergeCell ref="L1554:M1554"/>
    <mergeCell ref="N1554:O1554"/>
    <mergeCell ref="P1554:Q1554"/>
    <mergeCell ref="B1555:G1555"/>
    <mergeCell ref="I1555:K1555"/>
    <mergeCell ref="L1555:M1555"/>
    <mergeCell ref="N1555:O1555"/>
    <mergeCell ref="P1555:Q1555"/>
    <mergeCell ref="B1548:G1548"/>
    <mergeCell ref="I1548:K1548"/>
    <mergeCell ref="L1548:M1548"/>
    <mergeCell ref="N1548:O1548"/>
    <mergeCell ref="P1548:Q1548"/>
    <mergeCell ref="B1549:G1549"/>
    <mergeCell ref="I1549:K1549"/>
    <mergeCell ref="L1549:M1549"/>
    <mergeCell ref="N1549:O1549"/>
    <mergeCell ref="P1549:Q1549"/>
    <mergeCell ref="B1550:G1550"/>
    <mergeCell ref="I1550:K1550"/>
    <mergeCell ref="L1550:M1550"/>
    <mergeCell ref="N1550:O1550"/>
    <mergeCell ref="P1550:Q1550"/>
    <mergeCell ref="B1551:G1551"/>
    <mergeCell ref="I1551:K1551"/>
    <mergeCell ref="L1551:M1551"/>
    <mergeCell ref="N1551:O1551"/>
    <mergeCell ref="P1551:Q1551"/>
    <mergeCell ref="B1544:G1544"/>
    <mergeCell ref="I1544:K1544"/>
    <mergeCell ref="L1544:M1544"/>
    <mergeCell ref="N1544:O1544"/>
    <mergeCell ref="P1544:Q1544"/>
    <mergeCell ref="B1545:G1545"/>
    <mergeCell ref="I1545:K1545"/>
    <mergeCell ref="L1545:M1545"/>
    <mergeCell ref="N1545:O1545"/>
    <mergeCell ref="P1545:Q1545"/>
    <mergeCell ref="B1546:G1546"/>
    <mergeCell ref="I1546:K1546"/>
    <mergeCell ref="L1546:M1546"/>
    <mergeCell ref="N1546:O1546"/>
    <mergeCell ref="P1546:Q1546"/>
    <mergeCell ref="B1547:G1547"/>
    <mergeCell ref="I1547:K1547"/>
    <mergeCell ref="L1547:M1547"/>
    <mergeCell ref="N1547:O1547"/>
    <mergeCell ref="P1547:Q1547"/>
    <mergeCell ref="A1539:B1539"/>
    <mergeCell ref="C1539:G1539"/>
    <mergeCell ref="H1539:I1539"/>
    <mergeCell ref="J1539:M1539"/>
    <mergeCell ref="N1539:Q1539"/>
    <mergeCell ref="A1540:Q1540"/>
    <mergeCell ref="B1541:G1541"/>
    <mergeCell ref="I1541:K1541"/>
    <mergeCell ref="L1541:M1541"/>
    <mergeCell ref="N1541:O1541"/>
    <mergeCell ref="P1541:Q1541"/>
    <mergeCell ref="B1542:G1542"/>
    <mergeCell ref="I1542:K1542"/>
    <mergeCell ref="L1542:M1542"/>
    <mergeCell ref="N1542:O1542"/>
    <mergeCell ref="P1542:Q1542"/>
    <mergeCell ref="B1543:G1543"/>
    <mergeCell ref="I1543:K1543"/>
    <mergeCell ref="L1543:M1543"/>
    <mergeCell ref="N1543:O1543"/>
    <mergeCell ref="P1543:Q1543"/>
    <mergeCell ref="A1533:Q1533"/>
    <mergeCell ref="B1534:Q1534"/>
    <mergeCell ref="C1535:D1535"/>
    <mergeCell ref="F1535:G1535"/>
    <mergeCell ref="J1535:L1535"/>
    <mergeCell ref="M1535:O1535"/>
    <mergeCell ref="P1535:Q1535"/>
    <mergeCell ref="A1536:B1536"/>
    <mergeCell ref="C1536:I1536"/>
    <mergeCell ref="J1536:M1536"/>
    <mergeCell ref="N1536:Q1536"/>
    <mergeCell ref="A1537:B1537"/>
    <mergeCell ref="E1537:F1537"/>
    <mergeCell ref="G1537:H1537"/>
    <mergeCell ref="J1537:K1537"/>
    <mergeCell ref="N1537:O1537"/>
    <mergeCell ref="A1538:B1538"/>
    <mergeCell ref="C1538:I1538"/>
    <mergeCell ref="J1538:M1538"/>
    <mergeCell ref="N1538:Q1538"/>
    <mergeCell ref="A1516:Q1516"/>
    <mergeCell ref="A1517:Q1517"/>
    <mergeCell ref="A1518:Q1518"/>
    <mergeCell ref="A1519:Q1519"/>
    <mergeCell ref="A1520:Q1520"/>
    <mergeCell ref="A1521:Q1521"/>
    <mergeCell ref="A1522:Q1522"/>
    <mergeCell ref="A1523:Q1523"/>
    <mergeCell ref="A1524:Q1524"/>
    <mergeCell ref="A1525:Q1525"/>
    <mergeCell ref="A1526:Q1526"/>
    <mergeCell ref="A1527:Q1527"/>
    <mergeCell ref="A1528:Q1528"/>
    <mergeCell ref="A1529:Q1529"/>
    <mergeCell ref="A1530:Q1530"/>
    <mergeCell ref="A1531:Q1531"/>
    <mergeCell ref="A1532:Q1532"/>
    <mergeCell ref="A1509:B1509"/>
    <mergeCell ref="C1509:E1509"/>
    <mergeCell ref="F1509:H1509"/>
    <mergeCell ref="I1509:K1509"/>
    <mergeCell ref="L1509:N1509"/>
    <mergeCell ref="O1509:Q1509"/>
    <mergeCell ref="A1510:B1510"/>
    <mergeCell ref="C1510:E1510"/>
    <mergeCell ref="F1510:H1510"/>
    <mergeCell ref="I1510:K1510"/>
    <mergeCell ref="L1510:N1510"/>
    <mergeCell ref="O1510:Q1510"/>
    <mergeCell ref="A1511:Q1511"/>
    <mergeCell ref="A1512:Q1512"/>
    <mergeCell ref="A1513:Q1513"/>
    <mergeCell ref="A1514:Q1514"/>
    <mergeCell ref="A1515:Q1515"/>
    <mergeCell ref="A1506:B1506"/>
    <mergeCell ref="C1506:E1506"/>
    <mergeCell ref="F1506:H1506"/>
    <mergeCell ref="I1506:K1506"/>
    <mergeCell ref="L1506:N1506"/>
    <mergeCell ref="O1506:Q1506"/>
    <mergeCell ref="A1507:B1507"/>
    <mergeCell ref="C1507:E1507"/>
    <mergeCell ref="F1507:H1507"/>
    <mergeCell ref="I1507:K1507"/>
    <mergeCell ref="L1507:N1507"/>
    <mergeCell ref="O1507:Q1507"/>
    <mergeCell ref="A1508:B1508"/>
    <mergeCell ref="C1508:E1508"/>
    <mergeCell ref="F1508:H1508"/>
    <mergeCell ref="I1508:K1508"/>
    <mergeCell ref="L1508:N1508"/>
    <mergeCell ref="O1508:Q1508"/>
    <mergeCell ref="A1502:G1502"/>
    <mergeCell ref="H1502:J1502"/>
    <mergeCell ref="K1502:L1502"/>
    <mergeCell ref="M1502:N1502"/>
    <mergeCell ref="O1502:Q1502"/>
    <mergeCell ref="A1503:G1503"/>
    <mergeCell ref="H1503:J1503"/>
    <mergeCell ref="K1503:L1503"/>
    <mergeCell ref="M1503:N1503"/>
    <mergeCell ref="O1503:Q1503"/>
    <mergeCell ref="A1504:Q1504"/>
    <mergeCell ref="A1505:B1505"/>
    <mergeCell ref="C1505:E1505"/>
    <mergeCell ref="F1505:H1505"/>
    <mergeCell ref="I1505:K1505"/>
    <mergeCell ref="L1505:N1505"/>
    <mergeCell ref="O1505:Q1505"/>
    <mergeCell ref="A1495:Q1495"/>
    <mergeCell ref="A1496:Q1496"/>
    <mergeCell ref="A1497:Q1497"/>
    <mergeCell ref="A1498:Q1498"/>
    <mergeCell ref="A1499:G1499"/>
    <mergeCell ref="H1499:J1499"/>
    <mergeCell ref="K1499:L1499"/>
    <mergeCell ref="M1499:N1499"/>
    <mergeCell ref="O1499:Q1499"/>
    <mergeCell ref="A1500:G1500"/>
    <mergeCell ref="H1500:J1500"/>
    <mergeCell ref="K1500:L1500"/>
    <mergeCell ref="M1500:N1500"/>
    <mergeCell ref="O1500:Q1500"/>
    <mergeCell ref="A1501:G1501"/>
    <mergeCell ref="H1501:J1501"/>
    <mergeCell ref="K1501:L1501"/>
    <mergeCell ref="M1501:N1501"/>
    <mergeCell ref="O1501:Q1501"/>
    <mergeCell ref="B1491:G1491"/>
    <mergeCell ref="I1491:K1491"/>
    <mergeCell ref="L1491:M1491"/>
    <mergeCell ref="N1491:O1491"/>
    <mergeCell ref="P1491:Q1491"/>
    <mergeCell ref="B1492:G1492"/>
    <mergeCell ref="I1492:K1492"/>
    <mergeCell ref="L1492:M1492"/>
    <mergeCell ref="N1492:O1492"/>
    <mergeCell ref="P1492:Q1492"/>
    <mergeCell ref="B1493:G1493"/>
    <mergeCell ref="I1493:K1493"/>
    <mergeCell ref="L1493:M1493"/>
    <mergeCell ref="N1493:O1493"/>
    <mergeCell ref="P1493:Q1493"/>
    <mergeCell ref="B1494:G1494"/>
    <mergeCell ref="I1494:K1494"/>
    <mergeCell ref="L1494:M1494"/>
    <mergeCell ref="N1494:O1494"/>
    <mergeCell ref="P1494:Q1494"/>
    <mergeCell ref="B1487:G1487"/>
    <mergeCell ref="I1487:K1487"/>
    <mergeCell ref="L1487:M1487"/>
    <mergeCell ref="N1487:O1487"/>
    <mergeCell ref="P1487:Q1487"/>
    <mergeCell ref="B1488:G1488"/>
    <mergeCell ref="I1488:K1488"/>
    <mergeCell ref="L1488:M1488"/>
    <mergeCell ref="N1488:O1488"/>
    <mergeCell ref="P1488:Q1488"/>
    <mergeCell ref="B1489:G1489"/>
    <mergeCell ref="I1489:K1489"/>
    <mergeCell ref="L1489:M1489"/>
    <mergeCell ref="N1489:O1489"/>
    <mergeCell ref="P1489:Q1489"/>
    <mergeCell ref="B1490:G1490"/>
    <mergeCell ref="I1490:K1490"/>
    <mergeCell ref="L1490:M1490"/>
    <mergeCell ref="N1490:O1490"/>
    <mergeCell ref="P1490:Q1490"/>
    <mergeCell ref="B1483:G1483"/>
    <mergeCell ref="I1483:K1483"/>
    <mergeCell ref="L1483:M1483"/>
    <mergeCell ref="N1483:O1483"/>
    <mergeCell ref="P1483:Q1483"/>
    <mergeCell ref="B1484:G1484"/>
    <mergeCell ref="I1484:K1484"/>
    <mergeCell ref="L1484:M1484"/>
    <mergeCell ref="N1484:O1484"/>
    <mergeCell ref="P1484:Q1484"/>
    <mergeCell ref="B1485:G1485"/>
    <mergeCell ref="I1485:K1485"/>
    <mergeCell ref="L1485:M1485"/>
    <mergeCell ref="N1485:O1485"/>
    <mergeCell ref="P1485:Q1485"/>
    <mergeCell ref="B1486:G1486"/>
    <mergeCell ref="I1486:K1486"/>
    <mergeCell ref="L1486:M1486"/>
    <mergeCell ref="N1486:O1486"/>
    <mergeCell ref="P1486:Q1486"/>
    <mergeCell ref="B1479:G1479"/>
    <mergeCell ref="I1479:K1479"/>
    <mergeCell ref="L1479:M1479"/>
    <mergeCell ref="N1479:O1479"/>
    <mergeCell ref="P1479:Q1479"/>
    <mergeCell ref="B1480:G1480"/>
    <mergeCell ref="I1480:K1480"/>
    <mergeCell ref="L1480:M1480"/>
    <mergeCell ref="N1480:O1480"/>
    <mergeCell ref="P1480:Q1480"/>
    <mergeCell ref="B1481:G1481"/>
    <mergeCell ref="I1481:K1481"/>
    <mergeCell ref="L1481:M1481"/>
    <mergeCell ref="N1481:O1481"/>
    <mergeCell ref="P1481:Q1481"/>
    <mergeCell ref="B1482:G1482"/>
    <mergeCell ref="I1482:K1482"/>
    <mergeCell ref="L1482:M1482"/>
    <mergeCell ref="N1482:O1482"/>
    <mergeCell ref="P1482:Q1482"/>
    <mergeCell ref="B1475:G1475"/>
    <mergeCell ref="I1475:K1475"/>
    <mergeCell ref="L1475:M1475"/>
    <mergeCell ref="N1475:O1475"/>
    <mergeCell ref="P1475:Q1475"/>
    <mergeCell ref="B1476:G1476"/>
    <mergeCell ref="I1476:K1476"/>
    <mergeCell ref="L1476:M1476"/>
    <mergeCell ref="N1476:O1476"/>
    <mergeCell ref="P1476:Q1476"/>
    <mergeCell ref="B1477:G1477"/>
    <mergeCell ref="I1477:K1477"/>
    <mergeCell ref="L1477:M1477"/>
    <mergeCell ref="N1477:O1477"/>
    <mergeCell ref="P1477:Q1477"/>
    <mergeCell ref="B1478:G1478"/>
    <mergeCell ref="I1478:K1478"/>
    <mergeCell ref="L1478:M1478"/>
    <mergeCell ref="N1478:O1478"/>
    <mergeCell ref="P1478:Q1478"/>
    <mergeCell ref="B1471:G1471"/>
    <mergeCell ref="I1471:K1471"/>
    <mergeCell ref="L1471:M1471"/>
    <mergeCell ref="N1471:O1471"/>
    <mergeCell ref="P1471:Q1471"/>
    <mergeCell ref="B1472:G1472"/>
    <mergeCell ref="I1472:K1472"/>
    <mergeCell ref="L1472:M1472"/>
    <mergeCell ref="N1472:O1472"/>
    <mergeCell ref="P1472:Q1472"/>
    <mergeCell ref="B1473:G1473"/>
    <mergeCell ref="I1473:K1473"/>
    <mergeCell ref="L1473:M1473"/>
    <mergeCell ref="N1473:O1473"/>
    <mergeCell ref="P1473:Q1473"/>
    <mergeCell ref="B1474:G1474"/>
    <mergeCell ref="I1474:K1474"/>
    <mergeCell ref="L1474:M1474"/>
    <mergeCell ref="N1474:O1474"/>
    <mergeCell ref="P1474:Q1474"/>
    <mergeCell ref="A1466:B1466"/>
    <mergeCell ref="C1466:G1466"/>
    <mergeCell ref="H1466:I1466"/>
    <mergeCell ref="J1466:M1466"/>
    <mergeCell ref="N1466:Q1466"/>
    <mergeCell ref="A1467:Q1467"/>
    <mergeCell ref="B1468:G1468"/>
    <mergeCell ref="I1468:K1468"/>
    <mergeCell ref="L1468:M1468"/>
    <mergeCell ref="N1468:O1468"/>
    <mergeCell ref="P1468:Q1468"/>
    <mergeCell ref="B1469:G1469"/>
    <mergeCell ref="I1469:K1469"/>
    <mergeCell ref="L1469:M1469"/>
    <mergeCell ref="N1469:O1469"/>
    <mergeCell ref="P1469:Q1469"/>
    <mergeCell ref="B1470:G1470"/>
    <mergeCell ref="I1470:K1470"/>
    <mergeCell ref="L1470:M1470"/>
    <mergeCell ref="N1470:O1470"/>
    <mergeCell ref="P1470:Q1470"/>
    <mergeCell ref="A1460:Q1460"/>
    <mergeCell ref="B1461:Q1461"/>
    <mergeCell ref="C1462:D1462"/>
    <mergeCell ref="F1462:G1462"/>
    <mergeCell ref="J1462:L1462"/>
    <mergeCell ref="M1462:O1462"/>
    <mergeCell ref="P1462:Q1462"/>
    <mergeCell ref="A1463:B1463"/>
    <mergeCell ref="C1463:I1463"/>
    <mergeCell ref="J1463:M1463"/>
    <mergeCell ref="N1463:Q1463"/>
    <mergeCell ref="A1464:B1464"/>
    <mergeCell ref="E1464:F1464"/>
    <mergeCell ref="G1464:H1464"/>
    <mergeCell ref="J1464:K1464"/>
    <mergeCell ref="N1464:O1464"/>
    <mergeCell ref="A1465:B1465"/>
    <mergeCell ref="C1465:I1465"/>
    <mergeCell ref="J1465:M1465"/>
    <mergeCell ref="N1465:Q1465"/>
    <mergeCell ref="A1443:Q1443"/>
    <mergeCell ref="A1444:Q1444"/>
    <mergeCell ref="A1445:Q1445"/>
    <mergeCell ref="A1446:Q1446"/>
    <mergeCell ref="A1447:Q1447"/>
    <mergeCell ref="A1448:Q1448"/>
    <mergeCell ref="A1449:Q1449"/>
    <mergeCell ref="A1450:Q1450"/>
    <mergeCell ref="A1451:Q1451"/>
    <mergeCell ref="A1452:Q1452"/>
    <mergeCell ref="A1453:Q1453"/>
    <mergeCell ref="A1454:Q1454"/>
    <mergeCell ref="A1455:Q1455"/>
    <mergeCell ref="A1456:Q1456"/>
    <mergeCell ref="A1457:Q1457"/>
    <mergeCell ref="A1458:Q1458"/>
    <mergeCell ref="A1459:Q1459"/>
    <mergeCell ref="A1436:B1436"/>
    <mergeCell ref="C1436:E1436"/>
    <mergeCell ref="F1436:H1436"/>
    <mergeCell ref="I1436:K1436"/>
    <mergeCell ref="L1436:N1436"/>
    <mergeCell ref="O1436:Q1436"/>
    <mergeCell ref="A1437:B1437"/>
    <mergeCell ref="C1437:E1437"/>
    <mergeCell ref="F1437:H1437"/>
    <mergeCell ref="I1437:K1437"/>
    <mergeCell ref="L1437:N1437"/>
    <mergeCell ref="O1437:Q1437"/>
    <mergeCell ref="A1438:Q1438"/>
    <mergeCell ref="A1439:Q1439"/>
    <mergeCell ref="A1440:Q1440"/>
    <mergeCell ref="A1441:Q1441"/>
    <mergeCell ref="A1442:Q1442"/>
    <mergeCell ref="A1433:B1433"/>
    <mergeCell ref="C1433:E1433"/>
    <mergeCell ref="F1433:H1433"/>
    <mergeCell ref="I1433:K1433"/>
    <mergeCell ref="L1433:N1433"/>
    <mergeCell ref="O1433:Q1433"/>
    <mergeCell ref="A1434:B1434"/>
    <mergeCell ref="C1434:E1434"/>
    <mergeCell ref="F1434:H1434"/>
    <mergeCell ref="I1434:K1434"/>
    <mergeCell ref="L1434:N1434"/>
    <mergeCell ref="O1434:Q1434"/>
    <mergeCell ref="A1435:B1435"/>
    <mergeCell ref="C1435:E1435"/>
    <mergeCell ref="F1435:H1435"/>
    <mergeCell ref="I1435:K1435"/>
    <mergeCell ref="L1435:N1435"/>
    <mergeCell ref="O1435:Q1435"/>
    <mergeCell ref="A1429:G1429"/>
    <mergeCell ref="H1429:J1429"/>
    <mergeCell ref="K1429:L1429"/>
    <mergeCell ref="M1429:N1429"/>
    <mergeCell ref="O1429:Q1429"/>
    <mergeCell ref="A1430:G1430"/>
    <mergeCell ref="H1430:J1430"/>
    <mergeCell ref="K1430:L1430"/>
    <mergeCell ref="M1430:N1430"/>
    <mergeCell ref="O1430:Q1430"/>
    <mergeCell ref="A1431:Q1431"/>
    <mergeCell ref="A1432:B1432"/>
    <mergeCell ref="C1432:E1432"/>
    <mergeCell ref="F1432:H1432"/>
    <mergeCell ref="I1432:K1432"/>
    <mergeCell ref="L1432:N1432"/>
    <mergeCell ref="O1432:Q1432"/>
    <mergeCell ref="A1422:Q1422"/>
    <mergeCell ref="A1423:Q1423"/>
    <mergeCell ref="A1424:Q1424"/>
    <mergeCell ref="A1425:Q1425"/>
    <mergeCell ref="A1426:G1426"/>
    <mergeCell ref="H1426:J1426"/>
    <mergeCell ref="K1426:L1426"/>
    <mergeCell ref="M1426:N1426"/>
    <mergeCell ref="O1426:Q1426"/>
    <mergeCell ref="A1427:G1427"/>
    <mergeCell ref="H1427:J1427"/>
    <mergeCell ref="K1427:L1427"/>
    <mergeCell ref="M1427:N1427"/>
    <mergeCell ref="O1427:Q1427"/>
    <mergeCell ref="A1428:G1428"/>
    <mergeCell ref="H1428:J1428"/>
    <mergeCell ref="K1428:L1428"/>
    <mergeCell ref="M1428:N1428"/>
    <mergeCell ref="O1428:Q1428"/>
    <mergeCell ref="B1418:G1418"/>
    <mergeCell ref="I1418:K1418"/>
    <mergeCell ref="L1418:M1418"/>
    <mergeCell ref="N1418:O1418"/>
    <mergeCell ref="P1418:Q1418"/>
    <mergeCell ref="B1419:G1419"/>
    <mergeCell ref="I1419:K1419"/>
    <mergeCell ref="L1419:M1419"/>
    <mergeCell ref="N1419:O1419"/>
    <mergeCell ref="P1419:Q1419"/>
    <mergeCell ref="B1420:G1420"/>
    <mergeCell ref="I1420:K1420"/>
    <mergeCell ref="L1420:M1420"/>
    <mergeCell ref="N1420:O1420"/>
    <mergeCell ref="P1420:Q1420"/>
    <mergeCell ref="B1421:G1421"/>
    <mergeCell ref="I1421:K1421"/>
    <mergeCell ref="L1421:M1421"/>
    <mergeCell ref="N1421:O1421"/>
    <mergeCell ref="P1421:Q1421"/>
    <mergeCell ref="B1414:G1414"/>
    <mergeCell ref="I1414:K1414"/>
    <mergeCell ref="L1414:M1414"/>
    <mergeCell ref="N1414:O1414"/>
    <mergeCell ref="P1414:Q1414"/>
    <mergeCell ref="B1415:G1415"/>
    <mergeCell ref="I1415:K1415"/>
    <mergeCell ref="L1415:M1415"/>
    <mergeCell ref="N1415:O1415"/>
    <mergeCell ref="P1415:Q1415"/>
    <mergeCell ref="B1416:G1416"/>
    <mergeCell ref="I1416:K1416"/>
    <mergeCell ref="L1416:M1416"/>
    <mergeCell ref="N1416:O1416"/>
    <mergeCell ref="P1416:Q1416"/>
    <mergeCell ref="B1417:G1417"/>
    <mergeCell ref="I1417:K1417"/>
    <mergeCell ref="L1417:M1417"/>
    <mergeCell ref="N1417:O1417"/>
    <mergeCell ref="P1417:Q1417"/>
    <mergeCell ref="B1410:G1410"/>
    <mergeCell ref="I1410:K1410"/>
    <mergeCell ref="L1410:M1410"/>
    <mergeCell ref="N1410:O1410"/>
    <mergeCell ref="P1410:Q1410"/>
    <mergeCell ref="B1411:G1411"/>
    <mergeCell ref="I1411:K1411"/>
    <mergeCell ref="L1411:M1411"/>
    <mergeCell ref="N1411:O1411"/>
    <mergeCell ref="P1411:Q1411"/>
    <mergeCell ref="B1412:G1412"/>
    <mergeCell ref="I1412:K1412"/>
    <mergeCell ref="L1412:M1412"/>
    <mergeCell ref="N1412:O1412"/>
    <mergeCell ref="P1412:Q1412"/>
    <mergeCell ref="B1413:G1413"/>
    <mergeCell ref="I1413:K1413"/>
    <mergeCell ref="L1413:M1413"/>
    <mergeCell ref="N1413:O1413"/>
    <mergeCell ref="P1413:Q1413"/>
    <mergeCell ref="B1406:G1406"/>
    <mergeCell ref="I1406:K1406"/>
    <mergeCell ref="L1406:M1406"/>
    <mergeCell ref="N1406:O1406"/>
    <mergeCell ref="P1406:Q1406"/>
    <mergeCell ref="B1407:G1407"/>
    <mergeCell ref="I1407:K1407"/>
    <mergeCell ref="L1407:M1407"/>
    <mergeCell ref="N1407:O1407"/>
    <mergeCell ref="P1407:Q1407"/>
    <mergeCell ref="B1408:G1408"/>
    <mergeCell ref="I1408:K1408"/>
    <mergeCell ref="L1408:M1408"/>
    <mergeCell ref="N1408:O1408"/>
    <mergeCell ref="P1408:Q1408"/>
    <mergeCell ref="B1409:G1409"/>
    <mergeCell ref="I1409:K1409"/>
    <mergeCell ref="L1409:M1409"/>
    <mergeCell ref="N1409:O1409"/>
    <mergeCell ref="P1409:Q1409"/>
    <mergeCell ref="B1402:G1402"/>
    <mergeCell ref="I1402:K1402"/>
    <mergeCell ref="L1402:M1402"/>
    <mergeCell ref="N1402:O1402"/>
    <mergeCell ref="P1402:Q1402"/>
    <mergeCell ref="B1403:G1403"/>
    <mergeCell ref="I1403:K1403"/>
    <mergeCell ref="L1403:M1403"/>
    <mergeCell ref="N1403:O1403"/>
    <mergeCell ref="P1403:Q1403"/>
    <mergeCell ref="B1404:G1404"/>
    <mergeCell ref="I1404:K1404"/>
    <mergeCell ref="L1404:M1404"/>
    <mergeCell ref="N1404:O1404"/>
    <mergeCell ref="P1404:Q1404"/>
    <mergeCell ref="B1405:G1405"/>
    <mergeCell ref="I1405:K1405"/>
    <mergeCell ref="L1405:M1405"/>
    <mergeCell ref="N1405:O1405"/>
    <mergeCell ref="P1405:Q1405"/>
    <mergeCell ref="B1398:G1398"/>
    <mergeCell ref="I1398:K1398"/>
    <mergeCell ref="L1398:M1398"/>
    <mergeCell ref="N1398:O1398"/>
    <mergeCell ref="P1398:Q1398"/>
    <mergeCell ref="B1399:G1399"/>
    <mergeCell ref="I1399:K1399"/>
    <mergeCell ref="L1399:M1399"/>
    <mergeCell ref="N1399:O1399"/>
    <mergeCell ref="P1399:Q1399"/>
    <mergeCell ref="B1400:G1400"/>
    <mergeCell ref="I1400:K1400"/>
    <mergeCell ref="L1400:M1400"/>
    <mergeCell ref="N1400:O1400"/>
    <mergeCell ref="P1400:Q1400"/>
    <mergeCell ref="B1401:G1401"/>
    <mergeCell ref="I1401:K1401"/>
    <mergeCell ref="L1401:M1401"/>
    <mergeCell ref="N1401:O1401"/>
    <mergeCell ref="P1401:Q1401"/>
    <mergeCell ref="A1393:B1393"/>
    <mergeCell ref="C1393:G1393"/>
    <mergeCell ref="H1393:I1393"/>
    <mergeCell ref="J1393:M1393"/>
    <mergeCell ref="N1393:Q1393"/>
    <mergeCell ref="A1394:Q1394"/>
    <mergeCell ref="B1395:G1395"/>
    <mergeCell ref="I1395:K1395"/>
    <mergeCell ref="L1395:M1395"/>
    <mergeCell ref="N1395:O1395"/>
    <mergeCell ref="P1395:Q1395"/>
    <mergeCell ref="B1396:G1396"/>
    <mergeCell ref="I1396:K1396"/>
    <mergeCell ref="L1396:M1396"/>
    <mergeCell ref="N1396:O1396"/>
    <mergeCell ref="P1396:Q1396"/>
    <mergeCell ref="B1397:G1397"/>
    <mergeCell ref="I1397:K1397"/>
    <mergeCell ref="L1397:M1397"/>
    <mergeCell ref="N1397:O1397"/>
    <mergeCell ref="P1397:Q1397"/>
    <mergeCell ref="A1387:Q1387"/>
    <mergeCell ref="B1388:Q1388"/>
    <mergeCell ref="C1389:D1389"/>
    <mergeCell ref="F1389:G1389"/>
    <mergeCell ref="J1389:L1389"/>
    <mergeCell ref="M1389:O1389"/>
    <mergeCell ref="P1389:Q1389"/>
    <mergeCell ref="A1390:B1390"/>
    <mergeCell ref="C1390:I1390"/>
    <mergeCell ref="J1390:M1390"/>
    <mergeCell ref="N1390:Q1390"/>
    <mergeCell ref="A1391:B1391"/>
    <mergeCell ref="E1391:F1391"/>
    <mergeCell ref="G1391:H1391"/>
    <mergeCell ref="J1391:K1391"/>
    <mergeCell ref="N1391:O1391"/>
    <mergeCell ref="A1392:B1392"/>
    <mergeCell ref="C1392:I1392"/>
    <mergeCell ref="J1392:M1392"/>
    <mergeCell ref="N1392:Q1392"/>
    <mergeCell ref="A1370:Q1370"/>
    <mergeCell ref="A1371:Q1371"/>
    <mergeCell ref="A1372:Q1372"/>
    <mergeCell ref="A1373:Q1373"/>
    <mergeCell ref="A1374:Q1374"/>
    <mergeCell ref="A1375:Q1375"/>
    <mergeCell ref="A1376:Q1376"/>
    <mergeCell ref="A1377:Q1377"/>
    <mergeCell ref="A1378:Q1378"/>
    <mergeCell ref="A1379:Q1379"/>
    <mergeCell ref="A1380:Q1380"/>
    <mergeCell ref="A1381:Q1381"/>
    <mergeCell ref="A1382:Q1382"/>
    <mergeCell ref="A1383:Q1383"/>
    <mergeCell ref="A1384:Q1384"/>
    <mergeCell ref="A1385:Q1385"/>
    <mergeCell ref="A1386:Q1386"/>
    <mergeCell ref="A1363:B1363"/>
    <mergeCell ref="C1363:E1363"/>
    <mergeCell ref="F1363:H1363"/>
    <mergeCell ref="I1363:K1363"/>
    <mergeCell ref="L1363:N1363"/>
    <mergeCell ref="O1363:Q1363"/>
    <mergeCell ref="A1364:B1364"/>
    <mergeCell ref="C1364:E1364"/>
    <mergeCell ref="F1364:H1364"/>
    <mergeCell ref="I1364:K1364"/>
    <mergeCell ref="L1364:N1364"/>
    <mergeCell ref="O1364:Q1364"/>
    <mergeCell ref="A1365:Q1365"/>
    <mergeCell ref="A1366:Q1366"/>
    <mergeCell ref="A1367:Q1367"/>
    <mergeCell ref="A1368:Q1368"/>
    <mergeCell ref="A1369:Q1369"/>
    <mergeCell ref="A1360:B1360"/>
    <mergeCell ref="C1360:E1360"/>
    <mergeCell ref="F1360:H1360"/>
    <mergeCell ref="I1360:K1360"/>
    <mergeCell ref="L1360:N1360"/>
    <mergeCell ref="O1360:Q1360"/>
    <mergeCell ref="A1361:B1361"/>
    <mergeCell ref="C1361:E1361"/>
    <mergeCell ref="F1361:H1361"/>
    <mergeCell ref="I1361:K1361"/>
    <mergeCell ref="L1361:N1361"/>
    <mergeCell ref="O1361:Q1361"/>
    <mergeCell ref="A1362:B1362"/>
    <mergeCell ref="C1362:E1362"/>
    <mergeCell ref="F1362:H1362"/>
    <mergeCell ref="I1362:K1362"/>
    <mergeCell ref="L1362:N1362"/>
    <mergeCell ref="O1362:Q1362"/>
    <mergeCell ref="A1356:G1356"/>
    <mergeCell ref="H1356:J1356"/>
    <mergeCell ref="K1356:L1356"/>
    <mergeCell ref="M1356:N1356"/>
    <mergeCell ref="O1356:Q1356"/>
    <mergeCell ref="A1357:G1357"/>
    <mergeCell ref="H1357:J1357"/>
    <mergeCell ref="K1357:L1357"/>
    <mergeCell ref="M1357:N1357"/>
    <mergeCell ref="O1357:Q1357"/>
    <mergeCell ref="A1358:Q1358"/>
    <mergeCell ref="A1359:B1359"/>
    <mergeCell ref="C1359:E1359"/>
    <mergeCell ref="F1359:H1359"/>
    <mergeCell ref="I1359:K1359"/>
    <mergeCell ref="L1359:N1359"/>
    <mergeCell ref="O1359:Q1359"/>
    <mergeCell ref="A1349:Q1349"/>
    <mergeCell ref="A1350:Q1350"/>
    <mergeCell ref="A1351:Q1351"/>
    <mergeCell ref="A1352:Q1352"/>
    <mergeCell ref="A1353:G1353"/>
    <mergeCell ref="H1353:J1353"/>
    <mergeCell ref="K1353:L1353"/>
    <mergeCell ref="M1353:N1353"/>
    <mergeCell ref="O1353:Q1353"/>
    <mergeCell ref="A1354:G1354"/>
    <mergeCell ref="H1354:J1354"/>
    <mergeCell ref="K1354:L1354"/>
    <mergeCell ref="M1354:N1354"/>
    <mergeCell ref="O1354:Q1354"/>
    <mergeCell ref="A1355:G1355"/>
    <mergeCell ref="H1355:J1355"/>
    <mergeCell ref="K1355:L1355"/>
    <mergeCell ref="M1355:N1355"/>
    <mergeCell ref="O1355:Q1355"/>
    <mergeCell ref="B1345:G1345"/>
    <mergeCell ref="I1345:K1345"/>
    <mergeCell ref="L1345:M1345"/>
    <mergeCell ref="N1345:O1345"/>
    <mergeCell ref="P1345:Q1345"/>
    <mergeCell ref="B1346:G1346"/>
    <mergeCell ref="I1346:K1346"/>
    <mergeCell ref="L1346:M1346"/>
    <mergeCell ref="N1346:O1346"/>
    <mergeCell ref="P1346:Q1346"/>
    <mergeCell ref="B1347:G1347"/>
    <mergeCell ref="I1347:K1347"/>
    <mergeCell ref="L1347:M1347"/>
    <mergeCell ref="N1347:O1347"/>
    <mergeCell ref="P1347:Q1347"/>
    <mergeCell ref="B1348:G1348"/>
    <mergeCell ref="I1348:K1348"/>
    <mergeCell ref="L1348:M1348"/>
    <mergeCell ref="N1348:O1348"/>
    <mergeCell ref="P1348:Q1348"/>
    <mergeCell ref="B1341:G1341"/>
    <mergeCell ref="I1341:K1341"/>
    <mergeCell ref="L1341:M1341"/>
    <mergeCell ref="N1341:O1341"/>
    <mergeCell ref="P1341:Q1341"/>
    <mergeCell ref="B1342:G1342"/>
    <mergeCell ref="I1342:K1342"/>
    <mergeCell ref="L1342:M1342"/>
    <mergeCell ref="N1342:O1342"/>
    <mergeCell ref="P1342:Q1342"/>
    <mergeCell ref="B1343:G1343"/>
    <mergeCell ref="I1343:K1343"/>
    <mergeCell ref="L1343:M1343"/>
    <mergeCell ref="N1343:O1343"/>
    <mergeCell ref="P1343:Q1343"/>
    <mergeCell ref="B1344:G1344"/>
    <mergeCell ref="I1344:K1344"/>
    <mergeCell ref="L1344:M1344"/>
    <mergeCell ref="N1344:O1344"/>
    <mergeCell ref="P1344:Q1344"/>
    <mergeCell ref="B1337:G1337"/>
    <mergeCell ref="I1337:K1337"/>
    <mergeCell ref="L1337:M1337"/>
    <mergeCell ref="N1337:O1337"/>
    <mergeCell ref="P1337:Q1337"/>
    <mergeCell ref="B1338:G1338"/>
    <mergeCell ref="I1338:K1338"/>
    <mergeCell ref="L1338:M1338"/>
    <mergeCell ref="N1338:O1338"/>
    <mergeCell ref="P1338:Q1338"/>
    <mergeCell ref="B1339:G1339"/>
    <mergeCell ref="I1339:K1339"/>
    <mergeCell ref="L1339:M1339"/>
    <mergeCell ref="N1339:O1339"/>
    <mergeCell ref="P1339:Q1339"/>
    <mergeCell ref="B1340:G1340"/>
    <mergeCell ref="I1340:K1340"/>
    <mergeCell ref="L1340:M1340"/>
    <mergeCell ref="N1340:O1340"/>
    <mergeCell ref="P1340:Q1340"/>
    <mergeCell ref="B1333:G1333"/>
    <mergeCell ref="I1333:K1333"/>
    <mergeCell ref="L1333:M1333"/>
    <mergeCell ref="N1333:O1333"/>
    <mergeCell ref="P1333:Q1333"/>
    <mergeCell ref="B1334:G1334"/>
    <mergeCell ref="I1334:K1334"/>
    <mergeCell ref="L1334:M1334"/>
    <mergeCell ref="N1334:O1334"/>
    <mergeCell ref="P1334:Q1334"/>
    <mergeCell ref="B1335:G1335"/>
    <mergeCell ref="I1335:K1335"/>
    <mergeCell ref="L1335:M1335"/>
    <mergeCell ref="N1335:O1335"/>
    <mergeCell ref="P1335:Q1335"/>
    <mergeCell ref="B1336:G1336"/>
    <mergeCell ref="I1336:K1336"/>
    <mergeCell ref="L1336:M1336"/>
    <mergeCell ref="N1336:O1336"/>
    <mergeCell ref="P1336:Q1336"/>
    <mergeCell ref="B1329:G1329"/>
    <mergeCell ref="I1329:K1329"/>
    <mergeCell ref="L1329:M1329"/>
    <mergeCell ref="N1329:O1329"/>
    <mergeCell ref="P1329:Q1329"/>
    <mergeCell ref="B1330:G1330"/>
    <mergeCell ref="I1330:K1330"/>
    <mergeCell ref="L1330:M1330"/>
    <mergeCell ref="N1330:O1330"/>
    <mergeCell ref="P1330:Q1330"/>
    <mergeCell ref="B1331:G1331"/>
    <mergeCell ref="I1331:K1331"/>
    <mergeCell ref="L1331:M1331"/>
    <mergeCell ref="N1331:O1331"/>
    <mergeCell ref="P1331:Q1331"/>
    <mergeCell ref="B1332:G1332"/>
    <mergeCell ref="I1332:K1332"/>
    <mergeCell ref="L1332:M1332"/>
    <mergeCell ref="N1332:O1332"/>
    <mergeCell ref="P1332:Q1332"/>
    <mergeCell ref="B1325:G1325"/>
    <mergeCell ref="I1325:K1325"/>
    <mergeCell ref="L1325:M1325"/>
    <mergeCell ref="N1325:O1325"/>
    <mergeCell ref="P1325:Q1325"/>
    <mergeCell ref="B1326:G1326"/>
    <mergeCell ref="I1326:K1326"/>
    <mergeCell ref="L1326:M1326"/>
    <mergeCell ref="N1326:O1326"/>
    <mergeCell ref="P1326:Q1326"/>
    <mergeCell ref="B1327:G1327"/>
    <mergeCell ref="I1327:K1327"/>
    <mergeCell ref="L1327:M1327"/>
    <mergeCell ref="N1327:O1327"/>
    <mergeCell ref="P1327:Q1327"/>
    <mergeCell ref="B1328:G1328"/>
    <mergeCell ref="I1328:K1328"/>
    <mergeCell ref="L1328:M1328"/>
    <mergeCell ref="N1328:O1328"/>
    <mergeCell ref="P1328:Q1328"/>
    <mergeCell ref="A1320:B1320"/>
    <mergeCell ref="C1320:G1320"/>
    <mergeCell ref="H1320:I1320"/>
    <mergeCell ref="J1320:M1320"/>
    <mergeCell ref="N1320:Q1320"/>
    <mergeCell ref="A1321:Q1321"/>
    <mergeCell ref="B1322:G1322"/>
    <mergeCell ref="I1322:K1322"/>
    <mergeCell ref="L1322:M1322"/>
    <mergeCell ref="N1322:O1322"/>
    <mergeCell ref="P1322:Q1322"/>
    <mergeCell ref="B1323:G1323"/>
    <mergeCell ref="I1323:K1323"/>
    <mergeCell ref="L1323:M1323"/>
    <mergeCell ref="N1323:O1323"/>
    <mergeCell ref="P1323:Q1323"/>
    <mergeCell ref="B1324:G1324"/>
    <mergeCell ref="I1324:K1324"/>
    <mergeCell ref="L1324:M1324"/>
    <mergeCell ref="N1324:O1324"/>
    <mergeCell ref="P1324:Q1324"/>
    <mergeCell ref="A1314:Q1314"/>
    <mergeCell ref="B1315:Q1315"/>
    <mergeCell ref="C1316:D1316"/>
    <mergeCell ref="F1316:G1316"/>
    <mergeCell ref="J1316:L1316"/>
    <mergeCell ref="M1316:O1316"/>
    <mergeCell ref="P1316:Q1316"/>
    <mergeCell ref="A1317:B1317"/>
    <mergeCell ref="C1317:I1317"/>
    <mergeCell ref="J1317:M1317"/>
    <mergeCell ref="N1317:Q1317"/>
    <mergeCell ref="A1318:B1318"/>
    <mergeCell ref="E1318:F1318"/>
    <mergeCell ref="G1318:H1318"/>
    <mergeCell ref="J1318:K1318"/>
    <mergeCell ref="N1318:O1318"/>
    <mergeCell ref="A1319:B1319"/>
    <mergeCell ref="C1319:I1319"/>
    <mergeCell ref="J1319:M1319"/>
    <mergeCell ref="N1319:Q1319"/>
    <mergeCell ref="A1297:Q1297"/>
    <mergeCell ref="A1298:Q1298"/>
    <mergeCell ref="A1299:Q1299"/>
    <mergeCell ref="A1300:Q1300"/>
    <mergeCell ref="A1301:Q1301"/>
    <mergeCell ref="A1302:Q1302"/>
    <mergeCell ref="A1303:Q1303"/>
    <mergeCell ref="A1304:Q1304"/>
    <mergeCell ref="A1305:Q1305"/>
    <mergeCell ref="A1306:Q1306"/>
    <mergeCell ref="A1307:Q1307"/>
    <mergeCell ref="A1308:Q1308"/>
    <mergeCell ref="A1309:Q1309"/>
    <mergeCell ref="A1310:Q1310"/>
    <mergeCell ref="A1311:Q1311"/>
    <mergeCell ref="A1312:Q1312"/>
    <mergeCell ref="A1313:Q1313"/>
    <mergeCell ref="A1290:B1290"/>
    <mergeCell ref="C1290:E1290"/>
    <mergeCell ref="F1290:H1290"/>
    <mergeCell ref="I1290:K1290"/>
    <mergeCell ref="L1290:N1290"/>
    <mergeCell ref="O1290:Q1290"/>
    <mergeCell ref="A1291:B1291"/>
    <mergeCell ref="C1291:E1291"/>
    <mergeCell ref="F1291:H1291"/>
    <mergeCell ref="I1291:K1291"/>
    <mergeCell ref="L1291:N1291"/>
    <mergeCell ref="O1291:Q1291"/>
    <mergeCell ref="A1292:Q1292"/>
    <mergeCell ref="A1293:Q1293"/>
    <mergeCell ref="A1294:Q1294"/>
    <mergeCell ref="A1295:Q1295"/>
    <mergeCell ref="A1296:Q1296"/>
    <mergeCell ref="A1287:B1287"/>
    <mergeCell ref="C1287:E1287"/>
    <mergeCell ref="F1287:H1287"/>
    <mergeCell ref="I1287:K1287"/>
    <mergeCell ref="L1287:N1287"/>
    <mergeCell ref="O1287:Q1287"/>
    <mergeCell ref="A1288:B1288"/>
    <mergeCell ref="C1288:E1288"/>
    <mergeCell ref="F1288:H1288"/>
    <mergeCell ref="I1288:K1288"/>
    <mergeCell ref="L1288:N1288"/>
    <mergeCell ref="O1288:Q1288"/>
    <mergeCell ref="A1289:B1289"/>
    <mergeCell ref="C1289:E1289"/>
    <mergeCell ref="F1289:H1289"/>
    <mergeCell ref="I1289:K1289"/>
    <mergeCell ref="L1289:N1289"/>
    <mergeCell ref="O1289:Q1289"/>
    <mergeCell ref="A1283:G1283"/>
    <mergeCell ref="H1283:J1283"/>
    <mergeCell ref="K1283:L1283"/>
    <mergeCell ref="M1283:N1283"/>
    <mergeCell ref="O1283:Q1283"/>
    <mergeCell ref="A1284:G1284"/>
    <mergeCell ref="H1284:J1284"/>
    <mergeCell ref="K1284:L1284"/>
    <mergeCell ref="M1284:N1284"/>
    <mergeCell ref="O1284:Q1284"/>
    <mergeCell ref="A1285:Q1285"/>
    <mergeCell ref="A1286:B1286"/>
    <mergeCell ref="C1286:E1286"/>
    <mergeCell ref="F1286:H1286"/>
    <mergeCell ref="I1286:K1286"/>
    <mergeCell ref="L1286:N1286"/>
    <mergeCell ref="O1286:Q1286"/>
    <mergeCell ref="A1276:Q1276"/>
    <mergeCell ref="A1277:Q1277"/>
    <mergeCell ref="A1278:Q1278"/>
    <mergeCell ref="A1279:Q1279"/>
    <mergeCell ref="A1280:G1280"/>
    <mergeCell ref="H1280:J1280"/>
    <mergeCell ref="K1280:L1280"/>
    <mergeCell ref="M1280:N1280"/>
    <mergeCell ref="O1280:Q1280"/>
    <mergeCell ref="A1281:G1281"/>
    <mergeCell ref="H1281:J1281"/>
    <mergeCell ref="K1281:L1281"/>
    <mergeCell ref="M1281:N1281"/>
    <mergeCell ref="O1281:Q1281"/>
    <mergeCell ref="A1282:G1282"/>
    <mergeCell ref="H1282:J1282"/>
    <mergeCell ref="K1282:L1282"/>
    <mergeCell ref="M1282:N1282"/>
    <mergeCell ref="O1282:Q1282"/>
    <mergeCell ref="B1272:G1272"/>
    <mergeCell ref="I1272:K1272"/>
    <mergeCell ref="L1272:M1272"/>
    <mergeCell ref="N1272:O1272"/>
    <mergeCell ref="P1272:Q1272"/>
    <mergeCell ref="B1273:G1273"/>
    <mergeCell ref="I1273:K1273"/>
    <mergeCell ref="L1273:M1273"/>
    <mergeCell ref="N1273:O1273"/>
    <mergeCell ref="P1273:Q1273"/>
    <mergeCell ref="B1274:G1274"/>
    <mergeCell ref="I1274:K1274"/>
    <mergeCell ref="L1274:M1274"/>
    <mergeCell ref="N1274:O1274"/>
    <mergeCell ref="P1274:Q1274"/>
    <mergeCell ref="B1275:G1275"/>
    <mergeCell ref="I1275:K1275"/>
    <mergeCell ref="L1275:M1275"/>
    <mergeCell ref="N1275:O1275"/>
    <mergeCell ref="P1275:Q1275"/>
    <mergeCell ref="B1268:G1268"/>
    <mergeCell ref="I1268:K1268"/>
    <mergeCell ref="L1268:M1268"/>
    <mergeCell ref="N1268:O1268"/>
    <mergeCell ref="P1268:Q1268"/>
    <mergeCell ref="B1269:G1269"/>
    <mergeCell ref="I1269:K1269"/>
    <mergeCell ref="L1269:M1269"/>
    <mergeCell ref="N1269:O1269"/>
    <mergeCell ref="P1269:Q1269"/>
    <mergeCell ref="B1270:G1270"/>
    <mergeCell ref="I1270:K1270"/>
    <mergeCell ref="L1270:M1270"/>
    <mergeCell ref="N1270:O1270"/>
    <mergeCell ref="P1270:Q1270"/>
    <mergeCell ref="B1271:G1271"/>
    <mergeCell ref="I1271:K1271"/>
    <mergeCell ref="L1271:M1271"/>
    <mergeCell ref="N1271:O1271"/>
    <mergeCell ref="P1271:Q1271"/>
    <mergeCell ref="B1264:G1264"/>
    <mergeCell ref="I1264:K1264"/>
    <mergeCell ref="L1264:M1264"/>
    <mergeCell ref="N1264:O1264"/>
    <mergeCell ref="P1264:Q1264"/>
    <mergeCell ref="B1265:G1265"/>
    <mergeCell ref="I1265:K1265"/>
    <mergeCell ref="L1265:M1265"/>
    <mergeCell ref="N1265:O1265"/>
    <mergeCell ref="P1265:Q1265"/>
    <mergeCell ref="B1266:G1266"/>
    <mergeCell ref="I1266:K1266"/>
    <mergeCell ref="L1266:M1266"/>
    <mergeCell ref="N1266:O1266"/>
    <mergeCell ref="P1266:Q1266"/>
    <mergeCell ref="B1267:G1267"/>
    <mergeCell ref="I1267:K1267"/>
    <mergeCell ref="L1267:M1267"/>
    <mergeCell ref="N1267:O1267"/>
    <mergeCell ref="P1267:Q1267"/>
    <mergeCell ref="B1260:G1260"/>
    <mergeCell ref="I1260:K1260"/>
    <mergeCell ref="L1260:M1260"/>
    <mergeCell ref="N1260:O1260"/>
    <mergeCell ref="P1260:Q1260"/>
    <mergeCell ref="B1261:G1261"/>
    <mergeCell ref="I1261:K1261"/>
    <mergeCell ref="L1261:M1261"/>
    <mergeCell ref="N1261:O1261"/>
    <mergeCell ref="P1261:Q1261"/>
    <mergeCell ref="B1262:G1262"/>
    <mergeCell ref="I1262:K1262"/>
    <mergeCell ref="L1262:M1262"/>
    <mergeCell ref="N1262:O1262"/>
    <mergeCell ref="P1262:Q1262"/>
    <mergeCell ref="B1263:G1263"/>
    <mergeCell ref="I1263:K1263"/>
    <mergeCell ref="L1263:M1263"/>
    <mergeCell ref="N1263:O1263"/>
    <mergeCell ref="P1263:Q1263"/>
    <mergeCell ref="B1256:G1256"/>
    <mergeCell ref="I1256:K1256"/>
    <mergeCell ref="L1256:M1256"/>
    <mergeCell ref="N1256:O1256"/>
    <mergeCell ref="P1256:Q1256"/>
    <mergeCell ref="B1257:G1257"/>
    <mergeCell ref="I1257:K1257"/>
    <mergeCell ref="L1257:M1257"/>
    <mergeCell ref="N1257:O1257"/>
    <mergeCell ref="P1257:Q1257"/>
    <mergeCell ref="B1258:G1258"/>
    <mergeCell ref="I1258:K1258"/>
    <mergeCell ref="L1258:M1258"/>
    <mergeCell ref="N1258:O1258"/>
    <mergeCell ref="P1258:Q1258"/>
    <mergeCell ref="B1259:G1259"/>
    <mergeCell ref="I1259:K1259"/>
    <mergeCell ref="L1259:M1259"/>
    <mergeCell ref="N1259:O1259"/>
    <mergeCell ref="P1259:Q1259"/>
    <mergeCell ref="B1252:G1252"/>
    <mergeCell ref="I1252:K1252"/>
    <mergeCell ref="L1252:M1252"/>
    <mergeCell ref="N1252:O1252"/>
    <mergeCell ref="P1252:Q1252"/>
    <mergeCell ref="B1253:G1253"/>
    <mergeCell ref="I1253:K1253"/>
    <mergeCell ref="L1253:M1253"/>
    <mergeCell ref="N1253:O1253"/>
    <mergeCell ref="P1253:Q1253"/>
    <mergeCell ref="B1254:G1254"/>
    <mergeCell ref="I1254:K1254"/>
    <mergeCell ref="L1254:M1254"/>
    <mergeCell ref="N1254:O1254"/>
    <mergeCell ref="P1254:Q1254"/>
    <mergeCell ref="B1255:G1255"/>
    <mergeCell ref="I1255:K1255"/>
    <mergeCell ref="L1255:M1255"/>
    <mergeCell ref="N1255:O1255"/>
    <mergeCell ref="P1255:Q1255"/>
    <mergeCell ref="A1247:B1247"/>
    <mergeCell ref="C1247:G1247"/>
    <mergeCell ref="H1247:I1247"/>
    <mergeCell ref="J1247:M1247"/>
    <mergeCell ref="N1247:Q1247"/>
    <mergeCell ref="A1248:Q1248"/>
    <mergeCell ref="B1249:G1249"/>
    <mergeCell ref="I1249:K1249"/>
    <mergeCell ref="L1249:M1249"/>
    <mergeCell ref="N1249:O1249"/>
    <mergeCell ref="P1249:Q1249"/>
    <mergeCell ref="B1250:G1250"/>
    <mergeCell ref="I1250:K1250"/>
    <mergeCell ref="L1250:M1250"/>
    <mergeCell ref="N1250:O1250"/>
    <mergeCell ref="P1250:Q1250"/>
    <mergeCell ref="B1251:G1251"/>
    <mergeCell ref="I1251:K1251"/>
    <mergeCell ref="L1251:M1251"/>
    <mergeCell ref="N1251:O1251"/>
    <mergeCell ref="P1251:Q1251"/>
    <mergeCell ref="B1242:Q1242"/>
    <mergeCell ref="C1243:D1243"/>
    <mergeCell ref="F1243:G1243"/>
    <mergeCell ref="J1243:L1243"/>
    <mergeCell ref="M1243:O1243"/>
    <mergeCell ref="P1243:Q1243"/>
    <mergeCell ref="A1244:B1244"/>
    <mergeCell ref="C1244:I1244"/>
    <mergeCell ref="J1244:M1244"/>
    <mergeCell ref="N1244:Q1244"/>
    <mergeCell ref="A1245:B1245"/>
    <mergeCell ref="E1245:F1245"/>
    <mergeCell ref="G1245:H1245"/>
    <mergeCell ref="J1245:K1245"/>
    <mergeCell ref="N1245:O1245"/>
    <mergeCell ref="A1246:B1246"/>
    <mergeCell ref="C1246:I1246"/>
    <mergeCell ref="J1246:M1246"/>
    <mergeCell ref="N1246:Q1246"/>
    <mergeCell ref="A1168:Q1168"/>
    <mergeCell ref="A1151:Q1151"/>
    <mergeCell ref="A1152:Q1152"/>
    <mergeCell ref="A1153:Q1153"/>
    <mergeCell ref="A1154:Q1154"/>
    <mergeCell ref="A1155:Q1155"/>
    <mergeCell ref="A1156:Q1156"/>
    <mergeCell ref="A1157:Q1157"/>
    <mergeCell ref="A1158:Q1158"/>
    <mergeCell ref="A1159:Q1159"/>
    <mergeCell ref="A1160:Q1160"/>
    <mergeCell ref="A1161:Q1161"/>
    <mergeCell ref="A1162:Q1162"/>
    <mergeCell ref="A1163:Q1163"/>
    <mergeCell ref="A1164:Q1164"/>
    <mergeCell ref="A1165:Q1165"/>
    <mergeCell ref="A1166:Q1166"/>
    <mergeCell ref="A1167:Q1167"/>
    <mergeCell ref="A1144:B1144"/>
    <mergeCell ref="C1144:E1144"/>
    <mergeCell ref="F1144:H1144"/>
    <mergeCell ref="I1144:K1144"/>
    <mergeCell ref="L1144:N1144"/>
    <mergeCell ref="O1144:Q1144"/>
    <mergeCell ref="A1145:B1145"/>
    <mergeCell ref="C1145:E1145"/>
    <mergeCell ref="F1145:H1145"/>
    <mergeCell ref="I1145:K1145"/>
    <mergeCell ref="L1145:N1145"/>
    <mergeCell ref="O1145:Q1145"/>
    <mergeCell ref="A1146:Q1146"/>
    <mergeCell ref="A1147:Q1147"/>
    <mergeCell ref="A1148:Q1148"/>
    <mergeCell ref="A1149:Q1149"/>
    <mergeCell ref="A1150:Q1150"/>
    <mergeCell ref="A1141:B1141"/>
    <mergeCell ref="C1141:E1141"/>
    <mergeCell ref="F1141:H1141"/>
    <mergeCell ref="I1141:K1141"/>
    <mergeCell ref="L1141:N1141"/>
    <mergeCell ref="O1141:Q1141"/>
    <mergeCell ref="A1142:B1142"/>
    <mergeCell ref="C1142:E1142"/>
    <mergeCell ref="F1142:H1142"/>
    <mergeCell ref="I1142:K1142"/>
    <mergeCell ref="L1142:N1142"/>
    <mergeCell ref="O1142:Q1142"/>
    <mergeCell ref="A1143:B1143"/>
    <mergeCell ref="C1143:E1143"/>
    <mergeCell ref="F1143:H1143"/>
    <mergeCell ref="I1143:K1143"/>
    <mergeCell ref="L1143:N1143"/>
    <mergeCell ref="O1143:Q1143"/>
    <mergeCell ref="A1137:G1137"/>
    <mergeCell ref="H1137:J1137"/>
    <mergeCell ref="K1137:L1137"/>
    <mergeCell ref="M1137:N1137"/>
    <mergeCell ref="O1137:Q1137"/>
    <mergeCell ref="A1138:G1138"/>
    <mergeCell ref="H1138:J1138"/>
    <mergeCell ref="K1138:L1138"/>
    <mergeCell ref="M1138:N1138"/>
    <mergeCell ref="O1138:Q1138"/>
    <mergeCell ref="A1139:Q1139"/>
    <mergeCell ref="A1140:B1140"/>
    <mergeCell ref="C1140:E1140"/>
    <mergeCell ref="F1140:H1140"/>
    <mergeCell ref="I1140:K1140"/>
    <mergeCell ref="L1140:N1140"/>
    <mergeCell ref="O1140:Q1140"/>
    <mergeCell ref="A1130:Q1130"/>
    <mergeCell ref="A1131:Q1131"/>
    <mergeCell ref="A1132:Q1132"/>
    <mergeCell ref="A1133:Q1133"/>
    <mergeCell ref="A1134:G1134"/>
    <mergeCell ref="H1134:J1134"/>
    <mergeCell ref="K1134:L1134"/>
    <mergeCell ref="M1134:N1134"/>
    <mergeCell ref="O1134:Q1134"/>
    <mergeCell ref="A1135:G1135"/>
    <mergeCell ref="H1135:J1135"/>
    <mergeCell ref="K1135:L1135"/>
    <mergeCell ref="M1135:N1135"/>
    <mergeCell ref="O1135:Q1135"/>
    <mergeCell ref="A1136:G1136"/>
    <mergeCell ref="H1136:J1136"/>
    <mergeCell ref="K1136:L1136"/>
    <mergeCell ref="M1136:N1136"/>
    <mergeCell ref="O1136:Q1136"/>
    <mergeCell ref="B1126:G1126"/>
    <mergeCell ref="I1126:K1126"/>
    <mergeCell ref="L1126:M1126"/>
    <mergeCell ref="N1126:O1126"/>
    <mergeCell ref="P1126:Q1126"/>
    <mergeCell ref="B1127:G1127"/>
    <mergeCell ref="I1127:K1127"/>
    <mergeCell ref="L1127:M1127"/>
    <mergeCell ref="N1127:O1127"/>
    <mergeCell ref="P1127:Q1127"/>
    <mergeCell ref="B1128:G1128"/>
    <mergeCell ref="I1128:K1128"/>
    <mergeCell ref="L1128:M1128"/>
    <mergeCell ref="N1128:O1128"/>
    <mergeCell ref="P1128:Q1128"/>
    <mergeCell ref="B1129:G1129"/>
    <mergeCell ref="I1129:K1129"/>
    <mergeCell ref="L1129:M1129"/>
    <mergeCell ref="N1129:O1129"/>
    <mergeCell ref="P1129:Q1129"/>
    <mergeCell ref="B1122:G1122"/>
    <mergeCell ref="I1122:K1122"/>
    <mergeCell ref="L1122:M1122"/>
    <mergeCell ref="N1122:O1122"/>
    <mergeCell ref="P1122:Q1122"/>
    <mergeCell ref="B1123:G1123"/>
    <mergeCell ref="I1123:K1123"/>
    <mergeCell ref="L1123:M1123"/>
    <mergeCell ref="N1123:O1123"/>
    <mergeCell ref="P1123:Q1123"/>
    <mergeCell ref="B1124:G1124"/>
    <mergeCell ref="I1124:K1124"/>
    <mergeCell ref="L1124:M1124"/>
    <mergeCell ref="N1124:O1124"/>
    <mergeCell ref="P1124:Q1124"/>
    <mergeCell ref="B1125:G1125"/>
    <mergeCell ref="I1125:K1125"/>
    <mergeCell ref="L1125:M1125"/>
    <mergeCell ref="N1125:O1125"/>
    <mergeCell ref="P1125:Q1125"/>
    <mergeCell ref="B1118:G1118"/>
    <mergeCell ref="I1118:K1118"/>
    <mergeCell ref="L1118:M1118"/>
    <mergeCell ref="N1118:O1118"/>
    <mergeCell ref="P1118:Q1118"/>
    <mergeCell ref="B1119:G1119"/>
    <mergeCell ref="I1119:K1119"/>
    <mergeCell ref="L1119:M1119"/>
    <mergeCell ref="N1119:O1119"/>
    <mergeCell ref="P1119:Q1119"/>
    <mergeCell ref="B1120:G1120"/>
    <mergeCell ref="I1120:K1120"/>
    <mergeCell ref="L1120:M1120"/>
    <mergeCell ref="N1120:O1120"/>
    <mergeCell ref="P1120:Q1120"/>
    <mergeCell ref="B1121:G1121"/>
    <mergeCell ref="I1121:K1121"/>
    <mergeCell ref="L1121:M1121"/>
    <mergeCell ref="N1121:O1121"/>
    <mergeCell ref="P1121:Q1121"/>
    <mergeCell ref="B1114:G1114"/>
    <mergeCell ref="I1114:K1114"/>
    <mergeCell ref="L1114:M1114"/>
    <mergeCell ref="N1114:O1114"/>
    <mergeCell ref="P1114:Q1114"/>
    <mergeCell ref="B1115:G1115"/>
    <mergeCell ref="I1115:K1115"/>
    <mergeCell ref="L1115:M1115"/>
    <mergeCell ref="N1115:O1115"/>
    <mergeCell ref="P1115:Q1115"/>
    <mergeCell ref="B1116:G1116"/>
    <mergeCell ref="I1116:K1116"/>
    <mergeCell ref="L1116:M1116"/>
    <mergeCell ref="N1116:O1116"/>
    <mergeCell ref="P1116:Q1116"/>
    <mergeCell ref="B1117:G1117"/>
    <mergeCell ref="I1117:K1117"/>
    <mergeCell ref="L1117:M1117"/>
    <mergeCell ref="N1117:O1117"/>
    <mergeCell ref="P1117:Q1117"/>
    <mergeCell ref="B1110:G1110"/>
    <mergeCell ref="I1110:K1110"/>
    <mergeCell ref="L1110:M1110"/>
    <mergeCell ref="N1110:O1110"/>
    <mergeCell ref="P1110:Q1110"/>
    <mergeCell ref="B1111:G1111"/>
    <mergeCell ref="I1111:K1111"/>
    <mergeCell ref="L1111:M1111"/>
    <mergeCell ref="N1111:O1111"/>
    <mergeCell ref="P1111:Q1111"/>
    <mergeCell ref="B1112:G1112"/>
    <mergeCell ref="I1112:K1112"/>
    <mergeCell ref="L1112:M1112"/>
    <mergeCell ref="N1112:O1112"/>
    <mergeCell ref="P1112:Q1112"/>
    <mergeCell ref="B1113:G1113"/>
    <mergeCell ref="I1113:K1113"/>
    <mergeCell ref="L1113:M1113"/>
    <mergeCell ref="N1113:O1113"/>
    <mergeCell ref="P1113:Q1113"/>
    <mergeCell ref="B1106:G1106"/>
    <mergeCell ref="I1106:K1106"/>
    <mergeCell ref="L1106:M1106"/>
    <mergeCell ref="N1106:O1106"/>
    <mergeCell ref="P1106:Q1106"/>
    <mergeCell ref="B1107:G1107"/>
    <mergeCell ref="I1107:K1107"/>
    <mergeCell ref="L1107:M1107"/>
    <mergeCell ref="N1107:O1107"/>
    <mergeCell ref="P1107:Q1107"/>
    <mergeCell ref="B1108:G1108"/>
    <mergeCell ref="I1108:K1108"/>
    <mergeCell ref="L1108:M1108"/>
    <mergeCell ref="N1108:O1108"/>
    <mergeCell ref="P1108:Q1108"/>
    <mergeCell ref="B1109:G1109"/>
    <mergeCell ref="I1109:K1109"/>
    <mergeCell ref="L1109:M1109"/>
    <mergeCell ref="N1109:O1109"/>
    <mergeCell ref="P1109:Q1109"/>
    <mergeCell ref="A1101:B1101"/>
    <mergeCell ref="C1101:G1101"/>
    <mergeCell ref="H1101:I1101"/>
    <mergeCell ref="J1101:M1101"/>
    <mergeCell ref="N1101:Q1101"/>
    <mergeCell ref="A1102:Q1102"/>
    <mergeCell ref="B1103:G1103"/>
    <mergeCell ref="I1103:K1103"/>
    <mergeCell ref="L1103:M1103"/>
    <mergeCell ref="N1103:O1103"/>
    <mergeCell ref="P1103:Q1103"/>
    <mergeCell ref="B1104:G1104"/>
    <mergeCell ref="I1104:K1104"/>
    <mergeCell ref="L1104:M1104"/>
    <mergeCell ref="N1104:O1104"/>
    <mergeCell ref="P1104:Q1104"/>
    <mergeCell ref="B1105:G1105"/>
    <mergeCell ref="I1105:K1105"/>
    <mergeCell ref="L1105:M1105"/>
    <mergeCell ref="N1105:O1105"/>
    <mergeCell ref="P1105:Q1105"/>
    <mergeCell ref="B1096:Q1096"/>
    <mergeCell ref="C1097:D1097"/>
    <mergeCell ref="F1097:G1097"/>
    <mergeCell ref="J1097:L1097"/>
    <mergeCell ref="M1097:O1097"/>
    <mergeCell ref="P1097:Q1097"/>
    <mergeCell ref="A1098:B1098"/>
    <mergeCell ref="C1098:I1098"/>
    <mergeCell ref="J1098:M1098"/>
    <mergeCell ref="N1098:Q1098"/>
    <mergeCell ref="A1099:B1099"/>
    <mergeCell ref="E1099:F1099"/>
    <mergeCell ref="G1099:H1099"/>
    <mergeCell ref="J1099:K1099"/>
    <mergeCell ref="N1099:O1099"/>
    <mergeCell ref="A1100:B1100"/>
    <mergeCell ref="C1100:I1100"/>
    <mergeCell ref="J1100:M1100"/>
    <mergeCell ref="N1100:Q1100"/>
    <mergeCell ref="A364:Q364"/>
    <mergeCell ref="A365:Q365"/>
    <mergeCell ref="A355:Q355"/>
    <mergeCell ref="A356:Q356"/>
    <mergeCell ref="A357:Q357"/>
    <mergeCell ref="A358:Q358"/>
    <mergeCell ref="A359:Q359"/>
    <mergeCell ref="A360:Q360"/>
    <mergeCell ref="A361:Q361"/>
    <mergeCell ref="A362:Q362"/>
    <mergeCell ref="A363:Q363"/>
    <mergeCell ref="A346:Q346"/>
    <mergeCell ref="A347:Q347"/>
    <mergeCell ref="A348:Q348"/>
    <mergeCell ref="A349:Q349"/>
    <mergeCell ref="A350:Q350"/>
    <mergeCell ref="A351:Q351"/>
    <mergeCell ref="A352:Q352"/>
    <mergeCell ref="A353:Q353"/>
    <mergeCell ref="A354:Q354"/>
    <mergeCell ref="A342:B342"/>
    <mergeCell ref="C342:E342"/>
    <mergeCell ref="F342:H342"/>
    <mergeCell ref="I342:K342"/>
    <mergeCell ref="L342:N342"/>
    <mergeCell ref="O342:Q342"/>
    <mergeCell ref="A343:Q343"/>
    <mergeCell ref="A344:Q344"/>
    <mergeCell ref="A345:Q345"/>
    <mergeCell ref="A340:B340"/>
    <mergeCell ref="C340:E340"/>
    <mergeCell ref="F340:H340"/>
    <mergeCell ref="I340:K340"/>
    <mergeCell ref="L340:N340"/>
    <mergeCell ref="O340:Q340"/>
    <mergeCell ref="A341:B341"/>
    <mergeCell ref="C341:E341"/>
    <mergeCell ref="F341:H341"/>
    <mergeCell ref="I341:K341"/>
    <mergeCell ref="L341:N341"/>
    <mergeCell ref="O341:Q341"/>
    <mergeCell ref="A338:B338"/>
    <mergeCell ref="C338:E338"/>
    <mergeCell ref="F338:H338"/>
    <mergeCell ref="I338:K338"/>
    <mergeCell ref="L338:N338"/>
    <mergeCell ref="O338:Q338"/>
    <mergeCell ref="A339:B339"/>
    <mergeCell ref="C339:E339"/>
    <mergeCell ref="F339:H339"/>
    <mergeCell ref="I339:K339"/>
    <mergeCell ref="L339:N339"/>
    <mergeCell ref="O339:Q339"/>
    <mergeCell ref="A335:G335"/>
    <mergeCell ref="H335:J335"/>
    <mergeCell ref="K335:L335"/>
    <mergeCell ref="M335:N335"/>
    <mergeCell ref="O335:Q335"/>
    <mergeCell ref="A336:Q336"/>
    <mergeCell ref="A337:B337"/>
    <mergeCell ref="C337:E337"/>
    <mergeCell ref="F337:H337"/>
    <mergeCell ref="I337:K337"/>
    <mergeCell ref="L337:N337"/>
    <mergeCell ref="O337:Q337"/>
    <mergeCell ref="A333:G333"/>
    <mergeCell ref="H333:J333"/>
    <mergeCell ref="K333:L333"/>
    <mergeCell ref="M333:N333"/>
    <mergeCell ref="O333:Q333"/>
    <mergeCell ref="A334:G334"/>
    <mergeCell ref="H334:J334"/>
    <mergeCell ref="K334:L334"/>
    <mergeCell ref="M334:N334"/>
    <mergeCell ref="O334:Q334"/>
    <mergeCell ref="A331:G331"/>
    <mergeCell ref="H331:J331"/>
    <mergeCell ref="K331:L331"/>
    <mergeCell ref="M331:N331"/>
    <mergeCell ref="O331:Q331"/>
    <mergeCell ref="A332:G332"/>
    <mergeCell ref="H332:J332"/>
    <mergeCell ref="K332:L332"/>
    <mergeCell ref="M332:N332"/>
    <mergeCell ref="O332:Q332"/>
    <mergeCell ref="B326:G326"/>
    <mergeCell ref="I326:K326"/>
    <mergeCell ref="L326:M326"/>
    <mergeCell ref="N326:O326"/>
    <mergeCell ref="P326:Q326"/>
    <mergeCell ref="A327:Q327"/>
    <mergeCell ref="A328:Q328"/>
    <mergeCell ref="A329:Q329"/>
    <mergeCell ref="A330:Q330"/>
    <mergeCell ref="B324:G324"/>
    <mergeCell ref="I324:K324"/>
    <mergeCell ref="L324:M324"/>
    <mergeCell ref="N324:O324"/>
    <mergeCell ref="P324:Q324"/>
    <mergeCell ref="B325:G325"/>
    <mergeCell ref="I325:K325"/>
    <mergeCell ref="L325:M325"/>
    <mergeCell ref="N325:O325"/>
    <mergeCell ref="P325:Q325"/>
    <mergeCell ref="B322:G322"/>
    <mergeCell ref="I322:K322"/>
    <mergeCell ref="L322:M322"/>
    <mergeCell ref="N322:O322"/>
    <mergeCell ref="P322:Q322"/>
    <mergeCell ref="B323:G323"/>
    <mergeCell ref="I323:K323"/>
    <mergeCell ref="L323:M323"/>
    <mergeCell ref="N323:O323"/>
    <mergeCell ref="P323:Q323"/>
    <mergeCell ref="B320:G320"/>
    <mergeCell ref="I320:K320"/>
    <mergeCell ref="L320:M320"/>
    <mergeCell ref="N320:O320"/>
    <mergeCell ref="P320:Q320"/>
    <mergeCell ref="B321:G321"/>
    <mergeCell ref="I321:K321"/>
    <mergeCell ref="L321:M321"/>
    <mergeCell ref="N321:O321"/>
    <mergeCell ref="P321:Q321"/>
    <mergeCell ref="B318:G318"/>
    <mergeCell ref="I318:K318"/>
    <mergeCell ref="L318:M318"/>
    <mergeCell ref="N318:O318"/>
    <mergeCell ref="P318:Q318"/>
    <mergeCell ref="B319:G319"/>
    <mergeCell ref="I319:K319"/>
    <mergeCell ref="L319:M319"/>
    <mergeCell ref="N319:O319"/>
    <mergeCell ref="P319:Q319"/>
    <mergeCell ref="B316:G316"/>
    <mergeCell ref="I316:K316"/>
    <mergeCell ref="L316:M316"/>
    <mergeCell ref="N316:O316"/>
    <mergeCell ref="P316:Q316"/>
    <mergeCell ref="B317:G317"/>
    <mergeCell ref="I317:K317"/>
    <mergeCell ref="L317:M317"/>
    <mergeCell ref="N317:O317"/>
    <mergeCell ref="P317:Q317"/>
    <mergeCell ref="B314:G314"/>
    <mergeCell ref="I314:K314"/>
    <mergeCell ref="L314:M314"/>
    <mergeCell ref="N314:O314"/>
    <mergeCell ref="P314:Q314"/>
    <mergeCell ref="B315:G315"/>
    <mergeCell ref="I315:K315"/>
    <mergeCell ref="L315:M315"/>
    <mergeCell ref="N315:O315"/>
    <mergeCell ref="P315:Q315"/>
    <mergeCell ref="B311:G311"/>
    <mergeCell ref="I311:K311"/>
    <mergeCell ref="N311:O311"/>
    <mergeCell ref="P311:Q311"/>
    <mergeCell ref="B312:G312"/>
    <mergeCell ref="I312:K312"/>
    <mergeCell ref="N312:O312"/>
    <mergeCell ref="P312:Q312"/>
    <mergeCell ref="B313:G313"/>
    <mergeCell ref="I313:K313"/>
    <mergeCell ref="L313:M313"/>
    <mergeCell ref="N313:O313"/>
    <mergeCell ref="P313:Q313"/>
    <mergeCell ref="B309:G309"/>
    <mergeCell ref="I309:K309"/>
    <mergeCell ref="L309:M309"/>
    <mergeCell ref="N309:O309"/>
    <mergeCell ref="P309:Q309"/>
    <mergeCell ref="B310:G310"/>
    <mergeCell ref="I310:K310"/>
    <mergeCell ref="L310:M310"/>
    <mergeCell ref="N310:O310"/>
    <mergeCell ref="P310:Q310"/>
    <mergeCell ref="B307:G307"/>
    <mergeCell ref="I307:K307"/>
    <mergeCell ref="L307:M307"/>
    <mergeCell ref="N307:O307"/>
    <mergeCell ref="P307:Q307"/>
    <mergeCell ref="B308:G308"/>
    <mergeCell ref="I308:K308"/>
    <mergeCell ref="L308:M308"/>
    <mergeCell ref="N308:O308"/>
    <mergeCell ref="P308:Q308"/>
    <mergeCell ref="B305:G305"/>
    <mergeCell ref="I305:K305"/>
    <mergeCell ref="L305:M305"/>
    <mergeCell ref="N305:O305"/>
    <mergeCell ref="P305:Q305"/>
    <mergeCell ref="B306:G306"/>
    <mergeCell ref="I306:K306"/>
    <mergeCell ref="L306:M306"/>
    <mergeCell ref="N306:O306"/>
    <mergeCell ref="P306:Q306"/>
    <mergeCell ref="B303:G303"/>
    <mergeCell ref="I303:K303"/>
    <mergeCell ref="L303:M303"/>
    <mergeCell ref="N303:O303"/>
    <mergeCell ref="P303:Q303"/>
    <mergeCell ref="B304:G304"/>
    <mergeCell ref="I304:K304"/>
    <mergeCell ref="L304:M304"/>
    <mergeCell ref="N304:O304"/>
    <mergeCell ref="P304:Q304"/>
    <mergeCell ref="B301:G301"/>
    <mergeCell ref="I301:K301"/>
    <mergeCell ref="L301:M301"/>
    <mergeCell ref="N301:O301"/>
    <mergeCell ref="P301:Q301"/>
    <mergeCell ref="B302:G302"/>
    <mergeCell ref="I302:K302"/>
    <mergeCell ref="L302:M302"/>
    <mergeCell ref="N302:O302"/>
    <mergeCell ref="P302:Q302"/>
    <mergeCell ref="A298:B298"/>
    <mergeCell ref="C298:G298"/>
    <mergeCell ref="H298:I298"/>
    <mergeCell ref="J298:M298"/>
    <mergeCell ref="N298:Q298"/>
    <mergeCell ref="A299:Q299"/>
    <mergeCell ref="B300:G300"/>
    <mergeCell ref="I300:K300"/>
    <mergeCell ref="L300:M300"/>
    <mergeCell ref="N300:O300"/>
    <mergeCell ref="P300:Q300"/>
    <mergeCell ref="A296:B296"/>
    <mergeCell ref="E296:F296"/>
    <mergeCell ref="G296:H296"/>
    <mergeCell ref="J296:K296"/>
    <mergeCell ref="N296:O296"/>
    <mergeCell ref="A297:B297"/>
    <mergeCell ref="C297:I297"/>
    <mergeCell ref="J297:M297"/>
    <mergeCell ref="N297:Q297"/>
    <mergeCell ref="B293:Q293"/>
    <mergeCell ref="C294:D294"/>
    <mergeCell ref="F294:G294"/>
    <mergeCell ref="J294:L294"/>
    <mergeCell ref="M294:O294"/>
    <mergeCell ref="P294:Q294"/>
    <mergeCell ref="A295:B295"/>
    <mergeCell ref="C295:I295"/>
    <mergeCell ref="J295:M295"/>
    <mergeCell ref="N295:Q295"/>
    <mergeCell ref="A142:Q142"/>
    <mergeCell ref="A143:Q143"/>
    <mergeCell ref="A144:Q144"/>
    <mergeCell ref="A145:Q145"/>
    <mergeCell ref="A132:Q132"/>
    <mergeCell ref="A133:Q133"/>
    <mergeCell ref="A134:Q134"/>
    <mergeCell ref="A135:Q135"/>
    <mergeCell ref="A136:Q136"/>
    <mergeCell ref="A137:Q137"/>
    <mergeCell ref="A138:Q138"/>
    <mergeCell ref="A139:Q139"/>
    <mergeCell ref="A140:Q140"/>
    <mergeCell ref="A124:Q124"/>
    <mergeCell ref="A125:Q125"/>
    <mergeCell ref="A126:Q126"/>
    <mergeCell ref="A127:Q127"/>
    <mergeCell ref="A128:Q128"/>
    <mergeCell ref="A129:Q129"/>
    <mergeCell ref="A130:Q130"/>
    <mergeCell ref="A131:Q131"/>
    <mergeCell ref="A141:Q141"/>
    <mergeCell ref="A115:G115"/>
    <mergeCell ref="H115:J115"/>
    <mergeCell ref="K115:L115"/>
    <mergeCell ref="M115:N115"/>
    <mergeCell ref="O115:Q115"/>
    <mergeCell ref="A118:B118"/>
    <mergeCell ref="C118:E118"/>
    <mergeCell ref="F118:H118"/>
    <mergeCell ref="I118:K118"/>
    <mergeCell ref="L118:N118"/>
    <mergeCell ref="O118:Q118"/>
    <mergeCell ref="A116:G116"/>
    <mergeCell ref="H116:J116"/>
    <mergeCell ref="K116:L116"/>
    <mergeCell ref="M116:N116"/>
    <mergeCell ref="O116:Q116"/>
    <mergeCell ref="A117:Q117"/>
    <mergeCell ref="A113:G113"/>
    <mergeCell ref="H113:J113"/>
    <mergeCell ref="K113:L113"/>
    <mergeCell ref="M113:N113"/>
    <mergeCell ref="O113:Q113"/>
    <mergeCell ref="A114:G114"/>
    <mergeCell ref="H114:J114"/>
    <mergeCell ref="K114:L114"/>
    <mergeCell ref="M114:N114"/>
    <mergeCell ref="O114:Q114"/>
    <mergeCell ref="A108:Q108"/>
    <mergeCell ref="A109:Q109"/>
    <mergeCell ref="A110:Q110"/>
    <mergeCell ref="A111:Q111"/>
    <mergeCell ref="A112:G112"/>
    <mergeCell ref="H112:J112"/>
    <mergeCell ref="K112:L112"/>
    <mergeCell ref="M112:N112"/>
    <mergeCell ref="O112:Q112"/>
    <mergeCell ref="B106:G106"/>
    <mergeCell ref="I106:K106"/>
    <mergeCell ref="L106:M106"/>
    <mergeCell ref="N106:O106"/>
    <mergeCell ref="P106:Q106"/>
    <mergeCell ref="B101:G101"/>
    <mergeCell ref="I101:K101"/>
    <mergeCell ref="L101:M101"/>
    <mergeCell ref="N101:O101"/>
    <mergeCell ref="P101:Q101"/>
    <mergeCell ref="B102:G102"/>
    <mergeCell ref="I102:K102"/>
    <mergeCell ref="L102:M102"/>
    <mergeCell ref="N102:O102"/>
    <mergeCell ref="P102:Q102"/>
    <mergeCell ref="B103:G103"/>
    <mergeCell ref="I103:K103"/>
    <mergeCell ref="L103:M103"/>
    <mergeCell ref="N103:O103"/>
    <mergeCell ref="P103:Q103"/>
    <mergeCell ref="B104:G104"/>
    <mergeCell ref="I104:K104"/>
    <mergeCell ref="L104:M104"/>
    <mergeCell ref="N104:O104"/>
    <mergeCell ref="B97:G97"/>
    <mergeCell ref="I97:K97"/>
    <mergeCell ref="L97:M97"/>
    <mergeCell ref="N97:O97"/>
    <mergeCell ref="P97:Q97"/>
    <mergeCell ref="B98:G98"/>
    <mergeCell ref="I98:K98"/>
    <mergeCell ref="L98:M98"/>
    <mergeCell ref="N98:O98"/>
    <mergeCell ref="P98:Q98"/>
    <mergeCell ref="B95:G95"/>
    <mergeCell ref="I95:K95"/>
    <mergeCell ref="L95:M95"/>
    <mergeCell ref="N95:O95"/>
    <mergeCell ref="P95:Q95"/>
    <mergeCell ref="B96:G96"/>
    <mergeCell ref="I96:K96"/>
    <mergeCell ref="L96:M96"/>
    <mergeCell ref="N96:O96"/>
    <mergeCell ref="P96:Q96"/>
    <mergeCell ref="B93:G93"/>
    <mergeCell ref="I93:K93"/>
    <mergeCell ref="N93:O93"/>
    <mergeCell ref="P93:Q93"/>
    <mergeCell ref="B94:G94"/>
    <mergeCell ref="I94:K94"/>
    <mergeCell ref="L94:M94"/>
    <mergeCell ref="N94:O94"/>
    <mergeCell ref="P94:Q94"/>
    <mergeCell ref="B91:G91"/>
    <mergeCell ref="I91:K91"/>
    <mergeCell ref="L91:M91"/>
    <mergeCell ref="N91:O91"/>
    <mergeCell ref="P91:Q91"/>
    <mergeCell ref="B92:G92"/>
    <mergeCell ref="I92:K92"/>
    <mergeCell ref="N92:O92"/>
    <mergeCell ref="P92:Q92"/>
    <mergeCell ref="B89:G89"/>
    <mergeCell ref="I89:K89"/>
    <mergeCell ref="L89:M89"/>
    <mergeCell ref="N89:O89"/>
    <mergeCell ref="P89:Q89"/>
    <mergeCell ref="L88:M88"/>
    <mergeCell ref="B90:G90"/>
    <mergeCell ref="I90:K90"/>
    <mergeCell ref="L90:M90"/>
    <mergeCell ref="N90:O90"/>
    <mergeCell ref="P90:Q90"/>
    <mergeCell ref="B87:G87"/>
    <mergeCell ref="I87:K87"/>
    <mergeCell ref="L87:M87"/>
    <mergeCell ref="N87:O87"/>
    <mergeCell ref="P87:Q87"/>
    <mergeCell ref="B88:G88"/>
    <mergeCell ref="I88:K88"/>
    <mergeCell ref="N88:O88"/>
    <mergeCell ref="P88:Q88"/>
    <mergeCell ref="N79:Q79"/>
    <mergeCell ref="B85:G85"/>
    <mergeCell ref="I85:K85"/>
    <mergeCell ref="L85:M85"/>
    <mergeCell ref="N85:O85"/>
    <mergeCell ref="P85:Q85"/>
    <mergeCell ref="B86:G86"/>
    <mergeCell ref="I86:K86"/>
    <mergeCell ref="L86:M86"/>
    <mergeCell ref="N86:O86"/>
    <mergeCell ref="P86:Q86"/>
    <mergeCell ref="B83:G83"/>
    <mergeCell ref="I83:K83"/>
    <mergeCell ref="L83:M83"/>
    <mergeCell ref="N83:O83"/>
    <mergeCell ref="P83:Q83"/>
    <mergeCell ref="B84:G84"/>
    <mergeCell ref="I84:K84"/>
    <mergeCell ref="L84:M84"/>
    <mergeCell ref="N84:O84"/>
    <mergeCell ref="P84:Q84"/>
    <mergeCell ref="P16:Q16"/>
    <mergeCell ref="P22:Q22"/>
    <mergeCell ref="N22:O22"/>
    <mergeCell ref="N13:O13"/>
    <mergeCell ref="P18:Q18"/>
    <mergeCell ref="P14:Q14"/>
    <mergeCell ref="P21:Q21"/>
    <mergeCell ref="N16:O16"/>
    <mergeCell ref="N15:O15"/>
    <mergeCell ref="N21:O21"/>
    <mergeCell ref="P19:Q19"/>
    <mergeCell ref="P20:Q20"/>
    <mergeCell ref="P13:Q13"/>
    <mergeCell ref="B24:G24"/>
    <mergeCell ref="I24:K24"/>
    <mergeCell ref="L24:M24"/>
    <mergeCell ref="N24:O24"/>
    <mergeCell ref="P24:Q24"/>
    <mergeCell ref="I14:K14"/>
    <mergeCell ref="I15:K15"/>
    <mergeCell ref="B17:G17"/>
    <mergeCell ref="B18:G18"/>
    <mergeCell ref="P15:Q15"/>
    <mergeCell ref="B14:G14"/>
    <mergeCell ref="B15:G15"/>
    <mergeCell ref="L14:M14"/>
    <mergeCell ref="N14:O14"/>
    <mergeCell ref="B21:G21"/>
    <mergeCell ref="B20:G20"/>
    <mergeCell ref="I22:K22"/>
    <mergeCell ref="I23:K23"/>
    <mergeCell ref="L23:M23"/>
    <mergeCell ref="B1:Q1"/>
    <mergeCell ref="J6:M6"/>
    <mergeCell ref="N6:Q6"/>
    <mergeCell ref="B9:G9"/>
    <mergeCell ref="B11:G11"/>
    <mergeCell ref="I9:K9"/>
    <mergeCell ref="P9:Q9"/>
    <mergeCell ref="P11:Q11"/>
    <mergeCell ref="L11:M11"/>
    <mergeCell ref="N11:O11"/>
    <mergeCell ref="A4:B4"/>
    <mergeCell ref="A5:B5"/>
    <mergeCell ref="A6:B6"/>
    <mergeCell ref="B10:G10"/>
    <mergeCell ref="N10:O10"/>
    <mergeCell ref="P10:Q10"/>
    <mergeCell ref="A3:B3"/>
    <mergeCell ref="L8:M8"/>
    <mergeCell ref="N8:O8"/>
    <mergeCell ref="P8:Q8"/>
    <mergeCell ref="I10:K10"/>
    <mergeCell ref="L10:M10"/>
    <mergeCell ref="I11:K11"/>
    <mergeCell ref="C5:I5"/>
    <mergeCell ref="A7:Q7"/>
    <mergeCell ref="B8:G8"/>
    <mergeCell ref="I8:K8"/>
    <mergeCell ref="C2:D2"/>
    <mergeCell ref="F2:G2"/>
    <mergeCell ref="J2:L2"/>
    <mergeCell ref="M2:O2"/>
    <mergeCell ref="P2:Q2"/>
    <mergeCell ref="N23:O23"/>
    <mergeCell ref="P23:Q23"/>
    <mergeCell ref="P17:Q17"/>
    <mergeCell ref="N17:O17"/>
    <mergeCell ref="N18:O18"/>
    <mergeCell ref="A66:Q66"/>
    <mergeCell ref="A51:Q51"/>
    <mergeCell ref="A52:Q52"/>
    <mergeCell ref="A53:Q53"/>
    <mergeCell ref="A54:Q54"/>
    <mergeCell ref="A55:Q55"/>
    <mergeCell ref="A56:Q56"/>
    <mergeCell ref="A57:Q57"/>
    <mergeCell ref="A58:Q58"/>
    <mergeCell ref="A46:B46"/>
    <mergeCell ref="C46:E46"/>
    <mergeCell ref="F46:H46"/>
    <mergeCell ref="I46:K46"/>
    <mergeCell ref="L46:N46"/>
    <mergeCell ref="O46:Q46"/>
    <mergeCell ref="O39:Q39"/>
    <mergeCell ref="B23:G23"/>
    <mergeCell ref="A40:G40"/>
    <mergeCell ref="A49:B49"/>
    <mergeCell ref="C49:E49"/>
    <mergeCell ref="L50:N50"/>
    <mergeCell ref="O50:Q50"/>
    <mergeCell ref="A60:Q60"/>
    <mergeCell ref="A61:Q61"/>
    <mergeCell ref="A62:Q62"/>
    <mergeCell ref="N31:O31"/>
    <mergeCell ref="N32:O32"/>
    <mergeCell ref="I12:K12"/>
    <mergeCell ref="M42:N42"/>
    <mergeCell ref="A43:G43"/>
    <mergeCell ref="H43:J43"/>
    <mergeCell ref="K43:L43"/>
    <mergeCell ref="P12:Q12"/>
    <mergeCell ref="N12:O12"/>
    <mergeCell ref="I13:K13"/>
    <mergeCell ref="B25:G25"/>
    <mergeCell ref="I25:K25"/>
    <mergeCell ref="L25:M25"/>
    <mergeCell ref="N25:O25"/>
    <mergeCell ref="P25:Q25"/>
    <mergeCell ref="L16:M16"/>
    <mergeCell ref="B19:G19"/>
    <mergeCell ref="F50:H50"/>
    <mergeCell ref="C3:I3"/>
    <mergeCell ref="J3:M3"/>
    <mergeCell ref="N3:Q3"/>
    <mergeCell ref="E4:F4"/>
    <mergeCell ref="G4:H4"/>
    <mergeCell ref="J4:K4"/>
    <mergeCell ref="N4:O4"/>
    <mergeCell ref="J5:M5"/>
    <mergeCell ref="N5:Q5"/>
    <mergeCell ref="C6:G6"/>
    <mergeCell ref="H6:I6"/>
    <mergeCell ref="B22:G22"/>
    <mergeCell ref="I19:K19"/>
    <mergeCell ref="I20:K20"/>
    <mergeCell ref="N19:O19"/>
    <mergeCell ref="N20:O20"/>
    <mergeCell ref="N9:O9"/>
    <mergeCell ref="L9:M9"/>
    <mergeCell ref="L12:M12"/>
    <mergeCell ref="B12:G12"/>
    <mergeCell ref="B13:G13"/>
    <mergeCell ref="L22:M22"/>
    <mergeCell ref="I16:K16"/>
    <mergeCell ref="I17:K17"/>
    <mergeCell ref="I18:K18"/>
    <mergeCell ref="I21:K21"/>
    <mergeCell ref="L13:M13"/>
    <mergeCell ref="L21:M21"/>
    <mergeCell ref="B16:G16"/>
    <mergeCell ref="L17:M17"/>
    <mergeCell ref="L18:M18"/>
    <mergeCell ref="A63:Q63"/>
    <mergeCell ref="A64:Q64"/>
    <mergeCell ref="B26:G26"/>
    <mergeCell ref="I26:K26"/>
    <mergeCell ref="L26:M26"/>
    <mergeCell ref="N26:O26"/>
    <mergeCell ref="P26:Q26"/>
    <mergeCell ref="M43:N43"/>
    <mergeCell ref="O42:Q42"/>
    <mergeCell ref="A44:Q44"/>
    <mergeCell ref="A45:B45"/>
    <mergeCell ref="C45:E45"/>
    <mergeCell ref="A41:G41"/>
    <mergeCell ref="H41:J41"/>
    <mergeCell ref="M41:N41"/>
    <mergeCell ref="O41:Q41"/>
    <mergeCell ref="K41:L41"/>
    <mergeCell ref="B107:G107"/>
    <mergeCell ref="I107:K107"/>
    <mergeCell ref="L107:M107"/>
    <mergeCell ref="N107:O107"/>
    <mergeCell ref="P107:Q107"/>
    <mergeCell ref="P105:Q105"/>
    <mergeCell ref="A70:Q70"/>
    <mergeCell ref="A71:Q71"/>
    <mergeCell ref="A72:Q72"/>
    <mergeCell ref="A73:Q73"/>
    <mergeCell ref="B74:Q74"/>
    <mergeCell ref="C75:D75"/>
    <mergeCell ref="F75:G75"/>
    <mergeCell ref="J75:L75"/>
    <mergeCell ref="M75:O75"/>
    <mergeCell ref="P75:Q75"/>
    <mergeCell ref="A76:B76"/>
    <mergeCell ref="C76:I76"/>
    <mergeCell ref="A80:Q80"/>
    <mergeCell ref="B81:G81"/>
    <mergeCell ref="I81:K81"/>
    <mergeCell ref="L81:M81"/>
    <mergeCell ref="N81:O81"/>
    <mergeCell ref="P81:Q81"/>
    <mergeCell ref="B82:G82"/>
    <mergeCell ref="I82:K82"/>
    <mergeCell ref="L82:M82"/>
    <mergeCell ref="N82:O82"/>
    <mergeCell ref="P82:Q82"/>
    <mergeCell ref="N77:O77"/>
    <mergeCell ref="A78:B78"/>
    <mergeCell ref="C78:I78"/>
    <mergeCell ref="N33:O33"/>
    <mergeCell ref="P27:Q27"/>
    <mergeCell ref="P28:Q28"/>
    <mergeCell ref="P29:Q29"/>
    <mergeCell ref="P30:Q30"/>
    <mergeCell ref="P31:Q31"/>
    <mergeCell ref="P32:Q32"/>
    <mergeCell ref="P33:Q33"/>
    <mergeCell ref="I50:K50"/>
    <mergeCell ref="L31:M31"/>
    <mergeCell ref="L32:M32"/>
    <mergeCell ref="L33:M33"/>
    <mergeCell ref="N27:O27"/>
    <mergeCell ref="N28:O28"/>
    <mergeCell ref="N29:O29"/>
    <mergeCell ref="N30:O30"/>
    <mergeCell ref="B27:G27"/>
    <mergeCell ref="B28:G28"/>
    <mergeCell ref="F49:H49"/>
    <mergeCell ref="I49:K49"/>
    <mergeCell ref="L49:N49"/>
    <mergeCell ref="O49:Q49"/>
    <mergeCell ref="A50:B50"/>
    <mergeCell ref="C50:E50"/>
    <mergeCell ref="H40:J40"/>
    <mergeCell ref="M40:N40"/>
    <mergeCell ref="O40:Q40"/>
    <mergeCell ref="O45:Q45"/>
    <mergeCell ref="O43:Q43"/>
    <mergeCell ref="A39:G39"/>
    <mergeCell ref="H39:J39"/>
    <mergeCell ref="K39:L39"/>
    <mergeCell ref="O123:Q123"/>
    <mergeCell ref="A120:B120"/>
    <mergeCell ref="C120:E120"/>
    <mergeCell ref="F120:H120"/>
    <mergeCell ref="I120:K120"/>
    <mergeCell ref="L120:N120"/>
    <mergeCell ref="O120:Q120"/>
    <mergeCell ref="A121:B121"/>
    <mergeCell ref="C121:E121"/>
    <mergeCell ref="F121:H121"/>
    <mergeCell ref="I121:K121"/>
    <mergeCell ref="L121:N121"/>
    <mergeCell ref="O121:Q121"/>
    <mergeCell ref="A122:B122"/>
    <mergeCell ref="C122:E122"/>
    <mergeCell ref="F122:H122"/>
    <mergeCell ref="L122:N122"/>
    <mergeCell ref="O122:Q122"/>
    <mergeCell ref="A42:G42"/>
    <mergeCell ref="H42:J42"/>
    <mergeCell ref="K42:L42"/>
    <mergeCell ref="L100:M100"/>
    <mergeCell ref="N100:O100"/>
    <mergeCell ref="P100:Q100"/>
    <mergeCell ref="A47:B47"/>
    <mergeCell ref="A48:B48"/>
    <mergeCell ref="C48:E48"/>
    <mergeCell ref="F48:H48"/>
    <mergeCell ref="A59:Q59"/>
    <mergeCell ref="A65:Q65"/>
    <mergeCell ref="B99:G99"/>
    <mergeCell ref="I99:K99"/>
    <mergeCell ref="L99:M99"/>
    <mergeCell ref="N99:O99"/>
    <mergeCell ref="P99:Q99"/>
    <mergeCell ref="J76:M76"/>
    <mergeCell ref="N76:Q76"/>
    <mergeCell ref="A77:B77"/>
    <mergeCell ref="E77:F77"/>
    <mergeCell ref="G77:H77"/>
    <mergeCell ref="J77:K77"/>
    <mergeCell ref="A68:Q68"/>
    <mergeCell ref="A69:Q69"/>
    <mergeCell ref="A67:Q67"/>
    <mergeCell ref="J78:M78"/>
    <mergeCell ref="N78:Q78"/>
    <mergeCell ref="A79:B79"/>
    <mergeCell ref="C79:G79"/>
    <mergeCell ref="H79:I79"/>
    <mergeCell ref="J79:M79"/>
    <mergeCell ref="B29:G29"/>
    <mergeCell ref="B30:G30"/>
    <mergeCell ref="B31:G31"/>
    <mergeCell ref="B32:G32"/>
    <mergeCell ref="B33:G33"/>
    <mergeCell ref="I27:K27"/>
    <mergeCell ref="I28:K28"/>
    <mergeCell ref="I29:K29"/>
    <mergeCell ref="I30:K30"/>
    <mergeCell ref="I31:K31"/>
    <mergeCell ref="I32:K32"/>
    <mergeCell ref="I33:K33"/>
    <mergeCell ref="L27:M27"/>
    <mergeCell ref="L28:M28"/>
    <mergeCell ref="L29:M29"/>
    <mergeCell ref="L30:M30"/>
    <mergeCell ref="C47:E47"/>
    <mergeCell ref="F47:H47"/>
    <mergeCell ref="F45:H45"/>
    <mergeCell ref="I45:K45"/>
    <mergeCell ref="L45:N45"/>
    <mergeCell ref="K40:L40"/>
    <mergeCell ref="A36:Q36"/>
    <mergeCell ref="A37:Q37"/>
    <mergeCell ref="A38:Q38"/>
    <mergeCell ref="B34:G34"/>
    <mergeCell ref="I34:K34"/>
    <mergeCell ref="L34:M34"/>
    <mergeCell ref="N34:O34"/>
    <mergeCell ref="P34:Q34"/>
    <mergeCell ref="A35:Q35"/>
    <mergeCell ref="M39:N39"/>
    <mergeCell ref="B147:Q147"/>
    <mergeCell ref="C148:D148"/>
    <mergeCell ref="F148:G148"/>
    <mergeCell ref="J148:L148"/>
    <mergeCell ref="M148:O148"/>
    <mergeCell ref="P148:Q148"/>
    <mergeCell ref="A146:Q146"/>
    <mergeCell ref="P104:Q104"/>
    <mergeCell ref="B105:G105"/>
    <mergeCell ref="I105:K105"/>
    <mergeCell ref="L105:M105"/>
    <mergeCell ref="N105:O105"/>
    <mergeCell ref="I47:K47"/>
    <mergeCell ref="I48:K48"/>
    <mergeCell ref="L47:N47"/>
    <mergeCell ref="L48:N48"/>
    <mergeCell ref="O47:Q47"/>
    <mergeCell ref="O48:Q48"/>
    <mergeCell ref="B100:G100"/>
    <mergeCell ref="I100:K100"/>
    <mergeCell ref="I122:K122"/>
    <mergeCell ref="A119:B119"/>
    <mergeCell ref="C119:E119"/>
    <mergeCell ref="F119:H119"/>
    <mergeCell ref="I119:K119"/>
    <mergeCell ref="L119:N119"/>
    <mergeCell ref="O119:Q119"/>
    <mergeCell ref="A123:B123"/>
    <mergeCell ref="C123:E123"/>
    <mergeCell ref="F123:H123"/>
    <mergeCell ref="I123:K123"/>
    <mergeCell ref="L123:N123"/>
    <mergeCell ref="A149:B149"/>
    <mergeCell ref="C149:I149"/>
    <mergeCell ref="J149:M149"/>
    <mergeCell ref="N149:Q149"/>
    <mergeCell ref="A150:B150"/>
    <mergeCell ref="E150:F150"/>
    <mergeCell ref="G150:H150"/>
    <mergeCell ref="J150:K150"/>
    <mergeCell ref="N150:O150"/>
    <mergeCell ref="A151:B151"/>
    <mergeCell ref="C151:I151"/>
    <mergeCell ref="J151:M151"/>
    <mergeCell ref="N151:Q151"/>
    <mergeCell ref="A152:B152"/>
    <mergeCell ref="C152:G152"/>
    <mergeCell ref="H152:I152"/>
    <mergeCell ref="J152:M152"/>
    <mergeCell ref="N152:Q152"/>
    <mergeCell ref="A153:Q153"/>
    <mergeCell ref="B154:G154"/>
    <mergeCell ref="I154:K154"/>
    <mergeCell ref="L154:M154"/>
    <mergeCell ref="N154:O154"/>
    <mergeCell ref="P154:Q154"/>
    <mergeCell ref="B155:G155"/>
    <mergeCell ref="I155:K155"/>
    <mergeCell ref="L155:M155"/>
    <mergeCell ref="N155:O155"/>
    <mergeCell ref="P155:Q155"/>
    <mergeCell ref="B156:G156"/>
    <mergeCell ref="I156:K156"/>
    <mergeCell ref="L156:M156"/>
    <mergeCell ref="N156:O156"/>
    <mergeCell ref="P156:Q156"/>
    <mergeCell ref="B157:G157"/>
    <mergeCell ref="I157:K157"/>
    <mergeCell ref="L157:M157"/>
    <mergeCell ref="N157:O157"/>
    <mergeCell ref="P157:Q157"/>
    <mergeCell ref="B158:G158"/>
    <mergeCell ref="I158:K158"/>
    <mergeCell ref="L158:M158"/>
    <mergeCell ref="N158:O158"/>
    <mergeCell ref="P158:Q158"/>
    <mergeCell ref="B159:G159"/>
    <mergeCell ref="I159:K159"/>
    <mergeCell ref="L159:M159"/>
    <mergeCell ref="N159:O159"/>
    <mergeCell ref="P159:Q159"/>
    <mergeCell ref="B160:G160"/>
    <mergeCell ref="I160:K160"/>
    <mergeCell ref="L160:M160"/>
    <mergeCell ref="N160:O160"/>
    <mergeCell ref="P160:Q160"/>
    <mergeCell ref="B161:G161"/>
    <mergeCell ref="I161:K161"/>
    <mergeCell ref="L161:M161"/>
    <mergeCell ref="N161:O161"/>
    <mergeCell ref="P161:Q161"/>
    <mergeCell ref="B162:G162"/>
    <mergeCell ref="I162:K162"/>
    <mergeCell ref="L162:M162"/>
    <mergeCell ref="N162:O162"/>
    <mergeCell ref="P162:Q162"/>
    <mergeCell ref="B163:G163"/>
    <mergeCell ref="I163:K163"/>
    <mergeCell ref="L163:M163"/>
    <mergeCell ref="N163:O163"/>
    <mergeCell ref="P163:Q163"/>
    <mergeCell ref="B164:G164"/>
    <mergeCell ref="I164:K164"/>
    <mergeCell ref="L164:M164"/>
    <mergeCell ref="N164:O164"/>
    <mergeCell ref="P164:Q164"/>
    <mergeCell ref="B165:G165"/>
    <mergeCell ref="I165:K165"/>
    <mergeCell ref="N165:O165"/>
    <mergeCell ref="P165:Q165"/>
    <mergeCell ref="B166:G166"/>
    <mergeCell ref="I166:K166"/>
    <mergeCell ref="N166:O166"/>
    <mergeCell ref="P166:Q166"/>
    <mergeCell ref="B167:G167"/>
    <mergeCell ref="I167:K167"/>
    <mergeCell ref="L167:M167"/>
    <mergeCell ref="N167:O167"/>
    <mergeCell ref="P167:Q167"/>
    <mergeCell ref="B168:G168"/>
    <mergeCell ref="I168:K168"/>
    <mergeCell ref="L168:M168"/>
    <mergeCell ref="N168:O168"/>
    <mergeCell ref="P168:Q168"/>
    <mergeCell ref="B169:G169"/>
    <mergeCell ref="I169:K169"/>
    <mergeCell ref="L169:M169"/>
    <mergeCell ref="N169:O169"/>
    <mergeCell ref="P169:Q169"/>
    <mergeCell ref="B170:G170"/>
    <mergeCell ref="I170:K170"/>
    <mergeCell ref="L170:M170"/>
    <mergeCell ref="N170:O170"/>
    <mergeCell ref="P170:Q170"/>
    <mergeCell ref="B171:G171"/>
    <mergeCell ref="I171:K171"/>
    <mergeCell ref="L171:M171"/>
    <mergeCell ref="N171:O171"/>
    <mergeCell ref="P171:Q171"/>
    <mergeCell ref="B172:G172"/>
    <mergeCell ref="I172:K172"/>
    <mergeCell ref="L172:M172"/>
    <mergeCell ref="N172:O172"/>
    <mergeCell ref="P172:Q172"/>
    <mergeCell ref="B173:G173"/>
    <mergeCell ref="I173:K173"/>
    <mergeCell ref="L173:M173"/>
    <mergeCell ref="N173:O173"/>
    <mergeCell ref="P173:Q173"/>
    <mergeCell ref="B174:G174"/>
    <mergeCell ref="I174:K174"/>
    <mergeCell ref="L174:M174"/>
    <mergeCell ref="N174:O174"/>
    <mergeCell ref="P174:Q174"/>
    <mergeCell ref="B175:G175"/>
    <mergeCell ref="I175:K175"/>
    <mergeCell ref="L175:M175"/>
    <mergeCell ref="N175:O175"/>
    <mergeCell ref="P175:Q175"/>
    <mergeCell ref="B176:G176"/>
    <mergeCell ref="I176:K176"/>
    <mergeCell ref="L176:M176"/>
    <mergeCell ref="N176:O176"/>
    <mergeCell ref="P176:Q176"/>
    <mergeCell ref="B177:G177"/>
    <mergeCell ref="I177:K177"/>
    <mergeCell ref="L177:M177"/>
    <mergeCell ref="N177:O177"/>
    <mergeCell ref="P177:Q177"/>
    <mergeCell ref="B178:G178"/>
    <mergeCell ref="I178:K178"/>
    <mergeCell ref="L178:M178"/>
    <mergeCell ref="N178:O178"/>
    <mergeCell ref="P178:Q178"/>
    <mergeCell ref="B179:G179"/>
    <mergeCell ref="I179:K179"/>
    <mergeCell ref="L179:M179"/>
    <mergeCell ref="N179:O179"/>
    <mergeCell ref="P179:Q179"/>
    <mergeCell ref="B180:G180"/>
    <mergeCell ref="I180:K180"/>
    <mergeCell ref="L180:M180"/>
    <mergeCell ref="N180:O180"/>
    <mergeCell ref="P180:Q180"/>
    <mergeCell ref="A181:Q181"/>
    <mergeCell ref="A182:Q182"/>
    <mergeCell ref="A183:Q183"/>
    <mergeCell ref="A184:Q184"/>
    <mergeCell ref="A185:G185"/>
    <mergeCell ref="H185:J185"/>
    <mergeCell ref="K185:L185"/>
    <mergeCell ref="M185:N185"/>
    <mergeCell ref="O185:Q185"/>
    <mergeCell ref="A186:G186"/>
    <mergeCell ref="H186:J186"/>
    <mergeCell ref="K186:L186"/>
    <mergeCell ref="M186:N186"/>
    <mergeCell ref="O186:Q186"/>
    <mergeCell ref="A187:G187"/>
    <mergeCell ref="H187:J187"/>
    <mergeCell ref="K187:L187"/>
    <mergeCell ref="M187:N187"/>
    <mergeCell ref="O187:Q187"/>
    <mergeCell ref="A188:G188"/>
    <mergeCell ref="H188:J188"/>
    <mergeCell ref="K188:L188"/>
    <mergeCell ref="M188:N188"/>
    <mergeCell ref="O188:Q188"/>
    <mergeCell ref="A189:G189"/>
    <mergeCell ref="H189:J189"/>
    <mergeCell ref="K189:L189"/>
    <mergeCell ref="M189:N189"/>
    <mergeCell ref="O189:Q189"/>
    <mergeCell ref="A190:Q190"/>
    <mergeCell ref="A191:B191"/>
    <mergeCell ref="C191:E191"/>
    <mergeCell ref="F191:H191"/>
    <mergeCell ref="I191:K191"/>
    <mergeCell ref="L191:N191"/>
    <mergeCell ref="O191:Q191"/>
    <mergeCell ref="A192:B192"/>
    <mergeCell ref="C192:E192"/>
    <mergeCell ref="F192:H192"/>
    <mergeCell ref="I192:K192"/>
    <mergeCell ref="L192:N192"/>
    <mergeCell ref="O192:Q192"/>
    <mergeCell ref="A193:B193"/>
    <mergeCell ref="C193:E193"/>
    <mergeCell ref="F193:H193"/>
    <mergeCell ref="I193:K193"/>
    <mergeCell ref="L193:N193"/>
    <mergeCell ref="O193:Q193"/>
    <mergeCell ref="A194:B194"/>
    <mergeCell ref="C194:E194"/>
    <mergeCell ref="F194:H194"/>
    <mergeCell ref="I194:K194"/>
    <mergeCell ref="L194:N194"/>
    <mergeCell ref="O194:Q194"/>
    <mergeCell ref="A195:B195"/>
    <mergeCell ref="C195:E195"/>
    <mergeCell ref="F195:H195"/>
    <mergeCell ref="I195:K195"/>
    <mergeCell ref="L195:N195"/>
    <mergeCell ref="O195:Q195"/>
    <mergeCell ref="A196:B196"/>
    <mergeCell ref="C196:E196"/>
    <mergeCell ref="F196:H196"/>
    <mergeCell ref="I196:K196"/>
    <mergeCell ref="L196:N196"/>
    <mergeCell ref="O196:Q196"/>
    <mergeCell ref="A197:Q197"/>
    <mergeCell ref="A198:Q198"/>
    <mergeCell ref="A199:Q199"/>
    <mergeCell ref="A200:Q200"/>
    <mergeCell ref="A201:Q201"/>
    <mergeCell ref="A202:Q202"/>
    <mergeCell ref="A203:Q203"/>
    <mergeCell ref="A204:Q204"/>
    <mergeCell ref="A205:Q205"/>
    <mergeCell ref="A206:Q206"/>
    <mergeCell ref="A207:Q207"/>
    <mergeCell ref="A208:Q208"/>
    <mergeCell ref="A209:Q209"/>
    <mergeCell ref="A210:Q210"/>
    <mergeCell ref="A211:Q211"/>
    <mergeCell ref="A212:Q212"/>
    <mergeCell ref="A213:Q213"/>
    <mergeCell ref="A214:Q214"/>
    <mergeCell ref="A215:Q215"/>
    <mergeCell ref="A216:Q216"/>
    <mergeCell ref="A217:Q217"/>
    <mergeCell ref="A218:Q218"/>
    <mergeCell ref="A219:Q219"/>
    <mergeCell ref="B220:Q220"/>
    <mergeCell ref="C221:D221"/>
    <mergeCell ref="F221:G221"/>
    <mergeCell ref="J221:L221"/>
    <mergeCell ref="M221:O221"/>
    <mergeCell ref="P221:Q221"/>
    <mergeCell ref="A222:B222"/>
    <mergeCell ref="C222:I222"/>
    <mergeCell ref="J222:M222"/>
    <mergeCell ref="N222:Q222"/>
    <mergeCell ref="A223:B223"/>
    <mergeCell ref="E223:F223"/>
    <mergeCell ref="G223:H223"/>
    <mergeCell ref="J223:K223"/>
    <mergeCell ref="N223:O223"/>
    <mergeCell ref="A224:B224"/>
    <mergeCell ref="C224:I224"/>
    <mergeCell ref="J224:M224"/>
    <mergeCell ref="N224:Q224"/>
    <mergeCell ref="A225:B225"/>
    <mergeCell ref="C225:G225"/>
    <mergeCell ref="H225:I225"/>
    <mergeCell ref="J225:M225"/>
    <mergeCell ref="N225:Q225"/>
    <mergeCell ref="A226:Q226"/>
    <mergeCell ref="B227:G227"/>
    <mergeCell ref="I227:K227"/>
    <mergeCell ref="L227:M227"/>
    <mergeCell ref="N227:O227"/>
    <mergeCell ref="P227:Q227"/>
    <mergeCell ref="B228:G228"/>
    <mergeCell ref="I228:K228"/>
    <mergeCell ref="L228:M228"/>
    <mergeCell ref="N228:O228"/>
    <mergeCell ref="P228:Q228"/>
    <mergeCell ref="B229:G229"/>
    <mergeCell ref="I229:K229"/>
    <mergeCell ref="L229:M229"/>
    <mergeCell ref="N229:O229"/>
    <mergeCell ref="P229:Q229"/>
    <mergeCell ref="B230:G230"/>
    <mergeCell ref="I230:K230"/>
    <mergeCell ref="L230:M230"/>
    <mergeCell ref="N230:O230"/>
    <mergeCell ref="P230:Q230"/>
    <mergeCell ref="B231:G231"/>
    <mergeCell ref="I231:K231"/>
    <mergeCell ref="L231:M231"/>
    <mergeCell ref="N231:O231"/>
    <mergeCell ref="P231:Q231"/>
    <mergeCell ref="B232:G232"/>
    <mergeCell ref="I232:K232"/>
    <mergeCell ref="L232:M232"/>
    <mergeCell ref="N232:O232"/>
    <mergeCell ref="P232:Q232"/>
    <mergeCell ref="B233:G233"/>
    <mergeCell ref="I233:K233"/>
    <mergeCell ref="L233:M233"/>
    <mergeCell ref="N233:O233"/>
    <mergeCell ref="P233:Q233"/>
    <mergeCell ref="B234:G234"/>
    <mergeCell ref="I234:K234"/>
    <mergeCell ref="L234:M234"/>
    <mergeCell ref="N234:O234"/>
    <mergeCell ref="P234:Q234"/>
    <mergeCell ref="B235:G235"/>
    <mergeCell ref="I235:K235"/>
    <mergeCell ref="L235:M235"/>
    <mergeCell ref="N235:O235"/>
    <mergeCell ref="P235:Q235"/>
    <mergeCell ref="B236:G236"/>
    <mergeCell ref="I236:K236"/>
    <mergeCell ref="L236:M236"/>
    <mergeCell ref="N236:O236"/>
    <mergeCell ref="P236:Q236"/>
    <mergeCell ref="B237:G237"/>
    <mergeCell ref="I237:K237"/>
    <mergeCell ref="L237:M237"/>
    <mergeCell ref="N237:O237"/>
    <mergeCell ref="P237:Q237"/>
    <mergeCell ref="B238:G238"/>
    <mergeCell ref="I238:K238"/>
    <mergeCell ref="N238:O238"/>
    <mergeCell ref="P238:Q238"/>
    <mergeCell ref="B239:G239"/>
    <mergeCell ref="I239:K239"/>
    <mergeCell ref="N239:O239"/>
    <mergeCell ref="P239:Q239"/>
    <mergeCell ref="B240:G240"/>
    <mergeCell ref="I240:K240"/>
    <mergeCell ref="L240:M240"/>
    <mergeCell ref="N240:O240"/>
    <mergeCell ref="P240:Q240"/>
    <mergeCell ref="B241:G241"/>
    <mergeCell ref="I241:K241"/>
    <mergeCell ref="L241:M241"/>
    <mergeCell ref="N241:O241"/>
    <mergeCell ref="P241:Q241"/>
    <mergeCell ref="B242:G242"/>
    <mergeCell ref="I242:K242"/>
    <mergeCell ref="L242:M242"/>
    <mergeCell ref="N242:O242"/>
    <mergeCell ref="P242:Q242"/>
    <mergeCell ref="B243:G243"/>
    <mergeCell ref="I243:K243"/>
    <mergeCell ref="L243:M243"/>
    <mergeCell ref="N243:O243"/>
    <mergeCell ref="P243:Q243"/>
    <mergeCell ref="B244:G244"/>
    <mergeCell ref="I244:K244"/>
    <mergeCell ref="L244:M244"/>
    <mergeCell ref="N244:O244"/>
    <mergeCell ref="P244:Q244"/>
    <mergeCell ref="B245:G245"/>
    <mergeCell ref="I245:K245"/>
    <mergeCell ref="L245:M245"/>
    <mergeCell ref="N245:O245"/>
    <mergeCell ref="P245:Q245"/>
    <mergeCell ref="B246:G246"/>
    <mergeCell ref="I246:K246"/>
    <mergeCell ref="L246:M246"/>
    <mergeCell ref="N246:O246"/>
    <mergeCell ref="P246:Q246"/>
    <mergeCell ref="B247:G247"/>
    <mergeCell ref="I247:K247"/>
    <mergeCell ref="L247:M247"/>
    <mergeCell ref="N247:O247"/>
    <mergeCell ref="P247:Q247"/>
    <mergeCell ref="B248:G248"/>
    <mergeCell ref="I248:K248"/>
    <mergeCell ref="L248:M248"/>
    <mergeCell ref="N248:O248"/>
    <mergeCell ref="P248:Q248"/>
    <mergeCell ref="B249:G249"/>
    <mergeCell ref="I249:K249"/>
    <mergeCell ref="L249:M249"/>
    <mergeCell ref="N249:O249"/>
    <mergeCell ref="P249:Q249"/>
    <mergeCell ref="B250:G250"/>
    <mergeCell ref="I250:K250"/>
    <mergeCell ref="L250:M250"/>
    <mergeCell ref="N250:O250"/>
    <mergeCell ref="P250:Q250"/>
    <mergeCell ref="B251:G251"/>
    <mergeCell ref="I251:K251"/>
    <mergeCell ref="L251:M251"/>
    <mergeCell ref="N251:O251"/>
    <mergeCell ref="P251:Q251"/>
    <mergeCell ref="B252:G252"/>
    <mergeCell ref="I252:K252"/>
    <mergeCell ref="L252:M252"/>
    <mergeCell ref="N252:O252"/>
    <mergeCell ref="P252:Q252"/>
    <mergeCell ref="B253:G253"/>
    <mergeCell ref="I253:K253"/>
    <mergeCell ref="L253:M253"/>
    <mergeCell ref="N253:O253"/>
    <mergeCell ref="P253:Q253"/>
    <mergeCell ref="A254:Q254"/>
    <mergeCell ref="A255:Q255"/>
    <mergeCell ref="A256:Q256"/>
    <mergeCell ref="A257:Q257"/>
    <mergeCell ref="A258:G258"/>
    <mergeCell ref="H258:J258"/>
    <mergeCell ref="K258:L258"/>
    <mergeCell ref="M258:N258"/>
    <mergeCell ref="O258:Q258"/>
    <mergeCell ref="A259:G259"/>
    <mergeCell ref="H259:J259"/>
    <mergeCell ref="K259:L259"/>
    <mergeCell ref="M259:N259"/>
    <mergeCell ref="O259:Q259"/>
    <mergeCell ref="A260:G260"/>
    <mergeCell ref="H260:J260"/>
    <mergeCell ref="K260:L260"/>
    <mergeCell ref="M260:N260"/>
    <mergeCell ref="O260:Q260"/>
    <mergeCell ref="A261:G261"/>
    <mergeCell ref="H261:J261"/>
    <mergeCell ref="K261:L261"/>
    <mergeCell ref="M261:N261"/>
    <mergeCell ref="O261:Q261"/>
    <mergeCell ref="A262:G262"/>
    <mergeCell ref="H262:J262"/>
    <mergeCell ref="K262:L262"/>
    <mergeCell ref="M262:N262"/>
    <mergeCell ref="O262:Q262"/>
    <mergeCell ref="A263:Q263"/>
    <mergeCell ref="A264:B264"/>
    <mergeCell ref="C264:E264"/>
    <mergeCell ref="F264:H264"/>
    <mergeCell ref="I264:K264"/>
    <mergeCell ref="L264:N264"/>
    <mergeCell ref="O264:Q264"/>
    <mergeCell ref="A265:B265"/>
    <mergeCell ref="C265:E265"/>
    <mergeCell ref="F265:H265"/>
    <mergeCell ref="I265:K265"/>
    <mergeCell ref="L265:N265"/>
    <mergeCell ref="O265:Q265"/>
    <mergeCell ref="A266:B266"/>
    <mergeCell ref="C266:E266"/>
    <mergeCell ref="F266:H266"/>
    <mergeCell ref="I266:K266"/>
    <mergeCell ref="L266:N266"/>
    <mergeCell ref="O266:Q266"/>
    <mergeCell ref="A267:B267"/>
    <mergeCell ref="C267:E267"/>
    <mergeCell ref="F267:H267"/>
    <mergeCell ref="I267:K267"/>
    <mergeCell ref="L267:N267"/>
    <mergeCell ref="O267:Q267"/>
    <mergeCell ref="A268:B268"/>
    <mergeCell ref="C268:E268"/>
    <mergeCell ref="F268:H268"/>
    <mergeCell ref="I268:K268"/>
    <mergeCell ref="L268:N268"/>
    <mergeCell ref="O268:Q268"/>
    <mergeCell ref="A269:B269"/>
    <mergeCell ref="C269:E269"/>
    <mergeCell ref="F269:H269"/>
    <mergeCell ref="I269:K269"/>
    <mergeCell ref="L269:N269"/>
    <mergeCell ref="O269:Q269"/>
    <mergeCell ref="A270:Q270"/>
    <mergeCell ref="A271:Q271"/>
    <mergeCell ref="A272:Q272"/>
    <mergeCell ref="A273:Q273"/>
    <mergeCell ref="A274:Q274"/>
    <mergeCell ref="A275:Q275"/>
    <mergeCell ref="A276:Q276"/>
    <mergeCell ref="A277:Q277"/>
    <mergeCell ref="A278:Q278"/>
    <mergeCell ref="A279:Q279"/>
    <mergeCell ref="A280:Q280"/>
    <mergeCell ref="A281:Q281"/>
    <mergeCell ref="A291:Q291"/>
    <mergeCell ref="A292:Q292"/>
    <mergeCell ref="A282:Q282"/>
    <mergeCell ref="A283:Q283"/>
    <mergeCell ref="A284:Q284"/>
    <mergeCell ref="A285:Q285"/>
    <mergeCell ref="A286:Q286"/>
    <mergeCell ref="A287:Q287"/>
    <mergeCell ref="A288:Q288"/>
    <mergeCell ref="A289:Q289"/>
    <mergeCell ref="A290:Q290"/>
    <mergeCell ref="B366:Q366"/>
    <mergeCell ref="C367:D367"/>
    <mergeCell ref="F367:G367"/>
    <mergeCell ref="J367:L367"/>
    <mergeCell ref="M367:O367"/>
    <mergeCell ref="P367:Q367"/>
    <mergeCell ref="A368:B368"/>
    <mergeCell ref="C368:I368"/>
    <mergeCell ref="J368:M368"/>
    <mergeCell ref="N368:Q368"/>
    <mergeCell ref="A369:B369"/>
    <mergeCell ref="E369:F369"/>
    <mergeCell ref="G369:H369"/>
    <mergeCell ref="J369:K369"/>
    <mergeCell ref="N369:O369"/>
    <mergeCell ref="A370:B370"/>
    <mergeCell ref="C370:I370"/>
    <mergeCell ref="J370:M370"/>
    <mergeCell ref="N370:Q370"/>
    <mergeCell ref="A371:B371"/>
    <mergeCell ref="C371:G371"/>
    <mergeCell ref="H371:I371"/>
    <mergeCell ref="J371:M371"/>
    <mergeCell ref="N371:Q371"/>
    <mergeCell ref="A372:Q372"/>
    <mergeCell ref="B373:G373"/>
    <mergeCell ref="I373:K373"/>
    <mergeCell ref="L373:M373"/>
    <mergeCell ref="N373:O373"/>
    <mergeCell ref="P373:Q373"/>
    <mergeCell ref="B374:G374"/>
    <mergeCell ref="I374:K374"/>
    <mergeCell ref="L374:M374"/>
    <mergeCell ref="N374:O374"/>
    <mergeCell ref="P374:Q374"/>
    <mergeCell ref="B375:G375"/>
    <mergeCell ref="I375:K375"/>
    <mergeCell ref="L375:M375"/>
    <mergeCell ref="N375:O375"/>
    <mergeCell ref="P375:Q375"/>
    <mergeCell ref="B376:G376"/>
    <mergeCell ref="I376:K376"/>
    <mergeCell ref="L376:M376"/>
    <mergeCell ref="N376:O376"/>
    <mergeCell ref="P376:Q376"/>
    <mergeCell ref="B377:G377"/>
    <mergeCell ref="I377:K377"/>
    <mergeCell ref="L377:M377"/>
    <mergeCell ref="N377:O377"/>
    <mergeCell ref="P377:Q377"/>
    <mergeCell ref="B378:G378"/>
    <mergeCell ref="I378:K378"/>
    <mergeCell ref="L378:M378"/>
    <mergeCell ref="N378:O378"/>
    <mergeCell ref="P378:Q378"/>
    <mergeCell ref="B379:G379"/>
    <mergeCell ref="I379:K379"/>
    <mergeCell ref="L379:M379"/>
    <mergeCell ref="N379:O379"/>
    <mergeCell ref="P379:Q379"/>
    <mergeCell ref="B380:G380"/>
    <mergeCell ref="I380:K380"/>
    <mergeCell ref="L380:M380"/>
    <mergeCell ref="N380:O380"/>
    <mergeCell ref="P380:Q380"/>
    <mergeCell ref="B381:G381"/>
    <mergeCell ref="I381:K381"/>
    <mergeCell ref="L381:M381"/>
    <mergeCell ref="N381:O381"/>
    <mergeCell ref="P381:Q381"/>
    <mergeCell ref="B382:G382"/>
    <mergeCell ref="I382:K382"/>
    <mergeCell ref="L382:M382"/>
    <mergeCell ref="N382:O382"/>
    <mergeCell ref="P382:Q382"/>
    <mergeCell ref="B383:G383"/>
    <mergeCell ref="I383:K383"/>
    <mergeCell ref="L383:M383"/>
    <mergeCell ref="N383:O383"/>
    <mergeCell ref="P383:Q383"/>
    <mergeCell ref="B384:G384"/>
    <mergeCell ref="I384:K384"/>
    <mergeCell ref="N384:O384"/>
    <mergeCell ref="P384:Q384"/>
    <mergeCell ref="B385:G385"/>
    <mergeCell ref="I385:K385"/>
    <mergeCell ref="N385:O385"/>
    <mergeCell ref="P385:Q385"/>
    <mergeCell ref="B386:G386"/>
    <mergeCell ref="I386:K386"/>
    <mergeCell ref="L386:M386"/>
    <mergeCell ref="N386:O386"/>
    <mergeCell ref="P386:Q386"/>
    <mergeCell ref="B387:G387"/>
    <mergeCell ref="I387:K387"/>
    <mergeCell ref="L387:M387"/>
    <mergeCell ref="N387:O387"/>
    <mergeCell ref="P387:Q387"/>
    <mergeCell ref="B388:G388"/>
    <mergeCell ref="I388:K388"/>
    <mergeCell ref="L388:M388"/>
    <mergeCell ref="N388:O388"/>
    <mergeCell ref="P388:Q388"/>
    <mergeCell ref="B389:G389"/>
    <mergeCell ref="I389:K389"/>
    <mergeCell ref="L389:M389"/>
    <mergeCell ref="N389:O389"/>
    <mergeCell ref="P389:Q389"/>
    <mergeCell ref="B390:G390"/>
    <mergeCell ref="I390:K390"/>
    <mergeCell ref="L390:M390"/>
    <mergeCell ref="N390:O390"/>
    <mergeCell ref="P390:Q390"/>
    <mergeCell ref="B391:G391"/>
    <mergeCell ref="I391:K391"/>
    <mergeCell ref="L391:M391"/>
    <mergeCell ref="N391:O391"/>
    <mergeCell ref="P391:Q391"/>
    <mergeCell ref="B392:G392"/>
    <mergeCell ref="I392:K392"/>
    <mergeCell ref="L392:M392"/>
    <mergeCell ref="N392:O392"/>
    <mergeCell ref="P392:Q392"/>
    <mergeCell ref="B393:G393"/>
    <mergeCell ref="I393:K393"/>
    <mergeCell ref="L393:M393"/>
    <mergeCell ref="N393:O393"/>
    <mergeCell ref="P393:Q393"/>
    <mergeCell ref="B394:G394"/>
    <mergeCell ref="I394:K394"/>
    <mergeCell ref="L394:M394"/>
    <mergeCell ref="N394:O394"/>
    <mergeCell ref="P394:Q394"/>
    <mergeCell ref="B395:G395"/>
    <mergeCell ref="I395:K395"/>
    <mergeCell ref="L395:M395"/>
    <mergeCell ref="N395:O395"/>
    <mergeCell ref="P395:Q395"/>
    <mergeCell ref="B396:G396"/>
    <mergeCell ref="I396:K396"/>
    <mergeCell ref="L396:M396"/>
    <mergeCell ref="N396:O396"/>
    <mergeCell ref="P396:Q396"/>
    <mergeCell ref="B397:G397"/>
    <mergeCell ref="I397:K397"/>
    <mergeCell ref="L397:M397"/>
    <mergeCell ref="N397:O397"/>
    <mergeCell ref="P397:Q397"/>
    <mergeCell ref="B398:G398"/>
    <mergeCell ref="I398:K398"/>
    <mergeCell ref="L398:M398"/>
    <mergeCell ref="N398:O398"/>
    <mergeCell ref="P398:Q398"/>
    <mergeCell ref="B399:G399"/>
    <mergeCell ref="I399:K399"/>
    <mergeCell ref="L399:M399"/>
    <mergeCell ref="N399:O399"/>
    <mergeCell ref="P399:Q399"/>
    <mergeCell ref="A400:Q400"/>
    <mergeCell ref="A401:Q401"/>
    <mergeCell ref="A402:Q402"/>
    <mergeCell ref="A403:Q403"/>
    <mergeCell ref="A404:G404"/>
    <mergeCell ref="H404:J404"/>
    <mergeCell ref="K404:L404"/>
    <mergeCell ref="M404:N404"/>
    <mergeCell ref="O404:Q404"/>
    <mergeCell ref="A405:G405"/>
    <mergeCell ref="H405:J405"/>
    <mergeCell ref="K405:L405"/>
    <mergeCell ref="M405:N405"/>
    <mergeCell ref="O405:Q405"/>
    <mergeCell ref="A406:G406"/>
    <mergeCell ref="H406:J406"/>
    <mergeCell ref="K406:L406"/>
    <mergeCell ref="M406:N406"/>
    <mergeCell ref="O406:Q406"/>
    <mergeCell ref="A407:G407"/>
    <mergeCell ref="H407:J407"/>
    <mergeCell ref="K407:L407"/>
    <mergeCell ref="M407:N407"/>
    <mergeCell ref="O407:Q407"/>
    <mergeCell ref="A408:G408"/>
    <mergeCell ref="H408:J408"/>
    <mergeCell ref="K408:L408"/>
    <mergeCell ref="M408:N408"/>
    <mergeCell ref="O408:Q408"/>
    <mergeCell ref="A409:Q409"/>
    <mergeCell ref="A410:B410"/>
    <mergeCell ref="C410:E410"/>
    <mergeCell ref="F410:H410"/>
    <mergeCell ref="I410:K410"/>
    <mergeCell ref="L410:N410"/>
    <mergeCell ref="O410:Q410"/>
    <mergeCell ref="A411:B411"/>
    <mergeCell ref="C411:E411"/>
    <mergeCell ref="F411:H411"/>
    <mergeCell ref="I411:K411"/>
    <mergeCell ref="L411:N411"/>
    <mergeCell ref="O411:Q411"/>
    <mergeCell ref="A412:B412"/>
    <mergeCell ref="C412:E412"/>
    <mergeCell ref="F412:H412"/>
    <mergeCell ref="I412:K412"/>
    <mergeCell ref="L412:N412"/>
    <mergeCell ref="O412:Q412"/>
    <mergeCell ref="A413:B413"/>
    <mergeCell ref="C413:E413"/>
    <mergeCell ref="F413:H413"/>
    <mergeCell ref="I413:K413"/>
    <mergeCell ref="L413:N413"/>
    <mergeCell ref="O413:Q413"/>
    <mergeCell ref="A414:B414"/>
    <mergeCell ref="C414:E414"/>
    <mergeCell ref="F414:H414"/>
    <mergeCell ref="I414:K414"/>
    <mergeCell ref="L414:N414"/>
    <mergeCell ref="O414:Q414"/>
    <mergeCell ref="A415:B415"/>
    <mergeCell ref="C415:E415"/>
    <mergeCell ref="F415:H415"/>
    <mergeCell ref="I415:K415"/>
    <mergeCell ref="L415:N415"/>
    <mergeCell ref="O415:Q415"/>
    <mergeCell ref="A416:Q416"/>
    <mergeCell ref="A417:Q417"/>
    <mergeCell ref="A418:Q418"/>
    <mergeCell ref="A419:Q419"/>
    <mergeCell ref="A420:Q420"/>
    <mergeCell ref="A421:Q421"/>
    <mergeCell ref="A422:Q422"/>
    <mergeCell ref="A423:Q423"/>
    <mergeCell ref="A424:Q424"/>
    <mergeCell ref="A425:Q425"/>
    <mergeCell ref="A426:Q426"/>
    <mergeCell ref="A427:Q427"/>
    <mergeCell ref="A428:Q428"/>
    <mergeCell ref="A429:Q429"/>
    <mergeCell ref="A430:Q430"/>
    <mergeCell ref="A431:Q431"/>
    <mergeCell ref="A432:Q432"/>
    <mergeCell ref="A433:Q433"/>
    <mergeCell ref="A434:Q434"/>
    <mergeCell ref="A435:Q435"/>
    <mergeCell ref="A436:Q436"/>
    <mergeCell ref="A437:Q437"/>
    <mergeCell ref="A438:Q438"/>
    <mergeCell ref="B439:Q439"/>
    <mergeCell ref="C440:D440"/>
    <mergeCell ref="F440:G440"/>
    <mergeCell ref="J440:L440"/>
    <mergeCell ref="M440:O440"/>
    <mergeCell ref="P440:Q440"/>
    <mergeCell ref="A441:B441"/>
    <mergeCell ref="C441:I441"/>
    <mergeCell ref="J441:M441"/>
    <mergeCell ref="N441:Q441"/>
    <mergeCell ref="A442:B442"/>
    <mergeCell ref="E442:F442"/>
    <mergeCell ref="G442:H442"/>
    <mergeCell ref="J442:K442"/>
    <mergeCell ref="N442:O442"/>
    <mergeCell ref="A443:B443"/>
    <mergeCell ref="C443:I443"/>
    <mergeCell ref="J443:M443"/>
    <mergeCell ref="N443:Q443"/>
    <mergeCell ref="A444:B444"/>
    <mergeCell ref="C444:G444"/>
    <mergeCell ref="H444:I444"/>
    <mergeCell ref="J444:M444"/>
    <mergeCell ref="N444:Q444"/>
    <mergeCell ref="A445:Q445"/>
    <mergeCell ref="B446:G446"/>
    <mergeCell ref="I446:K446"/>
    <mergeCell ref="L446:M446"/>
    <mergeCell ref="N446:O446"/>
    <mergeCell ref="P446:Q446"/>
    <mergeCell ref="B447:G447"/>
    <mergeCell ref="I447:K447"/>
    <mergeCell ref="L447:M447"/>
    <mergeCell ref="N447:O447"/>
    <mergeCell ref="P447:Q447"/>
    <mergeCell ref="B448:G448"/>
    <mergeCell ref="I448:K448"/>
    <mergeCell ref="L448:M448"/>
    <mergeCell ref="N448:O448"/>
    <mergeCell ref="P448:Q448"/>
    <mergeCell ref="B449:G449"/>
    <mergeCell ref="I449:K449"/>
    <mergeCell ref="L449:M449"/>
    <mergeCell ref="N449:O449"/>
    <mergeCell ref="P449:Q449"/>
    <mergeCell ref="B450:G450"/>
    <mergeCell ref="I450:K450"/>
    <mergeCell ref="L450:M450"/>
    <mergeCell ref="N450:O450"/>
    <mergeCell ref="P450:Q450"/>
    <mergeCell ref="B451:G451"/>
    <mergeCell ref="I451:K451"/>
    <mergeCell ref="L451:M451"/>
    <mergeCell ref="N451:O451"/>
    <mergeCell ref="P451:Q451"/>
    <mergeCell ref="B452:G452"/>
    <mergeCell ref="I452:K452"/>
    <mergeCell ref="L452:M452"/>
    <mergeCell ref="N452:O452"/>
    <mergeCell ref="P452:Q452"/>
    <mergeCell ref="B453:G453"/>
    <mergeCell ref="I453:K453"/>
    <mergeCell ref="L453:M453"/>
    <mergeCell ref="N453:O453"/>
    <mergeCell ref="P453:Q453"/>
    <mergeCell ref="B454:G454"/>
    <mergeCell ref="I454:K454"/>
    <mergeCell ref="L454:M454"/>
    <mergeCell ref="N454:O454"/>
    <mergeCell ref="P454:Q454"/>
    <mergeCell ref="B455:G455"/>
    <mergeCell ref="I455:K455"/>
    <mergeCell ref="L455:M455"/>
    <mergeCell ref="N455:O455"/>
    <mergeCell ref="P455:Q455"/>
    <mergeCell ref="B456:G456"/>
    <mergeCell ref="I456:K456"/>
    <mergeCell ref="L456:M456"/>
    <mergeCell ref="N456:O456"/>
    <mergeCell ref="P456:Q456"/>
    <mergeCell ref="B457:G457"/>
    <mergeCell ref="I457:K457"/>
    <mergeCell ref="N457:O457"/>
    <mergeCell ref="P457:Q457"/>
    <mergeCell ref="B458:G458"/>
    <mergeCell ref="I458:K458"/>
    <mergeCell ref="N458:O458"/>
    <mergeCell ref="P458:Q458"/>
    <mergeCell ref="B459:G459"/>
    <mergeCell ref="I459:K459"/>
    <mergeCell ref="L459:M459"/>
    <mergeCell ref="N459:O459"/>
    <mergeCell ref="P459:Q459"/>
    <mergeCell ref="B460:G460"/>
    <mergeCell ref="I460:K460"/>
    <mergeCell ref="L460:M460"/>
    <mergeCell ref="N460:O460"/>
    <mergeCell ref="P460:Q460"/>
    <mergeCell ref="B461:G461"/>
    <mergeCell ref="I461:K461"/>
    <mergeCell ref="L461:M461"/>
    <mergeCell ref="N461:O461"/>
    <mergeCell ref="P461:Q461"/>
    <mergeCell ref="B462:G462"/>
    <mergeCell ref="I462:K462"/>
    <mergeCell ref="L462:M462"/>
    <mergeCell ref="N462:O462"/>
    <mergeCell ref="P462:Q462"/>
    <mergeCell ref="B463:G463"/>
    <mergeCell ref="I463:K463"/>
    <mergeCell ref="L463:M463"/>
    <mergeCell ref="N463:O463"/>
    <mergeCell ref="P463:Q463"/>
    <mergeCell ref="B464:G464"/>
    <mergeCell ref="I464:K464"/>
    <mergeCell ref="L464:M464"/>
    <mergeCell ref="N464:O464"/>
    <mergeCell ref="P464:Q464"/>
    <mergeCell ref="B465:G465"/>
    <mergeCell ref="I465:K465"/>
    <mergeCell ref="L465:M465"/>
    <mergeCell ref="N465:O465"/>
    <mergeCell ref="P465:Q465"/>
    <mergeCell ref="B466:G466"/>
    <mergeCell ref="I466:K466"/>
    <mergeCell ref="L466:M466"/>
    <mergeCell ref="N466:O466"/>
    <mergeCell ref="P466:Q466"/>
    <mergeCell ref="B467:G467"/>
    <mergeCell ref="I467:K467"/>
    <mergeCell ref="L467:M467"/>
    <mergeCell ref="N467:O467"/>
    <mergeCell ref="P467:Q467"/>
    <mergeCell ref="B468:G468"/>
    <mergeCell ref="I468:K468"/>
    <mergeCell ref="L468:M468"/>
    <mergeCell ref="N468:O468"/>
    <mergeCell ref="P468:Q468"/>
    <mergeCell ref="B469:G469"/>
    <mergeCell ref="I469:K469"/>
    <mergeCell ref="L469:M469"/>
    <mergeCell ref="N469:O469"/>
    <mergeCell ref="P469:Q469"/>
    <mergeCell ref="B470:G470"/>
    <mergeCell ref="I470:K470"/>
    <mergeCell ref="L470:M470"/>
    <mergeCell ref="N470:O470"/>
    <mergeCell ref="P470:Q470"/>
    <mergeCell ref="B471:G471"/>
    <mergeCell ref="I471:K471"/>
    <mergeCell ref="L471:M471"/>
    <mergeCell ref="N471:O471"/>
    <mergeCell ref="P471:Q471"/>
    <mergeCell ref="B472:G472"/>
    <mergeCell ref="I472:K472"/>
    <mergeCell ref="L472:M472"/>
    <mergeCell ref="N472:O472"/>
    <mergeCell ref="P472:Q472"/>
    <mergeCell ref="A473:Q473"/>
    <mergeCell ref="A474:Q474"/>
    <mergeCell ref="A475:Q475"/>
    <mergeCell ref="A476:Q476"/>
    <mergeCell ref="A477:G477"/>
    <mergeCell ref="H477:J477"/>
    <mergeCell ref="K477:L477"/>
    <mergeCell ref="M477:N477"/>
    <mergeCell ref="O477:Q477"/>
    <mergeCell ref="A478:G478"/>
    <mergeCell ref="H478:J478"/>
    <mergeCell ref="K478:L478"/>
    <mergeCell ref="M478:N478"/>
    <mergeCell ref="O478:Q478"/>
    <mergeCell ref="A479:G479"/>
    <mergeCell ref="H479:J479"/>
    <mergeCell ref="K479:L479"/>
    <mergeCell ref="M479:N479"/>
    <mergeCell ref="O479:Q479"/>
    <mergeCell ref="A480:G480"/>
    <mergeCell ref="H480:J480"/>
    <mergeCell ref="K480:L480"/>
    <mergeCell ref="M480:N480"/>
    <mergeCell ref="O480:Q480"/>
    <mergeCell ref="A481:G481"/>
    <mergeCell ref="H481:J481"/>
    <mergeCell ref="K481:L481"/>
    <mergeCell ref="M481:N481"/>
    <mergeCell ref="O481:Q481"/>
    <mergeCell ref="A482:Q482"/>
    <mergeCell ref="A483:B483"/>
    <mergeCell ref="C483:E483"/>
    <mergeCell ref="F483:H483"/>
    <mergeCell ref="I483:K483"/>
    <mergeCell ref="L483:N483"/>
    <mergeCell ref="O483:Q483"/>
    <mergeCell ref="A484:B484"/>
    <mergeCell ref="C484:E484"/>
    <mergeCell ref="F484:H484"/>
    <mergeCell ref="I484:K484"/>
    <mergeCell ref="L484:N484"/>
    <mergeCell ref="O484:Q484"/>
    <mergeCell ref="A485:B485"/>
    <mergeCell ref="C485:E485"/>
    <mergeCell ref="F485:H485"/>
    <mergeCell ref="I485:K485"/>
    <mergeCell ref="L485:N485"/>
    <mergeCell ref="O485:Q485"/>
    <mergeCell ref="A486:B486"/>
    <mergeCell ref="C486:E486"/>
    <mergeCell ref="F486:H486"/>
    <mergeCell ref="I486:K486"/>
    <mergeCell ref="L486:N486"/>
    <mergeCell ref="O486:Q486"/>
    <mergeCell ref="A487:B487"/>
    <mergeCell ref="C487:E487"/>
    <mergeCell ref="F487:H487"/>
    <mergeCell ref="I487:K487"/>
    <mergeCell ref="L487:N487"/>
    <mergeCell ref="O487:Q487"/>
    <mergeCell ref="A488:B488"/>
    <mergeCell ref="C488:E488"/>
    <mergeCell ref="F488:H488"/>
    <mergeCell ref="I488:K488"/>
    <mergeCell ref="L488:N488"/>
    <mergeCell ref="O488:Q488"/>
    <mergeCell ref="A489:Q489"/>
    <mergeCell ref="A490:Q490"/>
    <mergeCell ref="A491:Q491"/>
    <mergeCell ref="A492:Q492"/>
    <mergeCell ref="A493:Q493"/>
    <mergeCell ref="A494:Q494"/>
    <mergeCell ref="A495:Q495"/>
    <mergeCell ref="A496:Q496"/>
    <mergeCell ref="A497:Q497"/>
    <mergeCell ref="A498:Q498"/>
    <mergeCell ref="A499:Q499"/>
    <mergeCell ref="A500:Q500"/>
    <mergeCell ref="A501:Q501"/>
    <mergeCell ref="A502:Q502"/>
    <mergeCell ref="A503:Q503"/>
    <mergeCell ref="A504:Q504"/>
    <mergeCell ref="A505:Q505"/>
    <mergeCell ref="A506:Q506"/>
    <mergeCell ref="A507:Q507"/>
    <mergeCell ref="A508:Q508"/>
    <mergeCell ref="A509:Q509"/>
    <mergeCell ref="A510:Q510"/>
    <mergeCell ref="A511:Q511"/>
    <mergeCell ref="A584:Q584"/>
    <mergeCell ref="A583:Q583"/>
    <mergeCell ref="A582:Q582"/>
    <mergeCell ref="A581:Q581"/>
    <mergeCell ref="A580:Q580"/>
    <mergeCell ref="A579:Q579"/>
    <mergeCell ref="A578:Q578"/>
    <mergeCell ref="A577:Q577"/>
    <mergeCell ref="A576:Q576"/>
    <mergeCell ref="A575:Q575"/>
    <mergeCell ref="A574:Q574"/>
    <mergeCell ref="A573:Q573"/>
    <mergeCell ref="A572:Q572"/>
    <mergeCell ref="A571:Q571"/>
    <mergeCell ref="A570:Q570"/>
    <mergeCell ref="A569:Q569"/>
    <mergeCell ref="A568:Q568"/>
    <mergeCell ref="A567:Q567"/>
    <mergeCell ref="A566:Q566"/>
    <mergeCell ref="A565:Q565"/>
    <mergeCell ref="A564:Q564"/>
    <mergeCell ref="A563:Q563"/>
    <mergeCell ref="A562:Q562"/>
    <mergeCell ref="O561:Q561"/>
    <mergeCell ref="L561:N561"/>
    <mergeCell ref="I561:K561"/>
    <mergeCell ref="F561:H561"/>
    <mergeCell ref="C561:E561"/>
    <mergeCell ref="A561:B561"/>
    <mergeCell ref="O560:Q560"/>
    <mergeCell ref="L560:N560"/>
    <mergeCell ref="I560:K560"/>
    <mergeCell ref="F560:H560"/>
    <mergeCell ref="C560:E560"/>
    <mergeCell ref="A560:B560"/>
    <mergeCell ref="O559:Q559"/>
    <mergeCell ref="L559:N559"/>
    <mergeCell ref="I559:K559"/>
    <mergeCell ref="F559:H559"/>
    <mergeCell ref="C559:E559"/>
    <mergeCell ref="A559:B559"/>
    <mergeCell ref="O558:Q558"/>
    <mergeCell ref="L558:N558"/>
    <mergeCell ref="I558:K558"/>
    <mergeCell ref="F558:H558"/>
    <mergeCell ref="C558:E558"/>
    <mergeCell ref="A558:B558"/>
    <mergeCell ref="O557:Q557"/>
    <mergeCell ref="L557:N557"/>
    <mergeCell ref="I557:K557"/>
    <mergeCell ref="F557:H557"/>
    <mergeCell ref="C557:E557"/>
    <mergeCell ref="A557:B557"/>
    <mergeCell ref="O556:Q556"/>
    <mergeCell ref="L556:N556"/>
    <mergeCell ref="I556:K556"/>
    <mergeCell ref="F556:H556"/>
    <mergeCell ref="C556:E556"/>
    <mergeCell ref="A556:B556"/>
    <mergeCell ref="A555:Q555"/>
    <mergeCell ref="O554:Q554"/>
    <mergeCell ref="M554:N554"/>
    <mergeCell ref="K554:L554"/>
    <mergeCell ref="H554:J554"/>
    <mergeCell ref="A554:G554"/>
    <mergeCell ref="O553:Q553"/>
    <mergeCell ref="M553:N553"/>
    <mergeCell ref="K553:L553"/>
    <mergeCell ref="H553:J553"/>
    <mergeCell ref="A553:G553"/>
    <mergeCell ref="O552:Q552"/>
    <mergeCell ref="M552:N552"/>
    <mergeCell ref="K552:L552"/>
    <mergeCell ref="H552:J552"/>
    <mergeCell ref="A552:G552"/>
    <mergeCell ref="O551:Q551"/>
    <mergeCell ref="M551:N551"/>
    <mergeCell ref="K551:L551"/>
    <mergeCell ref="H551:J551"/>
    <mergeCell ref="A551:G551"/>
    <mergeCell ref="O550:Q550"/>
    <mergeCell ref="M550:N550"/>
    <mergeCell ref="K550:L550"/>
    <mergeCell ref="H550:J550"/>
    <mergeCell ref="A550:G550"/>
    <mergeCell ref="A549:Q549"/>
    <mergeCell ref="A548:Q548"/>
    <mergeCell ref="A547:Q547"/>
    <mergeCell ref="A546:Q546"/>
    <mergeCell ref="P545:Q545"/>
    <mergeCell ref="N545:O545"/>
    <mergeCell ref="L545:M545"/>
    <mergeCell ref="I545:K545"/>
    <mergeCell ref="B545:G545"/>
    <mergeCell ref="P544:Q544"/>
    <mergeCell ref="N544:O544"/>
    <mergeCell ref="L544:M544"/>
    <mergeCell ref="I544:K544"/>
    <mergeCell ref="B544:G544"/>
    <mergeCell ref="P543:Q543"/>
    <mergeCell ref="N543:O543"/>
    <mergeCell ref="L543:M543"/>
    <mergeCell ref="I543:K543"/>
    <mergeCell ref="B543:G543"/>
    <mergeCell ref="P542:Q542"/>
    <mergeCell ref="N542:O542"/>
    <mergeCell ref="L542:M542"/>
    <mergeCell ref="I542:K542"/>
    <mergeCell ref="B542:G542"/>
    <mergeCell ref="P541:Q541"/>
    <mergeCell ref="N541:O541"/>
    <mergeCell ref="L541:M541"/>
    <mergeCell ref="I541:K541"/>
    <mergeCell ref="B541:G541"/>
    <mergeCell ref="P540:Q540"/>
    <mergeCell ref="N540:O540"/>
    <mergeCell ref="L540:M540"/>
    <mergeCell ref="I540:K540"/>
    <mergeCell ref="B540:G540"/>
    <mergeCell ref="P539:Q539"/>
    <mergeCell ref="N539:O539"/>
    <mergeCell ref="L539:M539"/>
    <mergeCell ref="I539:K539"/>
    <mergeCell ref="B539:G539"/>
    <mergeCell ref="P538:Q538"/>
    <mergeCell ref="N538:O538"/>
    <mergeCell ref="L538:M538"/>
    <mergeCell ref="I538:K538"/>
    <mergeCell ref="B538:G538"/>
    <mergeCell ref="P537:Q537"/>
    <mergeCell ref="N537:O537"/>
    <mergeCell ref="L537:M537"/>
    <mergeCell ref="I537:K537"/>
    <mergeCell ref="B537:G537"/>
    <mergeCell ref="P536:Q536"/>
    <mergeCell ref="N536:O536"/>
    <mergeCell ref="L536:M536"/>
    <mergeCell ref="I536:K536"/>
    <mergeCell ref="B536:G536"/>
    <mergeCell ref="P535:Q535"/>
    <mergeCell ref="N535:O535"/>
    <mergeCell ref="L535:M535"/>
    <mergeCell ref="I535:K535"/>
    <mergeCell ref="B535:G535"/>
    <mergeCell ref="P534:Q534"/>
    <mergeCell ref="N534:O534"/>
    <mergeCell ref="L534:M534"/>
    <mergeCell ref="I534:K534"/>
    <mergeCell ref="B534:G534"/>
    <mergeCell ref="P533:Q533"/>
    <mergeCell ref="N533:O533"/>
    <mergeCell ref="L533:M533"/>
    <mergeCell ref="I533:K533"/>
    <mergeCell ref="B533:G533"/>
    <mergeCell ref="P532:Q532"/>
    <mergeCell ref="N532:O532"/>
    <mergeCell ref="L532:M532"/>
    <mergeCell ref="I532:K532"/>
    <mergeCell ref="B532:G532"/>
    <mergeCell ref="P531:Q531"/>
    <mergeCell ref="N531:O531"/>
    <mergeCell ref="I531:K531"/>
    <mergeCell ref="B531:G531"/>
    <mergeCell ref="P530:Q530"/>
    <mergeCell ref="N530:O530"/>
    <mergeCell ref="I530:K530"/>
    <mergeCell ref="B530:G530"/>
    <mergeCell ref="P529:Q529"/>
    <mergeCell ref="N529:O529"/>
    <mergeCell ref="L529:M529"/>
    <mergeCell ref="I529:K529"/>
    <mergeCell ref="B529:G529"/>
    <mergeCell ref="P528:Q528"/>
    <mergeCell ref="N528:O528"/>
    <mergeCell ref="L528:M528"/>
    <mergeCell ref="I528:K528"/>
    <mergeCell ref="B528:G528"/>
    <mergeCell ref="P527:Q527"/>
    <mergeCell ref="N527:O527"/>
    <mergeCell ref="L527:M527"/>
    <mergeCell ref="I527:K527"/>
    <mergeCell ref="B527:G527"/>
    <mergeCell ref="P526:Q526"/>
    <mergeCell ref="N526:O526"/>
    <mergeCell ref="L526:M526"/>
    <mergeCell ref="I526:K526"/>
    <mergeCell ref="B526:G526"/>
    <mergeCell ref="P525:Q525"/>
    <mergeCell ref="N525:O525"/>
    <mergeCell ref="L525:M525"/>
    <mergeCell ref="I525:K525"/>
    <mergeCell ref="B525:G525"/>
    <mergeCell ref="P524:Q524"/>
    <mergeCell ref="N524:O524"/>
    <mergeCell ref="L524:M524"/>
    <mergeCell ref="I524:K524"/>
    <mergeCell ref="B524:G524"/>
    <mergeCell ref="P523:Q523"/>
    <mergeCell ref="N523:O523"/>
    <mergeCell ref="L523:M523"/>
    <mergeCell ref="I523:K523"/>
    <mergeCell ref="B523:G523"/>
    <mergeCell ref="A515:B515"/>
    <mergeCell ref="N514:Q514"/>
    <mergeCell ref="J514:M514"/>
    <mergeCell ref="C514:I514"/>
    <mergeCell ref="A514:B514"/>
    <mergeCell ref="P522:Q522"/>
    <mergeCell ref="N522:O522"/>
    <mergeCell ref="L522:M522"/>
    <mergeCell ref="I522:K522"/>
    <mergeCell ref="B522:G522"/>
    <mergeCell ref="P521:Q521"/>
    <mergeCell ref="N521:O521"/>
    <mergeCell ref="L521:M521"/>
    <mergeCell ref="I521:K521"/>
    <mergeCell ref="B521:G521"/>
    <mergeCell ref="P520:Q520"/>
    <mergeCell ref="N520:O520"/>
    <mergeCell ref="L520:M520"/>
    <mergeCell ref="I520:K520"/>
    <mergeCell ref="B520:G520"/>
    <mergeCell ref="P519:Q519"/>
    <mergeCell ref="N519:O519"/>
    <mergeCell ref="L519:M519"/>
    <mergeCell ref="I519:K519"/>
    <mergeCell ref="B519:G519"/>
    <mergeCell ref="P513:Q513"/>
    <mergeCell ref="M513:O513"/>
    <mergeCell ref="J513:L513"/>
    <mergeCell ref="F513:G513"/>
    <mergeCell ref="C513:D513"/>
    <mergeCell ref="B512:Q512"/>
    <mergeCell ref="L530:M530"/>
    <mergeCell ref="L531:M531"/>
    <mergeCell ref="B585:Q585"/>
    <mergeCell ref="C586:D586"/>
    <mergeCell ref="F586:G586"/>
    <mergeCell ref="J586:L586"/>
    <mergeCell ref="M586:O586"/>
    <mergeCell ref="P586:Q586"/>
    <mergeCell ref="A587:B587"/>
    <mergeCell ref="C587:I587"/>
    <mergeCell ref="J587:M587"/>
    <mergeCell ref="N587:Q587"/>
    <mergeCell ref="A518:Q518"/>
    <mergeCell ref="N517:Q517"/>
    <mergeCell ref="J517:M517"/>
    <mergeCell ref="H517:I517"/>
    <mergeCell ref="C517:G517"/>
    <mergeCell ref="A517:B517"/>
    <mergeCell ref="N516:Q516"/>
    <mergeCell ref="J516:M516"/>
    <mergeCell ref="C516:I516"/>
    <mergeCell ref="A516:B516"/>
    <mergeCell ref="N515:O515"/>
    <mergeCell ref="J515:K515"/>
    <mergeCell ref="G515:H515"/>
    <mergeCell ref="E515:F515"/>
    <mergeCell ref="A588:B588"/>
    <mergeCell ref="E588:F588"/>
    <mergeCell ref="G588:H588"/>
    <mergeCell ref="J588:K588"/>
    <mergeCell ref="N588:O588"/>
    <mergeCell ref="A589:B589"/>
    <mergeCell ref="C589:I589"/>
    <mergeCell ref="J589:M589"/>
    <mergeCell ref="N589:Q589"/>
    <mergeCell ref="A590:B590"/>
    <mergeCell ref="C590:G590"/>
    <mergeCell ref="H590:I590"/>
    <mergeCell ref="J590:M590"/>
    <mergeCell ref="N590:Q590"/>
    <mergeCell ref="A591:Q591"/>
    <mergeCell ref="B592:G592"/>
    <mergeCell ref="I592:K592"/>
    <mergeCell ref="L592:M592"/>
    <mergeCell ref="N592:O592"/>
    <mergeCell ref="P592:Q592"/>
    <mergeCell ref="B593:G593"/>
    <mergeCell ref="I593:K593"/>
    <mergeCell ref="L593:M593"/>
    <mergeCell ref="N593:O593"/>
    <mergeCell ref="P593:Q593"/>
    <mergeCell ref="B594:G594"/>
    <mergeCell ref="I594:K594"/>
    <mergeCell ref="L594:M594"/>
    <mergeCell ref="N594:O594"/>
    <mergeCell ref="P594:Q594"/>
    <mergeCell ref="B595:G595"/>
    <mergeCell ref="I595:K595"/>
    <mergeCell ref="L595:M595"/>
    <mergeCell ref="N595:O595"/>
    <mergeCell ref="P595:Q595"/>
    <mergeCell ref="B596:G596"/>
    <mergeCell ref="I596:K596"/>
    <mergeCell ref="L596:M596"/>
    <mergeCell ref="N596:O596"/>
    <mergeCell ref="P596:Q596"/>
    <mergeCell ref="B597:G597"/>
    <mergeCell ref="I597:K597"/>
    <mergeCell ref="L597:M597"/>
    <mergeCell ref="N597:O597"/>
    <mergeCell ref="P597:Q597"/>
    <mergeCell ref="B598:G598"/>
    <mergeCell ref="I598:K598"/>
    <mergeCell ref="L598:M598"/>
    <mergeCell ref="N598:O598"/>
    <mergeCell ref="P598:Q598"/>
    <mergeCell ref="B599:G599"/>
    <mergeCell ref="I599:K599"/>
    <mergeCell ref="L599:M599"/>
    <mergeCell ref="N599:O599"/>
    <mergeCell ref="P599:Q599"/>
    <mergeCell ref="B600:G600"/>
    <mergeCell ref="I600:K600"/>
    <mergeCell ref="L600:M600"/>
    <mergeCell ref="N600:O600"/>
    <mergeCell ref="P600:Q600"/>
    <mergeCell ref="B601:G601"/>
    <mergeCell ref="I601:K601"/>
    <mergeCell ref="L601:M601"/>
    <mergeCell ref="N601:O601"/>
    <mergeCell ref="P601:Q601"/>
    <mergeCell ref="B602:G602"/>
    <mergeCell ref="I602:K602"/>
    <mergeCell ref="L602:M602"/>
    <mergeCell ref="N602:O602"/>
    <mergeCell ref="P602:Q602"/>
    <mergeCell ref="B603:G603"/>
    <mergeCell ref="I603:K603"/>
    <mergeCell ref="L603:M603"/>
    <mergeCell ref="N603:O603"/>
    <mergeCell ref="P603:Q603"/>
    <mergeCell ref="B604:G604"/>
    <mergeCell ref="I604:K604"/>
    <mergeCell ref="L604:M604"/>
    <mergeCell ref="N604:O604"/>
    <mergeCell ref="P604:Q604"/>
    <mergeCell ref="B605:G605"/>
    <mergeCell ref="I605:K605"/>
    <mergeCell ref="L605:M605"/>
    <mergeCell ref="N605:O605"/>
    <mergeCell ref="P605:Q605"/>
    <mergeCell ref="B606:G606"/>
    <mergeCell ref="I606:K606"/>
    <mergeCell ref="L606:M606"/>
    <mergeCell ref="N606:O606"/>
    <mergeCell ref="P606:Q606"/>
    <mergeCell ref="B607:G607"/>
    <mergeCell ref="I607:K607"/>
    <mergeCell ref="L607:M607"/>
    <mergeCell ref="N607:O607"/>
    <mergeCell ref="P607:Q607"/>
    <mergeCell ref="B608:G608"/>
    <mergeCell ref="I608:K608"/>
    <mergeCell ref="L608:M608"/>
    <mergeCell ref="N608:O608"/>
    <mergeCell ref="P608:Q608"/>
    <mergeCell ref="B609:G609"/>
    <mergeCell ref="I609:K609"/>
    <mergeCell ref="L609:M609"/>
    <mergeCell ref="N609:O609"/>
    <mergeCell ref="P609:Q609"/>
    <mergeCell ref="B610:G610"/>
    <mergeCell ref="I610:K610"/>
    <mergeCell ref="L610:M610"/>
    <mergeCell ref="N610:O610"/>
    <mergeCell ref="P610:Q610"/>
    <mergeCell ref="B611:G611"/>
    <mergeCell ref="I611:K611"/>
    <mergeCell ref="L611:M611"/>
    <mergeCell ref="N611:O611"/>
    <mergeCell ref="P611:Q611"/>
    <mergeCell ref="B612:G612"/>
    <mergeCell ref="I612:K612"/>
    <mergeCell ref="L612:M612"/>
    <mergeCell ref="N612:O612"/>
    <mergeCell ref="P612:Q612"/>
    <mergeCell ref="B613:G613"/>
    <mergeCell ref="I613:K613"/>
    <mergeCell ref="L613:M613"/>
    <mergeCell ref="N613:O613"/>
    <mergeCell ref="P613:Q613"/>
    <mergeCell ref="B614:G614"/>
    <mergeCell ref="I614:K614"/>
    <mergeCell ref="L614:M614"/>
    <mergeCell ref="N614:O614"/>
    <mergeCell ref="P614:Q614"/>
    <mergeCell ref="B615:G615"/>
    <mergeCell ref="I615:K615"/>
    <mergeCell ref="L615:M615"/>
    <mergeCell ref="N615:O615"/>
    <mergeCell ref="P615:Q615"/>
    <mergeCell ref="B616:G616"/>
    <mergeCell ref="I616:K616"/>
    <mergeCell ref="L616:M616"/>
    <mergeCell ref="N616:O616"/>
    <mergeCell ref="P616:Q616"/>
    <mergeCell ref="B617:G617"/>
    <mergeCell ref="I617:K617"/>
    <mergeCell ref="L617:M617"/>
    <mergeCell ref="N617:O617"/>
    <mergeCell ref="P617:Q617"/>
    <mergeCell ref="B618:G618"/>
    <mergeCell ref="I618:K618"/>
    <mergeCell ref="L618:M618"/>
    <mergeCell ref="N618:O618"/>
    <mergeCell ref="P618:Q618"/>
    <mergeCell ref="A619:Q619"/>
    <mergeCell ref="A620:Q620"/>
    <mergeCell ref="A621:Q621"/>
    <mergeCell ref="A622:Q622"/>
    <mergeCell ref="A623:G623"/>
    <mergeCell ref="H623:J623"/>
    <mergeCell ref="K623:L623"/>
    <mergeCell ref="M623:N623"/>
    <mergeCell ref="O623:Q623"/>
    <mergeCell ref="A624:G624"/>
    <mergeCell ref="H624:J624"/>
    <mergeCell ref="K624:L624"/>
    <mergeCell ref="M624:N624"/>
    <mergeCell ref="O624:Q624"/>
    <mergeCell ref="A625:G625"/>
    <mergeCell ref="H625:J625"/>
    <mergeCell ref="K625:L625"/>
    <mergeCell ref="M625:N625"/>
    <mergeCell ref="O625:Q625"/>
    <mergeCell ref="A626:G626"/>
    <mergeCell ref="H626:J626"/>
    <mergeCell ref="K626:L626"/>
    <mergeCell ref="M626:N626"/>
    <mergeCell ref="O626:Q626"/>
    <mergeCell ref="A627:G627"/>
    <mergeCell ref="H627:J627"/>
    <mergeCell ref="K627:L627"/>
    <mergeCell ref="M627:N627"/>
    <mergeCell ref="O627:Q627"/>
    <mergeCell ref="A628:Q628"/>
    <mergeCell ref="A629:B629"/>
    <mergeCell ref="C629:E629"/>
    <mergeCell ref="F629:H629"/>
    <mergeCell ref="I629:K629"/>
    <mergeCell ref="L629:N629"/>
    <mergeCell ref="O629:Q629"/>
    <mergeCell ref="A630:B630"/>
    <mergeCell ref="C630:E630"/>
    <mergeCell ref="F630:H630"/>
    <mergeCell ref="I630:K630"/>
    <mergeCell ref="L630:N630"/>
    <mergeCell ref="O630:Q630"/>
    <mergeCell ref="A631:B631"/>
    <mergeCell ref="C631:E631"/>
    <mergeCell ref="F631:H631"/>
    <mergeCell ref="I631:K631"/>
    <mergeCell ref="L631:N631"/>
    <mergeCell ref="O631:Q631"/>
    <mergeCell ref="A632:B632"/>
    <mergeCell ref="C632:E632"/>
    <mergeCell ref="F632:H632"/>
    <mergeCell ref="I632:K632"/>
    <mergeCell ref="L632:N632"/>
    <mergeCell ref="O632:Q632"/>
    <mergeCell ref="A633:B633"/>
    <mergeCell ref="C633:E633"/>
    <mergeCell ref="F633:H633"/>
    <mergeCell ref="I633:K633"/>
    <mergeCell ref="L633:N633"/>
    <mergeCell ref="O633:Q633"/>
    <mergeCell ref="A634:B634"/>
    <mergeCell ref="C634:E634"/>
    <mergeCell ref="F634:H634"/>
    <mergeCell ref="I634:K634"/>
    <mergeCell ref="L634:N634"/>
    <mergeCell ref="O634:Q634"/>
    <mergeCell ref="A635:Q635"/>
    <mergeCell ref="A636:Q636"/>
    <mergeCell ref="A637:Q637"/>
    <mergeCell ref="A638:Q638"/>
    <mergeCell ref="A639:Q639"/>
    <mergeCell ref="A640:Q640"/>
    <mergeCell ref="A641:Q641"/>
    <mergeCell ref="A642:Q642"/>
    <mergeCell ref="A643:Q643"/>
    <mergeCell ref="A644:Q644"/>
    <mergeCell ref="A645:Q645"/>
    <mergeCell ref="A646:Q646"/>
    <mergeCell ref="A647:Q647"/>
    <mergeCell ref="A648:Q648"/>
    <mergeCell ref="A649:Q649"/>
    <mergeCell ref="A650:Q650"/>
    <mergeCell ref="A651:Q651"/>
    <mergeCell ref="A652:Q652"/>
    <mergeCell ref="A653:Q653"/>
    <mergeCell ref="A654:Q654"/>
    <mergeCell ref="A655:Q655"/>
    <mergeCell ref="A656:Q656"/>
    <mergeCell ref="A657:Q657"/>
    <mergeCell ref="B658:Q658"/>
    <mergeCell ref="C659:D659"/>
    <mergeCell ref="F659:G659"/>
    <mergeCell ref="J659:L659"/>
    <mergeCell ref="M659:O659"/>
    <mergeCell ref="P659:Q659"/>
    <mergeCell ref="A660:B660"/>
    <mergeCell ref="C660:I660"/>
    <mergeCell ref="J660:M660"/>
    <mergeCell ref="N660:Q660"/>
    <mergeCell ref="A661:B661"/>
    <mergeCell ref="E661:F661"/>
    <mergeCell ref="G661:H661"/>
    <mergeCell ref="J661:K661"/>
    <mergeCell ref="N661:O661"/>
    <mergeCell ref="A662:B662"/>
    <mergeCell ref="C662:I662"/>
    <mergeCell ref="J662:M662"/>
    <mergeCell ref="N662:Q662"/>
    <mergeCell ref="A663:B663"/>
    <mergeCell ref="C663:G663"/>
    <mergeCell ref="H663:I663"/>
    <mergeCell ref="J663:M663"/>
    <mergeCell ref="N663:Q663"/>
    <mergeCell ref="A664:Q664"/>
    <mergeCell ref="B665:G665"/>
    <mergeCell ref="I665:K665"/>
    <mergeCell ref="L665:M665"/>
    <mergeCell ref="N665:O665"/>
    <mergeCell ref="P665:Q665"/>
    <mergeCell ref="B666:G666"/>
    <mergeCell ref="I666:K666"/>
    <mergeCell ref="L666:M666"/>
    <mergeCell ref="N666:O666"/>
    <mergeCell ref="P666:Q666"/>
    <mergeCell ref="B667:G667"/>
    <mergeCell ref="I667:K667"/>
    <mergeCell ref="L667:M667"/>
    <mergeCell ref="N667:O667"/>
    <mergeCell ref="P667:Q667"/>
    <mergeCell ref="B668:G668"/>
    <mergeCell ref="I668:K668"/>
    <mergeCell ref="L668:M668"/>
    <mergeCell ref="N668:O668"/>
    <mergeCell ref="P668:Q668"/>
    <mergeCell ref="B669:G669"/>
    <mergeCell ref="I669:K669"/>
    <mergeCell ref="L669:M669"/>
    <mergeCell ref="N669:O669"/>
    <mergeCell ref="P669:Q669"/>
    <mergeCell ref="B670:G670"/>
    <mergeCell ref="I670:K670"/>
    <mergeCell ref="L670:M670"/>
    <mergeCell ref="N670:O670"/>
    <mergeCell ref="P670:Q670"/>
    <mergeCell ref="B671:G671"/>
    <mergeCell ref="I671:K671"/>
    <mergeCell ref="L671:M671"/>
    <mergeCell ref="N671:O671"/>
    <mergeCell ref="P671:Q671"/>
    <mergeCell ref="B672:G672"/>
    <mergeCell ref="I672:K672"/>
    <mergeCell ref="L672:M672"/>
    <mergeCell ref="N672:O672"/>
    <mergeCell ref="P672:Q672"/>
    <mergeCell ref="B673:G673"/>
    <mergeCell ref="I673:K673"/>
    <mergeCell ref="L673:M673"/>
    <mergeCell ref="N673:O673"/>
    <mergeCell ref="P673:Q673"/>
    <mergeCell ref="B674:G674"/>
    <mergeCell ref="I674:K674"/>
    <mergeCell ref="L674:M674"/>
    <mergeCell ref="N674:O674"/>
    <mergeCell ref="P674:Q674"/>
    <mergeCell ref="B675:G675"/>
    <mergeCell ref="I675:K675"/>
    <mergeCell ref="L675:M675"/>
    <mergeCell ref="N675:O675"/>
    <mergeCell ref="P675:Q675"/>
    <mergeCell ref="B676:G676"/>
    <mergeCell ref="I676:K676"/>
    <mergeCell ref="L676:M676"/>
    <mergeCell ref="N676:O676"/>
    <mergeCell ref="P676:Q676"/>
    <mergeCell ref="B677:G677"/>
    <mergeCell ref="I677:K677"/>
    <mergeCell ref="L677:M677"/>
    <mergeCell ref="N677:O677"/>
    <mergeCell ref="P677:Q677"/>
    <mergeCell ref="B678:G678"/>
    <mergeCell ref="I678:K678"/>
    <mergeCell ref="L678:M678"/>
    <mergeCell ref="N678:O678"/>
    <mergeCell ref="P678:Q678"/>
    <mergeCell ref="B679:G679"/>
    <mergeCell ref="I679:K679"/>
    <mergeCell ref="L679:M679"/>
    <mergeCell ref="N679:O679"/>
    <mergeCell ref="P679:Q679"/>
    <mergeCell ref="B680:G680"/>
    <mergeCell ref="I680:K680"/>
    <mergeCell ref="L680:M680"/>
    <mergeCell ref="N680:O680"/>
    <mergeCell ref="P680:Q680"/>
    <mergeCell ref="B681:G681"/>
    <mergeCell ref="I681:K681"/>
    <mergeCell ref="L681:M681"/>
    <mergeCell ref="N681:O681"/>
    <mergeCell ref="P681:Q681"/>
    <mergeCell ref="B682:G682"/>
    <mergeCell ref="I682:K682"/>
    <mergeCell ref="L682:M682"/>
    <mergeCell ref="N682:O682"/>
    <mergeCell ref="P682:Q682"/>
    <mergeCell ref="B683:G683"/>
    <mergeCell ref="I683:K683"/>
    <mergeCell ref="L683:M683"/>
    <mergeCell ref="N683:O683"/>
    <mergeCell ref="P683:Q683"/>
    <mergeCell ref="B684:G684"/>
    <mergeCell ref="I684:K684"/>
    <mergeCell ref="L684:M684"/>
    <mergeCell ref="N684:O684"/>
    <mergeCell ref="P684:Q684"/>
    <mergeCell ref="B685:G685"/>
    <mergeCell ref="I685:K685"/>
    <mergeCell ref="L685:M685"/>
    <mergeCell ref="N685:O685"/>
    <mergeCell ref="P685:Q685"/>
    <mergeCell ref="B686:G686"/>
    <mergeCell ref="I686:K686"/>
    <mergeCell ref="L686:M686"/>
    <mergeCell ref="N686:O686"/>
    <mergeCell ref="P686:Q686"/>
    <mergeCell ref="B687:G687"/>
    <mergeCell ref="I687:K687"/>
    <mergeCell ref="L687:M687"/>
    <mergeCell ref="N687:O687"/>
    <mergeCell ref="P687:Q687"/>
    <mergeCell ref="B688:G688"/>
    <mergeCell ref="I688:K688"/>
    <mergeCell ref="L688:M688"/>
    <mergeCell ref="N688:O688"/>
    <mergeCell ref="P688:Q688"/>
    <mergeCell ref="B689:G689"/>
    <mergeCell ref="I689:K689"/>
    <mergeCell ref="L689:M689"/>
    <mergeCell ref="N689:O689"/>
    <mergeCell ref="P689:Q689"/>
    <mergeCell ref="B690:G690"/>
    <mergeCell ref="I690:K690"/>
    <mergeCell ref="L690:M690"/>
    <mergeCell ref="N690:O690"/>
    <mergeCell ref="P690:Q690"/>
    <mergeCell ref="B691:G691"/>
    <mergeCell ref="I691:K691"/>
    <mergeCell ref="L691:M691"/>
    <mergeCell ref="N691:O691"/>
    <mergeCell ref="P691:Q691"/>
    <mergeCell ref="A692:Q692"/>
    <mergeCell ref="A693:Q693"/>
    <mergeCell ref="A694:Q694"/>
    <mergeCell ref="A695:Q695"/>
    <mergeCell ref="A696:G696"/>
    <mergeCell ref="H696:J696"/>
    <mergeCell ref="K696:L696"/>
    <mergeCell ref="M696:N696"/>
    <mergeCell ref="O696:Q696"/>
    <mergeCell ref="A697:G697"/>
    <mergeCell ref="H697:J697"/>
    <mergeCell ref="K697:L697"/>
    <mergeCell ref="M697:N697"/>
    <mergeCell ref="O697:Q697"/>
    <mergeCell ref="A698:G698"/>
    <mergeCell ref="H698:J698"/>
    <mergeCell ref="K698:L698"/>
    <mergeCell ref="M698:N698"/>
    <mergeCell ref="O698:Q698"/>
    <mergeCell ref="A699:G699"/>
    <mergeCell ref="H699:J699"/>
    <mergeCell ref="K699:L699"/>
    <mergeCell ref="M699:N699"/>
    <mergeCell ref="O699:Q699"/>
    <mergeCell ref="A700:G700"/>
    <mergeCell ref="H700:J700"/>
    <mergeCell ref="K700:L700"/>
    <mergeCell ref="M700:N700"/>
    <mergeCell ref="O700:Q700"/>
    <mergeCell ref="A701:Q701"/>
    <mergeCell ref="A702:B702"/>
    <mergeCell ref="C702:E702"/>
    <mergeCell ref="F702:H702"/>
    <mergeCell ref="I702:K702"/>
    <mergeCell ref="L702:N702"/>
    <mergeCell ref="O702:Q702"/>
    <mergeCell ref="A703:B703"/>
    <mergeCell ref="C703:E703"/>
    <mergeCell ref="F703:H703"/>
    <mergeCell ref="I703:K703"/>
    <mergeCell ref="L703:N703"/>
    <mergeCell ref="O703:Q703"/>
    <mergeCell ref="A704:B704"/>
    <mergeCell ref="C704:E704"/>
    <mergeCell ref="F704:H704"/>
    <mergeCell ref="I704:K704"/>
    <mergeCell ref="L704:N704"/>
    <mergeCell ref="O704:Q704"/>
    <mergeCell ref="A705:B705"/>
    <mergeCell ref="C705:E705"/>
    <mergeCell ref="F705:H705"/>
    <mergeCell ref="I705:K705"/>
    <mergeCell ref="L705:N705"/>
    <mergeCell ref="O705:Q705"/>
    <mergeCell ref="A706:B706"/>
    <mergeCell ref="C706:E706"/>
    <mergeCell ref="F706:H706"/>
    <mergeCell ref="I706:K706"/>
    <mergeCell ref="L706:N706"/>
    <mergeCell ref="O706:Q706"/>
    <mergeCell ref="A707:B707"/>
    <mergeCell ref="C707:E707"/>
    <mergeCell ref="F707:H707"/>
    <mergeCell ref="I707:K707"/>
    <mergeCell ref="L707:N707"/>
    <mergeCell ref="O707:Q707"/>
    <mergeCell ref="A708:Q708"/>
    <mergeCell ref="A709:Q709"/>
    <mergeCell ref="A710:Q710"/>
    <mergeCell ref="A711:Q711"/>
    <mergeCell ref="A712:Q712"/>
    <mergeCell ref="A713:Q713"/>
    <mergeCell ref="A714:Q714"/>
    <mergeCell ref="A715:Q715"/>
    <mergeCell ref="A716:Q716"/>
    <mergeCell ref="A717:Q717"/>
    <mergeCell ref="A718:Q718"/>
    <mergeCell ref="A719:Q719"/>
    <mergeCell ref="A720:Q720"/>
    <mergeCell ref="A721:Q721"/>
    <mergeCell ref="A722:Q722"/>
    <mergeCell ref="A723:Q723"/>
    <mergeCell ref="A724:Q724"/>
    <mergeCell ref="A725:Q725"/>
    <mergeCell ref="A726:Q726"/>
    <mergeCell ref="A727:Q727"/>
    <mergeCell ref="A728:Q728"/>
    <mergeCell ref="A729:Q729"/>
    <mergeCell ref="A730:Q730"/>
    <mergeCell ref="B731:Q731"/>
    <mergeCell ref="C732:D732"/>
    <mergeCell ref="F732:G732"/>
    <mergeCell ref="J732:L732"/>
    <mergeCell ref="M732:O732"/>
    <mergeCell ref="P732:Q732"/>
    <mergeCell ref="A733:B733"/>
    <mergeCell ref="C733:I733"/>
    <mergeCell ref="J733:M733"/>
    <mergeCell ref="N733:Q733"/>
    <mergeCell ref="A734:B734"/>
    <mergeCell ref="E734:F734"/>
    <mergeCell ref="G734:H734"/>
    <mergeCell ref="J734:K734"/>
    <mergeCell ref="N734:O734"/>
    <mergeCell ref="A735:B735"/>
    <mergeCell ref="C735:I735"/>
    <mergeCell ref="J735:M735"/>
    <mergeCell ref="N735:Q735"/>
    <mergeCell ref="A736:B736"/>
    <mergeCell ref="C736:G736"/>
    <mergeCell ref="H736:I736"/>
    <mergeCell ref="J736:M736"/>
    <mergeCell ref="N736:Q736"/>
    <mergeCell ref="A737:Q737"/>
    <mergeCell ref="B738:G738"/>
    <mergeCell ref="I738:K738"/>
    <mergeCell ref="L738:M738"/>
    <mergeCell ref="N738:O738"/>
    <mergeCell ref="P738:Q738"/>
    <mergeCell ref="B739:G739"/>
    <mergeCell ref="I739:K739"/>
    <mergeCell ref="L739:M739"/>
    <mergeCell ref="N739:O739"/>
    <mergeCell ref="P739:Q739"/>
    <mergeCell ref="B740:G740"/>
    <mergeCell ref="I740:K740"/>
    <mergeCell ref="L740:M740"/>
    <mergeCell ref="N740:O740"/>
    <mergeCell ref="P740:Q740"/>
    <mergeCell ref="B741:G741"/>
    <mergeCell ref="I741:K741"/>
    <mergeCell ref="L741:M741"/>
    <mergeCell ref="N741:O741"/>
    <mergeCell ref="P741:Q741"/>
    <mergeCell ref="B742:G742"/>
    <mergeCell ref="I742:K742"/>
    <mergeCell ref="L742:M742"/>
    <mergeCell ref="N742:O742"/>
    <mergeCell ref="P742:Q742"/>
    <mergeCell ref="B743:G743"/>
    <mergeCell ref="I743:K743"/>
    <mergeCell ref="L743:M743"/>
    <mergeCell ref="N743:O743"/>
    <mergeCell ref="P743:Q743"/>
    <mergeCell ref="B744:G744"/>
    <mergeCell ref="I744:K744"/>
    <mergeCell ref="L744:M744"/>
    <mergeCell ref="N744:O744"/>
    <mergeCell ref="P744:Q744"/>
    <mergeCell ref="B745:G745"/>
    <mergeCell ref="I745:K745"/>
    <mergeCell ref="L745:M745"/>
    <mergeCell ref="N745:O745"/>
    <mergeCell ref="P745:Q745"/>
    <mergeCell ref="B746:G746"/>
    <mergeCell ref="I746:K746"/>
    <mergeCell ref="L746:M746"/>
    <mergeCell ref="N746:O746"/>
    <mergeCell ref="P746:Q746"/>
    <mergeCell ref="B747:G747"/>
    <mergeCell ref="I747:K747"/>
    <mergeCell ref="L747:M747"/>
    <mergeCell ref="N747:O747"/>
    <mergeCell ref="P747:Q747"/>
    <mergeCell ref="B748:G748"/>
    <mergeCell ref="I748:K748"/>
    <mergeCell ref="L748:M748"/>
    <mergeCell ref="N748:O748"/>
    <mergeCell ref="P748:Q748"/>
    <mergeCell ref="B749:G749"/>
    <mergeCell ref="I749:K749"/>
    <mergeCell ref="L749:M749"/>
    <mergeCell ref="N749:O749"/>
    <mergeCell ref="P749:Q749"/>
    <mergeCell ref="B750:G750"/>
    <mergeCell ref="I750:K750"/>
    <mergeCell ref="L750:M750"/>
    <mergeCell ref="N750:O750"/>
    <mergeCell ref="P750:Q750"/>
    <mergeCell ref="B751:G751"/>
    <mergeCell ref="I751:K751"/>
    <mergeCell ref="L751:M751"/>
    <mergeCell ref="N751:O751"/>
    <mergeCell ref="P751:Q751"/>
    <mergeCell ref="B752:G752"/>
    <mergeCell ref="I752:K752"/>
    <mergeCell ref="L752:M752"/>
    <mergeCell ref="N752:O752"/>
    <mergeCell ref="P752:Q752"/>
    <mergeCell ref="B753:G753"/>
    <mergeCell ref="I753:K753"/>
    <mergeCell ref="L753:M753"/>
    <mergeCell ref="N753:O753"/>
    <mergeCell ref="P753:Q753"/>
    <mergeCell ref="B754:G754"/>
    <mergeCell ref="I754:K754"/>
    <mergeCell ref="L754:M754"/>
    <mergeCell ref="N754:O754"/>
    <mergeCell ref="P754:Q754"/>
    <mergeCell ref="B755:G755"/>
    <mergeCell ref="I755:K755"/>
    <mergeCell ref="L755:M755"/>
    <mergeCell ref="N755:O755"/>
    <mergeCell ref="P755:Q755"/>
    <mergeCell ref="B756:G756"/>
    <mergeCell ref="I756:K756"/>
    <mergeCell ref="L756:M756"/>
    <mergeCell ref="N756:O756"/>
    <mergeCell ref="P756:Q756"/>
    <mergeCell ref="B757:G757"/>
    <mergeCell ref="I757:K757"/>
    <mergeCell ref="L757:M757"/>
    <mergeCell ref="N757:O757"/>
    <mergeCell ref="P757:Q757"/>
    <mergeCell ref="B758:G758"/>
    <mergeCell ref="I758:K758"/>
    <mergeCell ref="L758:M758"/>
    <mergeCell ref="N758:O758"/>
    <mergeCell ref="P758:Q758"/>
    <mergeCell ref="B759:G759"/>
    <mergeCell ref="I759:K759"/>
    <mergeCell ref="L759:M759"/>
    <mergeCell ref="N759:O759"/>
    <mergeCell ref="P759:Q759"/>
    <mergeCell ref="B760:G760"/>
    <mergeCell ref="I760:K760"/>
    <mergeCell ref="L760:M760"/>
    <mergeCell ref="N760:O760"/>
    <mergeCell ref="P760:Q760"/>
    <mergeCell ref="B761:G761"/>
    <mergeCell ref="I761:K761"/>
    <mergeCell ref="L761:M761"/>
    <mergeCell ref="N761:O761"/>
    <mergeCell ref="P761:Q761"/>
    <mergeCell ref="B762:G762"/>
    <mergeCell ref="I762:K762"/>
    <mergeCell ref="L762:M762"/>
    <mergeCell ref="N762:O762"/>
    <mergeCell ref="P762:Q762"/>
    <mergeCell ref="B763:G763"/>
    <mergeCell ref="I763:K763"/>
    <mergeCell ref="L763:M763"/>
    <mergeCell ref="N763:O763"/>
    <mergeCell ref="P763:Q763"/>
    <mergeCell ref="B764:G764"/>
    <mergeCell ref="I764:K764"/>
    <mergeCell ref="L764:M764"/>
    <mergeCell ref="N764:O764"/>
    <mergeCell ref="P764:Q764"/>
    <mergeCell ref="A765:Q765"/>
    <mergeCell ref="A766:Q766"/>
    <mergeCell ref="A767:Q767"/>
    <mergeCell ref="A768:Q768"/>
    <mergeCell ref="A769:G769"/>
    <mergeCell ref="H769:J769"/>
    <mergeCell ref="K769:L769"/>
    <mergeCell ref="M769:N769"/>
    <mergeCell ref="O769:Q769"/>
    <mergeCell ref="A770:G770"/>
    <mergeCell ref="H770:J770"/>
    <mergeCell ref="K770:L770"/>
    <mergeCell ref="M770:N770"/>
    <mergeCell ref="O770:Q770"/>
    <mergeCell ref="A771:G771"/>
    <mergeCell ref="H771:J771"/>
    <mergeCell ref="K771:L771"/>
    <mergeCell ref="M771:N771"/>
    <mergeCell ref="O771:Q771"/>
    <mergeCell ref="A772:G772"/>
    <mergeCell ref="H772:J772"/>
    <mergeCell ref="K772:L772"/>
    <mergeCell ref="M772:N772"/>
    <mergeCell ref="O772:Q772"/>
    <mergeCell ref="A773:G773"/>
    <mergeCell ref="H773:J773"/>
    <mergeCell ref="K773:L773"/>
    <mergeCell ref="M773:N773"/>
    <mergeCell ref="O773:Q773"/>
    <mergeCell ref="A774:Q774"/>
    <mergeCell ref="A775:B775"/>
    <mergeCell ref="C775:E775"/>
    <mergeCell ref="F775:H775"/>
    <mergeCell ref="I775:K775"/>
    <mergeCell ref="L775:N775"/>
    <mergeCell ref="O775:Q775"/>
    <mergeCell ref="A776:B776"/>
    <mergeCell ref="C776:E776"/>
    <mergeCell ref="F776:H776"/>
    <mergeCell ref="I776:K776"/>
    <mergeCell ref="L776:N776"/>
    <mergeCell ref="O776:Q776"/>
    <mergeCell ref="A777:B777"/>
    <mergeCell ref="C777:E777"/>
    <mergeCell ref="F777:H777"/>
    <mergeCell ref="I777:K777"/>
    <mergeCell ref="L777:N777"/>
    <mergeCell ref="O777:Q777"/>
    <mergeCell ref="A778:B778"/>
    <mergeCell ref="C778:E778"/>
    <mergeCell ref="F778:H778"/>
    <mergeCell ref="I778:K778"/>
    <mergeCell ref="L778:N778"/>
    <mergeCell ref="O778:Q778"/>
    <mergeCell ref="A779:B779"/>
    <mergeCell ref="C779:E779"/>
    <mergeCell ref="F779:H779"/>
    <mergeCell ref="I779:K779"/>
    <mergeCell ref="L779:N779"/>
    <mergeCell ref="O779:Q779"/>
    <mergeCell ref="A780:B780"/>
    <mergeCell ref="C780:E780"/>
    <mergeCell ref="F780:H780"/>
    <mergeCell ref="I780:K780"/>
    <mergeCell ref="L780:N780"/>
    <mergeCell ref="O780:Q780"/>
    <mergeCell ref="A781:Q781"/>
    <mergeCell ref="A782:Q782"/>
    <mergeCell ref="A783:Q783"/>
    <mergeCell ref="A784:Q784"/>
    <mergeCell ref="A785:Q785"/>
    <mergeCell ref="A786:Q786"/>
    <mergeCell ref="A787:Q787"/>
    <mergeCell ref="A788:Q788"/>
    <mergeCell ref="A789:Q789"/>
    <mergeCell ref="A790:Q790"/>
    <mergeCell ref="A791:Q791"/>
    <mergeCell ref="A792:Q792"/>
    <mergeCell ref="A793:Q793"/>
    <mergeCell ref="A794:Q794"/>
    <mergeCell ref="A795:Q795"/>
    <mergeCell ref="A796:Q796"/>
    <mergeCell ref="A797:Q797"/>
    <mergeCell ref="A798:Q798"/>
    <mergeCell ref="A799:Q799"/>
    <mergeCell ref="A800:Q800"/>
    <mergeCell ref="A801:Q801"/>
    <mergeCell ref="A802:Q802"/>
    <mergeCell ref="A803:Q803"/>
    <mergeCell ref="B804:Q804"/>
    <mergeCell ref="C805:D805"/>
    <mergeCell ref="F805:G805"/>
    <mergeCell ref="J805:L805"/>
    <mergeCell ref="M805:O805"/>
    <mergeCell ref="P805:Q805"/>
    <mergeCell ref="A806:B806"/>
    <mergeCell ref="C806:I806"/>
    <mergeCell ref="J806:M806"/>
    <mergeCell ref="N806:Q806"/>
    <mergeCell ref="A807:B807"/>
    <mergeCell ref="E807:F807"/>
    <mergeCell ref="G807:H807"/>
    <mergeCell ref="J807:K807"/>
    <mergeCell ref="N807:O807"/>
    <mergeCell ref="A808:B808"/>
    <mergeCell ref="C808:I808"/>
    <mergeCell ref="J808:M808"/>
    <mergeCell ref="N808:Q808"/>
    <mergeCell ref="A809:B809"/>
    <mergeCell ref="C809:G809"/>
    <mergeCell ref="H809:I809"/>
    <mergeCell ref="J809:M809"/>
    <mergeCell ref="N809:Q809"/>
    <mergeCell ref="A810:Q810"/>
    <mergeCell ref="B811:G811"/>
    <mergeCell ref="I811:K811"/>
    <mergeCell ref="L811:M811"/>
    <mergeCell ref="N811:O811"/>
    <mergeCell ref="P811:Q811"/>
    <mergeCell ref="B812:G812"/>
    <mergeCell ref="I812:K812"/>
    <mergeCell ref="L812:M812"/>
    <mergeCell ref="N812:O812"/>
    <mergeCell ref="P812:Q812"/>
    <mergeCell ref="B813:G813"/>
    <mergeCell ref="I813:K813"/>
    <mergeCell ref="L813:M813"/>
    <mergeCell ref="N813:O813"/>
    <mergeCell ref="P813:Q813"/>
    <mergeCell ref="B814:G814"/>
    <mergeCell ref="I814:K814"/>
    <mergeCell ref="L814:M814"/>
    <mergeCell ref="N814:O814"/>
    <mergeCell ref="P814:Q814"/>
    <mergeCell ref="B815:G815"/>
    <mergeCell ref="I815:K815"/>
    <mergeCell ref="L815:M815"/>
    <mergeCell ref="N815:O815"/>
    <mergeCell ref="P815:Q815"/>
    <mergeCell ref="B816:G816"/>
    <mergeCell ref="I816:K816"/>
    <mergeCell ref="L816:M816"/>
    <mergeCell ref="N816:O816"/>
    <mergeCell ref="P816:Q816"/>
    <mergeCell ref="B817:G817"/>
    <mergeCell ref="I817:K817"/>
    <mergeCell ref="L817:M817"/>
    <mergeCell ref="N817:O817"/>
    <mergeCell ref="P817:Q817"/>
    <mergeCell ref="B818:G818"/>
    <mergeCell ref="I818:K818"/>
    <mergeCell ref="L818:M818"/>
    <mergeCell ref="N818:O818"/>
    <mergeCell ref="P818:Q818"/>
    <mergeCell ref="B819:G819"/>
    <mergeCell ref="I819:K819"/>
    <mergeCell ref="L819:M819"/>
    <mergeCell ref="N819:O819"/>
    <mergeCell ref="P819:Q819"/>
    <mergeCell ref="B820:G820"/>
    <mergeCell ref="I820:K820"/>
    <mergeCell ref="L820:M820"/>
    <mergeCell ref="N820:O820"/>
    <mergeCell ref="P820:Q820"/>
    <mergeCell ref="B821:G821"/>
    <mergeCell ref="I821:K821"/>
    <mergeCell ref="L821:M821"/>
    <mergeCell ref="N821:O821"/>
    <mergeCell ref="P821:Q821"/>
    <mergeCell ref="B822:G822"/>
    <mergeCell ref="I822:K822"/>
    <mergeCell ref="L822:M822"/>
    <mergeCell ref="N822:O822"/>
    <mergeCell ref="P822:Q822"/>
    <mergeCell ref="B823:G823"/>
    <mergeCell ref="I823:K823"/>
    <mergeCell ref="L823:M823"/>
    <mergeCell ref="N823:O823"/>
    <mergeCell ref="P823:Q823"/>
    <mergeCell ref="B824:G824"/>
    <mergeCell ref="I824:K824"/>
    <mergeCell ref="L824:M824"/>
    <mergeCell ref="N824:O824"/>
    <mergeCell ref="P824:Q824"/>
    <mergeCell ref="B825:G825"/>
    <mergeCell ref="I825:K825"/>
    <mergeCell ref="L825:M825"/>
    <mergeCell ref="N825:O825"/>
    <mergeCell ref="P825:Q825"/>
    <mergeCell ref="B826:G826"/>
    <mergeCell ref="I826:K826"/>
    <mergeCell ref="L826:M826"/>
    <mergeCell ref="N826:O826"/>
    <mergeCell ref="P826:Q826"/>
    <mergeCell ref="B827:G827"/>
    <mergeCell ref="I827:K827"/>
    <mergeCell ref="L827:M827"/>
    <mergeCell ref="N827:O827"/>
    <mergeCell ref="P827:Q827"/>
    <mergeCell ref="B828:G828"/>
    <mergeCell ref="I828:K828"/>
    <mergeCell ref="L828:M828"/>
    <mergeCell ref="N828:O828"/>
    <mergeCell ref="P828:Q828"/>
    <mergeCell ref="B829:G829"/>
    <mergeCell ref="I829:K829"/>
    <mergeCell ref="L829:M829"/>
    <mergeCell ref="N829:O829"/>
    <mergeCell ref="P829:Q829"/>
    <mergeCell ref="B830:G830"/>
    <mergeCell ref="I830:K830"/>
    <mergeCell ref="L830:M830"/>
    <mergeCell ref="N830:O830"/>
    <mergeCell ref="P830:Q830"/>
    <mergeCell ref="B831:G831"/>
    <mergeCell ref="I831:K831"/>
    <mergeCell ref="L831:M831"/>
    <mergeCell ref="N831:O831"/>
    <mergeCell ref="P831:Q831"/>
    <mergeCell ref="B832:G832"/>
    <mergeCell ref="I832:K832"/>
    <mergeCell ref="L832:M832"/>
    <mergeCell ref="N832:O832"/>
    <mergeCell ref="P832:Q832"/>
    <mergeCell ref="B833:G833"/>
    <mergeCell ref="I833:K833"/>
    <mergeCell ref="L833:M833"/>
    <mergeCell ref="N833:O833"/>
    <mergeCell ref="P833:Q833"/>
    <mergeCell ref="B834:G834"/>
    <mergeCell ref="I834:K834"/>
    <mergeCell ref="L834:M834"/>
    <mergeCell ref="N834:O834"/>
    <mergeCell ref="P834:Q834"/>
    <mergeCell ref="B835:G835"/>
    <mergeCell ref="I835:K835"/>
    <mergeCell ref="L835:M835"/>
    <mergeCell ref="N835:O835"/>
    <mergeCell ref="P835:Q835"/>
    <mergeCell ref="B836:G836"/>
    <mergeCell ref="I836:K836"/>
    <mergeCell ref="L836:M836"/>
    <mergeCell ref="N836:O836"/>
    <mergeCell ref="P836:Q836"/>
    <mergeCell ref="B837:G837"/>
    <mergeCell ref="I837:K837"/>
    <mergeCell ref="L837:M837"/>
    <mergeCell ref="N837:O837"/>
    <mergeCell ref="P837:Q837"/>
    <mergeCell ref="A838:Q838"/>
    <mergeCell ref="A839:Q839"/>
    <mergeCell ref="A840:Q840"/>
    <mergeCell ref="A841:Q841"/>
    <mergeCell ref="A842:G842"/>
    <mergeCell ref="H842:J842"/>
    <mergeCell ref="K842:L842"/>
    <mergeCell ref="M842:N842"/>
    <mergeCell ref="O842:Q842"/>
    <mergeCell ref="A843:G843"/>
    <mergeCell ref="H843:J843"/>
    <mergeCell ref="K843:L843"/>
    <mergeCell ref="M843:N843"/>
    <mergeCell ref="O843:Q843"/>
    <mergeCell ref="A844:G844"/>
    <mergeCell ref="H844:J844"/>
    <mergeCell ref="K844:L844"/>
    <mergeCell ref="M844:N844"/>
    <mergeCell ref="O844:Q844"/>
    <mergeCell ref="A845:G845"/>
    <mergeCell ref="H845:J845"/>
    <mergeCell ref="K845:L845"/>
    <mergeCell ref="M845:N845"/>
    <mergeCell ref="O845:Q845"/>
    <mergeCell ref="A846:G846"/>
    <mergeCell ref="H846:J846"/>
    <mergeCell ref="K846:L846"/>
    <mergeCell ref="M846:N846"/>
    <mergeCell ref="O846:Q846"/>
    <mergeCell ref="A847:Q847"/>
    <mergeCell ref="A848:B848"/>
    <mergeCell ref="C848:E848"/>
    <mergeCell ref="F848:H848"/>
    <mergeCell ref="I848:K848"/>
    <mergeCell ref="L848:N848"/>
    <mergeCell ref="O848:Q848"/>
    <mergeCell ref="A849:B849"/>
    <mergeCell ref="C849:E849"/>
    <mergeCell ref="F849:H849"/>
    <mergeCell ref="I849:K849"/>
    <mergeCell ref="L849:N849"/>
    <mergeCell ref="O849:Q849"/>
    <mergeCell ref="A850:B850"/>
    <mergeCell ref="C850:E850"/>
    <mergeCell ref="F850:H850"/>
    <mergeCell ref="I850:K850"/>
    <mergeCell ref="L850:N850"/>
    <mergeCell ref="O850:Q850"/>
    <mergeCell ref="A851:B851"/>
    <mergeCell ref="C851:E851"/>
    <mergeCell ref="F851:H851"/>
    <mergeCell ref="I851:K851"/>
    <mergeCell ref="L851:N851"/>
    <mergeCell ref="O851:Q851"/>
    <mergeCell ref="A852:B852"/>
    <mergeCell ref="C852:E852"/>
    <mergeCell ref="F852:H852"/>
    <mergeCell ref="I852:K852"/>
    <mergeCell ref="L852:N852"/>
    <mergeCell ref="O852:Q852"/>
    <mergeCell ref="A853:B853"/>
    <mergeCell ref="C853:E853"/>
    <mergeCell ref="F853:H853"/>
    <mergeCell ref="I853:K853"/>
    <mergeCell ref="L853:N853"/>
    <mergeCell ref="O853:Q853"/>
    <mergeCell ref="A854:Q854"/>
    <mergeCell ref="A855:Q855"/>
    <mergeCell ref="A856:Q856"/>
    <mergeCell ref="A857:Q857"/>
    <mergeCell ref="A858:Q858"/>
    <mergeCell ref="A859:Q859"/>
    <mergeCell ref="A860:Q860"/>
    <mergeCell ref="A861:Q861"/>
    <mergeCell ref="A862:Q862"/>
    <mergeCell ref="A863:Q863"/>
    <mergeCell ref="A864:Q864"/>
    <mergeCell ref="A865:Q865"/>
    <mergeCell ref="A866:Q866"/>
    <mergeCell ref="A867:Q867"/>
    <mergeCell ref="A868:Q868"/>
    <mergeCell ref="A869:Q869"/>
    <mergeCell ref="A870:Q870"/>
    <mergeCell ref="A871:Q871"/>
    <mergeCell ref="A872:Q872"/>
    <mergeCell ref="A873:Q873"/>
    <mergeCell ref="A874:Q874"/>
    <mergeCell ref="A875:Q875"/>
    <mergeCell ref="A876:Q876"/>
    <mergeCell ref="B877:Q877"/>
    <mergeCell ref="C878:D878"/>
    <mergeCell ref="F878:G878"/>
    <mergeCell ref="J878:L878"/>
    <mergeCell ref="M878:O878"/>
    <mergeCell ref="P878:Q878"/>
    <mergeCell ref="A879:B879"/>
    <mergeCell ref="C879:I879"/>
    <mergeCell ref="J879:M879"/>
    <mergeCell ref="N879:Q879"/>
    <mergeCell ref="A880:B880"/>
    <mergeCell ref="E880:F880"/>
    <mergeCell ref="G880:H880"/>
    <mergeCell ref="J880:K880"/>
    <mergeCell ref="N880:O880"/>
    <mergeCell ref="A881:B881"/>
    <mergeCell ref="C881:I881"/>
    <mergeCell ref="J881:M881"/>
    <mergeCell ref="N881:Q881"/>
    <mergeCell ref="A882:B882"/>
    <mergeCell ref="C882:G882"/>
    <mergeCell ref="H882:I882"/>
    <mergeCell ref="J882:M882"/>
    <mergeCell ref="N882:Q882"/>
    <mergeCell ref="A883:Q883"/>
    <mergeCell ref="B884:G884"/>
    <mergeCell ref="I884:K884"/>
    <mergeCell ref="L884:M884"/>
    <mergeCell ref="N884:O884"/>
    <mergeCell ref="P884:Q884"/>
    <mergeCell ref="B885:G885"/>
    <mergeCell ref="I885:K885"/>
    <mergeCell ref="L885:M885"/>
    <mergeCell ref="N885:O885"/>
    <mergeCell ref="P885:Q885"/>
    <mergeCell ref="B886:G886"/>
    <mergeCell ref="I886:K886"/>
    <mergeCell ref="L886:M886"/>
    <mergeCell ref="N886:O886"/>
    <mergeCell ref="P886:Q886"/>
    <mergeCell ref="B887:G887"/>
    <mergeCell ref="I887:K887"/>
    <mergeCell ref="L887:M887"/>
    <mergeCell ref="N887:O887"/>
    <mergeCell ref="P887:Q887"/>
    <mergeCell ref="B888:G888"/>
    <mergeCell ref="I888:K888"/>
    <mergeCell ref="L888:M888"/>
    <mergeCell ref="N888:O888"/>
    <mergeCell ref="P888:Q888"/>
    <mergeCell ref="B889:G889"/>
    <mergeCell ref="I889:K889"/>
    <mergeCell ref="L889:M889"/>
    <mergeCell ref="N889:O889"/>
    <mergeCell ref="P889:Q889"/>
    <mergeCell ref="B890:G890"/>
    <mergeCell ref="I890:K890"/>
    <mergeCell ref="L890:M890"/>
    <mergeCell ref="N890:O890"/>
    <mergeCell ref="P890:Q890"/>
    <mergeCell ref="B891:G891"/>
    <mergeCell ref="I891:K891"/>
    <mergeCell ref="L891:M891"/>
    <mergeCell ref="N891:O891"/>
    <mergeCell ref="P891:Q891"/>
    <mergeCell ref="B892:G892"/>
    <mergeCell ref="I892:K892"/>
    <mergeCell ref="L892:M892"/>
    <mergeCell ref="N892:O892"/>
    <mergeCell ref="P892:Q892"/>
    <mergeCell ref="B893:G893"/>
    <mergeCell ref="I893:K893"/>
    <mergeCell ref="L893:M893"/>
    <mergeCell ref="N893:O893"/>
    <mergeCell ref="P893:Q893"/>
    <mergeCell ref="B894:G894"/>
    <mergeCell ref="I894:K894"/>
    <mergeCell ref="L894:M894"/>
    <mergeCell ref="N894:O894"/>
    <mergeCell ref="P894:Q894"/>
    <mergeCell ref="B895:G895"/>
    <mergeCell ref="I895:K895"/>
    <mergeCell ref="L895:M895"/>
    <mergeCell ref="N895:O895"/>
    <mergeCell ref="P895:Q895"/>
    <mergeCell ref="B896:G896"/>
    <mergeCell ref="I896:K896"/>
    <mergeCell ref="L896:M896"/>
    <mergeCell ref="N896:O896"/>
    <mergeCell ref="P896:Q896"/>
    <mergeCell ref="B897:G897"/>
    <mergeCell ref="I897:K897"/>
    <mergeCell ref="L897:M897"/>
    <mergeCell ref="N897:O897"/>
    <mergeCell ref="P897:Q897"/>
    <mergeCell ref="B898:G898"/>
    <mergeCell ref="I898:K898"/>
    <mergeCell ref="L898:M898"/>
    <mergeCell ref="N898:O898"/>
    <mergeCell ref="P898:Q898"/>
    <mergeCell ref="B899:G899"/>
    <mergeCell ref="I899:K899"/>
    <mergeCell ref="L899:M899"/>
    <mergeCell ref="N899:O899"/>
    <mergeCell ref="P899:Q899"/>
    <mergeCell ref="B900:G900"/>
    <mergeCell ref="I900:K900"/>
    <mergeCell ref="L900:M900"/>
    <mergeCell ref="N900:O900"/>
    <mergeCell ref="P900:Q900"/>
    <mergeCell ref="B901:G901"/>
    <mergeCell ref="I901:K901"/>
    <mergeCell ref="L901:M901"/>
    <mergeCell ref="N901:O901"/>
    <mergeCell ref="P901:Q901"/>
    <mergeCell ref="B902:G902"/>
    <mergeCell ref="I902:K902"/>
    <mergeCell ref="L902:M902"/>
    <mergeCell ref="N902:O902"/>
    <mergeCell ref="P902:Q902"/>
    <mergeCell ref="B903:G903"/>
    <mergeCell ref="I903:K903"/>
    <mergeCell ref="L903:M903"/>
    <mergeCell ref="N903:O903"/>
    <mergeCell ref="P903:Q903"/>
    <mergeCell ref="B904:G904"/>
    <mergeCell ref="I904:K904"/>
    <mergeCell ref="L904:M904"/>
    <mergeCell ref="N904:O904"/>
    <mergeCell ref="P904:Q904"/>
    <mergeCell ref="B905:G905"/>
    <mergeCell ref="I905:K905"/>
    <mergeCell ref="L905:M905"/>
    <mergeCell ref="N905:O905"/>
    <mergeCell ref="P905:Q905"/>
    <mergeCell ref="B906:G906"/>
    <mergeCell ref="I906:K906"/>
    <mergeCell ref="L906:M906"/>
    <mergeCell ref="N906:O906"/>
    <mergeCell ref="P906:Q906"/>
    <mergeCell ref="B907:G907"/>
    <mergeCell ref="I907:K907"/>
    <mergeCell ref="L907:M907"/>
    <mergeCell ref="N907:O907"/>
    <mergeCell ref="P907:Q907"/>
    <mergeCell ref="B908:G908"/>
    <mergeCell ref="I908:K908"/>
    <mergeCell ref="L908:M908"/>
    <mergeCell ref="N908:O908"/>
    <mergeCell ref="P908:Q908"/>
    <mergeCell ref="B909:G909"/>
    <mergeCell ref="I909:K909"/>
    <mergeCell ref="L909:M909"/>
    <mergeCell ref="N909:O909"/>
    <mergeCell ref="P909:Q909"/>
    <mergeCell ref="B910:G910"/>
    <mergeCell ref="I910:K910"/>
    <mergeCell ref="L910:M910"/>
    <mergeCell ref="N910:O910"/>
    <mergeCell ref="P910:Q910"/>
    <mergeCell ref="A911:Q911"/>
    <mergeCell ref="A912:Q912"/>
    <mergeCell ref="A913:Q913"/>
    <mergeCell ref="A914:Q914"/>
    <mergeCell ref="A915:G915"/>
    <mergeCell ref="H915:J915"/>
    <mergeCell ref="K915:L915"/>
    <mergeCell ref="M915:N915"/>
    <mergeCell ref="O915:Q915"/>
    <mergeCell ref="A916:G916"/>
    <mergeCell ref="H916:J916"/>
    <mergeCell ref="K916:L916"/>
    <mergeCell ref="M916:N916"/>
    <mergeCell ref="O916:Q916"/>
    <mergeCell ref="A917:G917"/>
    <mergeCell ref="H917:J917"/>
    <mergeCell ref="K917:L917"/>
    <mergeCell ref="M917:N917"/>
    <mergeCell ref="O917:Q917"/>
    <mergeCell ref="A918:G918"/>
    <mergeCell ref="H918:J918"/>
    <mergeCell ref="K918:L918"/>
    <mergeCell ref="M918:N918"/>
    <mergeCell ref="O918:Q918"/>
    <mergeCell ref="A919:G919"/>
    <mergeCell ref="H919:J919"/>
    <mergeCell ref="K919:L919"/>
    <mergeCell ref="M919:N919"/>
    <mergeCell ref="O919:Q919"/>
    <mergeCell ref="A920:Q920"/>
    <mergeCell ref="A921:B921"/>
    <mergeCell ref="C921:E921"/>
    <mergeCell ref="F921:H921"/>
    <mergeCell ref="I921:K921"/>
    <mergeCell ref="L921:N921"/>
    <mergeCell ref="O921:Q921"/>
    <mergeCell ref="A922:B922"/>
    <mergeCell ref="C922:E922"/>
    <mergeCell ref="F922:H922"/>
    <mergeCell ref="I922:K922"/>
    <mergeCell ref="L922:N922"/>
    <mergeCell ref="O922:Q922"/>
    <mergeCell ref="A923:B923"/>
    <mergeCell ref="C923:E923"/>
    <mergeCell ref="F923:H923"/>
    <mergeCell ref="I923:K923"/>
    <mergeCell ref="L923:N923"/>
    <mergeCell ref="O923:Q923"/>
    <mergeCell ref="A924:B924"/>
    <mergeCell ref="C924:E924"/>
    <mergeCell ref="F924:H924"/>
    <mergeCell ref="I924:K924"/>
    <mergeCell ref="L924:N924"/>
    <mergeCell ref="O924:Q924"/>
    <mergeCell ref="A925:B925"/>
    <mergeCell ref="C925:E925"/>
    <mergeCell ref="F925:H925"/>
    <mergeCell ref="I925:K925"/>
    <mergeCell ref="L925:N925"/>
    <mergeCell ref="O925:Q925"/>
    <mergeCell ref="A926:B926"/>
    <mergeCell ref="C926:E926"/>
    <mergeCell ref="F926:H926"/>
    <mergeCell ref="I926:K926"/>
    <mergeCell ref="L926:N926"/>
    <mergeCell ref="O926:Q926"/>
    <mergeCell ref="A927:Q927"/>
    <mergeCell ref="A928:Q928"/>
    <mergeCell ref="A929:Q929"/>
    <mergeCell ref="A930:Q930"/>
    <mergeCell ref="A931:Q931"/>
    <mergeCell ref="A932:Q932"/>
    <mergeCell ref="A933:Q933"/>
    <mergeCell ref="A934:Q934"/>
    <mergeCell ref="A935:Q935"/>
    <mergeCell ref="A936:Q936"/>
    <mergeCell ref="A937:Q937"/>
    <mergeCell ref="A938:Q938"/>
    <mergeCell ref="A939:Q939"/>
    <mergeCell ref="A940:Q940"/>
    <mergeCell ref="A941:Q941"/>
    <mergeCell ref="A942:Q942"/>
    <mergeCell ref="A943:Q943"/>
    <mergeCell ref="A944:Q944"/>
    <mergeCell ref="A945:Q945"/>
    <mergeCell ref="A946:Q946"/>
    <mergeCell ref="A947:Q947"/>
    <mergeCell ref="A948:Q948"/>
    <mergeCell ref="A949:Q949"/>
    <mergeCell ref="B950:Q950"/>
    <mergeCell ref="C951:D951"/>
    <mergeCell ref="F951:G951"/>
    <mergeCell ref="J951:L951"/>
    <mergeCell ref="M951:O951"/>
    <mergeCell ref="P951:Q951"/>
    <mergeCell ref="A952:B952"/>
    <mergeCell ref="C952:I952"/>
    <mergeCell ref="J952:M952"/>
    <mergeCell ref="N952:Q952"/>
    <mergeCell ref="A953:B953"/>
    <mergeCell ref="E953:F953"/>
    <mergeCell ref="G953:H953"/>
    <mergeCell ref="J953:K953"/>
    <mergeCell ref="N953:O953"/>
    <mergeCell ref="A954:B954"/>
    <mergeCell ref="C954:I954"/>
    <mergeCell ref="J954:M954"/>
    <mergeCell ref="N954:Q954"/>
    <mergeCell ref="A955:B955"/>
    <mergeCell ref="C955:G955"/>
    <mergeCell ref="H955:I955"/>
    <mergeCell ref="J955:M955"/>
    <mergeCell ref="N955:Q955"/>
    <mergeCell ref="A956:Q956"/>
    <mergeCell ref="B957:G957"/>
    <mergeCell ref="I957:K957"/>
    <mergeCell ref="L957:M957"/>
    <mergeCell ref="N957:O957"/>
    <mergeCell ref="P957:Q957"/>
    <mergeCell ref="B958:G958"/>
    <mergeCell ref="I958:K958"/>
    <mergeCell ref="L958:M958"/>
    <mergeCell ref="N958:O958"/>
    <mergeCell ref="P958:Q958"/>
    <mergeCell ref="B959:G959"/>
    <mergeCell ref="I959:K959"/>
    <mergeCell ref="L959:M959"/>
    <mergeCell ref="N959:O959"/>
    <mergeCell ref="P959:Q959"/>
    <mergeCell ref="B960:G960"/>
    <mergeCell ref="I960:K960"/>
    <mergeCell ref="L960:M960"/>
    <mergeCell ref="N960:O960"/>
    <mergeCell ref="P960:Q960"/>
    <mergeCell ref="B961:G961"/>
    <mergeCell ref="I961:K961"/>
    <mergeCell ref="L961:M961"/>
    <mergeCell ref="N961:O961"/>
    <mergeCell ref="P961:Q961"/>
    <mergeCell ref="B962:G962"/>
    <mergeCell ref="I962:K962"/>
    <mergeCell ref="L962:M962"/>
    <mergeCell ref="N962:O962"/>
    <mergeCell ref="P962:Q962"/>
    <mergeCell ref="B963:G963"/>
    <mergeCell ref="I963:K963"/>
    <mergeCell ref="L963:M963"/>
    <mergeCell ref="N963:O963"/>
    <mergeCell ref="P963:Q963"/>
    <mergeCell ref="B964:G964"/>
    <mergeCell ref="I964:K964"/>
    <mergeCell ref="L964:M964"/>
    <mergeCell ref="N964:O964"/>
    <mergeCell ref="P964:Q964"/>
    <mergeCell ref="B965:G965"/>
    <mergeCell ref="I965:K965"/>
    <mergeCell ref="L965:M965"/>
    <mergeCell ref="N965:O965"/>
    <mergeCell ref="P965:Q965"/>
    <mergeCell ref="B966:G966"/>
    <mergeCell ref="I966:K966"/>
    <mergeCell ref="L966:M966"/>
    <mergeCell ref="N966:O966"/>
    <mergeCell ref="P966:Q966"/>
    <mergeCell ref="B967:G967"/>
    <mergeCell ref="I967:K967"/>
    <mergeCell ref="L967:M967"/>
    <mergeCell ref="N967:O967"/>
    <mergeCell ref="P967:Q967"/>
    <mergeCell ref="B968:G968"/>
    <mergeCell ref="I968:K968"/>
    <mergeCell ref="L968:M968"/>
    <mergeCell ref="N968:O968"/>
    <mergeCell ref="P968:Q968"/>
    <mergeCell ref="B969:G969"/>
    <mergeCell ref="I969:K969"/>
    <mergeCell ref="L969:M969"/>
    <mergeCell ref="N969:O969"/>
    <mergeCell ref="P969:Q969"/>
    <mergeCell ref="B970:G970"/>
    <mergeCell ref="I970:K970"/>
    <mergeCell ref="L970:M970"/>
    <mergeCell ref="N970:O970"/>
    <mergeCell ref="P970:Q970"/>
    <mergeCell ref="B971:G971"/>
    <mergeCell ref="I971:K971"/>
    <mergeCell ref="L971:M971"/>
    <mergeCell ref="N971:O971"/>
    <mergeCell ref="P971:Q971"/>
    <mergeCell ref="B972:G972"/>
    <mergeCell ref="I972:K972"/>
    <mergeCell ref="L972:M972"/>
    <mergeCell ref="N972:O972"/>
    <mergeCell ref="P972:Q972"/>
    <mergeCell ref="B973:G973"/>
    <mergeCell ref="I973:K973"/>
    <mergeCell ref="L973:M973"/>
    <mergeCell ref="N973:O973"/>
    <mergeCell ref="P973:Q973"/>
    <mergeCell ref="B974:G974"/>
    <mergeCell ref="I974:K974"/>
    <mergeCell ref="L974:M974"/>
    <mergeCell ref="N974:O974"/>
    <mergeCell ref="P974:Q974"/>
    <mergeCell ref="B975:G975"/>
    <mergeCell ref="I975:K975"/>
    <mergeCell ref="L975:M975"/>
    <mergeCell ref="N975:O975"/>
    <mergeCell ref="P975:Q975"/>
    <mergeCell ref="B976:G976"/>
    <mergeCell ref="I976:K976"/>
    <mergeCell ref="L976:M976"/>
    <mergeCell ref="N976:O976"/>
    <mergeCell ref="P976:Q976"/>
    <mergeCell ref="B977:G977"/>
    <mergeCell ref="I977:K977"/>
    <mergeCell ref="L977:M977"/>
    <mergeCell ref="N977:O977"/>
    <mergeCell ref="P977:Q977"/>
    <mergeCell ref="B978:G978"/>
    <mergeCell ref="I978:K978"/>
    <mergeCell ref="L978:M978"/>
    <mergeCell ref="N978:O978"/>
    <mergeCell ref="P978:Q978"/>
    <mergeCell ref="B979:G979"/>
    <mergeCell ref="I979:K979"/>
    <mergeCell ref="L979:M979"/>
    <mergeCell ref="N979:O979"/>
    <mergeCell ref="P979:Q979"/>
    <mergeCell ref="B980:G980"/>
    <mergeCell ref="I980:K980"/>
    <mergeCell ref="L980:M980"/>
    <mergeCell ref="N980:O980"/>
    <mergeCell ref="P980:Q980"/>
    <mergeCell ref="B981:G981"/>
    <mergeCell ref="I981:K981"/>
    <mergeCell ref="L981:M981"/>
    <mergeCell ref="N981:O981"/>
    <mergeCell ref="P981:Q981"/>
    <mergeCell ref="B982:G982"/>
    <mergeCell ref="I982:K982"/>
    <mergeCell ref="L982:M982"/>
    <mergeCell ref="N982:O982"/>
    <mergeCell ref="P982:Q982"/>
    <mergeCell ref="B983:G983"/>
    <mergeCell ref="I983:K983"/>
    <mergeCell ref="L983:M983"/>
    <mergeCell ref="N983:O983"/>
    <mergeCell ref="P983:Q983"/>
    <mergeCell ref="A984:Q984"/>
    <mergeCell ref="A985:Q985"/>
    <mergeCell ref="A986:Q986"/>
    <mergeCell ref="A987:Q987"/>
    <mergeCell ref="A988:G988"/>
    <mergeCell ref="H988:J988"/>
    <mergeCell ref="K988:L988"/>
    <mergeCell ref="M988:N988"/>
    <mergeCell ref="O988:Q988"/>
    <mergeCell ref="A989:G989"/>
    <mergeCell ref="H989:J989"/>
    <mergeCell ref="K989:L989"/>
    <mergeCell ref="M989:N989"/>
    <mergeCell ref="O989:Q989"/>
    <mergeCell ref="A990:G990"/>
    <mergeCell ref="H990:J990"/>
    <mergeCell ref="K990:L990"/>
    <mergeCell ref="M990:N990"/>
    <mergeCell ref="O990:Q990"/>
    <mergeCell ref="A991:G991"/>
    <mergeCell ref="H991:J991"/>
    <mergeCell ref="K991:L991"/>
    <mergeCell ref="M991:N991"/>
    <mergeCell ref="O991:Q991"/>
    <mergeCell ref="A992:G992"/>
    <mergeCell ref="H992:J992"/>
    <mergeCell ref="K992:L992"/>
    <mergeCell ref="M992:N992"/>
    <mergeCell ref="O992:Q992"/>
    <mergeCell ref="A993:Q993"/>
    <mergeCell ref="A994:B994"/>
    <mergeCell ref="C994:E994"/>
    <mergeCell ref="F994:H994"/>
    <mergeCell ref="I994:K994"/>
    <mergeCell ref="L994:N994"/>
    <mergeCell ref="O994:Q994"/>
    <mergeCell ref="A995:B995"/>
    <mergeCell ref="C995:E995"/>
    <mergeCell ref="F995:H995"/>
    <mergeCell ref="I995:K995"/>
    <mergeCell ref="L995:N995"/>
    <mergeCell ref="O995:Q995"/>
    <mergeCell ref="A996:B996"/>
    <mergeCell ref="C996:E996"/>
    <mergeCell ref="F996:H996"/>
    <mergeCell ref="I996:K996"/>
    <mergeCell ref="L996:N996"/>
    <mergeCell ref="O996:Q996"/>
    <mergeCell ref="A997:B997"/>
    <mergeCell ref="C997:E997"/>
    <mergeCell ref="F997:H997"/>
    <mergeCell ref="I997:K997"/>
    <mergeCell ref="L997:N997"/>
    <mergeCell ref="O997:Q997"/>
    <mergeCell ref="A998:B998"/>
    <mergeCell ref="C998:E998"/>
    <mergeCell ref="F998:H998"/>
    <mergeCell ref="I998:K998"/>
    <mergeCell ref="L998:N998"/>
    <mergeCell ref="O998:Q998"/>
    <mergeCell ref="A999:B999"/>
    <mergeCell ref="C999:E999"/>
    <mergeCell ref="F999:H999"/>
    <mergeCell ref="I999:K999"/>
    <mergeCell ref="L999:N999"/>
    <mergeCell ref="O999:Q999"/>
    <mergeCell ref="A1000:Q1000"/>
    <mergeCell ref="A1001:Q1001"/>
    <mergeCell ref="A1002:Q1002"/>
    <mergeCell ref="A1003:Q1003"/>
    <mergeCell ref="A1004:Q1004"/>
    <mergeCell ref="A1005:Q1005"/>
    <mergeCell ref="A1006:Q1006"/>
    <mergeCell ref="A1007:Q1007"/>
    <mergeCell ref="A1008:Q1008"/>
    <mergeCell ref="A1009:Q1009"/>
    <mergeCell ref="A1010:Q1010"/>
    <mergeCell ref="A1011:Q1011"/>
    <mergeCell ref="A1012:Q1012"/>
    <mergeCell ref="A1013:Q1013"/>
    <mergeCell ref="A1014:Q1014"/>
    <mergeCell ref="A1015:Q1015"/>
    <mergeCell ref="A1016:Q1016"/>
    <mergeCell ref="A1017:Q1017"/>
    <mergeCell ref="A1018:Q1018"/>
    <mergeCell ref="A1019:Q1019"/>
    <mergeCell ref="A1020:Q1020"/>
    <mergeCell ref="A1021:Q1021"/>
    <mergeCell ref="A1022:Q1022"/>
    <mergeCell ref="B1023:Q1023"/>
    <mergeCell ref="C1024:D1024"/>
    <mergeCell ref="F1024:G1024"/>
    <mergeCell ref="J1024:L1024"/>
    <mergeCell ref="M1024:O1024"/>
    <mergeCell ref="P1024:Q1024"/>
    <mergeCell ref="A1025:B1025"/>
    <mergeCell ref="C1025:I1025"/>
    <mergeCell ref="J1025:M1025"/>
    <mergeCell ref="N1025:Q1025"/>
    <mergeCell ref="A1026:B1026"/>
    <mergeCell ref="E1026:F1026"/>
    <mergeCell ref="G1026:H1026"/>
    <mergeCell ref="J1026:K1026"/>
    <mergeCell ref="N1026:O1026"/>
    <mergeCell ref="A1027:B1027"/>
    <mergeCell ref="C1027:I1027"/>
    <mergeCell ref="J1027:M1027"/>
    <mergeCell ref="N1027:Q1027"/>
    <mergeCell ref="A1028:B1028"/>
    <mergeCell ref="C1028:G1028"/>
    <mergeCell ref="H1028:I1028"/>
    <mergeCell ref="J1028:M1028"/>
    <mergeCell ref="N1028:Q1028"/>
    <mergeCell ref="A1029:Q1029"/>
    <mergeCell ref="B1030:G1030"/>
    <mergeCell ref="I1030:K1030"/>
    <mergeCell ref="L1030:M1030"/>
    <mergeCell ref="N1030:O1030"/>
    <mergeCell ref="P1030:Q1030"/>
    <mergeCell ref="B1031:G1031"/>
    <mergeCell ref="I1031:K1031"/>
    <mergeCell ref="L1031:M1031"/>
    <mergeCell ref="N1031:O1031"/>
    <mergeCell ref="P1031:Q1031"/>
    <mergeCell ref="B1032:G1032"/>
    <mergeCell ref="I1032:K1032"/>
    <mergeCell ref="L1032:M1032"/>
    <mergeCell ref="N1032:O1032"/>
    <mergeCell ref="P1032:Q1032"/>
    <mergeCell ref="B1033:G1033"/>
    <mergeCell ref="I1033:K1033"/>
    <mergeCell ref="L1033:M1033"/>
    <mergeCell ref="N1033:O1033"/>
    <mergeCell ref="P1033:Q1033"/>
    <mergeCell ref="B1034:G1034"/>
    <mergeCell ref="I1034:K1034"/>
    <mergeCell ref="L1034:M1034"/>
    <mergeCell ref="N1034:O1034"/>
    <mergeCell ref="P1034:Q1034"/>
    <mergeCell ref="B1035:G1035"/>
    <mergeCell ref="I1035:K1035"/>
    <mergeCell ref="L1035:M1035"/>
    <mergeCell ref="N1035:O1035"/>
    <mergeCell ref="P1035:Q1035"/>
    <mergeCell ref="B1036:G1036"/>
    <mergeCell ref="I1036:K1036"/>
    <mergeCell ref="L1036:M1036"/>
    <mergeCell ref="N1036:O1036"/>
    <mergeCell ref="P1036:Q1036"/>
    <mergeCell ref="B1037:G1037"/>
    <mergeCell ref="I1037:K1037"/>
    <mergeCell ref="L1037:M1037"/>
    <mergeCell ref="N1037:O1037"/>
    <mergeCell ref="P1037:Q1037"/>
    <mergeCell ref="B1038:G1038"/>
    <mergeCell ref="I1038:K1038"/>
    <mergeCell ref="L1038:M1038"/>
    <mergeCell ref="N1038:O1038"/>
    <mergeCell ref="P1038:Q1038"/>
    <mergeCell ref="B1039:G1039"/>
    <mergeCell ref="I1039:K1039"/>
    <mergeCell ref="L1039:M1039"/>
    <mergeCell ref="N1039:O1039"/>
    <mergeCell ref="P1039:Q1039"/>
    <mergeCell ref="B1040:G1040"/>
    <mergeCell ref="I1040:K1040"/>
    <mergeCell ref="L1040:M1040"/>
    <mergeCell ref="N1040:O1040"/>
    <mergeCell ref="P1040:Q1040"/>
    <mergeCell ref="B1041:G1041"/>
    <mergeCell ref="I1041:K1041"/>
    <mergeCell ref="L1041:M1041"/>
    <mergeCell ref="N1041:O1041"/>
    <mergeCell ref="P1041:Q1041"/>
    <mergeCell ref="B1042:G1042"/>
    <mergeCell ref="I1042:K1042"/>
    <mergeCell ref="L1042:M1042"/>
    <mergeCell ref="N1042:O1042"/>
    <mergeCell ref="P1042:Q1042"/>
    <mergeCell ref="B1043:G1043"/>
    <mergeCell ref="I1043:K1043"/>
    <mergeCell ref="L1043:M1043"/>
    <mergeCell ref="N1043:O1043"/>
    <mergeCell ref="P1043:Q1043"/>
    <mergeCell ref="B1044:G1044"/>
    <mergeCell ref="I1044:K1044"/>
    <mergeCell ref="L1044:M1044"/>
    <mergeCell ref="N1044:O1044"/>
    <mergeCell ref="P1044:Q1044"/>
    <mergeCell ref="B1045:G1045"/>
    <mergeCell ref="I1045:K1045"/>
    <mergeCell ref="L1045:M1045"/>
    <mergeCell ref="N1045:O1045"/>
    <mergeCell ref="P1045:Q1045"/>
    <mergeCell ref="B1046:G1046"/>
    <mergeCell ref="I1046:K1046"/>
    <mergeCell ref="L1046:M1046"/>
    <mergeCell ref="N1046:O1046"/>
    <mergeCell ref="P1046:Q1046"/>
    <mergeCell ref="B1047:G1047"/>
    <mergeCell ref="I1047:K1047"/>
    <mergeCell ref="L1047:M1047"/>
    <mergeCell ref="N1047:O1047"/>
    <mergeCell ref="P1047:Q1047"/>
    <mergeCell ref="B1048:G1048"/>
    <mergeCell ref="I1048:K1048"/>
    <mergeCell ref="L1048:M1048"/>
    <mergeCell ref="N1048:O1048"/>
    <mergeCell ref="P1048:Q1048"/>
    <mergeCell ref="B1049:G1049"/>
    <mergeCell ref="I1049:K1049"/>
    <mergeCell ref="L1049:M1049"/>
    <mergeCell ref="N1049:O1049"/>
    <mergeCell ref="P1049:Q1049"/>
    <mergeCell ref="B1050:G1050"/>
    <mergeCell ref="I1050:K1050"/>
    <mergeCell ref="L1050:M1050"/>
    <mergeCell ref="N1050:O1050"/>
    <mergeCell ref="P1050:Q1050"/>
    <mergeCell ref="B1051:G1051"/>
    <mergeCell ref="I1051:K1051"/>
    <mergeCell ref="L1051:M1051"/>
    <mergeCell ref="N1051:O1051"/>
    <mergeCell ref="P1051:Q1051"/>
    <mergeCell ref="B1052:G1052"/>
    <mergeCell ref="I1052:K1052"/>
    <mergeCell ref="L1052:M1052"/>
    <mergeCell ref="N1052:O1052"/>
    <mergeCell ref="P1052:Q1052"/>
    <mergeCell ref="B1053:G1053"/>
    <mergeCell ref="I1053:K1053"/>
    <mergeCell ref="L1053:M1053"/>
    <mergeCell ref="N1053:O1053"/>
    <mergeCell ref="P1053:Q1053"/>
    <mergeCell ref="B1054:G1054"/>
    <mergeCell ref="I1054:K1054"/>
    <mergeCell ref="L1054:M1054"/>
    <mergeCell ref="N1054:O1054"/>
    <mergeCell ref="P1054:Q1054"/>
    <mergeCell ref="B1055:G1055"/>
    <mergeCell ref="I1055:K1055"/>
    <mergeCell ref="L1055:M1055"/>
    <mergeCell ref="N1055:O1055"/>
    <mergeCell ref="P1055:Q1055"/>
    <mergeCell ref="B1056:G1056"/>
    <mergeCell ref="I1056:K1056"/>
    <mergeCell ref="L1056:M1056"/>
    <mergeCell ref="N1056:O1056"/>
    <mergeCell ref="P1056:Q1056"/>
    <mergeCell ref="A1057:Q1057"/>
    <mergeCell ref="A1058:Q1058"/>
    <mergeCell ref="A1059:Q1059"/>
    <mergeCell ref="A1060:Q1060"/>
    <mergeCell ref="A1061:G1061"/>
    <mergeCell ref="H1061:J1061"/>
    <mergeCell ref="K1061:L1061"/>
    <mergeCell ref="M1061:N1061"/>
    <mergeCell ref="O1061:Q1061"/>
    <mergeCell ref="A1062:G1062"/>
    <mergeCell ref="H1062:J1062"/>
    <mergeCell ref="K1062:L1062"/>
    <mergeCell ref="M1062:N1062"/>
    <mergeCell ref="O1062:Q1062"/>
    <mergeCell ref="A1063:G1063"/>
    <mergeCell ref="H1063:J1063"/>
    <mergeCell ref="K1063:L1063"/>
    <mergeCell ref="M1063:N1063"/>
    <mergeCell ref="O1063:Q1063"/>
    <mergeCell ref="A1064:G1064"/>
    <mergeCell ref="H1064:J1064"/>
    <mergeCell ref="K1064:L1064"/>
    <mergeCell ref="M1064:N1064"/>
    <mergeCell ref="O1064:Q1064"/>
    <mergeCell ref="A1065:G1065"/>
    <mergeCell ref="H1065:J1065"/>
    <mergeCell ref="K1065:L1065"/>
    <mergeCell ref="M1065:N1065"/>
    <mergeCell ref="O1065:Q1065"/>
    <mergeCell ref="A1066:Q1066"/>
    <mergeCell ref="A1067:B1067"/>
    <mergeCell ref="C1067:E1067"/>
    <mergeCell ref="F1067:H1067"/>
    <mergeCell ref="I1067:K1067"/>
    <mergeCell ref="L1067:N1067"/>
    <mergeCell ref="O1067:Q1067"/>
    <mergeCell ref="A1068:B1068"/>
    <mergeCell ref="C1068:E1068"/>
    <mergeCell ref="F1068:H1068"/>
    <mergeCell ref="I1068:K1068"/>
    <mergeCell ref="L1068:N1068"/>
    <mergeCell ref="O1068:Q1068"/>
    <mergeCell ref="A1069:B1069"/>
    <mergeCell ref="C1069:E1069"/>
    <mergeCell ref="F1069:H1069"/>
    <mergeCell ref="I1069:K1069"/>
    <mergeCell ref="L1069:N1069"/>
    <mergeCell ref="O1069:Q1069"/>
    <mergeCell ref="A1070:B1070"/>
    <mergeCell ref="C1070:E1070"/>
    <mergeCell ref="F1070:H1070"/>
    <mergeCell ref="I1070:K1070"/>
    <mergeCell ref="L1070:N1070"/>
    <mergeCell ref="O1070:Q1070"/>
    <mergeCell ref="A1071:B1071"/>
    <mergeCell ref="C1071:E1071"/>
    <mergeCell ref="F1071:H1071"/>
    <mergeCell ref="I1071:K1071"/>
    <mergeCell ref="L1071:N1071"/>
    <mergeCell ref="O1071:Q1071"/>
    <mergeCell ref="A1072:B1072"/>
    <mergeCell ref="C1072:E1072"/>
    <mergeCell ref="F1072:H1072"/>
    <mergeCell ref="I1072:K1072"/>
    <mergeCell ref="L1072:N1072"/>
    <mergeCell ref="O1072:Q1072"/>
    <mergeCell ref="A1073:Q1073"/>
    <mergeCell ref="A1074:Q1074"/>
    <mergeCell ref="A1075:Q1075"/>
    <mergeCell ref="A1076:Q1076"/>
    <mergeCell ref="A1077:Q1077"/>
    <mergeCell ref="A1095:Q1095"/>
    <mergeCell ref="A1078:Q1078"/>
    <mergeCell ref="A1079:Q1079"/>
    <mergeCell ref="A1080:Q1080"/>
    <mergeCell ref="A1081:Q1081"/>
    <mergeCell ref="A1082:Q1082"/>
    <mergeCell ref="A1083:Q1083"/>
    <mergeCell ref="A1084:Q1084"/>
    <mergeCell ref="A1085:Q1085"/>
    <mergeCell ref="A1086:Q1086"/>
    <mergeCell ref="A1087:Q1087"/>
    <mergeCell ref="A1088:Q1088"/>
    <mergeCell ref="A1089:Q1089"/>
    <mergeCell ref="A1090:Q1090"/>
    <mergeCell ref="A1091:Q1091"/>
    <mergeCell ref="A1092:Q1092"/>
    <mergeCell ref="A1093:Q1093"/>
    <mergeCell ref="A1094:Q1094"/>
    <mergeCell ref="B1169:Q1169"/>
    <mergeCell ref="C1170:D1170"/>
    <mergeCell ref="F1170:G1170"/>
    <mergeCell ref="J1170:L1170"/>
    <mergeCell ref="M1170:O1170"/>
    <mergeCell ref="P1170:Q1170"/>
    <mergeCell ref="A1171:B1171"/>
    <mergeCell ref="C1171:I1171"/>
    <mergeCell ref="J1171:M1171"/>
    <mergeCell ref="N1171:Q1171"/>
    <mergeCell ref="A1172:B1172"/>
    <mergeCell ref="E1172:F1172"/>
    <mergeCell ref="G1172:H1172"/>
    <mergeCell ref="J1172:K1172"/>
    <mergeCell ref="N1172:O1172"/>
    <mergeCell ref="A1173:B1173"/>
    <mergeCell ref="C1173:I1173"/>
    <mergeCell ref="J1173:M1173"/>
    <mergeCell ref="N1173:Q1173"/>
    <mergeCell ref="A1174:B1174"/>
    <mergeCell ref="C1174:G1174"/>
    <mergeCell ref="H1174:I1174"/>
    <mergeCell ref="J1174:M1174"/>
    <mergeCell ref="N1174:Q1174"/>
    <mergeCell ref="A1175:Q1175"/>
    <mergeCell ref="B1176:G1176"/>
    <mergeCell ref="I1176:K1176"/>
    <mergeCell ref="L1176:M1176"/>
    <mergeCell ref="N1176:O1176"/>
    <mergeCell ref="P1176:Q1176"/>
    <mergeCell ref="B1177:G1177"/>
    <mergeCell ref="I1177:K1177"/>
    <mergeCell ref="L1177:M1177"/>
    <mergeCell ref="N1177:O1177"/>
    <mergeCell ref="P1177:Q1177"/>
    <mergeCell ref="B1178:G1178"/>
    <mergeCell ref="I1178:K1178"/>
    <mergeCell ref="L1178:M1178"/>
    <mergeCell ref="N1178:O1178"/>
    <mergeCell ref="P1178:Q1178"/>
    <mergeCell ref="B1179:G1179"/>
    <mergeCell ref="I1179:K1179"/>
    <mergeCell ref="L1179:M1179"/>
    <mergeCell ref="N1179:O1179"/>
    <mergeCell ref="P1179:Q1179"/>
    <mergeCell ref="B1180:G1180"/>
    <mergeCell ref="I1180:K1180"/>
    <mergeCell ref="L1180:M1180"/>
    <mergeCell ref="N1180:O1180"/>
    <mergeCell ref="P1180:Q1180"/>
    <mergeCell ref="B1181:G1181"/>
    <mergeCell ref="I1181:K1181"/>
    <mergeCell ref="L1181:M1181"/>
    <mergeCell ref="N1181:O1181"/>
    <mergeCell ref="P1181:Q1181"/>
    <mergeCell ref="B1182:G1182"/>
    <mergeCell ref="I1182:K1182"/>
    <mergeCell ref="L1182:M1182"/>
    <mergeCell ref="N1182:O1182"/>
    <mergeCell ref="P1182:Q1182"/>
    <mergeCell ref="B1183:G1183"/>
    <mergeCell ref="I1183:K1183"/>
    <mergeCell ref="L1183:M1183"/>
    <mergeCell ref="N1183:O1183"/>
    <mergeCell ref="P1183:Q1183"/>
    <mergeCell ref="B1184:G1184"/>
    <mergeCell ref="I1184:K1184"/>
    <mergeCell ref="L1184:M1184"/>
    <mergeCell ref="N1184:O1184"/>
    <mergeCell ref="P1184:Q1184"/>
    <mergeCell ref="B1185:G1185"/>
    <mergeCell ref="I1185:K1185"/>
    <mergeCell ref="L1185:M1185"/>
    <mergeCell ref="N1185:O1185"/>
    <mergeCell ref="P1185:Q1185"/>
    <mergeCell ref="B1186:G1186"/>
    <mergeCell ref="I1186:K1186"/>
    <mergeCell ref="L1186:M1186"/>
    <mergeCell ref="N1186:O1186"/>
    <mergeCell ref="P1186:Q1186"/>
    <mergeCell ref="B1187:G1187"/>
    <mergeCell ref="I1187:K1187"/>
    <mergeCell ref="L1187:M1187"/>
    <mergeCell ref="N1187:O1187"/>
    <mergeCell ref="P1187:Q1187"/>
    <mergeCell ref="B1188:G1188"/>
    <mergeCell ref="I1188:K1188"/>
    <mergeCell ref="L1188:M1188"/>
    <mergeCell ref="N1188:O1188"/>
    <mergeCell ref="P1188:Q1188"/>
    <mergeCell ref="B1189:G1189"/>
    <mergeCell ref="I1189:K1189"/>
    <mergeCell ref="L1189:M1189"/>
    <mergeCell ref="N1189:O1189"/>
    <mergeCell ref="P1189:Q1189"/>
    <mergeCell ref="B1190:G1190"/>
    <mergeCell ref="I1190:K1190"/>
    <mergeCell ref="L1190:M1190"/>
    <mergeCell ref="N1190:O1190"/>
    <mergeCell ref="P1190:Q1190"/>
    <mergeCell ref="B1191:G1191"/>
    <mergeCell ref="I1191:K1191"/>
    <mergeCell ref="L1191:M1191"/>
    <mergeCell ref="N1191:O1191"/>
    <mergeCell ref="P1191:Q1191"/>
    <mergeCell ref="B1192:G1192"/>
    <mergeCell ref="I1192:K1192"/>
    <mergeCell ref="L1192:M1192"/>
    <mergeCell ref="N1192:O1192"/>
    <mergeCell ref="P1192:Q1192"/>
    <mergeCell ref="B1193:G1193"/>
    <mergeCell ref="I1193:K1193"/>
    <mergeCell ref="L1193:M1193"/>
    <mergeCell ref="N1193:O1193"/>
    <mergeCell ref="P1193:Q1193"/>
    <mergeCell ref="B1194:G1194"/>
    <mergeCell ref="I1194:K1194"/>
    <mergeCell ref="L1194:M1194"/>
    <mergeCell ref="N1194:O1194"/>
    <mergeCell ref="P1194:Q1194"/>
    <mergeCell ref="B1195:G1195"/>
    <mergeCell ref="I1195:K1195"/>
    <mergeCell ref="L1195:M1195"/>
    <mergeCell ref="N1195:O1195"/>
    <mergeCell ref="P1195:Q1195"/>
    <mergeCell ref="B1196:G1196"/>
    <mergeCell ref="I1196:K1196"/>
    <mergeCell ref="L1196:M1196"/>
    <mergeCell ref="N1196:O1196"/>
    <mergeCell ref="P1196:Q1196"/>
    <mergeCell ref="B1197:G1197"/>
    <mergeCell ref="I1197:K1197"/>
    <mergeCell ref="L1197:M1197"/>
    <mergeCell ref="N1197:O1197"/>
    <mergeCell ref="P1197:Q1197"/>
    <mergeCell ref="B1198:G1198"/>
    <mergeCell ref="I1198:K1198"/>
    <mergeCell ref="L1198:M1198"/>
    <mergeCell ref="N1198:O1198"/>
    <mergeCell ref="P1198:Q1198"/>
    <mergeCell ref="B1199:G1199"/>
    <mergeCell ref="I1199:K1199"/>
    <mergeCell ref="L1199:M1199"/>
    <mergeCell ref="N1199:O1199"/>
    <mergeCell ref="P1199:Q1199"/>
    <mergeCell ref="B1200:G1200"/>
    <mergeCell ref="I1200:K1200"/>
    <mergeCell ref="L1200:M1200"/>
    <mergeCell ref="N1200:O1200"/>
    <mergeCell ref="P1200:Q1200"/>
    <mergeCell ref="B1201:G1201"/>
    <mergeCell ref="I1201:K1201"/>
    <mergeCell ref="L1201:M1201"/>
    <mergeCell ref="N1201:O1201"/>
    <mergeCell ref="P1201:Q1201"/>
    <mergeCell ref="B1202:G1202"/>
    <mergeCell ref="I1202:K1202"/>
    <mergeCell ref="L1202:M1202"/>
    <mergeCell ref="N1202:O1202"/>
    <mergeCell ref="P1202:Q1202"/>
    <mergeCell ref="A1203:Q1203"/>
    <mergeCell ref="A1204:Q1204"/>
    <mergeCell ref="A1205:Q1205"/>
    <mergeCell ref="A1206:Q1206"/>
    <mergeCell ref="A1207:G1207"/>
    <mergeCell ref="H1207:J1207"/>
    <mergeCell ref="K1207:L1207"/>
    <mergeCell ref="M1207:N1207"/>
    <mergeCell ref="O1207:Q1207"/>
    <mergeCell ref="A1208:G1208"/>
    <mergeCell ref="H1208:J1208"/>
    <mergeCell ref="K1208:L1208"/>
    <mergeCell ref="M1208:N1208"/>
    <mergeCell ref="O1208:Q1208"/>
    <mergeCell ref="A1209:G1209"/>
    <mergeCell ref="H1209:J1209"/>
    <mergeCell ref="K1209:L1209"/>
    <mergeCell ref="M1209:N1209"/>
    <mergeCell ref="O1209:Q1209"/>
    <mergeCell ref="A1210:G1210"/>
    <mergeCell ref="H1210:J1210"/>
    <mergeCell ref="K1210:L1210"/>
    <mergeCell ref="M1210:N1210"/>
    <mergeCell ref="O1210:Q1210"/>
    <mergeCell ref="A1211:G1211"/>
    <mergeCell ref="H1211:J1211"/>
    <mergeCell ref="K1211:L1211"/>
    <mergeCell ref="M1211:N1211"/>
    <mergeCell ref="O1211:Q1211"/>
    <mergeCell ref="A1212:Q1212"/>
    <mergeCell ref="A1213:B1213"/>
    <mergeCell ref="C1213:E1213"/>
    <mergeCell ref="F1213:H1213"/>
    <mergeCell ref="I1213:K1213"/>
    <mergeCell ref="L1213:N1213"/>
    <mergeCell ref="O1213:Q1213"/>
    <mergeCell ref="A1214:B1214"/>
    <mergeCell ref="C1214:E1214"/>
    <mergeCell ref="F1214:H1214"/>
    <mergeCell ref="I1214:K1214"/>
    <mergeCell ref="L1214:N1214"/>
    <mergeCell ref="O1214:Q1214"/>
    <mergeCell ref="A1215:B1215"/>
    <mergeCell ref="C1215:E1215"/>
    <mergeCell ref="F1215:H1215"/>
    <mergeCell ref="I1215:K1215"/>
    <mergeCell ref="L1215:N1215"/>
    <mergeCell ref="O1215:Q1215"/>
    <mergeCell ref="A1216:B1216"/>
    <mergeCell ref="C1216:E1216"/>
    <mergeCell ref="F1216:H1216"/>
    <mergeCell ref="I1216:K1216"/>
    <mergeCell ref="L1216:N1216"/>
    <mergeCell ref="O1216:Q1216"/>
    <mergeCell ref="A1217:B1217"/>
    <mergeCell ref="C1217:E1217"/>
    <mergeCell ref="F1217:H1217"/>
    <mergeCell ref="I1217:K1217"/>
    <mergeCell ref="L1217:N1217"/>
    <mergeCell ref="O1217:Q1217"/>
    <mergeCell ref="A1218:B1218"/>
    <mergeCell ref="C1218:E1218"/>
    <mergeCell ref="F1218:H1218"/>
    <mergeCell ref="I1218:K1218"/>
    <mergeCell ref="L1218:N1218"/>
    <mergeCell ref="O1218:Q1218"/>
    <mergeCell ref="A1219:Q1219"/>
    <mergeCell ref="A1220:Q1220"/>
    <mergeCell ref="A1221:Q1221"/>
    <mergeCell ref="A1222:Q1222"/>
    <mergeCell ref="A1223:Q1223"/>
    <mergeCell ref="A1241:Q1241"/>
    <mergeCell ref="A1224:Q1224"/>
    <mergeCell ref="A1225:Q1225"/>
    <mergeCell ref="A1226:Q1226"/>
    <mergeCell ref="A1227:Q1227"/>
    <mergeCell ref="A1228:Q1228"/>
    <mergeCell ref="A1229:Q1229"/>
    <mergeCell ref="A1230:Q1230"/>
    <mergeCell ref="A1231:Q1231"/>
    <mergeCell ref="A1232:Q1232"/>
    <mergeCell ref="A1233:Q1233"/>
    <mergeCell ref="A1234:Q1234"/>
    <mergeCell ref="A1235:Q1235"/>
    <mergeCell ref="A1236:Q1236"/>
    <mergeCell ref="A1237:Q1237"/>
    <mergeCell ref="A1238:Q1238"/>
    <mergeCell ref="A1239:Q1239"/>
    <mergeCell ref="A1240:Q1240"/>
  </mergeCells>
  <phoneticPr fontId="11" type="noConversion"/>
  <dataValidations disablePrompts="1" count="1">
    <dataValidation allowBlank="1" showInputMessage="1" showErrorMessage="1" promptTitle="分類欄位名稱" prompt="可修改文字內容,字型,顏色,大小,但不可更動其位置 (第9列)_x000a_" sqref="H12:H15 H85:H88 H158:H161 H231:H234 H304:H307 H377:H380 H450:H453 H523:H526 H596:H599 H669:H672 H742:H745 H815:H818 H888:H891 H961:H964 H1034:H1037 H1107:H1110 H1180:H1183 H1253:H1256 H1326:H1329 H1399:H1402 H1472:H1475 H1545:H1548 H1618:H1621 H1691:H1694 H1764:H1767 H1837:H1840 H1910:H1913" xr:uid="{7BC644DE-15AC-487E-A875-C58843687159}"/>
  </dataValidations>
  <pageMargins left="0.70866141732283472" right="0.51181102362204722" top="0.74803149606299213" bottom="0.74803149606299213" header="0.31496062992125984" footer="0.31496062992125984"/>
  <pageSetup paperSize="9" orientation="portrait" horizontalDpi="0" verticalDpi="0" r:id="rId1"/>
  <rowBreaks count="26" manualBreakCount="26">
    <brk id="73" max="16383" man="1"/>
    <brk id="146" max="16383" man="1"/>
    <brk id="219" max="16383" man="1"/>
    <brk id="292" max="16383" man="1"/>
    <brk id="365" max="16383" man="1"/>
    <brk id="438" max="16383" man="1"/>
    <brk id="511" max="16383" man="1"/>
    <brk id="584" max="16383" man="1"/>
    <brk id="657" max="16383" man="1"/>
    <brk id="730" max="16383" man="1"/>
    <brk id="803" max="16383" man="1"/>
    <brk id="876" max="16383" man="1"/>
    <brk id="949" max="16383" man="1"/>
    <brk id="1022" max="16383" man="1"/>
    <brk id="1095" max="16383" man="1"/>
    <brk id="1168" max="16383" man="1"/>
    <brk id="1241" max="16383" man="1"/>
    <brk id="1314" max="16383" man="1"/>
    <brk id="1387" max="16383" man="1"/>
    <brk id="1460" max="16383" man="1"/>
    <brk id="1533" max="16383" man="1"/>
    <brk id="1606" max="16383" man="1"/>
    <brk id="1679" max="16383" man="1"/>
    <brk id="1752" max="16383" man="1"/>
    <brk id="1825" max="16383" man="1"/>
    <brk id="18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施工封面</vt:lpstr>
      <vt:lpstr>施工日報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2026-08-14T08:04:37Z</cp:lastPrinted>
  <dcterms:created xsi:type="dcterms:W3CDTF">2020-11-02T07:10:31Z</dcterms:created>
  <dcterms:modified xsi:type="dcterms:W3CDTF">2026-08-14T08:06:32Z</dcterms:modified>
</cp:coreProperties>
</file>